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hp15-da\Desktop\معرض عمال\workspace\project_02_business_profitability_inventory\"/>
    </mc:Choice>
  </mc:AlternateContent>
  <xr:revisionPtr revIDLastSave="0" documentId="13_ncr:1_{195847B5-F5D1-4C1F-B142-E6035A712B46}" xr6:coauthVersionLast="36" xr6:coauthVersionMax="36" xr10:uidLastSave="{00000000-0000-0000-0000-000000000000}"/>
  <bookViews>
    <workbookView xWindow="0" yWindow="0" windowWidth="22260" windowHeight="12645" xr2:uid="{00000000-000D-0000-FFFF-FFFF00000000}"/>
  </bookViews>
  <sheets>
    <sheet name="Dashboard" sheetId="10" r:id="rId1"/>
    <sheet name="Business Insights" sheetId="11" r:id="rId2"/>
    <sheet name="Pivot Tables" sheetId="7" r:id="rId3"/>
    <sheet name="Sales Analysis" sheetId="5" r:id="rId4"/>
    <sheet name="Orders Raw" sheetId="2" r:id="rId5"/>
    <sheet name="Products Raw" sheetId="3" r:id="rId6"/>
    <sheet name="Inventory Analysis" sheetId="6" r:id="rId7"/>
    <sheet name="Inventory Raw" sheetId="4" r:id="rId8"/>
  </sheets>
  <definedNames>
    <definedName name="ExternalData_1" localSheetId="7" hidden="1">'Inventory Raw'!$A$1:$I$16</definedName>
    <definedName name="ExternalData_1" localSheetId="4" hidden="1">'Orders Raw'!$A$1:$L$2401</definedName>
    <definedName name="ExternalData_1" localSheetId="5" hidden="1">'Products Raw'!$A$1:$I$16</definedName>
    <definedName name="ExternalData_2" localSheetId="6" hidden="1">'Inventory Analysis'!$A$1:$R$16</definedName>
    <definedName name="ExternalData_2" localSheetId="3" hidden="1">'Sales Analysis'!$A$1:$W$2401</definedName>
    <definedName name="Slicer_Category">#N/A</definedName>
    <definedName name="Slicer_Region">#N/A</definedName>
    <definedName name="Slicer_Year">#N/A</definedName>
  </definedNames>
  <calcPr calcId="191029"/>
  <pivotCaches>
    <pivotCache cacheId="4" r:id="rId9"/>
    <pivotCache cacheId="12"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5" i="10" l="1"/>
  <c r="G5" i="10"/>
  <c r="D5" i="10"/>
  <c r="A5"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BC26F91-0620-4D2B-88BF-D422F771FB22}" keepAlive="1" name="Query - inventory_analysis" description="Connection to the 'inventory_analysis' query in the workbook." type="5" refreshedVersion="6" background="1" saveData="1">
    <dbPr connection="Provider=Microsoft.Mashup.OleDb.1;Data Source=$Workbook$;Location=inventory_analysis;Extended Properties=&quot;&quot;" command="SELECT * FROM [inventory_analysis]"/>
  </connection>
  <connection id="2" xr16:uid="{EAB4BAE3-C157-48D9-AB8E-4A7321B27C8D}" keepAlive="1" name="Query - inventory_raw" description="Connection to the 'inventory_raw' query in the workbook." type="5" refreshedVersion="6" background="1" saveData="1">
    <dbPr connection="Provider=Microsoft.Mashup.OleDb.1;Data Source=$Workbook$;Location=inventory_raw;Extended Properties=&quot;&quot;" command="SELECT * FROM [inventory_raw]"/>
  </connection>
  <connection id="3" xr16:uid="{3B126937-1944-4114-833E-7C8E972933A5}" keepAlive="1" name="Query - orders_raw" description="Connection to the 'orders_raw' query in the workbook." type="5" refreshedVersion="6" background="1" saveData="1">
    <dbPr connection="Provider=Microsoft.Mashup.OleDb.1;Data Source=$Workbook$;Location=orders_raw;Extended Properties=&quot;&quot;" command="SELECT * FROM [orders_raw]"/>
  </connection>
  <connection id="4" xr16:uid="{EE3BEF05-9B5F-40F6-B84F-194226F51F74}" keepAlive="1" name="Query - products_raw" description="Connection to the 'products_raw' query in the workbook." type="5" refreshedVersion="6" background="1" saveData="1">
    <dbPr connection="Provider=Microsoft.Mashup.OleDb.1;Data Source=$Workbook$;Location=products_raw;Extended Properties=&quot;&quot;" command="SELECT * FROM [products_raw]"/>
  </connection>
  <connection id="5" xr16:uid="{53FE2B7D-AC02-4C07-88BA-AC948B2B236C}" keepAlive="1" name="Query - sales_analysis" description="Connection to the 'sales_analysis' query in the workbook." type="5" refreshedVersion="6" background="1" saveData="1">
    <dbPr connection="Provider=Microsoft.Mashup.OleDb.1;Data Source=$Workbook$;Location=sales_analysis;Extended Properties=&quot;&quot;" command="SELECT * FROM [sales_analysis]"/>
  </connection>
</connections>
</file>

<file path=xl/sharedStrings.xml><?xml version="1.0" encoding="utf-8"?>
<sst xmlns="http://schemas.openxmlformats.org/spreadsheetml/2006/main" count="38790" uniqueCount="2551">
  <si>
    <t>Order_ID</t>
  </si>
  <si>
    <t>Order_Date</t>
  </si>
  <si>
    <t>Ship_Date</t>
  </si>
  <si>
    <t>Region</t>
  </si>
  <si>
    <t>City</t>
  </si>
  <si>
    <t>Customer_Segment</t>
  </si>
  <si>
    <t>Sales_Channel</t>
  </si>
  <si>
    <t>Product_ID</t>
  </si>
  <si>
    <t>Quantity</t>
  </si>
  <si>
    <t>Discount</t>
  </si>
  <si>
    <t>Sales</t>
  </si>
  <si>
    <t>Shipping_Cost</t>
  </si>
  <si>
    <t>ORD-100001</t>
  </si>
  <si>
    <t>West</t>
  </si>
  <si>
    <t>Cardiff</t>
  </si>
  <si>
    <t>Home Office</t>
  </si>
  <si>
    <t>B2B Sales</t>
  </si>
  <si>
    <t>P-009</t>
  </si>
  <si>
    <t>ORD-100002</t>
  </si>
  <si>
    <t>Birmingham</t>
  </si>
  <si>
    <t>Retail Store</t>
  </si>
  <si>
    <t>P-003</t>
  </si>
  <si>
    <t>ORD-100003</t>
  </si>
  <si>
    <t>East</t>
  </si>
  <si>
    <t>Norwich</t>
  </si>
  <si>
    <t>Small Business</t>
  </si>
  <si>
    <t>Online</t>
  </si>
  <si>
    <t>P-014</t>
  </si>
  <si>
    <t>ORD-100004</t>
  </si>
  <si>
    <t>Corporate</t>
  </si>
  <si>
    <t>P-010</t>
  </si>
  <si>
    <t>ORD-100005</t>
  </si>
  <si>
    <t>South</t>
  </si>
  <si>
    <t>Bristol</t>
  </si>
  <si>
    <t>P-002</t>
  </si>
  <si>
    <t>ORD-100006</t>
  </si>
  <si>
    <t>Liverpool</t>
  </si>
  <si>
    <t>P-004</t>
  </si>
  <si>
    <t>ORD-100007</t>
  </si>
  <si>
    <t>P-008</t>
  </si>
  <si>
    <t>ORD-100008</t>
  </si>
  <si>
    <t>P-015</t>
  </si>
  <si>
    <t>ORD-100009</t>
  </si>
  <si>
    <t>Peterborough</t>
  </si>
  <si>
    <t>ORD-100010</t>
  </si>
  <si>
    <t>Brighton</t>
  </si>
  <si>
    <t>ORD-100011</t>
  </si>
  <si>
    <t>North</t>
  </si>
  <si>
    <t>Newcastle</t>
  </si>
  <si>
    <t>ORD-100012</t>
  </si>
  <si>
    <t>Manchester</t>
  </si>
  <si>
    <t>P-011</t>
  </si>
  <si>
    <t>ORD-100013</t>
  </si>
  <si>
    <t>P-007</t>
  </si>
  <si>
    <t>ORD-100014</t>
  </si>
  <si>
    <t>ORD-100015</t>
  </si>
  <si>
    <t>ORD-100016</t>
  </si>
  <si>
    <t>ORD-100017</t>
  </si>
  <si>
    <t>ORD-100018</t>
  </si>
  <si>
    <t>Cambridge</t>
  </si>
  <si>
    <t>P-006</t>
  </si>
  <si>
    <t>ORD-100019</t>
  </si>
  <si>
    <t>London</t>
  </si>
  <si>
    <t>P-013</t>
  </si>
  <si>
    <t>ORD-100020</t>
  </si>
  <si>
    <t>P-001</t>
  </si>
  <si>
    <t>ORD-100021</t>
  </si>
  <si>
    <t>ORD-100022</t>
  </si>
  <si>
    <t>P-005</t>
  </si>
  <si>
    <t>ORD-100023</t>
  </si>
  <si>
    <t>ORD-100024</t>
  </si>
  <si>
    <t>Leeds</t>
  </si>
  <si>
    <t>ORD-100025</t>
  </si>
  <si>
    <t>ORD-100026</t>
  </si>
  <si>
    <t>ORD-100027</t>
  </si>
  <si>
    <t>ORD-100028</t>
  </si>
  <si>
    <t>ORD-100029</t>
  </si>
  <si>
    <t>ORD-100030</t>
  </si>
  <si>
    <t>ORD-100031</t>
  </si>
  <si>
    <t>ORD-100032</t>
  </si>
  <si>
    <t>ORD-100033</t>
  </si>
  <si>
    <t>ORD-100034</t>
  </si>
  <si>
    <t>ORD-100035</t>
  </si>
  <si>
    <t>ORD-100036</t>
  </si>
  <si>
    <t>ORD-100037</t>
  </si>
  <si>
    <t>ORD-100038</t>
  </si>
  <si>
    <t>ORD-100039</t>
  </si>
  <si>
    <t>P-012</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</si>
  <si>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</si>
  <si>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</si>
  <si>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</si>
  <si>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</si>
  <si>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</si>
  <si>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</si>
  <si>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</si>
  <si>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</si>
  <si>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</si>
  <si>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</si>
  <si>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</si>
  <si>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</si>
  <si>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</si>
  <si>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</si>
  <si>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</si>
  <si>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</si>
  <si>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</si>
  <si>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</si>
  <si>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</si>
  <si>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</si>
  <si>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</si>
  <si>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</si>
  <si>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</si>
  <si>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</si>
  <si>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</si>
  <si>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</si>
  <si>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</si>
  <si>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</si>
  <si>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</si>
  <si>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</si>
  <si>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</si>
  <si>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</si>
  <si>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</si>
  <si>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</si>
  <si>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</si>
  <si>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</si>
  <si>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</si>
  <si>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</si>
  <si>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</si>
  <si>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</si>
  <si>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</si>
  <si>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</si>
  <si>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</si>
  <si>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</si>
  <si>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</si>
  <si>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</si>
  <si>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</si>
  <si>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</si>
  <si>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</si>
  <si>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</si>
  <si>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</si>
  <si>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</si>
  <si>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</si>
  <si>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</si>
  <si>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</si>
  <si>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</si>
  <si>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</si>
  <si>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</si>
  <si>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</si>
  <si>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</si>
  <si>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</si>
  <si>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</si>
  <si>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</si>
  <si>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</si>
  <si>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</si>
  <si>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</si>
  <si>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</si>
  <si>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</si>
  <si>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</si>
  <si>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</si>
  <si>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</si>
  <si>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</si>
  <si>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</si>
  <si>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</si>
  <si>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</si>
  <si>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</si>
  <si>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</si>
  <si>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</si>
  <si>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</si>
  <si>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</si>
  <si>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</si>
  <si>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</si>
  <si>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</si>
  <si>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</si>
  <si>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</si>
  <si>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</si>
  <si>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</si>
  <si>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</si>
  <si>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</si>
  <si>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</si>
  <si>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</si>
  <si>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</si>
  <si>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</si>
  <si>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</si>
  <si>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</si>
  <si>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</si>
  <si>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</si>
  <si>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</si>
  <si>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</si>
  <si>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</si>
  <si>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</si>
  <si>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</si>
  <si>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</si>
  <si>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</si>
  <si>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</si>
  <si>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</si>
  <si>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</si>
  <si>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</si>
  <si>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</si>
  <si>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</si>
  <si>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</si>
  <si>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</si>
  <si>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</si>
  <si>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</si>
  <si>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</si>
  <si>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</si>
  <si>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</si>
  <si>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</si>
  <si>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</si>
  <si>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</si>
  <si>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</si>
  <si>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</si>
  <si>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</si>
  <si>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</si>
  <si>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</si>
  <si>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</si>
  <si>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</si>
  <si>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</si>
  <si>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</si>
  <si>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</si>
  <si>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</si>
  <si>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</si>
  <si>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</si>
  <si>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</si>
  <si>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</si>
  <si>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</si>
  <si>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</si>
  <si>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</si>
  <si>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</si>
  <si>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</si>
  <si>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</si>
  <si>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</si>
  <si>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</si>
  <si>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</si>
  <si>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</si>
  <si>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</si>
  <si>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</si>
  <si>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</si>
  <si>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</si>
  <si>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</si>
  <si>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</si>
  <si>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</si>
  <si>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</si>
  <si>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</si>
  <si>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</si>
  <si>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</si>
  <si>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</si>
  <si>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</si>
  <si>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</si>
  <si>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</si>
  <si>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</si>
  <si>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</si>
  <si>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</si>
  <si>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</si>
  <si>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</si>
  <si>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</si>
  <si>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</si>
  <si>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</si>
  <si>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</si>
  <si>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</si>
  <si>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</si>
  <si>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</si>
  <si>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</si>
  <si>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</si>
  <si>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</si>
  <si>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</si>
  <si>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</si>
  <si>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</si>
  <si>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</si>
  <si>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</si>
  <si>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</si>
  <si>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</si>
  <si>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</si>
  <si>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</si>
  <si>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</si>
  <si>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</si>
  <si>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</si>
  <si>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</si>
  <si>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</si>
  <si>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</si>
  <si>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</si>
  <si>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</si>
  <si>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</si>
  <si>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</si>
  <si>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</si>
  <si>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</si>
  <si>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</si>
  <si>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</si>
  <si>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</si>
  <si>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</si>
  <si>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</si>
  <si>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</si>
  <si>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</si>
  <si>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</si>
  <si>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</si>
  <si>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</si>
  <si>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</si>
  <si>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</si>
  <si>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</si>
  <si>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</si>
  <si>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</si>
  <si>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</si>
  <si>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</si>
  <si>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</si>
  <si>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</si>
  <si>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</si>
  <si>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</si>
  <si>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</si>
  <si>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</si>
  <si>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</si>
  <si>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</si>
  <si>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</si>
  <si>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</si>
  <si>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</si>
  <si>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</si>
  <si>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</si>
  <si>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</si>
  <si>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</si>
  <si>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</si>
  <si>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</si>
  <si>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</si>
  <si>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</si>
  <si>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</si>
  <si>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</si>
  <si>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</si>
  <si>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</si>
  <si>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</si>
  <si>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</si>
  <si>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</si>
  <si>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</si>
  <si>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</si>
  <si>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</si>
  <si>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</si>
  <si>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</si>
  <si>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</si>
  <si>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</si>
  <si>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</si>
  <si>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</si>
  <si>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</si>
  <si>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</si>
  <si>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</si>
  <si>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</si>
  <si>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</si>
  <si>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</si>
  <si>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</si>
  <si>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</si>
  <si>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</si>
  <si>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</si>
  <si>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</si>
  <si>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</si>
  <si>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</si>
  <si>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</si>
  <si>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</si>
  <si>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</si>
  <si>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</si>
  <si>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</si>
  <si>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</si>
  <si>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</si>
  <si>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</si>
  <si>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</si>
  <si>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</si>
  <si>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</si>
  <si>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</si>
  <si>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</si>
  <si>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</si>
  <si>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</si>
  <si>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</si>
  <si>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</si>
  <si>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</si>
  <si>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</si>
  <si>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</si>
  <si>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</si>
  <si>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</si>
  <si>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</si>
  <si>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</si>
  <si>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</si>
  <si>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</si>
  <si>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</si>
  <si>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</si>
  <si>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</si>
  <si>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</si>
  <si>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</si>
  <si>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</si>
  <si>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</si>
  <si>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</si>
  <si>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</si>
  <si>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</si>
  <si>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</si>
  <si>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</si>
  <si>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</si>
  <si>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</si>
  <si>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</si>
  <si>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</si>
  <si>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</si>
  <si>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</si>
  <si>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</si>
  <si>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</si>
  <si>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</si>
  <si>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</si>
  <si>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</si>
  <si>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</si>
  <si>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</si>
  <si>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</si>
  <si>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</si>
  <si>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</si>
  <si>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</si>
  <si>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</si>
  <si>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</si>
  <si>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</si>
  <si>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</si>
  <si>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</si>
  <si>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</si>
  <si>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</si>
  <si>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</si>
  <si>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</si>
  <si>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</si>
  <si>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</si>
  <si>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</si>
  <si>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</si>
  <si>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</si>
  <si>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</si>
  <si>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</si>
  <si>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</si>
  <si>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</si>
  <si>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</si>
  <si>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</si>
  <si>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</si>
  <si>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</si>
  <si>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</si>
  <si>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</si>
  <si>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</si>
  <si>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</si>
  <si>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</si>
  <si>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</si>
  <si>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</si>
  <si>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</si>
  <si>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</si>
  <si>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</si>
  <si>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</si>
  <si>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</si>
  <si>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</si>
  <si>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</si>
  <si>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</si>
  <si>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</si>
  <si>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</si>
  <si>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</si>
  <si>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</si>
  <si>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</si>
  <si>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</si>
  <si>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</si>
  <si>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</si>
  <si>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</si>
  <si>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</si>
  <si>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</si>
  <si>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</si>
  <si>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</si>
  <si>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</si>
  <si>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</si>
  <si>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</si>
  <si>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</si>
  <si>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</si>
  <si>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</si>
  <si>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</si>
  <si>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</si>
  <si>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</si>
  <si>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</si>
  <si>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</si>
  <si>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</si>
  <si>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</si>
  <si>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</si>
  <si>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</si>
  <si>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</si>
  <si>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</si>
  <si>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</si>
  <si>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</si>
  <si>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</si>
  <si>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</si>
  <si>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</si>
  <si>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</si>
  <si>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</si>
  <si>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</si>
  <si>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</si>
  <si>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</si>
  <si>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</si>
  <si>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</si>
  <si>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</si>
  <si>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</si>
  <si>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</si>
  <si>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</si>
  <si>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</si>
  <si>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</si>
  <si>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</si>
  <si>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</si>
  <si>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</si>
  <si>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</si>
  <si>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</si>
  <si>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</si>
  <si>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</si>
  <si>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</si>
  <si>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</si>
  <si>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</si>
  <si>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</si>
  <si>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</si>
  <si>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</si>
  <si>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</si>
  <si>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</si>
  <si>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</si>
  <si>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</si>
  <si>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</si>
  <si>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</si>
  <si>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</si>
  <si>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</si>
  <si>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</si>
  <si>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</si>
  <si>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</si>
  <si>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</si>
  <si>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</si>
  <si>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</si>
  <si>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</si>
  <si>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</si>
  <si>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</si>
  <si>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</si>
  <si>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</si>
  <si>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</si>
  <si>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</si>
  <si>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</si>
  <si>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</si>
  <si>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</si>
  <si>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</si>
  <si>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</si>
  <si>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</si>
  <si>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</si>
  <si>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</si>
  <si>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</si>
  <si>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</si>
  <si>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</si>
  <si>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</si>
  <si>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</si>
  <si>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</si>
  <si>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</si>
  <si>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</si>
  <si>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</si>
  <si>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</si>
  <si>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</si>
  <si>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</si>
  <si>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</si>
  <si>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</si>
  <si>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</si>
  <si>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</si>
  <si>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</si>
  <si>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</si>
  <si>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</si>
  <si>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</si>
  <si>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</si>
  <si>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</si>
  <si>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</si>
  <si>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</si>
  <si>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</si>
  <si>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</si>
  <si>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</si>
  <si>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</si>
  <si>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</si>
  <si>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</si>
  <si>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</si>
  <si>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</si>
  <si>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</si>
  <si>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</si>
  <si>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</si>
  <si>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</si>
  <si>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</si>
  <si>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</si>
  <si>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</si>
  <si>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</si>
  <si>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</si>
  <si>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</si>
  <si>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</si>
  <si>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</si>
  <si>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</si>
  <si>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</si>
  <si>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</si>
  <si>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</si>
  <si>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</si>
  <si>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</si>
  <si>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</si>
  <si>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</si>
  <si>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</si>
  <si>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</si>
  <si>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</si>
  <si>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</si>
  <si>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</si>
  <si>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</si>
  <si>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</si>
  <si>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</si>
  <si>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</si>
  <si>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</si>
  <si>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</si>
  <si>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</si>
  <si>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</si>
  <si>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</si>
  <si>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</si>
  <si>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</si>
  <si>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</si>
  <si>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</si>
  <si>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</si>
  <si>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</si>
  <si>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</si>
  <si>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</si>
  <si>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</si>
  <si>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</si>
  <si>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</si>
  <si>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</si>
  <si>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</si>
  <si>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</si>
  <si>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</si>
  <si>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</si>
  <si>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</si>
  <si>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</si>
  <si>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</si>
  <si>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</si>
  <si>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</si>
  <si>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</si>
  <si>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</si>
  <si>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</si>
  <si>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</si>
  <si>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</si>
  <si>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</si>
  <si>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</si>
  <si>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</si>
  <si>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</si>
  <si>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</si>
  <si>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</si>
  <si>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</si>
  <si>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</si>
  <si>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</si>
  <si>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</si>
  <si>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</si>
  <si>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</si>
  <si>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</si>
  <si>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</si>
  <si>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</si>
  <si>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</si>
  <si>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</si>
  <si>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</si>
  <si>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</si>
  <si>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</si>
  <si>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</si>
  <si>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</si>
  <si>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</si>
  <si>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</si>
  <si>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</si>
  <si>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</si>
  <si>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</si>
  <si>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</si>
  <si>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</si>
  <si>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</si>
  <si>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</si>
  <si>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</si>
  <si>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</si>
  <si>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</si>
  <si>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</si>
  <si>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</si>
  <si>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</si>
  <si>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</si>
  <si>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</si>
  <si>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</si>
  <si>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</si>
  <si>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</si>
  <si>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</si>
  <si>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</si>
  <si>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</si>
  <si>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</si>
  <si>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</si>
  <si>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</si>
  <si>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</si>
  <si>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</si>
  <si>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</si>
  <si>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</si>
  <si>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</si>
  <si>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</si>
  <si>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</si>
  <si>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</si>
  <si>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</si>
  <si>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</si>
  <si>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</si>
  <si>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</si>
  <si>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</si>
  <si>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</si>
  <si>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</si>
  <si>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</si>
  <si>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</si>
  <si>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</si>
  <si>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</si>
  <si>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</si>
  <si>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</si>
  <si>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</si>
  <si>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</si>
  <si>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</si>
  <si>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</si>
  <si>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</si>
  <si>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</si>
  <si>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</si>
  <si>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</si>
  <si>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</si>
  <si>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</si>
  <si>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</si>
  <si>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</si>
  <si>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</si>
  <si>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</si>
  <si>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</si>
  <si>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</si>
  <si>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</si>
  <si>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</si>
  <si>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</si>
  <si>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</si>
  <si>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</si>
  <si>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</si>
  <si>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</si>
  <si>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</si>
  <si>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</si>
  <si>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</si>
  <si>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</si>
  <si>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</si>
  <si>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</si>
  <si>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</si>
  <si>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</si>
  <si>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</si>
  <si>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</si>
  <si>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</si>
  <si>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</si>
  <si>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</si>
  <si>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</si>
  <si>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</si>
  <si>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</si>
  <si>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</si>
  <si>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</si>
  <si>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</si>
  <si>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</si>
  <si>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</si>
  <si>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</si>
  <si>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</si>
  <si>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</si>
  <si>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</si>
  <si>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</si>
  <si>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</si>
  <si>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</si>
  <si>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</si>
  <si>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</si>
  <si>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</si>
  <si>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</si>
  <si>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</si>
  <si>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</si>
  <si>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</si>
  <si>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</si>
  <si>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</si>
  <si>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</si>
  <si>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</si>
  <si>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</si>
  <si>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</si>
  <si>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</si>
  <si>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</si>
  <si>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</si>
  <si>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</si>
  <si>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</si>
  <si>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</si>
  <si>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</si>
  <si>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</si>
  <si>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</si>
  <si>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</si>
  <si>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</si>
  <si>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</si>
  <si>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</si>
  <si>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</si>
  <si>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</si>
  <si>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</si>
  <si>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</si>
  <si>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</si>
  <si>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</si>
  <si>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</si>
  <si>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</si>
  <si>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</si>
  <si>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</si>
  <si>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</si>
  <si>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</si>
  <si>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</si>
  <si>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</si>
  <si>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</si>
  <si>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</si>
  <si>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</si>
  <si>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</si>
  <si>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</si>
  <si>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</si>
  <si>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</si>
  <si>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</si>
  <si>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</si>
  <si>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</si>
  <si>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</si>
  <si>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</si>
  <si>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</si>
  <si>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</si>
  <si>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</si>
  <si>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</si>
  <si>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</si>
  <si>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</si>
  <si>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</si>
  <si>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</si>
  <si>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</si>
  <si>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</si>
  <si>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</si>
  <si>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</si>
  <si>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</si>
  <si>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</si>
  <si>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</si>
  <si>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</si>
  <si>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</si>
  <si>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</si>
  <si>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</si>
  <si>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</si>
  <si>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</si>
  <si>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</si>
  <si>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</si>
  <si>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</si>
  <si>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</si>
  <si>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</si>
  <si>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</si>
  <si>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</si>
  <si>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</si>
  <si>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</si>
  <si>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</si>
  <si>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</si>
  <si>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</si>
  <si>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</si>
  <si>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</si>
  <si>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</si>
  <si>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</si>
  <si>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</si>
  <si>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</si>
  <si>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</si>
  <si>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</si>
  <si>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</si>
  <si>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</si>
  <si>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</si>
  <si>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</si>
  <si>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</si>
  <si>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</si>
  <si>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</si>
  <si>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</si>
  <si>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</si>
  <si>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</si>
  <si>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</si>
  <si>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</si>
  <si>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</si>
  <si>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</si>
  <si>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</si>
  <si>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</si>
  <si>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</si>
  <si>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</si>
  <si>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</si>
  <si>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</si>
  <si>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</si>
  <si>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</si>
  <si>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</si>
  <si>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</si>
  <si>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</si>
  <si>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</si>
  <si>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</si>
  <si>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</si>
  <si>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</si>
  <si>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</si>
  <si>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</si>
  <si>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</si>
  <si>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</si>
  <si>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</si>
  <si>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</si>
  <si>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</si>
  <si>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</si>
  <si>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</si>
  <si>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</si>
  <si>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</si>
  <si>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</si>
  <si>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</si>
  <si>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</si>
  <si>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</si>
  <si>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</si>
  <si>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</si>
  <si>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</si>
  <si>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</si>
  <si>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</si>
  <si>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</si>
  <si>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</si>
  <si>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</si>
  <si>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</si>
  <si>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</si>
  <si>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</si>
  <si>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</si>
  <si>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</si>
  <si>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</si>
  <si>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</si>
  <si>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</si>
  <si>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</si>
  <si>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</si>
  <si>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</si>
  <si>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</si>
  <si>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</si>
  <si>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</si>
  <si>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</si>
  <si>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</si>
  <si>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</si>
  <si>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</si>
  <si>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</si>
  <si>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</si>
  <si>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</si>
  <si>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</si>
  <si>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</si>
  <si>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</si>
  <si>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</si>
  <si>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</si>
  <si>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</si>
  <si>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</si>
  <si>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</si>
  <si>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</si>
  <si>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</si>
  <si>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</si>
  <si>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</si>
  <si>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</si>
  <si>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</si>
  <si>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</si>
  <si>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</si>
  <si>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</si>
  <si>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</si>
  <si>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</si>
  <si>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</si>
  <si>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</si>
  <si>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</si>
  <si>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</si>
  <si>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</si>
  <si>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</si>
  <si>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</si>
  <si>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</si>
  <si>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</si>
  <si>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</si>
  <si>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</si>
  <si>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</si>
  <si>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</si>
  <si>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</si>
  <si>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</si>
  <si>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</si>
  <si>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</si>
  <si>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</si>
  <si>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</si>
  <si>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</si>
  <si>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</si>
  <si>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</si>
  <si>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</si>
  <si>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</si>
  <si>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</si>
  <si>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</si>
  <si>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</si>
  <si>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</si>
  <si>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</si>
  <si>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</si>
  <si>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</si>
  <si>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</si>
  <si>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</si>
  <si>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</si>
  <si>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</si>
  <si>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</si>
  <si>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</si>
  <si>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</si>
  <si>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</si>
  <si>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</si>
  <si>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</si>
  <si>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</si>
  <si>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</si>
  <si>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</si>
  <si>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</si>
  <si>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</si>
  <si>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</si>
  <si>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</si>
  <si>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</si>
  <si>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</si>
  <si>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</si>
  <si>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</si>
  <si>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</si>
  <si>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</si>
  <si>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</si>
  <si>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</si>
  <si>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</si>
  <si>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</si>
  <si>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</si>
  <si>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</si>
  <si>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</si>
  <si>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</si>
  <si>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</si>
  <si>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</si>
  <si>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</si>
  <si>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</si>
  <si>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</si>
  <si>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</si>
  <si>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</si>
  <si>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</si>
  <si>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</si>
  <si>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</si>
  <si>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</si>
  <si>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</si>
  <si>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</si>
  <si>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</si>
  <si>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</si>
  <si>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</si>
  <si>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</si>
  <si>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</si>
  <si>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</si>
  <si>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</si>
  <si>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</si>
  <si>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</si>
  <si>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</si>
  <si>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</si>
  <si>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</si>
  <si>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</si>
  <si>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</si>
  <si>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</si>
  <si>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</si>
  <si>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</si>
  <si>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</si>
  <si>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</si>
  <si>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</si>
  <si>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</si>
  <si>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</si>
  <si>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</si>
  <si>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</si>
  <si>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</si>
  <si>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</si>
  <si>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</si>
  <si>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</si>
  <si>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</si>
  <si>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</si>
  <si>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</si>
  <si>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</si>
  <si>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</si>
  <si>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</si>
  <si>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</si>
  <si>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</si>
  <si>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</si>
  <si>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</si>
  <si>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</si>
  <si>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</si>
  <si>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</si>
  <si>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</si>
  <si>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</si>
  <si>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</si>
  <si>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</si>
  <si>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</si>
  <si>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</si>
  <si>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</si>
  <si>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</si>
  <si>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</si>
  <si>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</si>
  <si>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</si>
  <si>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</si>
  <si>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</si>
  <si>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</si>
  <si>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</si>
  <si>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</si>
  <si>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</si>
  <si>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</si>
  <si>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</si>
  <si>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</si>
  <si>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</si>
  <si>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</si>
  <si>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</si>
  <si>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</si>
  <si>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</si>
  <si>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</si>
  <si>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</si>
  <si>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</si>
  <si>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</si>
  <si>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</si>
  <si>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</si>
  <si>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</si>
  <si>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</si>
  <si>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</si>
  <si>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</si>
  <si>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</si>
  <si>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</si>
  <si>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</si>
  <si>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</si>
  <si>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</si>
  <si>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</si>
  <si>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</si>
  <si>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</si>
  <si>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</si>
  <si>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</si>
  <si>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</si>
  <si>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</si>
  <si>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</si>
  <si>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</si>
  <si>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</si>
  <si>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</si>
  <si>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</si>
  <si>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</si>
  <si>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</si>
  <si>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</si>
  <si>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</si>
  <si>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</si>
  <si>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</si>
  <si>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</si>
  <si>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</si>
  <si>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</si>
  <si>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</si>
  <si>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</si>
  <si>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</si>
  <si>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</si>
  <si>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</si>
  <si>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</si>
  <si>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</si>
  <si>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</si>
  <si>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</si>
  <si>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</si>
  <si>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</si>
  <si>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</si>
  <si>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</si>
  <si>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</si>
  <si>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</si>
  <si>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</si>
  <si>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</si>
  <si>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</si>
  <si>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</si>
  <si>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</si>
  <si>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</si>
  <si>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</si>
  <si>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</si>
  <si>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</si>
  <si>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</si>
  <si>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</si>
  <si>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</si>
  <si>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</si>
  <si>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</si>
  <si>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</si>
  <si>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</si>
  <si>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</si>
  <si>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</si>
  <si>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</si>
  <si>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</si>
  <si>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</si>
  <si>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</si>
  <si>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</si>
  <si>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</si>
  <si>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</si>
  <si>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</si>
  <si>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</si>
  <si>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</si>
  <si>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</si>
  <si>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</si>
  <si>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</si>
  <si>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</si>
  <si>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</si>
  <si>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</si>
  <si>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</si>
  <si>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</si>
  <si>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</si>
  <si>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</si>
  <si>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</si>
  <si>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</si>
  <si>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</si>
  <si>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</si>
  <si>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</si>
  <si>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</si>
  <si>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</si>
  <si>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</si>
  <si>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</si>
  <si>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</si>
  <si>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</si>
  <si>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</si>
  <si>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</si>
  <si>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</si>
  <si>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</si>
  <si>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</si>
  <si>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</si>
  <si>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</si>
  <si>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</si>
  <si>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</si>
  <si>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</si>
  <si>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</si>
  <si>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</si>
  <si>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</si>
  <si>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</si>
  <si>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</si>
  <si>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</si>
  <si>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</si>
  <si>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</si>
  <si>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</si>
  <si>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</si>
  <si>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</si>
  <si>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</si>
  <si>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</si>
  <si>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</si>
  <si>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</si>
  <si>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</si>
  <si>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</si>
  <si>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</si>
  <si>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</si>
  <si>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</si>
  <si>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</si>
  <si>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</si>
  <si>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</si>
  <si>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</si>
  <si>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</si>
  <si>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</si>
  <si>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</si>
  <si>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</si>
  <si>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</si>
  <si>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</si>
  <si>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</si>
  <si>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</si>
  <si>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</si>
  <si>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</si>
  <si>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</si>
  <si>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</si>
  <si>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</si>
  <si>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</si>
  <si>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</si>
  <si>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</si>
  <si>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</si>
  <si>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</si>
  <si>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</si>
  <si>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</si>
  <si>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</si>
  <si>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</si>
  <si>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</si>
  <si>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</si>
  <si>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</si>
  <si>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</si>
  <si>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</si>
  <si>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</si>
  <si>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</si>
  <si>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</si>
  <si>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</si>
  <si>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</si>
  <si>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</si>
  <si>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</si>
  <si>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</si>
  <si>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</si>
  <si>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</si>
  <si>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</si>
  <si>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</si>
  <si>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</si>
  <si>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</si>
  <si>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</si>
  <si>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</si>
  <si>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</si>
  <si>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</si>
  <si>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</si>
  <si>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</si>
  <si>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</si>
  <si>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</si>
  <si>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</si>
  <si>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</si>
  <si>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</si>
  <si>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</si>
  <si>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</si>
  <si>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</si>
  <si>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</si>
  <si>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</si>
  <si>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</si>
  <si>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</si>
  <si>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</si>
  <si>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</si>
  <si>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</si>
  <si>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</si>
  <si>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</si>
  <si>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</si>
  <si>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</si>
  <si>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</si>
  <si>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</si>
  <si>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</si>
  <si>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</si>
  <si>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</si>
  <si>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</si>
  <si>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</si>
  <si>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</si>
  <si>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</si>
  <si>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</si>
  <si>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</si>
  <si>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</si>
  <si>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</si>
  <si>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</si>
  <si>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</si>
  <si>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</si>
  <si>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</si>
  <si>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</si>
  <si>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</si>
  <si>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</si>
  <si>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</si>
  <si>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</si>
  <si>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</si>
  <si>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</si>
  <si>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</si>
  <si>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</si>
  <si>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</si>
  <si>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</si>
  <si>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</si>
  <si>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</si>
  <si>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</si>
  <si>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</si>
  <si>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</si>
  <si>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</si>
  <si>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</si>
  <si>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</si>
  <si>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</si>
  <si>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</si>
  <si>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</si>
  <si>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</si>
  <si>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</si>
  <si>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</si>
  <si>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</si>
  <si>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</si>
  <si>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</si>
  <si>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</si>
  <si>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</si>
  <si>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</si>
  <si>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</si>
  <si>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</si>
  <si>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</si>
  <si>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</si>
  <si>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</si>
  <si>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</si>
  <si>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</si>
  <si>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</si>
  <si>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</si>
  <si>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</si>
  <si>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</si>
  <si>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</si>
  <si>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</si>
  <si>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</si>
  <si>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</si>
  <si>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</si>
  <si>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</si>
  <si>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</si>
  <si>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</si>
  <si>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</si>
  <si>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</si>
  <si>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</si>
  <si>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</si>
  <si>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</si>
  <si>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</si>
  <si>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</si>
  <si>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</si>
  <si>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</si>
  <si>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</si>
  <si>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</si>
  <si>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</si>
  <si>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</si>
  <si>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</si>
  <si>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</si>
  <si>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</si>
  <si>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</si>
  <si>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</si>
  <si>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</si>
  <si>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</si>
  <si>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</si>
  <si>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</si>
  <si>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</si>
  <si>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</si>
  <si>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</si>
  <si>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</si>
  <si>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</si>
  <si>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</si>
  <si>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</si>
  <si>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</si>
  <si>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</si>
  <si>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</si>
  <si>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</si>
  <si>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</si>
  <si>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</si>
  <si>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</si>
  <si>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</si>
  <si>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</si>
  <si>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</si>
  <si>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</si>
  <si>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</si>
  <si>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</si>
  <si>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</si>
  <si>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</si>
  <si>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</si>
  <si>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</si>
  <si>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</si>
  <si>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</si>
  <si>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</si>
  <si>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</si>
  <si>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</si>
  <si>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</si>
  <si>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</si>
  <si>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</si>
  <si>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</si>
  <si>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</si>
  <si>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</si>
  <si>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</si>
  <si>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</si>
  <si>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</si>
  <si>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</si>
  <si>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</si>
  <si>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</si>
  <si>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</si>
  <si>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</si>
  <si>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</si>
  <si>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</si>
  <si>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</si>
  <si>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</si>
  <si>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</si>
  <si>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</si>
  <si>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</si>
  <si>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</si>
  <si>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</si>
  <si>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</si>
  <si>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</si>
  <si>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</si>
  <si>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</si>
  <si>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</si>
  <si>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</si>
  <si>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</si>
  <si>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</si>
  <si>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</si>
  <si>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</si>
  <si>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</si>
  <si>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</si>
  <si>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</si>
  <si>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</si>
  <si>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</si>
  <si>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</si>
  <si>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</si>
  <si>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</si>
  <si>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</si>
  <si>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</si>
  <si>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</si>
  <si>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</si>
  <si>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</si>
  <si>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</si>
  <si>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</si>
  <si>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</si>
  <si>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</si>
  <si>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</si>
  <si>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</si>
  <si>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</si>
  <si>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</si>
  <si>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</si>
  <si>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</si>
  <si>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</si>
  <si>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</si>
  <si>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</si>
  <si>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</si>
  <si>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</si>
  <si>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</si>
  <si>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</si>
  <si>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</si>
  <si>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</si>
  <si>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</si>
  <si>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</si>
  <si>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</si>
  <si>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</si>
  <si>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</si>
  <si>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</si>
  <si>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</si>
  <si>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</si>
  <si>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</si>
  <si>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</si>
  <si>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</si>
  <si>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</si>
  <si>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</si>
  <si>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</si>
  <si>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</si>
  <si>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</si>
  <si>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</si>
  <si>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</si>
  <si>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</si>
  <si>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</si>
  <si>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</si>
  <si>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</si>
  <si>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</si>
  <si>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</si>
  <si>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</si>
  <si>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</si>
  <si>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</si>
  <si>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</si>
  <si>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</si>
  <si>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</si>
  <si>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</si>
  <si>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</si>
  <si>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</si>
  <si>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</si>
  <si>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</si>
  <si>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</si>
  <si>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</si>
  <si>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</si>
  <si>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</si>
  <si>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</si>
  <si>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</si>
  <si>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</si>
  <si>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</si>
  <si>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</si>
  <si>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</si>
  <si>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</si>
  <si>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</si>
  <si>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</si>
  <si>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</si>
  <si>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</si>
  <si>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</si>
  <si>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</si>
  <si>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</si>
  <si>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</si>
  <si>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</si>
  <si>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</si>
  <si>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</si>
  <si>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</si>
  <si>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</si>
  <si>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</si>
  <si>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</si>
  <si>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</si>
  <si>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</si>
  <si>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</si>
  <si>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</si>
  <si>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</si>
  <si>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</si>
  <si>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</si>
  <si>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</si>
  <si>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</si>
  <si>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</si>
  <si>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</si>
  <si>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</si>
  <si>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</si>
  <si>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</si>
  <si>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</si>
  <si>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</si>
  <si>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</si>
  <si>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</si>
  <si>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</si>
  <si>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</si>
  <si>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</si>
  <si>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</si>
  <si>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</si>
  <si>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</si>
  <si>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</si>
  <si>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</si>
  <si>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</si>
  <si>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</si>
  <si>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</si>
  <si>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</si>
  <si>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</si>
  <si>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</si>
  <si>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</si>
  <si>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</si>
  <si>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</si>
  <si>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</si>
  <si>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</si>
  <si>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</si>
  <si>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</si>
  <si>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</si>
  <si>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</si>
  <si>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</si>
  <si>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</si>
  <si>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</si>
  <si>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</si>
  <si>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</si>
  <si>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</si>
  <si>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</si>
  <si>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</si>
  <si>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</si>
  <si>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</si>
  <si>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</si>
  <si>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</si>
  <si>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</si>
  <si>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</si>
  <si>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</si>
  <si>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</si>
  <si>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</si>
  <si>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</si>
  <si>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</si>
  <si>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</si>
  <si>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</si>
  <si>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</si>
  <si>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</si>
  <si>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</si>
  <si>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</si>
  <si>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</si>
  <si>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</si>
  <si>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</si>
  <si>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</si>
  <si>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</si>
  <si>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</si>
  <si>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</si>
  <si>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</si>
  <si>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</si>
  <si>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</si>
  <si>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</si>
  <si>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</si>
  <si>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</si>
  <si>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</si>
  <si>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</si>
  <si>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</si>
  <si>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</si>
  <si>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</si>
  <si>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</si>
  <si>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</si>
  <si>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</si>
  <si>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</si>
  <si>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</si>
  <si>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</si>
  <si>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</si>
  <si>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</si>
  <si>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</si>
  <si>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</si>
  <si>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</si>
  <si>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</si>
  <si>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</si>
  <si>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</si>
  <si>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</si>
  <si>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</si>
  <si>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</si>
  <si>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</si>
  <si>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</si>
  <si>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</si>
  <si>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</si>
  <si>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</si>
  <si>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</si>
  <si>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</si>
  <si>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</si>
  <si>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</si>
  <si>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</si>
  <si>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</si>
  <si>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</si>
  <si>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</si>
  <si>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</si>
  <si>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</si>
  <si>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</si>
  <si>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</si>
  <si>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</si>
  <si>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</si>
  <si>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</si>
  <si>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</si>
  <si>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</si>
  <si>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</si>
  <si>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</si>
  <si>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</si>
  <si>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</si>
  <si>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</si>
  <si>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</si>
  <si>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</si>
  <si>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</si>
  <si>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</si>
  <si>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</si>
  <si>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</si>
  <si>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</si>
  <si>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</si>
  <si>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</si>
  <si>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</si>
  <si>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</si>
  <si>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</si>
  <si>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</si>
  <si>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</si>
  <si>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</si>
  <si>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</si>
  <si>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</si>
  <si>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</si>
  <si>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</si>
  <si>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</si>
  <si>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</si>
  <si>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</si>
  <si>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</si>
  <si>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</si>
  <si>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</si>
  <si>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</si>
  <si>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</si>
  <si>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</si>
  <si>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</si>
  <si>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</si>
  <si>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</si>
  <si>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</si>
  <si>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</si>
  <si>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</si>
  <si>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</si>
  <si>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</si>
  <si>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</si>
  <si>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</si>
  <si>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</si>
  <si>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</si>
  <si>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</si>
  <si>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</si>
  <si>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</si>
  <si>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</si>
  <si>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</si>
  <si>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</si>
  <si>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</si>
  <si>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</si>
  <si>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</si>
  <si>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</si>
  <si>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</si>
  <si>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</si>
  <si>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</si>
  <si>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</si>
  <si>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</si>
  <si>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</si>
  <si>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</si>
  <si>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</si>
  <si>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</si>
  <si>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</si>
  <si>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</si>
  <si>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</si>
  <si>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</si>
  <si>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</si>
  <si>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</si>
  <si>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</si>
  <si>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</si>
  <si>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</si>
  <si>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</si>
  <si>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</si>
  <si>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</si>
  <si>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</si>
  <si>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</si>
  <si>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</si>
  <si>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</si>
  <si>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</si>
  <si>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</si>
  <si>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</si>
  <si>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</si>
  <si>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</si>
  <si>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</si>
  <si>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</si>
  <si>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</si>
  <si>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</si>
  <si>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</si>
  <si>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</si>
  <si>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</si>
  <si>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</si>
  <si>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</si>
  <si>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</si>
  <si>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</si>
  <si>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</si>
  <si>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</si>
  <si>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</si>
  <si>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</si>
  <si>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</si>
  <si>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</si>
  <si>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</si>
  <si>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</si>
  <si>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</si>
  <si>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</si>
  <si>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</si>
  <si>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</si>
  <si>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</si>
  <si>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</si>
  <si>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</si>
  <si>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</si>
  <si>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</si>
  <si>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</si>
  <si>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</si>
  <si>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</si>
  <si>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</si>
  <si>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</si>
  <si>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</si>
  <si>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</si>
  <si>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</si>
  <si>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</si>
  <si>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</si>
  <si>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</si>
  <si>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</si>
  <si>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</si>
  <si>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</si>
  <si>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</si>
  <si>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</si>
  <si>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</si>
  <si>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</si>
  <si>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</si>
  <si>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</si>
  <si>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</si>
  <si>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</si>
  <si>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</si>
  <si>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</si>
  <si>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</si>
  <si>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</si>
  <si>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</si>
  <si>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</si>
  <si>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</si>
  <si>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</si>
  <si>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</si>
  <si>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</si>
  <si>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</si>
  <si>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</si>
  <si>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</si>
  <si>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</si>
  <si>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</si>
  <si>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</si>
  <si>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</si>
  <si>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</si>
  <si>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</si>
  <si>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</si>
  <si>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</si>
  <si>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</si>
  <si>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</si>
  <si>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</si>
  <si>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</si>
  <si>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</si>
  <si>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</si>
  <si>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</si>
  <si>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</si>
  <si>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</si>
  <si>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</si>
  <si>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</si>
  <si>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</si>
  <si>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</si>
  <si>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</si>
  <si>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</si>
  <si>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</si>
  <si>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</si>
  <si>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</si>
  <si>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</si>
  <si>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</si>
  <si>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</si>
  <si>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</si>
  <si>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</si>
  <si>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</si>
  <si>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</si>
  <si>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</si>
  <si>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</si>
  <si>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</si>
  <si>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</si>
  <si>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</si>
  <si>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</si>
  <si>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</si>
  <si>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</si>
  <si>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</si>
  <si>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</si>
  <si>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</si>
  <si>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</si>
  <si>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</si>
  <si>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</si>
  <si>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</si>
  <si>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</si>
  <si>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</si>
  <si>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</si>
  <si>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</si>
  <si>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</si>
  <si>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</si>
  <si>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</si>
  <si>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</si>
  <si>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</si>
  <si>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</si>
  <si>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</si>
  <si>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</si>
  <si>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</si>
  <si>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</si>
  <si>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</si>
  <si>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</si>
  <si>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</si>
  <si>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</si>
  <si>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</si>
  <si>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</si>
  <si>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</si>
  <si>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</si>
  <si>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</si>
  <si>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</si>
  <si>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</si>
  <si>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</si>
  <si>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</si>
  <si>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</si>
  <si>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</si>
  <si>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</si>
  <si>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</si>
  <si>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</si>
  <si>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</si>
  <si>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</si>
  <si>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</si>
  <si>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</si>
  <si>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</si>
  <si>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</si>
  <si>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</si>
  <si>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</si>
  <si>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</si>
  <si>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</si>
  <si>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</si>
  <si>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</si>
  <si>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</si>
  <si>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</si>
  <si>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</si>
  <si>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</si>
  <si>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</si>
  <si>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</si>
  <si>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</si>
  <si>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</si>
  <si>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</si>
  <si>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</si>
  <si>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</si>
  <si>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</si>
  <si>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</si>
  <si>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</si>
  <si>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</si>
  <si>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</si>
  <si>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</si>
  <si>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</si>
  <si>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</si>
  <si>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</si>
  <si>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</si>
  <si>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</si>
  <si>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</si>
  <si>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</si>
  <si>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</si>
  <si>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</si>
  <si>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</si>
  <si>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</si>
  <si>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</si>
  <si>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</si>
  <si>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</si>
  <si>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</si>
  <si>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</si>
  <si>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</si>
  <si>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</si>
  <si>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</si>
  <si>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</si>
  <si>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</si>
  <si>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</si>
  <si>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</si>
  <si>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</si>
  <si>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</si>
  <si>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</si>
  <si>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</si>
  <si>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</si>
  <si>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</si>
  <si>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</si>
  <si>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</si>
  <si>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</si>
  <si>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</si>
  <si>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</si>
  <si>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</si>
  <si>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</si>
  <si>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</si>
  <si>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</si>
  <si>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</si>
  <si>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</si>
  <si>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</si>
  <si>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</si>
  <si>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</si>
  <si>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</si>
  <si>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</si>
  <si>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</si>
  <si>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</si>
  <si>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</si>
  <si>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</si>
  <si>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</si>
  <si>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</si>
  <si>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</si>
  <si>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</si>
  <si>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</si>
  <si>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</si>
  <si>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</si>
  <si>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</si>
  <si>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</si>
  <si>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</si>
  <si>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</si>
  <si>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</si>
  <si>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</si>
  <si>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</si>
  <si>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</si>
  <si>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</si>
  <si>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</si>
  <si>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</si>
  <si>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</si>
  <si>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</si>
  <si>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</si>
  <si>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</si>
  <si>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</si>
  <si>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</si>
  <si>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</si>
  <si>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</si>
  <si>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</si>
  <si>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</si>
  <si>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</si>
  <si>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</si>
  <si>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</si>
  <si>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</si>
  <si>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</si>
  <si>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</si>
  <si>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</si>
  <si>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</si>
  <si>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</si>
  <si>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</si>
  <si>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</si>
  <si>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</si>
  <si>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</si>
  <si>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</si>
  <si>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</si>
  <si>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</si>
  <si>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</si>
  <si>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</si>
  <si>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</si>
  <si>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</si>
  <si>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</si>
  <si>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</si>
  <si>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</si>
  <si>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</si>
  <si>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</si>
  <si>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</si>
  <si>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</si>
  <si>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</si>
  <si>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</si>
  <si>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</si>
  <si>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</si>
  <si>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</si>
  <si>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</si>
  <si>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</si>
  <si>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</si>
  <si>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</si>
  <si>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</si>
  <si>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</si>
  <si>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</si>
  <si>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</si>
  <si>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</si>
  <si>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</si>
  <si>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</si>
  <si>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</si>
  <si>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</si>
  <si>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</si>
  <si>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</si>
  <si>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</si>
  <si>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</si>
  <si>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</si>
  <si>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</si>
  <si>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</si>
  <si>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</si>
  <si>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</si>
  <si>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</si>
  <si>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</si>
  <si>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</si>
  <si>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</si>
  <si>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</si>
  <si>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</si>
  <si>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</si>
  <si>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</si>
  <si>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</si>
  <si>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</si>
  <si>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</si>
  <si>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</si>
  <si>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</si>
  <si>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</si>
  <si>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</si>
  <si>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</si>
  <si>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</si>
  <si>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</si>
  <si>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</si>
  <si>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</si>
  <si>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</si>
  <si>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</si>
  <si>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</si>
  <si>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</si>
  <si>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</si>
  <si>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</si>
  <si>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</si>
  <si>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</si>
  <si>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</si>
  <si>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</si>
  <si>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</si>
  <si>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</si>
  <si>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</si>
  <si>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</si>
  <si>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</si>
  <si>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</si>
  <si>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</si>
  <si>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</si>
  <si>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</si>
  <si>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</si>
  <si>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</si>
  <si>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</si>
  <si>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</si>
  <si>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</si>
  <si>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</si>
  <si>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</si>
  <si>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</si>
  <si>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</si>
  <si>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</si>
  <si>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</si>
  <si>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</si>
  <si>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</si>
  <si>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</si>
  <si>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</si>
  <si>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</si>
  <si>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</si>
  <si>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</si>
  <si>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</si>
  <si>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</si>
  <si>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</si>
  <si>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</si>
  <si>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</si>
  <si>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</si>
  <si>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</si>
  <si>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</si>
  <si>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</si>
  <si>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</si>
  <si>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</si>
  <si>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</si>
  <si>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</si>
  <si>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</si>
  <si>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</si>
  <si>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</si>
  <si>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</si>
  <si>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</si>
  <si>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</si>
  <si>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</si>
  <si>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</si>
  <si>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</si>
  <si>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</si>
  <si>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</si>
  <si>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</si>
  <si>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</si>
  <si>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</si>
  <si>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</si>
  <si>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</si>
  <si>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</si>
  <si>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</si>
  <si>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</si>
  <si>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</si>
  <si>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</si>
  <si>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</si>
  <si>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</si>
  <si>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</si>
  <si>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</si>
  <si>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</si>
  <si>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</si>
  <si>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</si>
  <si>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</si>
  <si>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</si>
  <si>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</si>
  <si>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</si>
  <si>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</si>
  <si>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</si>
  <si>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</si>
  <si>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</si>
  <si>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</si>
  <si>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</si>
  <si>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</si>
  <si>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</si>
  <si>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</si>
  <si>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</si>
  <si>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</si>
  <si>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</si>
  <si>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</si>
  <si>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</si>
  <si>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</si>
  <si>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</si>
  <si>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</si>
  <si>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</si>
  <si>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</si>
  <si>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</si>
  <si>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</si>
  <si>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</si>
  <si>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</si>
  <si>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</si>
  <si>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</si>
  <si>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</si>
  <si>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</si>
  <si>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</si>
  <si>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</si>
  <si>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</si>
  <si>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</si>
  <si>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</si>
  <si>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</si>
  <si>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</si>
  <si>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</si>
  <si>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</si>
  <si>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</si>
  <si>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</si>
  <si>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</si>
  <si>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</si>
  <si>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</si>
  <si>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</si>
  <si>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</si>
  <si>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</si>
  <si>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</si>
  <si>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</si>
  <si>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</si>
  <si>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</si>
  <si>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</si>
  <si>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</si>
  <si>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</si>
  <si>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</si>
  <si>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</si>
  <si>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</si>
  <si>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</si>
  <si>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</si>
  <si>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</si>
  <si>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</si>
  <si>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</si>
  <si>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</si>
  <si>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</si>
  <si>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</si>
  <si>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</si>
  <si>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</si>
  <si>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</si>
  <si>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</si>
  <si>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</si>
  <si>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</si>
  <si>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</si>
  <si>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</si>
  <si>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</si>
  <si>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</si>
  <si>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</si>
  <si>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</si>
  <si>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</si>
  <si>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</si>
  <si>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</si>
  <si>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</si>
  <si>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</si>
  <si>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</si>
  <si>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</si>
  <si>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</si>
  <si>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</si>
  <si>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</si>
  <si>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</si>
  <si>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</si>
  <si>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</si>
  <si>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</si>
  <si>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</si>
  <si>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</si>
  <si>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</si>
  <si>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</si>
  <si>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</si>
  <si>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</si>
  <si>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</si>
  <si>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</si>
  <si>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</si>
  <si>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</si>
  <si>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</si>
  <si>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</si>
  <si>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</si>
  <si>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</si>
  <si>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</si>
  <si>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</si>
  <si>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</si>
  <si>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</si>
  <si>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</si>
  <si>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</si>
  <si>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</si>
  <si>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</si>
  <si>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</si>
  <si>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</si>
  <si>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</si>
  <si>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</si>
  <si>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</si>
  <si>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</si>
  <si>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</si>
  <si>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</si>
  <si>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</si>
  <si>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</si>
  <si>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</si>
  <si>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</si>
  <si>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</si>
  <si>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</si>
  <si>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</si>
  <si>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</si>
  <si>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</si>
  <si>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</si>
  <si>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</si>
  <si>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</si>
  <si>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</si>
  <si>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</si>
  <si>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</si>
  <si>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</si>
  <si>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</si>
  <si>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</si>
  <si>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</si>
  <si>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</si>
  <si>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</si>
  <si>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</si>
  <si>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</si>
  <si>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</si>
  <si>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</si>
  <si>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</si>
  <si>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</si>
  <si>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</si>
  <si>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</si>
  <si>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</si>
  <si>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</si>
  <si>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</si>
  <si>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</si>
  <si>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</si>
  <si>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</si>
  <si>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</si>
  <si>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</si>
  <si>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</si>
  <si>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</si>
  <si>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</si>
  <si>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</si>
  <si>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</si>
  <si>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</si>
  <si>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</si>
  <si>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</si>
  <si>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</si>
  <si>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</si>
  <si>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</si>
  <si>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</si>
  <si>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</si>
  <si>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</si>
  <si>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</si>
  <si>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</si>
  <si>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</si>
  <si>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</si>
  <si>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</si>
  <si>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</si>
  <si>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</si>
  <si>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</si>
  <si>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</si>
  <si>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</si>
  <si>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</si>
  <si>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</si>
  <si>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</si>
  <si>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</si>
  <si>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</si>
  <si>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</si>
  <si>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</si>
  <si>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</si>
  <si>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</si>
  <si>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</si>
  <si>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</si>
  <si>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</si>
  <si>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</si>
  <si>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</si>
  <si>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</si>
  <si>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</si>
  <si>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</si>
  <si>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</si>
  <si>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</si>
  <si>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</si>
  <si>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</si>
  <si>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</si>
  <si>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</si>
  <si>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</si>
  <si>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</si>
  <si>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</si>
  <si>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</si>
  <si>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</si>
  <si>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</si>
  <si>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</si>
  <si>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</si>
  <si>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</si>
  <si>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</si>
  <si>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</si>
  <si>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</si>
  <si>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</si>
  <si>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</si>
  <si>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</si>
  <si>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</si>
  <si>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</si>
  <si>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</si>
  <si>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</si>
  <si>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</si>
  <si>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</si>
  <si>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</si>
  <si>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</si>
  <si>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</si>
  <si>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</si>
  <si>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</si>
  <si>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</si>
  <si>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</si>
  <si>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</si>
  <si>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</si>
  <si>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</si>
  <si>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</si>
  <si>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</si>
  <si>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</si>
  <si>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</si>
  <si>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</si>
  <si>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</si>
  <si>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</si>
  <si>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</si>
  <si>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</si>
  <si>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</si>
  <si>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</si>
  <si>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</si>
  <si>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</si>
  <si>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</si>
  <si>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</si>
  <si>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</si>
  <si>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</si>
  <si>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</si>
  <si>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</si>
  <si>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</si>
  <si>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</si>
  <si>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</si>
  <si>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</si>
  <si>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</si>
  <si>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</si>
  <si>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</si>
  <si>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</si>
  <si>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</si>
  <si>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</si>
  <si>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</si>
  <si>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</si>
  <si>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</si>
  <si>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</si>
  <si>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</si>
  <si>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</si>
  <si>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</si>
  <si>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</si>
  <si>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</si>
  <si>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</si>
  <si>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</si>
  <si>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</si>
  <si>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</si>
  <si>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</si>
  <si>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</si>
  <si>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</si>
  <si>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</si>
  <si>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</si>
  <si>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</si>
  <si>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</si>
  <si>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</si>
  <si>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</si>
  <si>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</si>
  <si>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</si>
  <si>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</si>
  <si>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</si>
  <si>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</si>
  <si>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</si>
  <si>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</si>
  <si>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</si>
  <si>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</si>
  <si>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</si>
  <si>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</si>
  <si>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</si>
  <si>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</si>
  <si>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</si>
  <si>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</si>
  <si>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</si>
  <si>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</si>
  <si>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</si>
  <si>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</si>
  <si>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</si>
  <si>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</si>
  <si>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</si>
  <si>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</si>
  <si>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</si>
  <si>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</si>
  <si>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</si>
  <si>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</si>
  <si>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</si>
  <si>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</si>
  <si>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</si>
  <si>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</si>
  <si>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</si>
  <si>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</si>
  <si>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</si>
  <si>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</si>
  <si>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</si>
  <si>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</si>
  <si>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</si>
  <si>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</si>
  <si>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Product_Name</t>
  </si>
  <si>
    <t>Category</t>
  </si>
  <si>
    <t>Supplier</t>
  </si>
  <si>
    <t>Unit_Cost</t>
  </si>
  <si>
    <t>List_Price</t>
  </si>
  <si>
    <t>Reorder_Point</t>
  </si>
  <si>
    <t>Lead_Time_Days</t>
  </si>
  <si>
    <t>Opening_Stock</t>
  </si>
  <si>
    <t>Nexa Standing Desk</t>
  </si>
  <si>
    <t>Office Furniture</t>
  </si>
  <si>
    <t>Luma Imports</t>
  </si>
  <si>
    <t>Axis Ergonomic Chair</t>
  </si>
  <si>
    <t>Vertex Trade</t>
  </si>
  <si>
    <t>Axis Bookcase</t>
  </si>
  <si>
    <t>Orbit Supply Co.</t>
  </si>
  <si>
    <t>Flow Filing Cabinet</t>
  </si>
  <si>
    <t>Cedar Distribution</t>
  </si>
  <si>
    <t>Nexa Wireless Keyboard</t>
  </si>
  <si>
    <t>Technology</t>
  </si>
  <si>
    <t>Apex Wholesale</t>
  </si>
  <si>
    <t>Vanta USB-C Dock</t>
  </si>
  <si>
    <t>Flow Webcam</t>
  </si>
  <si>
    <t>Nexa Laser Printer</t>
  </si>
  <si>
    <t>Nexa Noise-Cancelling Headset</t>
  </si>
  <si>
    <t>Vanta A4 Paper Pack</t>
  </si>
  <si>
    <t>Office Supplies</t>
  </si>
  <si>
    <t>Vanta Desk Organizer</t>
  </si>
  <si>
    <t>Axis Stapler</t>
  </si>
  <si>
    <t>Dura Notebook Set</t>
  </si>
  <si>
    <t>Flow Ink Cartridge</t>
  </si>
  <si>
    <t>Flow Label Roll</t>
  </si>
  <si>
    <t>Inventory_Snapshot_Date</t>
  </si>
  <si>
    <t>Warehouse</t>
  </si>
  <si>
    <t>Stock_On_Hand</t>
  </si>
  <si>
    <t>Units_On_Order</t>
  </si>
  <si>
    <t>Last_Restock_Date</t>
  </si>
  <si>
    <t>Stock_Status</t>
  </si>
  <si>
    <t>Central Hub</t>
  </si>
  <si>
    <t>Healthy</t>
  </si>
  <si>
    <t>North Hub</t>
  </si>
  <si>
    <t>South Hub</t>
  </si>
  <si>
    <t>Watch</t>
  </si>
  <si>
    <t>Reorder Required</t>
  </si>
  <si>
    <t>Total_Cost</t>
  </si>
  <si>
    <t>Profit</t>
  </si>
  <si>
    <t>Profit_Margin</t>
  </si>
  <si>
    <t>Order_Month</t>
  </si>
  <si>
    <t>Discount_Band</t>
  </si>
  <si>
    <t>Year</t>
  </si>
  <si>
    <t>Low Discount</t>
  </si>
  <si>
    <t>No Discount</t>
  </si>
  <si>
    <t>Medium Discount</t>
  </si>
  <si>
    <t>High Discount</t>
  </si>
  <si>
    <t>Inventory_Value</t>
  </si>
  <si>
    <t>Stock_Coverage_Ratio</t>
  </si>
  <si>
    <t>Inventory_Risk_Level</t>
  </si>
  <si>
    <t>Row Labels</t>
  </si>
  <si>
    <t>Grand Total</t>
  </si>
  <si>
    <t>Qtr1</t>
  </si>
  <si>
    <t>Jan</t>
  </si>
  <si>
    <t>Feb</t>
  </si>
  <si>
    <t>Mar</t>
  </si>
  <si>
    <t>Qtr2</t>
  </si>
  <si>
    <t>Apr</t>
  </si>
  <si>
    <t>May</t>
  </si>
  <si>
    <t>Jun</t>
  </si>
  <si>
    <t>Qtr3</t>
  </si>
  <si>
    <t>Jul</t>
  </si>
  <si>
    <t>Aug</t>
  </si>
  <si>
    <t>Sep</t>
  </si>
  <si>
    <t>Qtr4</t>
  </si>
  <si>
    <t>Oct</t>
  </si>
  <si>
    <t>Nov</t>
  </si>
  <si>
    <t>Dec</t>
  </si>
  <si>
    <t>2025</t>
  </si>
  <si>
    <t>Sum of Sales</t>
  </si>
  <si>
    <t>Monthly Sales &amp; Profit Trend</t>
  </si>
  <si>
    <t>Category Profitability Analysis</t>
  </si>
  <si>
    <t>Region Performance Analysis</t>
  </si>
  <si>
    <t>Product Profitability Analysis</t>
  </si>
  <si>
    <t>Discount Impact Analysis</t>
  </si>
  <si>
    <t>Count of Product_ID</t>
  </si>
  <si>
    <t>Inventory Risk Summary</t>
  </si>
  <si>
    <t>Business Profitability &amp; Inventory Dashboard</t>
  </si>
  <si>
    <t>Sales, profit, discount, and inventory risk overview</t>
  </si>
  <si>
    <t>Total Sales</t>
  </si>
  <si>
    <t>Total Profit</t>
  </si>
  <si>
    <t>Profit Margin</t>
  </si>
  <si>
    <t>Products at Risk</t>
  </si>
  <si>
    <t>Key Insights</t>
  </si>
  <si>
    <t>Business Recommendations</t>
  </si>
  <si>
    <t>2024</t>
  </si>
  <si>
    <t>Top-performing category: Office Furniture generated the highest profit of £115,688, with total sales of £309,409.</t>
  </si>
  <si>
    <t>Top-performing region: West generated the highest profit of £75,539, with total sales of £185,482.</t>
  </si>
  <si>
    <t>Top-performing product: Nexa Standing Desk generated the highest profit of £48,700, with total sales of £130,114.</t>
  </si>
  <si>
    <t>Discount impact: Orders with no discount generated the highest sales of £391,796 and the highest profit of £170,034, while high-discount orders produced the lowest profit of £11,160, indicating that heavier discounts significantly reduced profitability.</t>
  </si>
  <si>
    <t>Inventory risk: 11 out of 15 products are in a healthy inventory position, while 4 products require monitoring under the Watch category. No products currently require immediate reordering.</t>
  </si>
  <si>
    <t>Optimize the discount strategy by limiting high-discount campaigns and prioritizing no-discount or low-discount offers, as these segments generated substantially stronger profitability.</t>
  </si>
  <si>
    <t>Prioritize Office Furniture in sales planning and resource allocation, as it generated the highest category profit of £115,688 and the highest category sales of £309,409.</t>
  </si>
  <si>
    <t>Increase focus on Nexa Standing Desk through targeted promotions, inventory prioritization, and cross-selling opportunities, as it was the most profitable product with £48,700 in profit and £130,114 in sales.</t>
  </si>
  <si>
    <t>Monitor the 4 products in the Watch inventory category and review their stock levels regularly to prevent future shortages, while maintaining the current healthy position of the remaining 11 products.</t>
  </si>
  <si>
    <t>Leverage the strong performance of the West region by maintaining successful sales strategies and using them as a benchmark to improve performance in lower-performing regions.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</si>
</sst>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quot;£&quot;#,##0.00"/>
  </numFmts>
  <fonts count="7" x14ac:knownFonts="1">
    <font>
      <sz val="11"/>
      <color theme="1"/>
      <name val="Calibri"/>
      <family val="2"/>
      <scheme val="minor"/>
    </font>
    <font>
      <sz val="10"/>
      <color theme="1"/>
      <name val="Arial Unicode MS"/>
      <family val="2"/>
    </font>
    <font>
      <b/>
      <sz val="20"/>
      <color theme="1"/>
      <name val="Calibri"/>
      <family val="2"/>
      <scheme val="minor"/>
    </font>
    <font>
      <b/>
      <sz val="18"/>
      <color theme="1"/>
      <name val="Calibri"/>
      <family val="2"/>
      <scheme val="minor"/>
    </font>
    <font>
      <b/>
      <sz val="16"/>
      <color theme="1"/>
      <name val="Calibri"/>
      <family val="2"/>
      <scheme val="minor"/>
    </font>
    <font>
      <b/>
      <sz val="22"/>
      <color rgb="FF002060"/>
      <name val="Calibri"/>
      <family val="2"/>
      <scheme val="minor"/>
    </font>
    <font>
      <sz val="20"/>
      <color theme="1"/>
      <name val="Calibri"/>
      <family val="2"/>
      <scheme val="minor"/>
    </font>
  </fonts>
  <fills count="3">
    <fill>
      <patternFill patternType="none"/>
    </fill>
    <fill>
      <patternFill patternType="gray125"/>
    </fill>
    <fill>
      <patternFill patternType="solid">
        <fgColor theme="4" tint="0.39997558519241921"/>
        <bgColor indexed="64"/>
      </patternFill>
    </fill>
  </fills>
  <borders count="1">
    <border>
      <left/>
      <right/>
      <top/>
      <bottom/>
      <diagonal/>
    </border>
  </borders>
  <cellStyleXfs count="1">
    <xf numFmtId="0" fontId="0" fillId="0" borderId="0"/>
  </cellStyleXfs>
  <cellXfs count="17">
    <xf numFmtId="0" fontId="0" fillId="0" borderId="0" xfId="0"/>
    <xf numFmtId="2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22" fontId="0" fillId="0" borderId="0" xfId="0" applyNumberFormat="1" applyAlignment="1">
      <alignment horizontal="left" indent="2"/>
    </xf>
    <xf numFmtId="0" fontId="0" fillId="0" borderId="0" xfId="0" applyNumberFormat="1"/>
    <xf numFmtId="164" fontId="0" fillId="0" borderId="0" xfId="0" applyNumberFormat="1"/>
    <xf numFmtId="0" fontId="1" fillId="0" borderId="0" xfId="0" applyFont="1" applyAlignment="1">
      <alignment horizontal="center"/>
    </xf>
    <xf numFmtId="0" fontId="0" fillId="0" borderId="0" xfId="0" applyAlignment="1">
      <alignment horizontal="center"/>
    </xf>
    <xf numFmtId="0" fontId="2" fillId="2" borderId="0" xfId="0" applyFont="1" applyFill="1" applyAlignment="1">
      <alignment horizontal="center"/>
    </xf>
    <xf numFmtId="165" fontId="3" fillId="0" borderId="0" xfId="0" applyNumberFormat="1" applyFont="1" applyAlignment="1">
      <alignment horizontal="center" vertical="center"/>
    </xf>
    <xf numFmtId="0" fontId="4" fillId="0" borderId="0" xfId="0" applyFont="1" applyAlignment="1">
      <alignment horizontal="center" vertical="center"/>
    </xf>
    <xf numFmtId="0" fontId="5" fillId="0" borderId="0" xfId="0" applyFont="1" applyAlignment="1">
      <alignment horizontal="center"/>
    </xf>
    <xf numFmtId="0" fontId="6" fillId="0" borderId="0" xfId="0" applyFont="1" applyAlignment="1">
      <alignment horizontal="center"/>
    </xf>
    <xf numFmtId="0" fontId="0" fillId="0" borderId="0" xfId="0" applyAlignment="1">
      <alignment wrapText="1"/>
    </xf>
    <xf numFmtId="0" fontId="6" fillId="0" borderId="0" xfId="0" applyFont="1" applyAlignment="1"/>
  </cellXfs>
  <cellStyles count="1">
    <cellStyle name="Normal" xfId="0" builtinId="0"/>
  </cellStyles>
  <dxfs count="9">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2.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[Project_02_Working_File.xlsx]Pivot Tables!PivotTable1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&amp; Profit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pivotFmt>
      <c:pivotFmt>
        <c:idx val="2"/>
        <c:spPr>
          <a:solidFill>
            <a:schemeClr val="accent6"/>
          </a:solidFill>
          <a:ln>
            <a:noFill/>
          </a:ln>
          <a:effectLst/>
        </c:spPr>
        <c:marker>
          <c:symbol val="circle"/>
          <c:size val="5"/>
          <c:spPr>
            <a:solidFill>
              <a:schemeClr val="accent6"/>
            </a:solidFill>
            <a:ln w="9525">
              <a:solidFill>
                <a:schemeClr val="accent6"/>
              </a:solidFill>
            </a:ln>
            <a:effectLst/>
          </c:spPr>
        </c:marker>
      </c:pivotFmt>
      <c:pivotFmt>
        <c:idx val="3"/>
        <c:spPr>
          <a:solidFill>
            <a:schemeClr val="accent6"/>
          </a:solidFill>
          <a:ln>
            <a:noFill/>
          </a:ln>
          <a:effectLst/>
        </c:spPr>
        <c:marker>
          <c:symbol val="circle"/>
          <c:size val="5"/>
          <c:spPr>
            <a:solidFill>
              <a:schemeClr val="accent6"/>
            </a:solidFill>
            <a:ln w="9525">
              <a:solidFill>
                <a:schemeClr val="accent6"/>
              </a:solidFill>
            </a:ln>
            <a:effectLst/>
          </c:spPr>
        </c:marker>
      </c:pivotFmt>
      <c:pivotFmt>
        <c:idx val="4"/>
        <c:spPr>
          <a:solidFill>
            <a:schemeClr val="accent6"/>
          </a:solidFill>
          <a:ln>
            <a:noFill/>
          </a:ln>
          <a:effectLst/>
        </c:spPr>
        <c:marker>
          <c:symbol val="circle"/>
          <c:size val="5"/>
          <c:spPr>
            <a:solidFill>
              <a:schemeClr val="accent6"/>
            </a:solidFill>
            <a:ln w="9525">
              <a:solidFill>
                <a:schemeClr val="accent6"/>
              </a:solidFill>
            </a:ln>
            <a:effectLst/>
          </c:spPr>
        </c:marker>
      </c:pivotFmt>
      <c:pivotFmt>
        <c:idx val="5"/>
        <c:spPr>
          <a:solidFill>
            <a:schemeClr val="accent6"/>
          </a:solidFill>
          <a:ln>
            <a:noFill/>
          </a:ln>
          <a:effectLst/>
        </c:spPr>
        <c:marker>
          <c:symbol val="circle"/>
          <c:size val="5"/>
          <c:spPr>
            <a:solidFill>
              <a:schemeClr val="accent6"/>
            </a:solidFill>
            <a:ln w="9525">
              <a:solidFill>
                <a:schemeClr val="accent6"/>
              </a:solidFill>
            </a:ln>
            <a:effectLst/>
          </c:spPr>
        </c:marker>
      </c:pivotFmt>
      <c:pivotFmt>
        <c:idx val="6"/>
        <c:spPr>
          <a:ln w="28575" cap="rnd">
            <a:solidFill>
              <a:schemeClr val="accent6"/>
            </a:solidFill>
            <a:round/>
          </a:ln>
          <a:effectLst/>
        </c:spPr>
        <c:marker>
          <c:symbol val="circle"/>
          <c:size val="5"/>
          <c:spPr>
            <a:solidFill>
              <a:schemeClr val="accent6"/>
            </a:solidFill>
            <a:ln w="9525">
              <a:solidFill>
                <a:schemeClr val="accent6"/>
              </a:solidFill>
            </a:ln>
            <a:effectLst/>
          </c:spPr>
        </c:marker>
      </c:pivotFmt>
      <c:pivotFmt>
        <c:idx val="7"/>
        <c:spPr>
          <a:ln w="28575" cap="rnd">
            <a:solidFill>
              <a:schemeClr val="accent6"/>
            </a:solidFill>
            <a:round/>
          </a:ln>
          <a:effectLst/>
        </c:spPr>
        <c:marker>
          <c:symbol val="circle"/>
          <c:size val="5"/>
          <c:spPr>
            <a:solidFill>
              <a:schemeClr val="accent5"/>
            </a:solidFill>
            <a:ln w="9525">
              <a:solidFill>
                <a:schemeClr val="accent5"/>
              </a:solidFill>
            </a:ln>
            <a:effectLst/>
          </c:spPr>
        </c:marker>
      </c:pivotFmt>
      <c:pivotFmt>
        <c:idx val="8"/>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pivotFmt>
    </c:pivotFmts>
    <c:plotArea>
      <c:layout/>
      <c:lineChart>
        <c:grouping val="standard"/>
        <c:varyColors val="0"/>
        <c:ser>
          <c:idx val="0"/>
          <c:order val="0"/>
          <c:tx>
            <c:strRef>
              <c:f>'Pivot Tables'!$B$3</c:f>
              <c:strCache>
                <c:ptCount val="1"/>
                <c:pt idx="0">
                  <c:v>Sum of Sales</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multiLvlStrRef>
              <c:f>'Pivot Tables'!$A$4:$A$38</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Qtr1</c:v>
                  </c:pt>
                  <c:pt idx="3">
                    <c:v>Qtr2</c:v>
                  </c:pt>
                  <c:pt idx="6">
                    <c:v>Qtr3</c:v>
                  </c:pt>
                  <c:pt idx="9">
                    <c:v>Qtr4</c:v>
                  </c:pt>
                  <c:pt idx="12">
                    <c:v>Qtr1</c:v>
                  </c:pt>
                  <c:pt idx="15">
                    <c:v>Qtr2</c:v>
                  </c:pt>
                  <c:pt idx="18">
                    <c:v>Qtr3</c:v>
                  </c:pt>
                  <c:pt idx="21">
                    <c:v>Qtr4</c:v>
                  </c:pt>
                </c:lvl>
                <c:lvl>
                  <c:pt idx="0">
                    <c:v>2024</c:v>
                  </c:pt>
                  <c:pt idx="12">
                    <c:v>2025</c:v>
                  </c:pt>
                </c:lvl>
              </c:multiLvlStrCache>
            </c:multiLvlStrRef>
          </c:cat>
          <c:val>
            <c:numRef>
              <c:f>'Pivot Tables'!$B$4:$B$38</c:f>
              <c:numCache>
                <c:formatCode>General</c:formatCode>
                <c:ptCount val="24"/>
                <c:pt idx="0">
                  <c:v>24019.86</c:v>
                </c:pt>
                <c:pt idx="1">
                  <c:v>23991.670000000013</c:v>
                </c:pt>
                <c:pt idx="2">
                  <c:v>25130.029999999995</c:v>
                </c:pt>
                <c:pt idx="3">
                  <c:v>20993.680000000004</c:v>
                </c:pt>
                <c:pt idx="4">
                  <c:v>37493.68</c:v>
                </c:pt>
                <c:pt idx="5">
                  <c:v>29278.219999999994</c:v>
                </c:pt>
                <c:pt idx="6">
                  <c:v>24031.090000000007</c:v>
                </c:pt>
                <c:pt idx="7">
                  <c:v>27646.899999999994</c:v>
                </c:pt>
                <c:pt idx="8">
                  <c:v>17461.5</c:v>
                </c:pt>
                <c:pt idx="9">
                  <c:v>36832.400000000001</c:v>
                </c:pt>
                <c:pt idx="10">
                  <c:v>37817.749999999993</c:v>
                </c:pt>
                <c:pt idx="11">
                  <c:v>39480.530000000006</c:v>
                </c:pt>
                <c:pt idx="12">
                  <c:v>22096.790000000015</c:v>
                </c:pt>
                <c:pt idx="13">
                  <c:v>21585.299999999992</c:v>
                </c:pt>
                <c:pt idx="14">
                  <c:v>16818.569999999996</c:v>
                </c:pt>
                <c:pt idx="15">
                  <c:v>24712.929999999997</c:v>
                </c:pt>
                <c:pt idx="16">
                  <c:v>24074.12</c:v>
                </c:pt>
                <c:pt idx="17">
                  <c:v>26447.849999999995</c:v>
                </c:pt>
                <c:pt idx="18">
                  <c:v>21672.860000000004</c:v>
                </c:pt>
                <c:pt idx="19">
                  <c:v>25831.159999999993</c:v>
                </c:pt>
                <c:pt idx="20">
                  <c:v>30010.179999999997</c:v>
                </c:pt>
                <c:pt idx="21">
                  <c:v>30075.460000000006</c:v>
                </c:pt>
                <c:pt idx="22">
                  <c:v>39243.429999999993</c:v>
                </c:pt>
                <c:pt idx="23">
                  <c:v>34525.33</c:v>
                </c:pt>
              </c:numCache>
            </c:numRef>
          </c:val>
          <c:smooth val="0"/>
          <c:extLst>
            <c:ext xmlns:c16="http://schemas.microsoft.com/office/drawing/2014/chart" uri="{C3380CC4-5D6E-409C-BE32-E72D297353CC}">
              <c16:uniqueId val="{00000000-5977-4801-86C2-0029441DF8E4}"/>
            </c:ext>
          </c:extLst>
        </c:ser>
        <c:ser>
          <c:idx val="1"/>
          <c:order val="1"/>
          <c:tx>
            <c:strRef>
              <c:f>'Pivot Tables'!$C$3</c:f>
              <c:strCache>
                <c:ptCount val="1"/>
                <c:pt idx="0">
                  <c:v>Total Sales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multiLvlStrRef>
              <c:f>'Pivot Tables'!$A$4:$A$38</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Qtr1</c:v>
                  </c:pt>
                  <c:pt idx="3">
                    <c:v>Qtr2</c:v>
                  </c:pt>
                  <c:pt idx="6">
                    <c:v>Qtr3</c:v>
                  </c:pt>
                  <c:pt idx="9">
                    <c:v>Qtr4</c:v>
                  </c:pt>
                  <c:pt idx="12">
                    <c:v>Qtr1</c:v>
                  </c:pt>
                  <c:pt idx="15">
                    <c:v>Qtr2</c:v>
                  </c:pt>
                  <c:pt idx="18">
                    <c:v>Qtr3</c:v>
                  </c:pt>
                  <c:pt idx="21">
                    <c:v>Qtr4</c:v>
                  </c:pt>
                </c:lvl>
                <c:lvl>
                  <c:pt idx="0">
                    <c:v>2024</c:v>
                  </c:pt>
                  <c:pt idx="12">
                    <c:v>2025</c:v>
                  </c:pt>
                </c:lvl>
              </c:multiLvlStrCache>
            </c:multiLvlStrRef>
          </c:cat>
          <c:val>
            <c:numRef>
              <c:f>'Pivot Tables'!$C$4:$C$38</c:f>
              <c:numCache>
                <c:formatCode>"£"#,##0</c:formatCode>
                <c:ptCount val="24"/>
                <c:pt idx="0">
                  <c:v>6851.6700000000037</c:v>
                </c:pt>
                <c:pt idx="1">
                  <c:v>7530.9299999999985</c:v>
                </c:pt>
                <c:pt idx="2">
                  <c:v>8120.4800000000023</c:v>
                </c:pt>
                <c:pt idx="3">
                  <c:v>7222.7400000000007</c:v>
                </c:pt>
                <c:pt idx="4">
                  <c:v>14303.340000000002</c:v>
                </c:pt>
                <c:pt idx="5">
                  <c:v>10827.42</c:v>
                </c:pt>
                <c:pt idx="6">
                  <c:v>7550.6199999999972</c:v>
                </c:pt>
                <c:pt idx="7">
                  <c:v>9452.100000000004</c:v>
                </c:pt>
                <c:pt idx="8">
                  <c:v>7014.5199999999995</c:v>
                </c:pt>
                <c:pt idx="9">
                  <c:v>17017.669999999998</c:v>
                </c:pt>
                <c:pt idx="10">
                  <c:v>20144.329999999998</c:v>
                </c:pt>
                <c:pt idx="11">
                  <c:v>21841.53</c:v>
                </c:pt>
                <c:pt idx="12">
                  <c:v>5216.4600000000009</c:v>
                </c:pt>
                <c:pt idx="13">
                  <c:v>6596.76</c:v>
                </c:pt>
                <c:pt idx="14">
                  <c:v>5651.8000000000011</c:v>
                </c:pt>
                <c:pt idx="15">
                  <c:v>8680.34</c:v>
                </c:pt>
                <c:pt idx="16">
                  <c:v>9099.8000000000029</c:v>
                </c:pt>
                <c:pt idx="17">
                  <c:v>10467.699999999992</c:v>
                </c:pt>
                <c:pt idx="18">
                  <c:v>6690.5699999999988</c:v>
                </c:pt>
                <c:pt idx="19">
                  <c:v>8378.630000000001</c:v>
                </c:pt>
                <c:pt idx="20">
                  <c:v>11903.540000000003</c:v>
                </c:pt>
                <c:pt idx="21">
                  <c:v>13054.019999999999</c:v>
                </c:pt>
                <c:pt idx="22">
                  <c:v>20229.649999999998</c:v>
                </c:pt>
                <c:pt idx="23">
                  <c:v>19142.770000000008</c:v>
                </c:pt>
              </c:numCache>
            </c:numRef>
          </c:val>
          <c:smooth val="0"/>
          <c:extLst>
            <c:ext xmlns:c16="http://schemas.microsoft.com/office/drawing/2014/chart" uri="{C3380CC4-5D6E-409C-BE32-E72D297353CC}">
              <c16:uniqueId val="{00000001-5977-4801-86C2-0029441DF8E4}"/>
            </c:ext>
          </c:extLst>
        </c:ser>
        <c:dLbls>
          <c:showLegendKey val="0"/>
          <c:showVal val="0"/>
          <c:showCatName val="0"/>
          <c:showSerName val="0"/>
          <c:showPercent val="0"/>
          <c:showBubbleSize val="0"/>
        </c:dLbls>
        <c:marker val="1"/>
        <c:smooth val="0"/>
        <c:axId val="302704992"/>
        <c:axId val="1457091712"/>
      </c:lineChart>
      <c:catAx>
        <c:axId val="302704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091712"/>
        <c:crosses val="autoZero"/>
        <c:auto val="1"/>
        <c:lblAlgn val="ctr"/>
        <c:lblOffset val="100"/>
        <c:noMultiLvlLbl val="0"/>
      </c:catAx>
      <c:valAx>
        <c:axId val="1457091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704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[Project_02_Working_File.xlsx]Pivot 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&amp; 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
        <c:idx val="3"/>
        <c:spPr>
          <a:solidFill>
            <a:schemeClr val="accent6"/>
          </a:solidFill>
          <a:ln>
            <a:noFill/>
          </a:ln>
          <a:effectLst/>
        </c:spPr>
        <c:marker>
          <c:symbol val="none"/>
        </c:marker>
      </c:pivotFmt>
      <c:pivotFmt>
        <c:idx val="4"/>
        <c:spPr>
          <a:solidFill>
            <a:schemeClr val="accent6"/>
          </a:solidFill>
          <a:ln>
            <a:noFill/>
          </a:ln>
          <a:effectLst/>
        </c:spPr>
        <c:marker>
          <c:symbol val="none"/>
        </c:marker>
      </c:pivotFmt>
      <c:pivotFmt>
        <c:idx val="5"/>
        <c:spPr>
          <a:solidFill>
            <a:schemeClr val="accent6"/>
          </a:solidFill>
          <a:ln>
            <a:noFill/>
          </a:ln>
          <a:effectLst/>
        </c:spPr>
        <c:marker>
          <c:symbol val="none"/>
        </c:marker>
      </c:pivotFmt>
      <c:pivotFmt>
        <c:idx val="6"/>
        <c:spPr>
          <a:solidFill>
            <a:schemeClr val="accent6"/>
          </a:solidFill>
          <a:ln>
            <a:noFill/>
          </a:ln>
          <a:effectLst/>
        </c:spPr>
        <c:marker>
          <c:symbol val="none"/>
        </c:marker>
      </c:pivotFmt>
    </c:pivotFmts>
    <c:plotArea>
      <c:layout/>
      <c:barChart>
        <c:barDir val="col"/>
        <c:grouping val="clustered"/>
        <c:varyColors val="0"/>
        <c:ser>
          <c:idx val="0"/>
          <c:order val="0"/>
          <c:tx>
            <c:strRef>
              <c:f>'Pivot Tables'!$G$2</c:f>
              <c:strCache>
                <c:ptCount val="1"/>
                <c:pt idx="0">
                  <c:v>Total Sales</c:v>
                </c:pt>
              </c:strCache>
            </c:strRef>
          </c:tx>
          <c:spPr>
            <a:solidFill>
              <a:schemeClr val="accent6"/>
            </a:solidFill>
            <a:ln>
              <a:noFill/>
            </a:ln>
            <a:effectLst/>
          </c:spPr>
          <c:invertIfNegative val="0"/>
          <c:cat>
            <c:strRef>
              <c:f>'Pivot Tables'!$F$3:$F$6</c:f>
              <c:strCache>
                <c:ptCount val="3"/>
                <c:pt idx="0">
                  <c:v>Office Furniture</c:v>
                </c:pt>
                <c:pt idx="1">
                  <c:v>Technology</c:v>
                </c:pt>
                <c:pt idx="2">
                  <c:v>Office Supplies</c:v>
                </c:pt>
              </c:strCache>
            </c:strRef>
          </c:cat>
          <c:val>
            <c:numRef>
              <c:f>'Pivot Tables'!$G$3:$G$6</c:f>
              <c:numCache>
                <c:formatCode>"£"#,##0</c:formatCode>
                <c:ptCount val="3"/>
                <c:pt idx="0">
                  <c:v>309409.07999999996</c:v>
                </c:pt>
                <c:pt idx="1">
                  <c:v>239884.9600000002</c:v>
                </c:pt>
                <c:pt idx="2">
                  <c:v>111977.25</c:v>
                </c:pt>
              </c:numCache>
            </c:numRef>
          </c:val>
          <c:extLst>
            <c:ext xmlns:c16="http://schemas.microsoft.com/office/drawing/2014/chart" uri="{C3380CC4-5D6E-409C-BE32-E72D297353CC}">
              <c16:uniqueId val="{00000000-D591-4AF2-8171-EF051F44A9C4}"/>
            </c:ext>
          </c:extLst>
        </c:ser>
        <c:ser>
          <c:idx val="1"/>
          <c:order val="1"/>
          <c:tx>
            <c:strRef>
              <c:f>'Pivot Tables'!$H$2</c:f>
              <c:strCache>
                <c:ptCount val="1"/>
                <c:pt idx="0">
                  <c:v>Total Profit</c:v>
                </c:pt>
              </c:strCache>
            </c:strRef>
          </c:tx>
          <c:spPr>
            <a:solidFill>
              <a:schemeClr val="accent5"/>
            </a:solidFill>
            <a:ln>
              <a:noFill/>
            </a:ln>
            <a:effectLst/>
          </c:spPr>
          <c:invertIfNegative val="0"/>
          <c:cat>
            <c:strRef>
              <c:f>'Pivot Tables'!$F$3:$F$6</c:f>
              <c:strCache>
                <c:ptCount val="3"/>
                <c:pt idx="0">
                  <c:v>Office Furniture</c:v>
                </c:pt>
                <c:pt idx="1">
                  <c:v>Technology</c:v>
                </c:pt>
                <c:pt idx="2">
                  <c:v>Office Supplies</c:v>
                </c:pt>
              </c:strCache>
            </c:strRef>
          </c:cat>
          <c:val>
            <c:numRef>
              <c:f>'Pivot Tables'!$H$3:$H$6</c:f>
              <c:numCache>
                <c:formatCode>"£"#,##0</c:formatCode>
                <c:ptCount val="3"/>
                <c:pt idx="0">
                  <c:v>115688.33999999997</c:v>
                </c:pt>
                <c:pt idx="1">
                  <c:v>105143.59999999996</c:v>
                </c:pt>
                <c:pt idx="2">
                  <c:v>42157.450000000019</c:v>
                </c:pt>
              </c:numCache>
            </c:numRef>
          </c:val>
          <c:extLst>
            <c:ext xmlns:c16="http://schemas.microsoft.com/office/drawing/2014/chart" uri="{C3380CC4-5D6E-409C-BE32-E72D297353CC}">
              <c16:uniqueId val="{00000001-D591-4AF2-8171-EF051F44A9C4}"/>
            </c:ext>
          </c:extLst>
        </c:ser>
        <c:dLbls>
          <c:showLegendKey val="0"/>
          <c:showVal val="0"/>
          <c:showCatName val="0"/>
          <c:showSerName val="0"/>
          <c:showPercent val="0"/>
          <c:showBubbleSize val="0"/>
        </c:dLbls>
        <c:gapWidth val="219"/>
        <c:overlap val="-27"/>
        <c:axId val="2035477040"/>
        <c:axId val="2034396672"/>
      </c:barChart>
      <c:catAx>
        <c:axId val="2035477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396672"/>
        <c:crosses val="autoZero"/>
        <c:auto val="1"/>
        <c:lblAlgn val="ctr"/>
        <c:lblOffset val="100"/>
        <c:noMultiLvlLbl val="0"/>
      </c:catAx>
      <c:valAx>
        <c:axId val="20343966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477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[Project_02_Working_File.xlsx]Pivot Tables!PivotTable4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&amp; Profit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s>
    <c:plotArea>
      <c:layout/>
      <c:barChart>
        <c:barDir val="bar"/>
        <c:grouping val="clustered"/>
        <c:varyColors val="0"/>
        <c:ser>
          <c:idx val="0"/>
          <c:order val="0"/>
          <c:tx>
            <c:strRef>
              <c:f>'Pivot Tables'!$B$45</c:f>
              <c:strCache>
                <c:ptCount val="1"/>
                <c:pt idx="0">
                  <c:v>Sum of Sales</c:v>
                </c:pt>
              </c:strCache>
            </c:strRef>
          </c:tx>
          <c:spPr>
            <a:solidFill>
              <a:schemeClr val="accent1"/>
            </a:solidFill>
            <a:ln>
              <a:noFill/>
            </a:ln>
            <a:effectLst/>
          </c:spPr>
          <c:invertIfNegative val="0"/>
          <c:cat>
            <c:strRef>
              <c:f>'Pivot Tables'!$A$46:$A$50</c:f>
              <c:strCache>
                <c:ptCount val="4"/>
                <c:pt idx="0">
                  <c:v>East</c:v>
                </c:pt>
                <c:pt idx="1">
                  <c:v>North</c:v>
                </c:pt>
                <c:pt idx="2">
                  <c:v>South</c:v>
                </c:pt>
                <c:pt idx="3">
                  <c:v>West</c:v>
                </c:pt>
              </c:strCache>
            </c:strRef>
          </c:cat>
          <c:val>
            <c:numRef>
              <c:f>'Pivot Tables'!$B$46:$B$50</c:f>
              <c:numCache>
                <c:formatCode>"£"#,##0</c:formatCode>
                <c:ptCount val="4"/>
                <c:pt idx="0">
                  <c:v>153647.17000000007</c:v>
                </c:pt>
                <c:pt idx="1">
                  <c:v>171237.42000000019</c:v>
                </c:pt>
                <c:pt idx="2">
                  <c:v>150905.09999999998</c:v>
                </c:pt>
                <c:pt idx="3">
                  <c:v>185481.60000000009</c:v>
                </c:pt>
              </c:numCache>
            </c:numRef>
          </c:val>
          <c:extLst>
            <c:ext xmlns:c16="http://schemas.microsoft.com/office/drawing/2014/chart" uri="{C3380CC4-5D6E-409C-BE32-E72D297353CC}">
              <c16:uniqueId val="{00000000-3012-4D08-896E-6A4FE89F3787}"/>
            </c:ext>
          </c:extLst>
        </c:ser>
        <c:ser>
          <c:idx val="1"/>
          <c:order val="1"/>
          <c:tx>
            <c:strRef>
              <c:f>'Pivot Tables'!$C$45</c:f>
              <c:strCache>
                <c:ptCount val="1"/>
                <c:pt idx="0">
                  <c:v>Total Profit</c:v>
                </c:pt>
              </c:strCache>
            </c:strRef>
          </c:tx>
          <c:spPr>
            <a:solidFill>
              <a:schemeClr val="accent2"/>
            </a:solidFill>
            <a:ln>
              <a:noFill/>
            </a:ln>
            <a:effectLst/>
          </c:spPr>
          <c:invertIfNegative val="0"/>
          <c:cat>
            <c:strRef>
              <c:f>'Pivot Tables'!$A$46:$A$50</c:f>
              <c:strCache>
                <c:ptCount val="4"/>
                <c:pt idx="0">
                  <c:v>East</c:v>
                </c:pt>
                <c:pt idx="1">
                  <c:v>North</c:v>
                </c:pt>
                <c:pt idx="2">
                  <c:v>South</c:v>
                </c:pt>
                <c:pt idx="3">
                  <c:v>West</c:v>
                </c:pt>
              </c:strCache>
            </c:strRef>
          </c:cat>
          <c:val>
            <c:numRef>
              <c:f>'Pivot Tables'!$C$46:$C$50</c:f>
              <c:numCache>
                <c:formatCode>"£"#,##0</c:formatCode>
                <c:ptCount val="4"/>
                <c:pt idx="0">
                  <c:v>59223.400000000009</c:v>
                </c:pt>
                <c:pt idx="1">
                  <c:v>68334.330000000031</c:v>
                </c:pt>
                <c:pt idx="2">
                  <c:v>59892.840000000004</c:v>
                </c:pt>
                <c:pt idx="3">
                  <c:v>75538.819999999891</c:v>
                </c:pt>
              </c:numCache>
            </c:numRef>
          </c:val>
          <c:extLst>
            <c:ext xmlns:c16="http://schemas.microsoft.com/office/drawing/2014/chart" uri="{C3380CC4-5D6E-409C-BE32-E72D297353CC}">
              <c16:uniqueId val="{00000001-3012-4D08-896E-6A4FE89F3787}"/>
            </c:ext>
          </c:extLst>
        </c:ser>
        <c:dLbls>
          <c:showLegendKey val="0"/>
          <c:showVal val="0"/>
          <c:showCatName val="0"/>
          <c:showSerName val="0"/>
          <c:showPercent val="0"/>
          <c:showBubbleSize val="0"/>
        </c:dLbls>
        <c:gapWidth val="182"/>
        <c:axId val="886135600"/>
        <c:axId val="883129824"/>
      </c:barChart>
      <c:catAx>
        <c:axId val="886135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3129824"/>
        <c:crosses val="autoZero"/>
        <c:auto val="1"/>
        <c:lblAlgn val="ctr"/>
        <c:lblOffset val="100"/>
        <c:noMultiLvlLbl val="0"/>
      </c:catAx>
      <c:valAx>
        <c:axId val="883129824"/>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135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[Project_02_Working_File.xlsx]Pivot Tables!PivotTable5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Products by Sales &amp;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s>
    <c:plotArea>
      <c:layout/>
      <c:barChart>
        <c:barDir val="bar"/>
        <c:grouping val="clustered"/>
        <c:varyColors val="0"/>
        <c:ser>
          <c:idx val="0"/>
          <c:order val="0"/>
          <c:tx>
            <c:strRef>
              <c:f>'Pivot Tables'!$G$11</c:f>
              <c:strCache>
                <c:ptCount val="1"/>
                <c:pt idx="0">
                  <c:v>Total Sales</c:v>
                </c:pt>
              </c:strCache>
            </c:strRef>
          </c:tx>
          <c:spPr>
            <a:solidFill>
              <a:schemeClr val="accent1"/>
            </a:solidFill>
            <a:ln>
              <a:noFill/>
            </a:ln>
            <a:effectLst/>
          </c:spPr>
          <c:invertIfNegative val="0"/>
          <c:cat>
            <c:strRef>
              <c:f>'Pivot Tables'!$F$12:$F$27</c:f>
              <c:strCache>
                <c:ptCount val="15"/>
                <c:pt idx="0">
                  <c:v>Nexa Standing Desk</c:v>
                </c:pt>
                <c:pt idx="1">
                  <c:v>Axis Ergonomic Chair</c:v>
                </c:pt>
                <c:pt idx="2">
                  <c:v>Nexa Laser Printer</c:v>
                </c:pt>
                <c:pt idx="3">
                  <c:v>Nexa Noise-Cancelling Headset</c:v>
                </c:pt>
                <c:pt idx="4">
                  <c:v>Vanta USB-C Dock</c:v>
                </c:pt>
                <c:pt idx="5">
                  <c:v>Axis Bookcase</c:v>
                </c:pt>
                <c:pt idx="6">
                  <c:v>Flow Filing Cabinet</c:v>
                </c:pt>
                <c:pt idx="7">
                  <c:v>Flow Ink Cartridge</c:v>
                </c:pt>
                <c:pt idx="8">
                  <c:v>Nexa Wireless Keyboard</c:v>
                </c:pt>
                <c:pt idx="9">
                  <c:v>Flow Webcam</c:v>
                </c:pt>
                <c:pt idx="10">
                  <c:v>Vanta Desk Organizer</c:v>
                </c:pt>
                <c:pt idx="11">
                  <c:v>Dura Notebook Set</c:v>
                </c:pt>
                <c:pt idx="12">
                  <c:v>Axis Stapler</c:v>
                </c:pt>
                <c:pt idx="13">
                  <c:v>Flow Label Roll</c:v>
                </c:pt>
                <c:pt idx="14">
                  <c:v>Vanta A4 Paper Pack</c:v>
                </c:pt>
              </c:strCache>
            </c:strRef>
          </c:cat>
          <c:val>
            <c:numRef>
              <c:f>'Pivot Tables'!$G$12:$G$27</c:f>
              <c:numCache>
                <c:formatCode>"£"#,##0</c:formatCode>
                <c:ptCount val="15"/>
                <c:pt idx="0">
                  <c:v>130113.54999999999</c:v>
                </c:pt>
                <c:pt idx="1">
                  <c:v>83245.690000000061</c:v>
                </c:pt>
                <c:pt idx="2">
                  <c:v>79288.430000000022</c:v>
                </c:pt>
                <c:pt idx="3">
                  <c:v>64599.279999999992</c:v>
                </c:pt>
                <c:pt idx="4">
                  <c:v>49551.83</c:v>
                </c:pt>
                <c:pt idx="5">
                  <c:v>51822.370000000017</c:v>
                </c:pt>
                <c:pt idx="6">
                  <c:v>44227.469999999994</c:v>
                </c:pt>
                <c:pt idx="7">
                  <c:v>42048.35</c:v>
                </c:pt>
                <c:pt idx="8">
                  <c:v>22437.640000000003</c:v>
                </c:pt>
                <c:pt idx="9">
                  <c:v>24007.779999999995</c:v>
                </c:pt>
                <c:pt idx="10">
                  <c:v>20909.170000000009</c:v>
                </c:pt>
                <c:pt idx="11">
                  <c:v>18183.340000000007</c:v>
                </c:pt>
                <c:pt idx="12">
                  <c:v>10716.970000000001</c:v>
                </c:pt>
                <c:pt idx="13">
                  <c:v>10191.789999999994</c:v>
                </c:pt>
                <c:pt idx="14">
                  <c:v>9927.6300000000028</c:v>
                </c:pt>
              </c:numCache>
            </c:numRef>
          </c:val>
          <c:extLst>
            <c:ext xmlns:c16="http://schemas.microsoft.com/office/drawing/2014/chart" uri="{C3380CC4-5D6E-409C-BE32-E72D297353CC}">
              <c16:uniqueId val="{00000000-BE43-4399-8D33-111766D4FC70}"/>
            </c:ext>
          </c:extLst>
        </c:ser>
        <c:ser>
          <c:idx val="1"/>
          <c:order val="1"/>
          <c:tx>
            <c:strRef>
              <c:f>'Pivot Tables'!$H$11</c:f>
              <c:strCache>
                <c:ptCount val="1"/>
                <c:pt idx="0">
                  <c:v>Total Profit</c:v>
                </c:pt>
              </c:strCache>
            </c:strRef>
          </c:tx>
          <c:spPr>
            <a:solidFill>
              <a:schemeClr val="accent2"/>
            </a:solidFill>
            <a:ln>
              <a:noFill/>
            </a:ln>
            <a:effectLst/>
          </c:spPr>
          <c:invertIfNegative val="0"/>
          <c:cat>
            <c:strRef>
              <c:f>'Pivot Tables'!$F$12:$F$27</c:f>
              <c:strCache>
                <c:ptCount val="15"/>
                <c:pt idx="0">
                  <c:v>Nexa Standing Desk</c:v>
                </c:pt>
                <c:pt idx="1">
                  <c:v>Axis Ergonomic Chair</c:v>
                </c:pt>
                <c:pt idx="2">
                  <c:v>Nexa Laser Printer</c:v>
                </c:pt>
                <c:pt idx="3">
                  <c:v>Nexa Noise-Cancelling Headset</c:v>
                </c:pt>
                <c:pt idx="4">
                  <c:v>Vanta USB-C Dock</c:v>
                </c:pt>
                <c:pt idx="5">
                  <c:v>Axis Bookcase</c:v>
                </c:pt>
                <c:pt idx="6">
                  <c:v>Flow Filing Cabinet</c:v>
                </c:pt>
                <c:pt idx="7">
                  <c:v>Flow Ink Cartridge</c:v>
                </c:pt>
                <c:pt idx="8">
                  <c:v>Nexa Wireless Keyboard</c:v>
                </c:pt>
                <c:pt idx="9">
                  <c:v>Flow Webcam</c:v>
                </c:pt>
                <c:pt idx="10">
                  <c:v>Vanta Desk Organizer</c:v>
                </c:pt>
                <c:pt idx="11">
                  <c:v>Dura Notebook Set</c:v>
                </c:pt>
                <c:pt idx="12">
                  <c:v>Axis Stapler</c:v>
                </c:pt>
                <c:pt idx="13">
                  <c:v>Flow Label Roll</c:v>
                </c:pt>
                <c:pt idx="14">
                  <c:v>Vanta A4 Paper Pack</c:v>
                </c:pt>
              </c:strCache>
            </c:strRef>
          </c:cat>
          <c:val>
            <c:numRef>
              <c:f>'Pivot Tables'!$H$12:$H$27</c:f>
              <c:numCache>
                <c:formatCode>"£"#,##0</c:formatCode>
                <c:ptCount val="15"/>
                <c:pt idx="0">
                  <c:v>48699.790000000015</c:v>
                </c:pt>
                <c:pt idx="1">
                  <c:v>33032.150000000009</c:v>
                </c:pt>
                <c:pt idx="2">
                  <c:v>31266.029999999995</c:v>
                </c:pt>
                <c:pt idx="3">
                  <c:v>30747.719999999998</c:v>
                </c:pt>
                <c:pt idx="4">
                  <c:v>23998.929999999989</c:v>
                </c:pt>
                <c:pt idx="5">
                  <c:v>17621.389999999996</c:v>
                </c:pt>
                <c:pt idx="6">
                  <c:v>16335.009999999993</c:v>
                </c:pt>
                <c:pt idx="7">
                  <c:v>15798.500000000004</c:v>
                </c:pt>
                <c:pt idx="8">
                  <c:v>9995.1000000000022</c:v>
                </c:pt>
                <c:pt idx="9">
                  <c:v>9135.8200000000033</c:v>
                </c:pt>
                <c:pt idx="10">
                  <c:v>8692.5100000000039</c:v>
                </c:pt>
                <c:pt idx="11">
                  <c:v>7206.3400000000038</c:v>
                </c:pt>
                <c:pt idx="12">
                  <c:v>3879.0400000000004</c:v>
                </c:pt>
                <c:pt idx="13">
                  <c:v>3749.9499999999989</c:v>
                </c:pt>
                <c:pt idx="14">
                  <c:v>2831.11</c:v>
                </c:pt>
              </c:numCache>
            </c:numRef>
          </c:val>
          <c:extLst>
            <c:ext xmlns:c16="http://schemas.microsoft.com/office/drawing/2014/chart" uri="{C3380CC4-5D6E-409C-BE32-E72D297353CC}">
              <c16:uniqueId val="{00000001-BE43-4399-8D33-111766D4FC70}"/>
            </c:ext>
          </c:extLst>
        </c:ser>
        <c:dLbls>
          <c:showLegendKey val="0"/>
          <c:showVal val="0"/>
          <c:showCatName val="0"/>
          <c:showSerName val="0"/>
          <c:showPercent val="0"/>
          <c:showBubbleSize val="0"/>
        </c:dLbls>
        <c:gapWidth val="182"/>
        <c:axId val="886152800"/>
        <c:axId val="2034397504"/>
      </c:barChart>
      <c:catAx>
        <c:axId val="886152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397504"/>
        <c:crosses val="autoZero"/>
        <c:auto val="1"/>
        <c:lblAlgn val="ctr"/>
        <c:lblOffset val="100"/>
        <c:noMultiLvlLbl val="0"/>
      </c:catAx>
      <c:valAx>
        <c:axId val="2034397504"/>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15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[Project_02_Working_File.xlsx]Pivot Tables!PivotTable6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 Impact on Sales &amp;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s>
    <c:plotArea>
      <c:layout/>
      <c:barChart>
        <c:barDir val="col"/>
        <c:grouping val="clustered"/>
        <c:varyColors val="0"/>
        <c:ser>
          <c:idx val="0"/>
          <c:order val="0"/>
          <c:tx>
            <c:strRef>
              <c:f>'Pivot Tables'!$G$46</c:f>
              <c:strCache>
                <c:ptCount val="1"/>
                <c:pt idx="0">
                  <c:v>Total Sales</c:v>
                </c:pt>
              </c:strCache>
            </c:strRef>
          </c:tx>
          <c:spPr>
            <a:solidFill>
              <a:schemeClr val="accent1"/>
            </a:solidFill>
            <a:ln>
              <a:noFill/>
            </a:ln>
            <a:effectLst/>
          </c:spPr>
          <c:invertIfNegative val="0"/>
          <c:cat>
            <c:strRef>
              <c:f>'Pivot Tables'!$F$47:$F$51</c:f>
              <c:strCache>
                <c:ptCount val="4"/>
                <c:pt idx="0">
                  <c:v>High Discount</c:v>
                </c:pt>
                <c:pt idx="1">
                  <c:v>Low Discount</c:v>
                </c:pt>
                <c:pt idx="2">
                  <c:v>Medium Discount</c:v>
                </c:pt>
                <c:pt idx="3">
                  <c:v>No Discount</c:v>
                </c:pt>
              </c:strCache>
            </c:strRef>
          </c:cat>
          <c:val>
            <c:numRef>
              <c:f>'Pivot Tables'!$G$47:$G$51</c:f>
              <c:numCache>
                <c:formatCode>General</c:formatCode>
                <c:ptCount val="4"/>
                <c:pt idx="0">
                  <c:v>44943.350000000035</c:v>
                </c:pt>
                <c:pt idx="1">
                  <c:v>113789.35999999997</c:v>
                </c:pt>
                <c:pt idx="2">
                  <c:v>110742.77000000005</c:v>
                </c:pt>
                <c:pt idx="3">
                  <c:v>391795.80999999988</c:v>
                </c:pt>
              </c:numCache>
            </c:numRef>
          </c:val>
          <c:extLst>
            <c:ext xmlns:c16="http://schemas.microsoft.com/office/drawing/2014/chart" uri="{C3380CC4-5D6E-409C-BE32-E72D297353CC}">
              <c16:uniqueId val="{00000000-63C0-4A4A-8747-8BC8E14D69AA}"/>
            </c:ext>
          </c:extLst>
        </c:ser>
        <c:ser>
          <c:idx val="1"/>
          <c:order val="1"/>
          <c:tx>
            <c:strRef>
              <c:f>'Pivot Tables'!$H$46</c:f>
              <c:strCache>
                <c:ptCount val="1"/>
                <c:pt idx="0">
                  <c:v>Total Profit</c:v>
                </c:pt>
              </c:strCache>
            </c:strRef>
          </c:tx>
          <c:spPr>
            <a:solidFill>
              <a:schemeClr val="accent2"/>
            </a:solidFill>
            <a:ln>
              <a:noFill/>
            </a:ln>
            <a:effectLst/>
          </c:spPr>
          <c:invertIfNegative val="0"/>
          <c:cat>
            <c:strRef>
              <c:f>'Pivot Tables'!$F$47:$F$51</c:f>
              <c:strCache>
                <c:ptCount val="4"/>
                <c:pt idx="0">
                  <c:v>High Discount</c:v>
                </c:pt>
                <c:pt idx="1">
                  <c:v>Low Discount</c:v>
                </c:pt>
                <c:pt idx="2">
                  <c:v>Medium Discount</c:v>
                </c:pt>
                <c:pt idx="3">
                  <c:v>No Discount</c:v>
                </c:pt>
              </c:strCache>
            </c:strRef>
          </c:cat>
          <c:val>
            <c:numRef>
              <c:f>'Pivot Tables'!$H$47:$H$51</c:f>
              <c:numCache>
                <c:formatCode>"£"#,##0</c:formatCode>
                <c:ptCount val="4"/>
                <c:pt idx="0">
                  <c:v>11159.579999999996</c:v>
                </c:pt>
                <c:pt idx="1">
                  <c:v>45423.850000000013</c:v>
                </c:pt>
                <c:pt idx="2">
                  <c:v>36372.080000000053</c:v>
                </c:pt>
                <c:pt idx="3">
                  <c:v>170033.87999999992</c:v>
                </c:pt>
              </c:numCache>
            </c:numRef>
          </c:val>
          <c:extLst>
            <c:ext xmlns:c16="http://schemas.microsoft.com/office/drawing/2014/chart" uri="{C3380CC4-5D6E-409C-BE32-E72D297353CC}">
              <c16:uniqueId val="{00000001-63C0-4A4A-8747-8BC8E14D69AA}"/>
            </c:ext>
          </c:extLst>
        </c:ser>
        <c:dLbls>
          <c:showLegendKey val="0"/>
          <c:showVal val="0"/>
          <c:showCatName val="0"/>
          <c:showSerName val="0"/>
          <c:showPercent val="0"/>
          <c:showBubbleSize val="0"/>
        </c:dLbls>
        <c:gapWidth val="219"/>
        <c:overlap val="-27"/>
        <c:axId val="886126400"/>
        <c:axId val="883143968"/>
      </c:barChart>
      <c:catAx>
        <c:axId val="886126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3143968"/>
        <c:crosses val="autoZero"/>
        <c:auto val="1"/>
        <c:lblAlgn val="ctr"/>
        <c:lblOffset val="100"/>
        <c:noMultiLvlLbl val="0"/>
      </c:catAx>
      <c:valAx>
        <c:axId val="883143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126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[Project_02_Working_File.xlsx]Pivot Tables!PivotTable10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Products by Inventory Risk Level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'Pivot Tables'!$I$31</c:f>
              <c:strCache>
                <c:ptCount val="1"/>
                <c:pt idx="0">
                  <c:v>Total</c:v>
                </c:pt>
              </c:strCache>
            </c:strRef>
          </c:tx>
          <c:spPr>
            <a:solidFill>
              <a:schemeClr val="accent1"/>
            </a:solidFill>
            <a:ln>
              <a:noFill/>
            </a:ln>
            <a:effectLst/>
          </c:spPr>
          <c:invertIfNegative val="0"/>
          <c:cat>
            <c:strRef>
              <c:f>'Pivot Tables'!$H$32:$H$34</c:f>
              <c:strCache>
                <c:ptCount val="2"/>
                <c:pt idx="0">
                  <c:v>Healthy</c:v>
                </c:pt>
                <c:pt idx="1">
                  <c:v>Watch</c:v>
                </c:pt>
              </c:strCache>
            </c:strRef>
          </c:cat>
          <c:val>
            <c:numRef>
              <c:f>'Pivot Tables'!$I$32:$I$34</c:f>
              <c:numCache>
                <c:formatCode>General</c:formatCode>
                <c:ptCount val="2"/>
                <c:pt idx="0">
                  <c:v>11</c:v>
                </c:pt>
                <c:pt idx="1">
                  <c:v>4</c:v>
                </c:pt>
              </c:numCache>
            </c:numRef>
          </c:val>
          <c:extLst>
            <c:ext xmlns:c16="http://schemas.microsoft.com/office/drawing/2014/chart" uri="{C3380CC4-5D6E-409C-BE32-E72D297353CC}">
              <c16:uniqueId val="{00000000-D3A7-4A45-96EA-F22FE9E1A981}"/>
            </c:ext>
          </c:extLst>
        </c:ser>
        <c:dLbls>
          <c:showLegendKey val="0"/>
          <c:showVal val="0"/>
          <c:showCatName val="0"/>
          <c:showSerName val="0"/>
          <c:showPercent val="0"/>
          <c:showBubbleSize val="0"/>
        </c:dLbls>
        <c:gapWidth val="219"/>
        <c:overlap val="-27"/>
        <c:axId val="886132000"/>
        <c:axId val="2034399584"/>
      </c:barChart>
      <c:catAx>
        <c:axId val="886132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399584"/>
        <c:crosses val="autoZero"/>
        <c:auto val="1"/>
        <c:lblAlgn val="ctr"/>
        <c:lblOffset val="100"/>
        <c:noMultiLvlLbl val="0"/>
      </c:catAx>
      <c:valAx>
        <c:axId val="2034399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132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121104</xdr:colOff>
      <xdr:row>9</xdr:row>
      <xdr:rowOff>112940</xdr:rowOff>
    </xdr:from>
    <xdr:to>
      <xdr:col>7</xdr:col>
      <xdr:colOff>425904</xdr:colOff>
      <xdr:row>23</xdr:row>
      <xdr:rowOff>189140</xdr:rowOff>
    </xdr:to>
    <xdr:graphicFrame macro="">
      <xdr:nvGraphicFramePr>
        <xdr:cNvPr id="2" name="Chart 1">
          <a:extLst>
            <a:ext uri="{FF2B5EF4-FFF2-40B4-BE49-F238E27FC236}">
              <a16:creationId xmlns:a16="http://schemas.microsoft.com/office/drawing/2014/main" id="{37D00C0A-91BA-4416-B4EB-B679F55E5F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27214</xdr:colOff>
      <xdr:row>9</xdr:row>
      <xdr:rowOff>136072</xdr:rowOff>
    </xdr:from>
    <xdr:to>
      <xdr:col>18</xdr:col>
      <xdr:colOff>0</xdr:colOff>
      <xdr:row>23</xdr:row>
      <xdr:rowOff>176892</xdr:rowOff>
    </xdr:to>
    <xdr:graphicFrame macro="">
      <xdr:nvGraphicFramePr>
        <xdr:cNvPr id="3" name="Chart 2">
          <a:extLst>
            <a:ext uri="{FF2B5EF4-FFF2-40B4-BE49-F238E27FC236}">
              <a16:creationId xmlns:a16="http://schemas.microsoft.com/office/drawing/2014/main" id="{A6A97720-845E-421C-8E3C-C9EE56D29E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136071</xdr:colOff>
      <xdr:row>28</xdr:row>
      <xdr:rowOff>81643</xdr:rowOff>
    </xdr:from>
    <xdr:to>
      <xdr:col>7</xdr:col>
      <xdr:colOff>440871</xdr:colOff>
      <xdr:row>42</xdr:row>
      <xdr:rowOff>157843</xdr:rowOff>
    </xdr:to>
    <xdr:graphicFrame macro="">
      <xdr:nvGraphicFramePr>
        <xdr:cNvPr id="4" name="Chart 3">
          <a:extLst>
            <a:ext uri="{FF2B5EF4-FFF2-40B4-BE49-F238E27FC236}">
              <a16:creationId xmlns:a16="http://schemas.microsoft.com/office/drawing/2014/main" id="{B3490F27-E45D-4939-9F10-C92CC88A6B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27214</xdr:colOff>
      <xdr:row>28</xdr:row>
      <xdr:rowOff>95250</xdr:rowOff>
    </xdr:from>
    <xdr:to>
      <xdr:col>18</xdr:col>
      <xdr:colOff>46264</xdr:colOff>
      <xdr:row>42</xdr:row>
      <xdr:rowOff>81643</xdr:rowOff>
    </xdr:to>
    <xdr:graphicFrame macro="">
      <xdr:nvGraphicFramePr>
        <xdr:cNvPr id="5" name="Chart 4">
          <a:extLst>
            <a:ext uri="{FF2B5EF4-FFF2-40B4-BE49-F238E27FC236}">
              <a16:creationId xmlns:a16="http://schemas.microsoft.com/office/drawing/2014/main" id="{3B02B7DA-CA38-4EA0-9922-F52F052003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136071</xdr:colOff>
      <xdr:row>47</xdr:row>
      <xdr:rowOff>40822</xdr:rowOff>
    </xdr:from>
    <xdr:to>
      <xdr:col>7</xdr:col>
      <xdr:colOff>408214</xdr:colOff>
      <xdr:row>62</xdr:row>
      <xdr:rowOff>0</xdr:rowOff>
    </xdr:to>
    <xdr:graphicFrame macro="">
      <xdr:nvGraphicFramePr>
        <xdr:cNvPr id="6" name="Chart 5">
          <a:extLst>
            <a:ext uri="{FF2B5EF4-FFF2-40B4-BE49-F238E27FC236}">
              <a16:creationId xmlns:a16="http://schemas.microsoft.com/office/drawing/2014/main" id="{C9CE0204-5F08-4B6E-83CB-1B26AAAF51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13605</xdr:colOff>
      <xdr:row>47</xdr:row>
      <xdr:rowOff>81643</xdr:rowOff>
    </xdr:from>
    <xdr:to>
      <xdr:col>17</xdr:col>
      <xdr:colOff>598715</xdr:colOff>
      <xdr:row>62</xdr:row>
      <xdr:rowOff>89807</xdr:rowOff>
    </xdr:to>
    <xdr:graphicFrame macro="">
      <xdr:nvGraphicFramePr>
        <xdr:cNvPr id="7" name="Chart 6">
          <a:extLst>
            <a:ext uri="{FF2B5EF4-FFF2-40B4-BE49-F238E27FC236}">
              <a16:creationId xmlns:a16="http://schemas.microsoft.com/office/drawing/2014/main" id="{A5648E55-38D0-41CD-8676-5C4B54A367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419841</xdr:colOff>
      <xdr:row>0</xdr:row>
      <xdr:rowOff>204106</xdr:rowOff>
    </xdr:from>
    <xdr:to>
      <xdr:col>21</xdr:col>
      <xdr:colOff>163285</xdr:colOff>
      <xdr:row>12</xdr:row>
      <xdr:rowOff>40820</xdr:rowOff>
    </xdr:to>
    <mc:AlternateContent xmlns:mc="http://schemas.openxmlformats.org/markup-compatibility/2006">
      <mc:Choice xmlns:a14="http://schemas.microsoft.com/office/drawing/2010/main" Requires="a14">
        <xdr:graphicFrame macro="">
          <xdr:nvGraphicFramePr>
            <xdr:cNvPr id="8" name="Year">
              <a:extLst>
                <a:ext uri="{FF2B5EF4-FFF2-40B4-BE49-F238E27FC236}">
                  <a16:creationId xmlns:a16="http://schemas.microsoft.com/office/drawing/2014/main" id="{005042E1-7179-473D-B36D-64FEAF9B424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1441627" y="204106"/>
              <a:ext cx="1580408" cy="25581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353786</xdr:colOff>
      <xdr:row>0</xdr:row>
      <xdr:rowOff>231322</xdr:rowOff>
    </xdr:from>
    <xdr:to>
      <xdr:col>27</xdr:col>
      <xdr:colOff>231321</xdr:colOff>
      <xdr:row>12</xdr:row>
      <xdr:rowOff>38100</xdr:rowOff>
    </xdr:to>
    <mc:AlternateContent xmlns:mc="http://schemas.openxmlformats.org/markup-compatibility/2006">
      <mc:Choice xmlns:a14="http://schemas.microsoft.com/office/drawing/2010/main" Requires="a14">
        <xdr:graphicFrame macro="">
          <xdr:nvGraphicFramePr>
            <xdr:cNvPr id="12" name="Region">
              <a:extLst>
                <a:ext uri="{FF2B5EF4-FFF2-40B4-BE49-F238E27FC236}">
                  <a16:creationId xmlns:a16="http://schemas.microsoft.com/office/drawing/2014/main" id="{4BFFBA36-3D0A-4D35-85C4-3D4A068D326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5049500" y="231322"/>
              <a:ext cx="1714500" cy="25282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352424</xdr:colOff>
      <xdr:row>0</xdr:row>
      <xdr:rowOff>216355</xdr:rowOff>
    </xdr:from>
    <xdr:to>
      <xdr:col>24</xdr:col>
      <xdr:colOff>108857</xdr:colOff>
      <xdr:row>12</xdr:row>
      <xdr:rowOff>19051</xdr:rowOff>
    </xdr:to>
    <mc:AlternateContent xmlns:mc="http://schemas.openxmlformats.org/markup-compatibility/2006">
      <mc:Choice xmlns:a14="http://schemas.microsoft.com/office/drawing/2010/main" Requires="a14">
        <xdr:graphicFrame macro="">
          <xdr:nvGraphicFramePr>
            <xdr:cNvPr id="13" name="Category">
              <a:extLst>
                <a:ext uri="{FF2B5EF4-FFF2-40B4-BE49-F238E27FC236}">
                  <a16:creationId xmlns:a16="http://schemas.microsoft.com/office/drawing/2014/main" id="{D0D15464-C59E-441A-9013-87913346695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3211174" y="216355"/>
              <a:ext cx="1593397"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15-da" refreshedDate="46212.456713425927" createdVersion="6" refreshedVersion="6" minRefreshableVersion="3" recordCount="15" xr:uid="{48C7C2E5-1963-4285-952A-89B10FE45527}">
  <cacheSource type="worksheet">
    <worksheetSource name="inventory_analysis"/>
  </cacheSource>
  <cacheFields count="18">
    <cacheField name="Inventory_Snapshot_Date" numFmtId="22">
      <sharedItems containsSemiMixedTypes="0" containsNonDate="0" containsDate="1" containsString="0" minDate="2025-12-31T00:00:00" maxDate="2026-01-01T00:00:00"/>
    </cacheField>
    <cacheField name="Product_ID" numFmtId="0">
      <sharedItems/>
    </cacheField>
    <cacheField name="Warehouse" numFmtId="0">
      <sharedItems/>
    </cacheField>
    <cacheField name="Stock_On_Hand" numFmtId="0">
      <sharedItems containsSemiMixedTypes="0" containsString="0" containsNumber="1" containsInteger="1" minValue="30" maxValue="136"/>
    </cacheField>
    <cacheField name="Units_On_Order" numFmtId="0">
      <sharedItems containsSemiMixedTypes="0" containsString="0" containsNumber="1" containsInteger="1" minValue="0" maxValue="197"/>
    </cacheField>
    <cacheField name="Reorder_Point" numFmtId="0">
      <sharedItems containsSemiMixedTypes="0" containsString="0" containsNumber="1" containsInteger="1" minValue="18" maxValue="147"/>
    </cacheField>
    <cacheField name="Lead_Time_Days" numFmtId="0">
      <sharedItems containsSemiMixedTypes="0" containsString="0" containsNumber="1" containsInteger="1" minValue="6" maxValue="20"/>
    </cacheField>
    <cacheField name="Last_Restock_Date" numFmtId="22">
      <sharedItems containsSemiMixedTypes="0" containsNonDate="0" containsDate="1" containsString="0" minDate="2025-11-15T00:00:00" maxDate="2025-12-21T00:00:00"/>
    </cacheField>
    <cacheField name="Stock_Status" numFmtId="0">
      <sharedItems/>
    </cacheField>
    <cacheField name="Product_Name" numFmtId="0">
      <sharedItems/>
    </cacheField>
    <cacheField name="Category" numFmtId="0">
      <sharedItems/>
    </cacheField>
    <cacheField name="Supplier" numFmtId="0">
      <sharedItems/>
    </cacheField>
    <cacheField name="Unit_Cost" numFmtId="0">
      <sharedItems containsSemiMixedTypes="0" containsString="0" containsNumber="1" minValue="3.3" maxValue="173.56"/>
    </cacheField>
    <cacheField name="List_Price" numFmtId="0">
      <sharedItems containsSemiMixedTypes="0" containsString="0" containsNumber="1" minValue="6.03" maxValue="286.14999999999998"/>
    </cacheField>
    <cacheField name="Opening_Stock" numFmtId="0">
      <sharedItems containsSemiMixedTypes="0" containsString="0" containsNumber="1" containsInteger="1" minValue="71" maxValue="462"/>
    </cacheField>
    <cacheField name="Inventory_Value" numFmtId="0">
      <sharedItems containsSemiMixedTypes="0" containsString="0" containsNumber="1" minValue="202.56" maxValue="16835.32"/>
    </cacheField>
    <cacheField name="Stock_Coverage_Ratio" numFmtId="0">
      <sharedItems containsSemiMixedTypes="0" containsString="0" containsNumber="1" minValue="1.168421052631579" maxValue="3.2647058823529411"/>
    </cacheField>
    <cacheField name="Inventory_Risk_Level" numFmtId="0">
      <sharedItems count="2">
        <s v="Healthy"/>
        <s v="Watch"/>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15-da" refreshedDate="46212.456713888889" createdVersion="6" refreshedVersion="6" minRefreshableVersion="3" recordCount="2400" xr:uid="{2FEAB1A6-EE16-47BB-B7B9-1EAC9D90CD43}">
  <cacheSource type="worksheet">
    <worksheetSource name="sales_analysis"/>
  </cacheSource>
  <cacheFields count="25">
    <cacheField name="Order_ID" numFmtId="0">
      <sharedItems/>
    </cacheField>
    <cacheField name="Order_Date" numFmtId="22">
      <sharedItems containsSemiMixedTypes="0" containsNonDate="0" containsDate="1" containsString="0" minDate="2024-01-01T00:00:00" maxDate="2025-12-31T00:00:00"/>
    </cacheField>
    <cacheField name="Ship_Date" numFmtId="22">
      <sharedItems containsSemiMixedTypes="0" containsNonDate="0" containsDate="1" containsString="0" minDate="2024-01-04T00:00:00" maxDate="2026-01-05T00:00:00"/>
    </cacheField>
    <cacheField name="Region" numFmtId="0">
      <sharedItems count="4">
        <s v="West"/>
        <s v="East"/>
        <s v="South"/>
        <s v="North"/>
      </sharedItems>
    </cacheField>
    <cacheField name="City" numFmtId="0">
      <sharedItems/>
    </cacheField>
    <cacheField name="Customer_Segment" numFmtId="0">
      <sharedItems/>
    </cacheField>
    <cacheField name="Sales_Channel" numFmtId="0">
      <sharedItems/>
    </cacheField>
    <cacheField name="Product_ID" numFmtId="0">
      <sharedItems/>
    </cacheField>
    <cacheField name="Quantity" numFmtId="0">
      <sharedItems containsSemiMixedTypes="0" containsString="0" containsNumber="1" containsInteger="1" minValue="1" maxValue="25"/>
    </cacheField>
    <cacheField name="Discount" numFmtId="0">
      <sharedItems containsSemiMixedTypes="0" containsString="0" containsNumber="1" minValue="0" maxValue="0.25"/>
    </cacheField>
    <cacheField name="Sales" numFmtId="0">
      <sharedItems containsSemiMixedTypes="0" containsString="0" containsNumber="1" minValue="14.04" maxValue="2809.08"/>
    </cacheField>
    <cacheField name="Shipping_Cost" numFmtId="0">
      <sharedItems containsSemiMixedTypes="0" containsString="0" containsNumber="1" minValue="3.45" maxValue="20.6"/>
    </cacheField>
    <cacheField name="Product_Name" numFmtId="0">
      <sharedItems count="15">
        <s v="Nexa Noise-Cancelling Headset"/>
        <s v="Axis Bookcase"/>
        <s v="Axis Ergonomic Chair"/>
        <s v="Flow Ink Cartridge"/>
        <s v="Vanta A4 Paper Pack"/>
        <s v="Flow Filing Cabinet"/>
        <s v="Nexa Laser Printer"/>
        <s v="Flow Webcam"/>
        <s v="Flow Label Roll"/>
        <s v="Vanta Desk Organizer"/>
        <s v="Vanta USB-C Dock"/>
        <s v="Dura Notebook Set"/>
        <s v="Nexa Standing Desk"/>
        <s v="Nexa Wireless Keyboard"/>
        <s v="Axis Stapler"/>
      </sharedItems>
    </cacheField>
    <cacheField name="Category" numFmtId="0">
      <sharedItems count="3">
        <s v="Technology"/>
        <s v="Office Furniture"/>
        <s v="Office Supplies"/>
      </sharedItems>
    </cacheField>
    <cacheField name="Supplier" numFmtId="0">
      <sharedItems/>
    </cacheField>
    <cacheField name="Unit_Cost" numFmtId="0">
      <sharedItems containsSemiMixedTypes="0" containsString="0" containsNumber="1" minValue="3.3" maxValue="173.56"/>
    </cacheField>
    <cacheField name="List_Price" numFmtId="0">
      <sharedItems containsSemiMixedTypes="0" containsString="0" containsNumber="1" minValue="6.03" maxValue="286.14999999999998"/>
    </cacheField>
    <cacheField name="Total_Cost" numFmtId="0">
      <sharedItems containsSemiMixedTypes="0" containsString="0" containsNumber="1" minValue="9.8999999999999986" maxValue="1214.92"/>
    </cacheField>
    <cacheField name="Profit" numFmtId="0">
      <sharedItems containsSemiMixedTypes="0" containsString="0" containsNumber="1" minValue="-10.63" maxValue="1581.8"/>
    </cacheField>
    <cacheField name="Profit_Margin" numFmtId="0">
      <sharedItems containsSemiMixedTypes="0" containsString="0" containsNumber="1" minValue="-0.19999999999999996" maxValue="0.66950021984464314"/>
    </cacheField>
    <cacheField name="Order_Month" numFmtId="22">
      <sharedItems containsSemiMixedTypes="0" containsNonDate="0" containsDate="1" containsString="0" minDate="2024-01-01T00:00:00" maxDate="2025-12-02T00:00:00" count="24">
        <d v="2025-06-01T00:00:00"/>
        <d v="2025-05-01T00:00:00"/>
        <d v="2025-03-01T00:00:00"/>
        <d v="2024-10-01T00:00:00"/>
        <d v="2025-07-01T00:00:00"/>
        <d v="2025-02-01T00:00:00"/>
        <d v="2025-08-01T00:00:00"/>
        <d v="2024-08-01T00:00:00"/>
        <d v="2024-05-01T00:00:00"/>
        <d v="2024-12-01T00:00:00"/>
        <d v="2024-03-01T00:00:00"/>
        <d v="2025-09-01T00:00:00"/>
        <d v="2024-02-01T00:00:00"/>
        <d v="2025-12-01T00:00:00"/>
        <d v="2024-11-01T00:00:00"/>
        <d v="2025-04-01T00:00:00"/>
        <d v="2024-07-01T00:00:00"/>
        <d v="2024-06-01T00:00:00"/>
        <d v="2024-01-01T00:00:00"/>
        <d v="2025-11-01T00:00:00"/>
        <d v="2025-01-01T00:00:00"/>
        <d v="2024-04-01T00:00:00"/>
        <d v="2025-10-01T00:00:00"/>
        <d v="2024-09-01T00:00:00"/>
      </sharedItems>
      <fieldGroup par="24" base="20">
        <rangePr groupBy="months" startDate="2024-01-01T00:00:00" endDate="2025-12-02T00:00:00"/>
        <groupItems count="14">
          <s v="&lt;01/01/2024"/>
          <s v="Jan"/>
          <s v="Feb"/>
          <s v="Mar"/>
          <s v="Apr"/>
          <s v="May"/>
          <s v="Jun"/>
          <s v="Jul"/>
          <s v="Aug"/>
          <s v="Sep"/>
          <s v="Oct"/>
          <s v="Nov"/>
          <s v="Dec"/>
          <s v="&gt;02/12/2025"/>
        </groupItems>
      </fieldGroup>
    </cacheField>
    <cacheField name="Discount_Band" numFmtId="0">
      <sharedItems count="4">
        <s v="Low Discount"/>
        <s v="No Discount"/>
        <s v="Medium Discount"/>
        <s v="High Discount"/>
      </sharedItems>
    </cacheField>
    <cacheField name="Year" numFmtId="0">
      <sharedItems containsSemiMixedTypes="0" containsString="0" containsNumber="1" containsInteger="1" minValue="2024" maxValue="2025" count="2">
        <n v="2025"/>
        <n v="2024"/>
      </sharedItems>
    </cacheField>
    <cacheField name="Quarters" numFmtId="0" databaseField="0">
      <fieldGroup base="20">
        <rangePr groupBy="quarters" startDate="2024-01-01T00:00:00" endDate="2025-12-02T00:00:00"/>
        <groupItems count="6">
          <s v="&lt;01/01/2024"/>
          <s v="Qtr1"/>
          <s v="Qtr2"/>
          <s v="Qtr3"/>
          <s v="Qtr4"/>
          <s v="&gt;02/12/2025"/>
        </groupItems>
      </fieldGroup>
    </cacheField>
    <cacheField name="Years" numFmtId="0" databaseField="0">
      <fieldGroup base="20">
        <rangePr groupBy="years" startDate="2024-01-01T00:00:00" endDate="2025-12-02T00:00:00"/>
        <groupItems count="4">
          <s v="&lt;01/01/2024"/>
          <s v="2024"/>
          <s v="2025"/>
          <s v="&gt;02/12/2025"/>
        </groupItems>
      </fieldGroup>
    </cacheField>
  </cacheFields>
  <extLst>
    <ext xmlns:x14="http://schemas.microsoft.com/office/spreadsheetml/2009/9/main" uri="{725AE2AE-9491-48be-B2B4-4EB974FC3084}">
      <x14:pivotCacheDefinition pivotCacheId="7986100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d v="2025-12-31T00:00:00"/>
    <s v="P-001"/>
    <s v="Central Hub"/>
    <n v="97"/>
    <n v="14"/>
    <n v="34"/>
    <n v="6"/>
    <d v="2025-12-20T00:00:00"/>
    <s v="Healthy"/>
    <s v="Nexa Standing Desk"/>
    <s v="Office Furniture"/>
    <s v="Luma Imports"/>
    <n v="173.56"/>
    <n v="286.14999999999998"/>
    <n v="149"/>
    <n v="16835.32"/>
    <n v="3.2647058823529411"/>
    <x v="0"/>
  </r>
  <r>
    <d v="2025-12-31T00:00:00"/>
    <s v="P-002"/>
    <s v="North Hub"/>
    <n v="61"/>
    <n v="21"/>
    <n v="36"/>
    <n v="19"/>
    <d v="2025-11-16T00:00:00"/>
    <s v="Healthy"/>
    <s v="Axis Ergonomic Chair"/>
    <s v="Office Furniture"/>
    <s v="Vertex Trade"/>
    <n v="119.02"/>
    <n v="205.39"/>
    <n v="118"/>
    <n v="7260.2199999999993"/>
    <n v="2.2777777777777777"/>
    <x v="0"/>
  </r>
  <r>
    <d v="2025-12-31T00:00:00"/>
    <s v="P-003"/>
    <s v="North Hub"/>
    <n v="136"/>
    <n v="9"/>
    <n v="55"/>
    <n v="7"/>
    <d v="2025-11-21T00:00:00"/>
    <s v="Healthy"/>
    <s v="Axis Bookcase"/>
    <s v="Office Furniture"/>
    <s v="Orbit Supply Co."/>
    <n v="71.489999999999995"/>
    <n v="112.88"/>
    <n v="163"/>
    <n v="9722.64"/>
    <n v="2.6363636363636362"/>
    <x v="0"/>
  </r>
  <r>
    <d v="2025-12-31T00:00:00"/>
    <s v="P-004"/>
    <s v="South Hub"/>
    <n v="33"/>
    <n v="3"/>
    <n v="18"/>
    <n v="6"/>
    <d v="2025-11-17T00:00:00"/>
    <s v="Healthy"/>
    <s v="Flow Filing Cabinet"/>
    <s v="Office Furniture"/>
    <s v="Cedar Distribution"/>
    <n v="63.6"/>
    <n v="107.94"/>
    <n v="71"/>
    <n v="2098.8000000000002"/>
    <n v="2"/>
    <x v="0"/>
  </r>
  <r>
    <d v="2025-12-31T00:00:00"/>
    <s v="P-005"/>
    <s v="Central Hub"/>
    <n v="97"/>
    <n v="4"/>
    <n v="38"/>
    <n v="10"/>
    <d v="2025-12-10T00:00:00"/>
    <s v="Healthy"/>
    <s v="Nexa Wireless Keyboard"/>
    <s v="Technology"/>
    <s v="Apex Wholesale"/>
    <n v="25.33"/>
    <n v="51.56"/>
    <n v="109"/>
    <n v="2457.0099999999998"/>
    <n v="2.6578947368421053"/>
    <x v="0"/>
  </r>
  <r>
    <d v="2025-12-31T00:00:00"/>
    <s v="P-006"/>
    <s v="South Hub"/>
    <n v="42"/>
    <n v="10"/>
    <n v="19"/>
    <n v="11"/>
    <d v="2025-12-14T00:00:00"/>
    <s v="Healthy"/>
    <s v="Vanta USB-C Dock"/>
    <s v="Technology"/>
    <s v="Apex Wholesale"/>
    <n v="54.95"/>
    <n v="112.56"/>
    <n v="74"/>
    <n v="2307.9"/>
    <n v="2.736842105263158"/>
    <x v="0"/>
  </r>
  <r>
    <d v="2025-12-31T00:00:00"/>
    <s v="P-007"/>
    <s v="North Hub"/>
    <n v="51"/>
    <n v="2"/>
    <n v="41"/>
    <n v="20"/>
    <d v="2025-12-14T00:00:00"/>
    <s v="Watch"/>
    <s v="Flow Webcam"/>
    <s v="Technology"/>
    <s v="Luma Imports"/>
    <n v="31.34"/>
    <n v="56.49"/>
    <n v="146"/>
    <n v="1598.34"/>
    <n v="1.2926829268292683"/>
    <x v="1"/>
  </r>
  <r>
    <d v="2025-12-31T00:00:00"/>
    <s v="P-008"/>
    <s v="North Hub"/>
    <n v="61"/>
    <n v="30"/>
    <n v="49"/>
    <n v="18"/>
    <d v="2025-11-27T00:00:00"/>
    <s v="Watch"/>
    <s v="Nexa Laser Printer"/>
    <s v="Technology"/>
    <s v="Vertex Trade"/>
    <n v="112.09"/>
    <n v="192.47"/>
    <n v="139"/>
    <n v="6837.49"/>
    <n v="1.8571428571428572"/>
    <x v="0"/>
  </r>
  <r>
    <d v="2025-12-31T00:00:00"/>
    <s v="P-009"/>
    <s v="North Hub"/>
    <n v="30"/>
    <n v="0"/>
    <n v="23"/>
    <n v="10"/>
    <d v="2025-12-17T00:00:00"/>
    <s v="Watch"/>
    <s v="Nexa Noise-Cancelling Headset"/>
    <s v="Technology"/>
    <s v="Apex Wholesale"/>
    <n v="63.69"/>
    <n v="125.5"/>
    <n v="134"/>
    <n v="1910.6999999999998"/>
    <n v="1.3043478260869565"/>
    <x v="1"/>
  </r>
  <r>
    <d v="2025-12-31T00:00:00"/>
    <s v="P-010"/>
    <s v="South Hub"/>
    <n v="110"/>
    <n v="1"/>
    <n v="95"/>
    <n v="15"/>
    <d v="2025-11-15T00:00:00"/>
    <s v="Watch"/>
    <s v="Vanta A4 Paper Pack"/>
    <s v="Office Supplies"/>
    <s v="Orbit Supply Co."/>
    <n v="3.62"/>
    <n v="6.03"/>
    <n v="288"/>
    <n v="398.2"/>
    <n v="1.168421052631579"/>
    <x v="1"/>
  </r>
  <r>
    <d v="2025-12-31T00:00:00"/>
    <s v="P-011"/>
    <s v="Central Hub"/>
    <n v="114"/>
    <n v="135"/>
    <n v="147"/>
    <n v="15"/>
    <d v="2025-12-02T00:00:00"/>
    <s v="Reorder Required"/>
    <s v="Vanta Desk Organizer"/>
    <s v="Office Supplies"/>
    <s v="Orbit Supply Co."/>
    <n v="7.93"/>
    <n v="14.78"/>
    <n v="462"/>
    <n v="904.02"/>
    <n v="1.6938775510204083"/>
    <x v="0"/>
  </r>
  <r>
    <d v="2025-12-31T00:00:00"/>
    <s v="P-012"/>
    <s v="North Hub"/>
    <n v="66"/>
    <n v="123"/>
    <n v="144"/>
    <n v="15"/>
    <d v="2025-12-20T00:00:00"/>
    <s v="Reorder Required"/>
    <s v="Axis Stapler"/>
    <s v="Office Supplies"/>
    <s v="Luma Imports"/>
    <n v="4.5"/>
    <n v="8.2899999999999991"/>
    <n v="229"/>
    <n v="297"/>
    <n v="1.3125"/>
    <x v="1"/>
  </r>
  <r>
    <d v="2025-12-31T00:00:00"/>
    <s v="P-013"/>
    <s v="South Hub"/>
    <n v="32"/>
    <n v="118"/>
    <n v="98"/>
    <n v="14"/>
    <d v="2025-12-09T00:00:00"/>
    <s v="Reorder Required"/>
    <s v="Dura Notebook Set"/>
    <s v="Office Supplies"/>
    <s v="Apex Wholesale"/>
    <n v="6.33"/>
    <n v="12.16"/>
    <n v="250"/>
    <n v="202.56"/>
    <n v="1.5306122448979591"/>
    <x v="0"/>
  </r>
  <r>
    <d v="2025-12-31T00:00:00"/>
    <s v="P-014"/>
    <s v="Central Hub"/>
    <n v="68"/>
    <n v="131"/>
    <n v="96"/>
    <n v="9"/>
    <d v="2025-12-19T00:00:00"/>
    <s v="Reorder Required"/>
    <s v="Flow Ink Cartridge"/>
    <s v="Office Supplies"/>
    <s v="Orbit Supply Co."/>
    <n v="16.760000000000002"/>
    <n v="27.71"/>
    <n v="195"/>
    <n v="1139.68"/>
    <n v="2.0729166666666665"/>
    <x v="0"/>
  </r>
  <r>
    <d v="2025-12-31T00:00:00"/>
    <s v="P-015"/>
    <s v="North Hub"/>
    <n v="114"/>
    <n v="197"/>
    <n v="137"/>
    <n v="8"/>
    <d v="2025-12-06T00:00:00"/>
    <s v="Reorder Required"/>
    <s v="Flow Label Roll"/>
    <s v="Office Supplies"/>
    <s v="Luma Imports"/>
    <n v="3.3"/>
    <n v="6.13"/>
    <n v="453"/>
    <n v="376.2"/>
    <n v="2.2700729927007299"/>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ORD-100001"/>
    <d v="2025-06-24T00:00:00"/>
    <d v="2025-06-29T00:00:00"/>
    <x v="0"/>
    <s v="Cardiff"/>
    <s v="Home Office"/>
    <s v="B2B Sales"/>
    <s v="P-009"/>
    <n v="4"/>
    <n v="0.05"/>
    <n v="491.6"/>
    <n v="9.5"/>
    <x v="0"/>
    <x v="0"/>
    <s v="Apex Wholesale"/>
    <n v="63.69"/>
    <n v="125.5"/>
    <n v="254.76"/>
    <n v="227.34000000000003"/>
    <n v="0.4624491456468674"/>
    <x v="0"/>
    <x v="0"/>
    <x v="0"/>
  </r>
  <r>
    <s v="ORD-100002"/>
    <d v="2025-05-10T00:00:00"/>
    <d v="2025-05-14T00:00:00"/>
    <x v="0"/>
    <s v="Birmingham"/>
    <s v="Home Office"/>
    <s v="Retail Store"/>
    <s v="P-003"/>
    <n v="3"/>
    <n v="0"/>
    <n v="334.36"/>
    <n v="11.4"/>
    <x v="1"/>
    <x v="1"/>
    <s v="Orbit Supply Co."/>
    <n v="71.489999999999995"/>
    <n v="112.88"/>
    <n v="214.46999999999997"/>
    <n v="108.49000000000004"/>
    <n v="0.32447063045818886"/>
    <x v="1"/>
    <x v="1"/>
    <x v="0"/>
  </r>
  <r>
    <s v="ORD-100009"/>
    <d v="2025-03-15T00:00:00"/>
    <d v="2025-03-19T00:00:00"/>
    <x v="1"/>
    <s v="Peterborough"/>
    <s v="Corporate"/>
    <s v="Online"/>
    <s v="P-003"/>
    <n v="4"/>
    <n v="0.15"/>
    <n v="357.37"/>
    <n v="8.2200000000000006"/>
    <x v="1"/>
    <x v="1"/>
    <s v="Orbit Supply Co."/>
    <n v="71.489999999999995"/>
    <n v="112.88"/>
    <n v="285.95999999999998"/>
    <n v="63.190000000000026"/>
    <n v="0.17681954277079784"/>
    <x v="2"/>
    <x v="2"/>
    <x v="0"/>
  </r>
  <r>
    <s v="ORD-100005"/>
    <d v="2024-10-28T00:00:00"/>
    <d v="2024-11-03T00:00:00"/>
    <x v="2"/>
    <s v="Bristol"/>
    <s v="Corporate"/>
    <s v="Online"/>
    <s v="P-002"/>
    <n v="7"/>
    <n v="0"/>
    <n v="1584.26"/>
    <n v="20.6"/>
    <x v="2"/>
    <x v="1"/>
    <s v="Vertex Trade"/>
    <n v="119.02"/>
    <n v="205.39"/>
    <n v="833.14"/>
    <n v="730.52"/>
    <n v="0.4611111812455026"/>
    <x v="3"/>
    <x v="1"/>
    <x v="1"/>
  </r>
  <r>
    <s v="ORD-100003"/>
    <d v="2025-07-19T00:00:00"/>
    <d v="2025-07-24T00:00:00"/>
    <x v="1"/>
    <s v="Norwich"/>
    <s v="Small Business"/>
    <s v="Online"/>
    <s v="P-014"/>
    <n v="5"/>
    <n v="0.15"/>
    <n v="102.14"/>
    <n v="4.05"/>
    <x v="3"/>
    <x v="2"/>
    <s v="Orbit Supply Co."/>
    <n v="16.760000000000002"/>
    <n v="27.71"/>
    <n v="83.800000000000011"/>
    <n v="14.289999999999988"/>
    <n v="0.13990601135696093"/>
    <x v="4"/>
    <x v="2"/>
    <x v="0"/>
  </r>
  <r>
    <s v="ORD-100004"/>
    <d v="2025-02-23T00:00:00"/>
    <d v="2025-02-26T00:00:00"/>
    <x v="0"/>
    <s v="Birmingham"/>
    <s v="Corporate"/>
    <s v="Online"/>
    <s v="P-010"/>
    <n v="9"/>
    <n v="0"/>
    <n v="51.08"/>
    <n v="5.13"/>
    <x v="4"/>
    <x v="2"/>
    <s v="Orbit Supply Co."/>
    <n v="3.62"/>
    <n v="6.03"/>
    <n v="32.58"/>
    <n v="13.370000000000001"/>
    <n v="0.2617462803445576"/>
    <x v="5"/>
    <x v="1"/>
    <x v="0"/>
  </r>
  <r>
    <s v="ORD-100014"/>
    <d v="2025-08-28T00:00:00"/>
    <d v="2025-09-02T00:00:00"/>
    <x v="3"/>
    <s v="Manchester"/>
    <s v="Home Office"/>
    <s v="B2B Sales"/>
    <s v="P-010"/>
    <n v="13"/>
    <n v="0"/>
    <n v="73.23"/>
    <n v="6.21"/>
    <x v="4"/>
    <x v="2"/>
    <s v="Orbit Supply Co."/>
    <n v="3.62"/>
    <n v="6.03"/>
    <n v="47.06"/>
    <n v="19.96"/>
    <n v="0.27256588829714595"/>
    <x v="6"/>
    <x v="1"/>
    <x v="0"/>
  </r>
  <r>
    <s v="ORD-100015"/>
    <d v="2024-08-31T00:00:00"/>
    <d v="2024-09-05T00:00:00"/>
    <x v="0"/>
    <s v="Cardiff"/>
    <s v="Corporate"/>
    <s v="B2B Sales"/>
    <s v="P-010"/>
    <n v="9"/>
    <n v="0"/>
    <n v="51.12"/>
    <n v="5.13"/>
    <x v="4"/>
    <x v="2"/>
    <s v="Orbit Supply Co."/>
    <n v="3.62"/>
    <n v="6.03"/>
    <n v="32.58"/>
    <n v="13.41"/>
    <n v="0.26232394366197187"/>
    <x v="7"/>
    <x v="1"/>
    <x v="1"/>
  </r>
  <r>
    <s v="ORD-100006"/>
    <d v="2025-03-15T00:00:00"/>
    <d v="2025-03-16T00:00:00"/>
    <x v="0"/>
    <s v="Liverpool"/>
    <s v="Small Business"/>
    <s v="Retail Store"/>
    <s v="P-004"/>
    <n v="4"/>
    <n v="0"/>
    <n v="417.15"/>
    <n v="8.2200000000000006"/>
    <x v="5"/>
    <x v="1"/>
    <s v="Cedar Distribution"/>
    <n v="63.6"/>
    <n v="107.94"/>
    <n v="254.4"/>
    <n v="154.52999999999997"/>
    <n v="0.37044228694714126"/>
    <x v="2"/>
    <x v="1"/>
    <x v="0"/>
  </r>
  <r>
    <s v="ORD-100007"/>
    <d v="2024-05-16T00:00:00"/>
    <d v="2024-05-21T00:00:00"/>
    <x v="0"/>
    <s v="Cardiff"/>
    <s v="Corporate"/>
    <s v="B2B Sales"/>
    <s v="P-008"/>
    <n v="1"/>
    <n v="0"/>
    <n v="193.72"/>
    <n v="3.45"/>
    <x v="6"/>
    <x v="0"/>
    <s v="Vertex Trade"/>
    <n v="112.09"/>
    <n v="192.47"/>
    <n v="112.09"/>
    <n v="78.179999999999993"/>
    <n v="0.40357216601280194"/>
    <x v="8"/>
    <x v="1"/>
    <x v="1"/>
  </r>
  <r>
    <s v="ORD-100010"/>
    <d v="2024-10-30T00:00:00"/>
    <d v="2024-11-03T00:00:00"/>
    <x v="2"/>
    <s v="Brighton"/>
    <s v="Corporate"/>
    <s v="Online"/>
    <s v="P-008"/>
    <n v="4"/>
    <n v="0.2"/>
    <n v="705.26"/>
    <n v="9.5"/>
    <x v="6"/>
    <x v="0"/>
    <s v="Vertex Trade"/>
    <n v="112.09"/>
    <n v="192.47"/>
    <n v="448.36"/>
    <n v="247.39999999999998"/>
    <n v="0.35079261548932306"/>
    <x v="3"/>
    <x v="2"/>
    <x v="1"/>
  </r>
  <r>
    <s v="ORD-100013"/>
    <d v="2024-12-21T00:00:00"/>
    <d v="2024-12-24T00:00:00"/>
    <x v="3"/>
    <s v="Newcastle"/>
    <s v="Small Business"/>
    <s v="Online"/>
    <s v="P-007"/>
    <n v="3"/>
    <n v="0.25"/>
    <n v="177.03"/>
    <n v="4.95"/>
    <x v="7"/>
    <x v="0"/>
    <s v="Luma Imports"/>
    <n v="31.34"/>
    <n v="56.49"/>
    <n v="94.02"/>
    <n v="78.06"/>
    <n v="0.44094221318420607"/>
    <x v="9"/>
    <x v="3"/>
    <x v="1"/>
  </r>
  <r>
    <s v="ORD-100016"/>
    <d v="2024-03-28T00:00:00"/>
    <d v="2024-04-02T00:00:00"/>
    <x v="3"/>
    <s v="Manchester"/>
    <s v="Corporate"/>
    <s v="Retail Store"/>
    <s v="P-007"/>
    <n v="3"/>
    <n v="0"/>
    <n v="159.77000000000001"/>
    <n v="8.25"/>
    <x v="7"/>
    <x v="0"/>
    <s v="Luma Imports"/>
    <n v="31.34"/>
    <n v="56.49"/>
    <n v="94.02"/>
    <n v="57.500000000000014"/>
    <n v="0.3598923452462916"/>
    <x v="10"/>
    <x v="1"/>
    <x v="1"/>
  </r>
  <r>
    <s v="ORD-100008"/>
    <d v="2025-09-10T00:00:00"/>
    <d v="2025-09-12T00:00:00"/>
    <x v="0"/>
    <s v="Liverpool"/>
    <s v="Small Business"/>
    <s v="Online"/>
    <s v="P-015"/>
    <n v="11"/>
    <n v="0.2"/>
    <n v="55.97"/>
    <n v="5.67"/>
    <x v="8"/>
    <x v="2"/>
    <s v="Luma Imports"/>
    <n v="3.3"/>
    <n v="6.13"/>
    <n v="36.299999999999997"/>
    <n v="14.000000000000002"/>
    <n v="0.2501340003573343"/>
    <x v="11"/>
    <x v="2"/>
    <x v="0"/>
  </r>
  <r>
    <s v="ORD-100011"/>
    <d v="2024-02-03T00:00:00"/>
    <d v="2024-02-04T00:00:00"/>
    <x v="3"/>
    <s v="Newcastle"/>
    <s v="Home Office"/>
    <s v="B2B Sales"/>
    <s v="P-015"/>
    <n v="4"/>
    <n v="0"/>
    <n v="22.92"/>
    <n v="3.78"/>
    <x v="8"/>
    <x v="2"/>
    <s v="Luma Imports"/>
    <n v="3.3"/>
    <n v="6.13"/>
    <n v="13.2"/>
    <n v="5.9400000000000031"/>
    <n v="0.2591623036649216"/>
    <x v="12"/>
    <x v="1"/>
    <x v="1"/>
  </r>
  <r>
    <s v="ORD-100012"/>
    <d v="2025-12-08T00:00:00"/>
    <d v="2025-12-14T00:00:00"/>
    <x v="3"/>
    <s v="Manchester"/>
    <s v="Home Office"/>
    <s v="B2B Sales"/>
    <s v="P-011"/>
    <n v="5"/>
    <n v="0.1"/>
    <n v="89.84"/>
    <n v="4.05"/>
    <x v="9"/>
    <x v="2"/>
    <s v="Orbit Supply Co."/>
    <n v="7.93"/>
    <n v="14.78"/>
    <n v="39.65"/>
    <n v="46.140000000000008"/>
    <n v="0.513579697239537"/>
    <x v="13"/>
    <x v="0"/>
    <x v="0"/>
  </r>
  <r>
    <s v="ORD-100017"/>
    <d v="2024-11-06T00:00:00"/>
    <d v="2024-11-10T00:00:00"/>
    <x v="2"/>
    <s v="Brighton"/>
    <s v="Small Business"/>
    <s v="Online"/>
    <s v="P-015"/>
    <n v="5"/>
    <n v="0.1"/>
    <n v="38.799999999999997"/>
    <n v="6.75"/>
    <x v="8"/>
    <x v="2"/>
    <s v="Luma Imports"/>
    <n v="3.3"/>
    <n v="6.13"/>
    <n v="16.5"/>
    <n v="15.549999999999997"/>
    <n v="0.40077319587628862"/>
    <x v="14"/>
    <x v="0"/>
    <x v="1"/>
  </r>
  <r>
    <s v="ORD-100018"/>
    <d v="2025-07-01T00:00:00"/>
    <d v="2025-07-02T00:00:00"/>
    <x v="1"/>
    <s v="Cambridge"/>
    <s v="Corporate"/>
    <s v="Retail Store"/>
    <s v="P-006"/>
    <n v="2"/>
    <n v="0.1"/>
    <n v="180.98"/>
    <n v="4.2"/>
    <x v="10"/>
    <x v="0"/>
    <s v="Apex Wholesale"/>
    <n v="54.95"/>
    <n v="112.56"/>
    <n v="109.9"/>
    <n v="66.879999999999981"/>
    <n v="0.36954359597745601"/>
    <x v="4"/>
    <x v="0"/>
    <x v="0"/>
  </r>
  <r>
    <s v="ORD-100019"/>
    <d v="2025-05-10T00:00:00"/>
    <d v="2025-05-15T00:00:00"/>
    <x v="2"/>
    <s v="London"/>
    <s v="Home Office"/>
    <s v="Online"/>
    <s v="P-013"/>
    <n v="8"/>
    <n v="0"/>
    <n v="100.68"/>
    <n v="4.8600000000000003"/>
    <x v="11"/>
    <x v="2"/>
    <s v="Apex Wholesale"/>
    <n v="6.33"/>
    <n v="12.16"/>
    <n v="50.64"/>
    <n v="45.180000000000007"/>
    <n v="0.4487485101311085"/>
    <x v="1"/>
    <x v="1"/>
    <x v="0"/>
  </r>
  <r>
    <s v="ORD-100020"/>
    <d v="2024-02-04T00:00:00"/>
    <d v="2024-02-05T00:00:00"/>
    <x v="3"/>
    <s v="Newcastle"/>
    <s v="Home Office"/>
    <s v="B2B Sales"/>
    <s v="P-001"/>
    <n v="3"/>
    <n v="0"/>
    <n v="818.4"/>
    <n v="6.84"/>
    <x v="12"/>
    <x v="1"/>
    <s v="Luma Imports"/>
    <n v="173.56"/>
    <n v="286.14999999999998"/>
    <n v="520.68000000000006"/>
    <n v="290.87999999999994"/>
    <n v="0.3554252199413489"/>
    <x v="12"/>
    <x v="1"/>
    <x v="1"/>
  </r>
  <r>
    <s v="ORD-100021"/>
    <d v="2024-12-11T00:00:00"/>
    <d v="2024-12-16T00:00:00"/>
    <x v="0"/>
    <s v="Birmingham"/>
    <s v="Corporate"/>
    <s v="Online"/>
    <s v="P-013"/>
    <n v="5"/>
    <n v="0.15"/>
    <n v="77.349999999999994"/>
    <n v="6.75"/>
    <x v="11"/>
    <x v="2"/>
    <s v="Apex Wholesale"/>
    <n v="6.33"/>
    <n v="12.16"/>
    <n v="31.65"/>
    <n v="38.949999999999996"/>
    <n v="0.5035552682611506"/>
    <x v="9"/>
    <x v="2"/>
    <x v="1"/>
  </r>
  <r>
    <s v="ORD-100022"/>
    <d v="2025-06-18T00:00:00"/>
    <d v="2025-06-22T00:00:00"/>
    <x v="3"/>
    <s v="Newcastle"/>
    <s v="Small Business"/>
    <s v="Online"/>
    <s v="P-005"/>
    <n v="1"/>
    <n v="0"/>
    <n v="54.36"/>
    <n v="3.45"/>
    <x v="13"/>
    <x v="0"/>
    <s v="Apex Wholesale"/>
    <n v="25.33"/>
    <n v="51.56"/>
    <n v="25.33"/>
    <n v="25.580000000000002"/>
    <n v="0.47056659308314941"/>
    <x v="0"/>
    <x v="1"/>
    <x v="0"/>
  </r>
  <r>
    <s v="ORD-100023"/>
    <d v="2024-08-20T00:00:00"/>
    <d v="2024-08-21T00:00:00"/>
    <x v="1"/>
    <s v="Peterborough"/>
    <s v="Small Business"/>
    <s v="B2B Sales"/>
    <s v="P-004"/>
    <n v="2"/>
    <n v="0"/>
    <n v="215.64"/>
    <n v="9.1"/>
    <x v="5"/>
    <x v="1"/>
    <s v="Cedar Distribution"/>
    <n v="63.6"/>
    <n v="107.94"/>
    <n v="127.2"/>
    <n v="79.339999999999989"/>
    <n v="0.36792802819514003"/>
    <x v="7"/>
    <x v="1"/>
    <x v="1"/>
  </r>
  <r>
    <s v="ORD-100024"/>
    <d v="2024-11-09T00:00:00"/>
    <d v="2024-11-15T00:00:00"/>
    <x v="3"/>
    <s v="Leeds"/>
    <s v="Home Office"/>
    <s v="Online"/>
    <s v="P-009"/>
    <n v="1"/>
    <n v="0.2"/>
    <n v="131.57"/>
    <n v="3.45"/>
    <x v="0"/>
    <x v="0"/>
    <s v="Apex Wholesale"/>
    <n v="63.69"/>
    <n v="125.5"/>
    <n v="63.69"/>
    <n v="64.429999999999993"/>
    <n v="0.48970129968837878"/>
    <x v="14"/>
    <x v="2"/>
    <x v="1"/>
  </r>
  <r>
    <s v="ORD-100025"/>
    <d v="2025-04-20T00:00:00"/>
    <d v="2025-04-22T00:00:00"/>
    <x v="0"/>
    <s v="Liverpool"/>
    <s v="Corporate"/>
    <s v="B2B Sales"/>
    <s v="P-013"/>
    <n v="7"/>
    <n v="0"/>
    <n v="87.34"/>
    <n v="4.59"/>
    <x v="11"/>
    <x v="2"/>
    <s v="Apex Wholesale"/>
    <n v="6.33"/>
    <n v="12.16"/>
    <n v="44.31"/>
    <n v="38.44"/>
    <n v="0.44011907487978014"/>
    <x v="15"/>
    <x v="1"/>
    <x v="0"/>
  </r>
  <r>
    <s v="ORD-100026"/>
    <d v="2025-06-22T00:00:00"/>
    <d v="2025-06-28T00:00:00"/>
    <x v="2"/>
    <s v="Brighton"/>
    <s v="Home Office"/>
    <s v="Online"/>
    <s v="P-011"/>
    <n v="7"/>
    <n v="0"/>
    <n v="105.51"/>
    <n v="7.65"/>
    <x v="9"/>
    <x v="2"/>
    <s v="Orbit Supply Co."/>
    <n v="7.93"/>
    <n v="14.78"/>
    <n v="55.51"/>
    <n v="42.350000000000009"/>
    <n v="0.40138375509430391"/>
    <x v="0"/>
    <x v="1"/>
    <x v="0"/>
  </r>
  <r>
    <s v="ORD-100027"/>
    <d v="2025-08-07T00:00:00"/>
    <d v="2025-08-13T00:00:00"/>
    <x v="3"/>
    <s v="Newcastle"/>
    <s v="Home Office"/>
    <s v="Online"/>
    <s v="P-013"/>
    <n v="11"/>
    <n v="0.05"/>
    <n v="119.24"/>
    <n v="9.4499999999999993"/>
    <x v="11"/>
    <x v="2"/>
    <s v="Apex Wholesale"/>
    <n v="6.33"/>
    <n v="12.16"/>
    <n v="69.63"/>
    <n v="40.159999999999997"/>
    <n v="0.33679973163367993"/>
    <x v="6"/>
    <x v="0"/>
    <x v="0"/>
  </r>
  <r>
    <s v="ORD-100028"/>
    <d v="2024-07-09T00:00:00"/>
    <d v="2024-07-15T00:00:00"/>
    <x v="2"/>
    <s v="Bristol"/>
    <s v="Home Office"/>
    <s v="Retail Store"/>
    <s v="P-003"/>
    <n v="2"/>
    <n v="0"/>
    <n v="208.22"/>
    <n v="9.1"/>
    <x v="1"/>
    <x v="1"/>
    <s v="Orbit Supply Co."/>
    <n v="71.489999999999995"/>
    <n v="112.88"/>
    <n v="142.97999999999999"/>
    <n v="56.140000000000008"/>
    <n v="0.26961867255787153"/>
    <x v="16"/>
    <x v="1"/>
    <x v="1"/>
  </r>
  <r>
    <s v="ORD-100029"/>
    <d v="2025-03-20T00:00:00"/>
    <d v="2025-03-26T00:00:00"/>
    <x v="1"/>
    <s v="Norwich"/>
    <s v="Small Business"/>
    <s v="Retail Store"/>
    <s v="P-015"/>
    <n v="13"/>
    <n v="0"/>
    <n v="72.319999999999993"/>
    <n v="10.35"/>
    <x v="8"/>
    <x v="2"/>
    <s v="Luma Imports"/>
    <n v="3.3"/>
    <n v="6.13"/>
    <n v="42.9"/>
    <n v="19.069999999999993"/>
    <n v="0.26368915929203535"/>
    <x v="2"/>
    <x v="1"/>
    <x v="0"/>
  </r>
  <r>
    <s v="ORD-100030"/>
    <d v="2024-07-19T00:00:00"/>
    <d v="2024-07-24T00:00:00"/>
    <x v="0"/>
    <s v="Cardiff"/>
    <s v="Corporate"/>
    <s v="Online"/>
    <s v="P-007"/>
    <n v="2"/>
    <n v="0"/>
    <n v="100.74"/>
    <n v="7"/>
    <x v="7"/>
    <x v="0"/>
    <s v="Luma Imports"/>
    <n v="31.34"/>
    <n v="56.49"/>
    <n v="62.68"/>
    <n v="31.059999999999995"/>
    <n v="0.308318443517967"/>
    <x v="16"/>
    <x v="1"/>
    <x v="1"/>
  </r>
  <r>
    <s v="ORD-100031"/>
    <d v="2024-10-17T00:00:00"/>
    <d v="2024-10-19T00:00:00"/>
    <x v="0"/>
    <s v="Birmingham"/>
    <s v="Corporate"/>
    <s v="B2B Sales"/>
    <s v="P-006"/>
    <n v="4"/>
    <n v="0"/>
    <n v="540.23"/>
    <n v="5.7"/>
    <x v="10"/>
    <x v="0"/>
    <s v="Apex Wholesale"/>
    <n v="54.95"/>
    <n v="112.56"/>
    <n v="219.8"/>
    <n v="314.73"/>
    <n v="0.58258519519463936"/>
    <x v="3"/>
    <x v="1"/>
    <x v="1"/>
  </r>
  <r>
    <s v="ORD-100032"/>
    <d v="2024-05-01T00:00:00"/>
    <d v="2024-05-06T00:00:00"/>
    <x v="1"/>
    <s v="Cambridge"/>
    <s v="Home Office"/>
    <s v="B2B Sales"/>
    <s v="P-001"/>
    <n v="2"/>
    <n v="0"/>
    <n v="563.76"/>
    <n v="9.1"/>
    <x v="12"/>
    <x v="1"/>
    <s v="Luma Imports"/>
    <n v="173.56"/>
    <n v="286.14999999999998"/>
    <n v="347.12"/>
    <n v="207.54"/>
    <n v="0.36813537675606639"/>
    <x v="8"/>
    <x v="1"/>
    <x v="1"/>
  </r>
  <r>
    <s v="ORD-100033"/>
    <d v="2025-08-06T00:00:00"/>
    <d v="2025-08-12T00:00:00"/>
    <x v="3"/>
    <s v="Manchester"/>
    <s v="Home Office"/>
    <s v="Retail Store"/>
    <s v="P-006"/>
    <n v="2"/>
    <n v="0"/>
    <n v="212.29"/>
    <n v="4.2"/>
    <x v="10"/>
    <x v="0"/>
    <s v="Apex Wholesale"/>
    <n v="54.95"/>
    <n v="112.56"/>
    <n v="109.9"/>
    <n v="98.189999999999984"/>
    <n v="0.46252767440764986"/>
    <x v="6"/>
    <x v="1"/>
    <x v="0"/>
  </r>
  <r>
    <s v="ORD-100034"/>
    <d v="2025-09-26T00:00:00"/>
    <d v="2025-09-29T00:00:00"/>
    <x v="3"/>
    <s v="Newcastle"/>
    <s v="Home Office"/>
    <s v="Online"/>
    <s v="P-013"/>
    <n v="6"/>
    <n v="0"/>
    <n v="82.26"/>
    <n v="4.32"/>
    <x v="11"/>
    <x v="2"/>
    <s v="Apex Wholesale"/>
    <n v="6.33"/>
    <n v="12.16"/>
    <n v="37.980000000000004"/>
    <n v="39.96"/>
    <n v="0.48577680525164113"/>
    <x v="11"/>
    <x v="1"/>
    <x v="0"/>
  </r>
  <r>
    <s v="ORD-100035"/>
    <d v="2025-06-04T00:00:00"/>
    <d v="2025-06-06T00:00:00"/>
    <x v="2"/>
    <s v="Brighton"/>
    <s v="Small Business"/>
    <s v="Retail Store"/>
    <s v="P-007"/>
    <n v="2"/>
    <n v="0.15"/>
    <n v="103.72"/>
    <n v="4.2"/>
    <x v="7"/>
    <x v="0"/>
    <s v="Luma Imports"/>
    <n v="31.34"/>
    <n v="56.49"/>
    <n v="62.68"/>
    <n v="36.839999999999996"/>
    <n v="0.3551870420362514"/>
    <x v="0"/>
    <x v="2"/>
    <x v="0"/>
  </r>
  <r>
    <s v="ORD-100036"/>
    <d v="2024-06-21T00:00:00"/>
    <d v="2024-06-23T00:00:00"/>
    <x v="1"/>
    <s v="Peterborough"/>
    <s v="Corporate"/>
    <s v="B2B Sales"/>
    <s v="P-003"/>
    <n v="2"/>
    <n v="0.15"/>
    <n v="194.03"/>
    <n v="9.1"/>
    <x v="1"/>
    <x v="1"/>
    <s v="Orbit Supply Co."/>
    <n v="71.489999999999995"/>
    <n v="112.88"/>
    <n v="142.97999999999999"/>
    <n v="41.95000000000001"/>
    <n v="0.21620367984332325"/>
    <x v="17"/>
    <x v="2"/>
    <x v="1"/>
  </r>
  <r>
    <s v="ORD-100037"/>
    <d v="2024-01-19T00:00:00"/>
    <d v="2024-01-25T00:00:00"/>
    <x v="1"/>
    <s v="Norwich"/>
    <s v="Home Office"/>
    <s v="Online"/>
    <s v="P-005"/>
    <n v="3"/>
    <n v="0"/>
    <n v="139.54"/>
    <n v="4.95"/>
    <x v="13"/>
    <x v="0"/>
    <s v="Apex Wholesale"/>
    <n v="25.33"/>
    <n v="51.56"/>
    <n v="75.989999999999995"/>
    <n v="58.599999999999994"/>
    <n v="0.41995126845349001"/>
    <x v="18"/>
    <x v="1"/>
    <x v="1"/>
  </r>
  <r>
    <s v="ORD-100038"/>
    <d v="2025-08-01T00:00:00"/>
    <d v="2025-08-03T00:00:00"/>
    <x v="1"/>
    <s v="Norwich"/>
    <s v="Home Office"/>
    <s v="Online"/>
    <s v="P-002"/>
    <n v="1"/>
    <n v="0"/>
    <n v="183.76"/>
    <n v="4.08"/>
    <x v="2"/>
    <x v="1"/>
    <s v="Vertex Trade"/>
    <n v="119.02"/>
    <n v="205.39"/>
    <n v="119.02"/>
    <n v="60.66"/>
    <n v="0.33010448410970833"/>
    <x v="6"/>
    <x v="1"/>
    <x v="0"/>
  </r>
  <r>
    <s v="ORD-100039"/>
    <d v="2025-05-31T00:00:00"/>
    <d v="2025-06-02T00:00:00"/>
    <x v="0"/>
    <s v="Liverpool"/>
    <s v="Home Office"/>
    <s v="B2B Sales"/>
    <s v="P-012"/>
    <n v="14"/>
    <n v="0"/>
    <n v="125.02"/>
    <n v="6.48"/>
    <x v="14"/>
    <x v="2"/>
    <s v="Luma Imports"/>
    <n v="4.5"/>
    <n v="8.2899999999999991"/>
    <n v="63"/>
    <n v="55.539999999999992"/>
    <n v="0.44424892017277229"/>
    <x v="1"/>
    <x v="1"/>
    <x v="0"/>
  </r>
  <r>
    <s v="ORD-100040"/>
    <d v="2025-09-14T00:00:00"/>
    <d v="2025-09-20T00:00:00"/>
    <x v="3"/>
    <s v="Leeds"/>
    <s v="Small Business"/>
    <s v="B2B Sales"/>
    <s v="P-011"/>
    <n v="12"/>
    <n v="0.25"/>
    <n v="138.78"/>
    <n v="9.9"/>
    <x v="9"/>
    <x v="2"/>
    <s v="Orbit Supply Co."/>
    <n v="7.93"/>
    <n v="14.78"/>
    <n v="95.16"/>
    <n v="33.720000000000006"/>
    <n v="0.24297449200172941"/>
    <x v="11"/>
    <x v="3"/>
    <x v="0"/>
  </r>
  <r>
    <s v="ORD-100041"/>
    <d v="2025-07-27T00:00:00"/>
    <d v="2025-08-01T00:00:00"/>
    <x v="0"/>
    <s v="Birmingham"/>
    <s v="Home Office"/>
    <s v="B2B Sales"/>
    <s v="P-012"/>
    <n v="16"/>
    <n v="0"/>
    <n v="124.22"/>
    <n v="7.02"/>
    <x v="14"/>
    <x v="2"/>
    <s v="Luma Imports"/>
    <n v="4.5"/>
    <n v="8.2899999999999991"/>
    <n v="72"/>
    <n v="45.2"/>
    <n v="0.36387055224601517"/>
    <x v="4"/>
    <x v="1"/>
    <x v="0"/>
  </r>
  <r>
    <s v="ORD-100042"/>
    <d v="2024-05-14T00:00:00"/>
    <d v="2024-05-20T00:00:00"/>
    <x v="0"/>
    <s v="Birmingham"/>
    <s v="Corporate"/>
    <s v="Retail Store"/>
    <s v="P-011"/>
    <n v="12"/>
    <n v="0.1"/>
    <n v="168.75"/>
    <n v="9.9"/>
    <x v="9"/>
    <x v="2"/>
    <s v="Orbit Supply Co."/>
    <n v="7.93"/>
    <n v="14.78"/>
    <n v="95.16"/>
    <n v="63.690000000000005"/>
    <n v="0.37742222222222227"/>
    <x v="8"/>
    <x v="0"/>
    <x v="1"/>
  </r>
  <r>
    <s v="ORD-100043"/>
    <d v="2025-05-27T00:00:00"/>
    <d v="2025-06-02T00:00:00"/>
    <x v="0"/>
    <s v="Cardiff"/>
    <s v="Small Business"/>
    <s v="Online"/>
    <s v="P-008"/>
    <n v="2"/>
    <n v="0"/>
    <n v="403.52"/>
    <n v="4.2"/>
    <x v="6"/>
    <x v="0"/>
    <s v="Vertex Trade"/>
    <n v="112.09"/>
    <n v="192.47"/>
    <n v="224.18"/>
    <n v="175.14"/>
    <n v="0.43403053132434577"/>
    <x v="1"/>
    <x v="1"/>
    <x v="0"/>
  </r>
  <r>
    <s v="ORD-100044"/>
    <d v="2025-04-29T00:00:00"/>
    <d v="2025-05-05T00:00:00"/>
    <x v="0"/>
    <s v="Cardiff"/>
    <s v="Corporate"/>
    <s v="Retail Store"/>
    <s v="P-012"/>
    <n v="5"/>
    <n v="0"/>
    <n v="39.51"/>
    <n v="4.05"/>
    <x v="14"/>
    <x v="2"/>
    <s v="Luma Imports"/>
    <n v="4.5"/>
    <n v="8.2899999999999991"/>
    <n v="22.5"/>
    <n v="12.959999999999997"/>
    <n v="0.3280182232346241"/>
    <x v="15"/>
    <x v="1"/>
    <x v="0"/>
  </r>
  <r>
    <s v="ORD-100045"/>
    <d v="2025-11-21T00:00:00"/>
    <d v="2025-11-22T00:00:00"/>
    <x v="2"/>
    <s v="London"/>
    <s v="Home Office"/>
    <s v="B2B Sales"/>
    <s v="P-003"/>
    <n v="2"/>
    <n v="0"/>
    <n v="289.05"/>
    <n v="9.1"/>
    <x v="1"/>
    <x v="1"/>
    <s v="Orbit Supply Co."/>
    <n v="71.489999999999995"/>
    <n v="112.88"/>
    <n v="142.97999999999999"/>
    <n v="136.97000000000003"/>
    <n v="0.47386265352015228"/>
    <x v="19"/>
    <x v="1"/>
    <x v="0"/>
  </r>
  <r>
    <s v="ORD-100046"/>
    <d v="2025-07-03T00:00:00"/>
    <d v="2025-07-07T00:00:00"/>
    <x v="2"/>
    <s v="London"/>
    <s v="Small Business"/>
    <s v="Retail Store"/>
    <s v="P-005"/>
    <n v="3"/>
    <n v="0.1"/>
    <n v="134.59"/>
    <n v="4.95"/>
    <x v="13"/>
    <x v="0"/>
    <s v="Apex Wholesale"/>
    <n v="25.33"/>
    <n v="51.56"/>
    <n v="75.989999999999995"/>
    <n v="53.650000000000006"/>
    <n v="0.39861802511330713"/>
    <x v="4"/>
    <x v="0"/>
    <x v="0"/>
  </r>
  <r>
    <s v="ORD-100047"/>
    <d v="2024-08-01T00:00:00"/>
    <d v="2024-08-04T00:00:00"/>
    <x v="3"/>
    <s v="Manchester"/>
    <s v="Corporate"/>
    <s v="B2B Sales"/>
    <s v="P-005"/>
    <n v="4"/>
    <n v="0"/>
    <n v="189.62"/>
    <n v="9.5"/>
    <x v="13"/>
    <x v="0"/>
    <s v="Apex Wholesale"/>
    <n v="25.33"/>
    <n v="51.56"/>
    <n v="101.32"/>
    <n v="78.800000000000011"/>
    <n v="0.41556797806138596"/>
    <x v="7"/>
    <x v="1"/>
    <x v="1"/>
  </r>
  <r>
    <s v="ORD-100048"/>
    <d v="2024-12-25T00:00:00"/>
    <d v="2024-12-29T00:00:00"/>
    <x v="1"/>
    <s v="Peterborough"/>
    <s v="Corporate"/>
    <s v="Online"/>
    <s v="P-013"/>
    <n v="11"/>
    <n v="0.15"/>
    <n v="167.62"/>
    <n v="5.67"/>
    <x v="11"/>
    <x v="2"/>
    <s v="Apex Wholesale"/>
    <n v="6.33"/>
    <n v="12.16"/>
    <n v="69.63"/>
    <n v="92.320000000000007"/>
    <n v="0.55076959790001201"/>
    <x v="9"/>
    <x v="2"/>
    <x v="1"/>
  </r>
  <r>
    <s v="ORD-100049"/>
    <d v="2025-04-17T00:00:00"/>
    <d v="2025-04-20T00:00:00"/>
    <x v="1"/>
    <s v="Cambridge"/>
    <s v="Corporate"/>
    <s v="Retail Store"/>
    <s v="P-009"/>
    <n v="3"/>
    <n v="0"/>
    <n v="360.26"/>
    <n v="4.95"/>
    <x v="0"/>
    <x v="0"/>
    <s v="Apex Wholesale"/>
    <n v="63.69"/>
    <n v="125.5"/>
    <n v="191.07"/>
    <n v="164.24"/>
    <n v="0.45589296619108427"/>
    <x v="15"/>
    <x v="1"/>
    <x v="0"/>
  </r>
  <r>
    <s v="ORD-100050"/>
    <d v="2025-01-12T00:00:00"/>
    <d v="2025-01-14T00:00:00"/>
    <x v="3"/>
    <s v="Manchester"/>
    <s v="Home Office"/>
    <s v="B2B Sales"/>
    <s v="P-015"/>
    <n v="13"/>
    <n v="0"/>
    <n v="69.59"/>
    <n v="10.35"/>
    <x v="8"/>
    <x v="2"/>
    <s v="Luma Imports"/>
    <n v="3.3"/>
    <n v="6.13"/>
    <n v="42.9"/>
    <n v="16.340000000000003"/>
    <n v="0.23480385112803567"/>
    <x v="20"/>
    <x v="1"/>
    <x v="0"/>
  </r>
  <r>
    <s v="ORD-100051"/>
    <d v="2024-11-15T00:00:00"/>
    <d v="2024-11-19T00:00:00"/>
    <x v="0"/>
    <s v="Birmingham"/>
    <s v="Corporate"/>
    <s v="B2B Sales"/>
    <s v="P-001"/>
    <n v="1"/>
    <n v="0.1"/>
    <n v="350.29"/>
    <n v="4.08"/>
    <x v="12"/>
    <x v="1"/>
    <s v="Luma Imports"/>
    <n v="173.56"/>
    <n v="286.14999999999998"/>
    <n v="173.56"/>
    <n v="172.65"/>
    <n v="0.49287733021210994"/>
    <x v="14"/>
    <x v="0"/>
    <x v="1"/>
  </r>
  <r>
    <s v="ORD-100052"/>
    <d v="2025-08-03T00:00:00"/>
    <d v="2025-08-04T00:00:00"/>
    <x v="1"/>
    <s v="Cambridge"/>
    <s v="Home Office"/>
    <s v="B2B Sales"/>
    <s v="P-007"/>
    <n v="1"/>
    <n v="0.05"/>
    <n v="48.28"/>
    <n v="3.45"/>
    <x v="7"/>
    <x v="0"/>
    <s v="Luma Imports"/>
    <n v="31.34"/>
    <n v="56.49"/>
    <n v="31.34"/>
    <n v="13.490000000000002"/>
    <n v="0.27941176470588241"/>
    <x v="6"/>
    <x v="0"/>
    <x v="0"/>
  </r>
  <r>
    <s v="ORD-100053"/>
    <d v="2024-05-05T00:00:00"/>
    <d v="2024-05-08T00:00:00"/>
    <x v="3"/>
    <s v="Leeds"/>
    <s v="Small Business"/>
    <s v="Retail Store"/>
    <s v="P-004"/>
    <n v="1"/>
    <n v="0"/>
    <n v="108.96"/>
    <n v="6.8"/>
    <x v="5"/>
    <x v="1"/>
    <s v="Cedar Distribution"/>
    <n v="63.6"/>
    <n v="107.94"/>
    <n v="63.6"/>
    <n v="38.559999999999995"/>
    <n v="0.35389133627019087"/>
    <x v="8"/>
    <x v="1"/>
    <x v="1"/>
  </r>
  <r>
    <s v="ORD-100054"/>
    <d v="2024-04-27T00:00:00"/>
    <d v="2024-04-30T00:00:00"/>
    <x v="0"/>
    <s v="Cardiff"/>
    <s v="Small Business"/>
    <s v="Retail Store"/>
    <s v="P-004"/>
    <n v="4"/>
    <n v="0.25"/>
    <n v="333.46"/>
    <n v="13.7"/>
    <x v="5"/>
    <x v="1"/>
    <s v="Cedar Distribution"/>
    <n v="63.6"/>
    <n v="107.94"/>
    <n v="254.4"/>
    <n v="65.359999999999971"/>
    <n v="0.1960055179031967"/>
    <x v="21"/>
    <x v="3"/>
    <x v="1"/>
  </r>
  <r>
    <s v="ORD-100055"/>
    <d v="2025-12-01T00:00:00"/>
    <d v="2025-12-03T00:00:00"/>
    <x v="3"/>
    <s v="Leeds"/>
    <s v="Small Business"/>
    <s v="Retail Store"/>
    <s v="P-009"/>
    <n v="4"/>
    <n v="0"/>
    <n v="688.1"/>
    <n v="5.7"/>
    <x v="0"/>
    <x v="0"/>
    <s v="Apex Wholesale"/>
    <n v="63.69"/>
    <n v="125.5"/>
    <n v="254.76"/>
    <n v="427.64000000000004"/>
    <n v="0.62147943612846979"/>
    <x v="13"/>
    <x v="1"/>
    <x v="0"/>
  </r>
  <r>
    <s v="ORD-100056"/>
    <d v="2025-12-29T00:00:00"/>
    <d v="2026-01-02T00:00:00"/>
    <x v="2"/>
    <s v="Bristol"/>
    <s v="Corporate"/>
    <s v="B2B Sales"/>
    <s v="P-010"/>
    <n v="10"/>
    <n v="0"/>
    <n v="90.14"/>
    <n v="5.4"/>
    <x v="4"/>
    <x v="2"/>
    <s v="Orbit Supply Co."/>
    <n v="3.62"/>
    <n v="6.03"/>
    <n v="36.200000000000003"/>
    <n v="48.54"/>
    <n v="0.53849567339693805"/>
    <x v="13"/>
    <x v="1"/>
    <x v="0"/>
  </r>
  <r>
    <s v="ORD-100057"/>
    <d v="2024-07-19T00:00:00"/>
    <d v="2024-07-22T00:00:00"/>
    <x v="1"/>
    <s v="Norwich"/>
    <s v="Corporate"/>
    <s v="Retail Store"/>
    <s v="P-001"/>
    <n v="3"/>
    <n v="0.2"/>
    <n v="642.79"/>
    <n v="11.4"/>
    <x v="12"/>
    <x v="1"/>
    <s v="Luma Imports"/>
    <n v="173.56"/>
    <n v="286.14999999999998"/>
    <n v="520.68000000000006"/>
    <n v="110.70999999999989"/>
    <n v="0.17223354439241417"/>
    <x v="16"/>
    <x v="2"/>
    <x v="1"/>
  </r>
  <r>
    <s v="ORD-100058"/>
    <d v="2024-03-31T00:00:00"/>
    <d v="2024-04-01T00:00:00"/>
    <x v="0"/>
    <s v="Birmingham"/>
    <s v="Home Office"/>
    <s v="Online"/>
    <s v="P-007"/>
    <n v="2"/>
    <n v="0.05"/>
    <n v="103.07"/>
    <n v="7"/>
    <x v="7"/>
    <x v="0"/>
    <s v="Luma Imports"/>
    <n v="31.34"/>
    <n v="56.49"/>
    <n v="62.68"/>
    <n v="33.389999999999993"/>
    <n v="0.32395459396526627"/>
    <x v="10"/>
    <x v="0"/>
    <x v="1"/>
  </r>
  <r>
    <s v="ORD-100059"/>
    <d v="2025-04-10T00:00:00"/>
    <d v="2025-04-15T00:00:00"/>
    <x v="1"/>
    <s v="Peterborough"/>
    <s v="Corporate"/>
    <s v="Online"/>
    <s v="P-011"/>
    <n v="18"/>
    <n v="0.2"/>
    <n v="218.45"/>
    <n v="12.6"/>
    <x v="9"/>
    <x v="2"/>
    <s v="Orbit Supply Co."/>
    <n v="7.93"/>
    <n v="14.78"/>
    <n v="142.74"/>
    <n v="63.109999999999978"/>
    <n v="0.28889906157015327"/>
    <x v="15"/>
    <x v="2"/>
    <x v="0"/>
  </r>
  <r>
    <s v="ORD-100060"/>
    <d v="2024-07-10T00:00:00"/>
    <d v="2024-07-13T00:00:00"/>
    <x v="0"/>
    <s v="Birmingham"/>
    <s v="Home Office"/>
    <s v="Online"/>
    <s v="P-006"/>
    <n v="4"/>
    <n v="0.1"/>
    <n v="388.28"/>
    <n v="9.5"/>
    <x v="10"/>
    <x v="0"/>
    <s v="Apex Wholesale"/>
    <n v="54.95"/>
    <n v="112.56"/>
    <n v="219.8"/>
    <n v="158.97999999999996"/>
    <n v="0.40944679097558456"/>
    <x v="16"/>
    <x v="0"/>
    <x v="1"/>
  </r>
  <r>
    <s v="ORD-100061"/>
    <d v="2024-03-30T00:00:00"/>
    <d v="2024-04-01T00:00:00"/>
    <x v="0"/>
    <s v="Birmingham"/>
    <s v="Corporate"/>
    <s v="Online"/>
    <s v="P-009"/>
    <n v="2"/>
    <n v="0.1"/>
    <n v="205.52"/>
    <n v="4.2"/>
    <x v="0"/>
    <x v="0"/>
    <s v="Apex Wholesale"/>
    <n v="63.69"/>
    <n v="125.5"/>
    <n v="127.38"/>
    <n v="73.940000000000012"/>
    <n v="0.35977033865317248"/>
    <x v="10"/>
    <x v="0"/>
    <x v="1"/>
  </r>
  <r>
    <s v="ORD-100062"/>
    <d v="2025-10-17T00:00:00"/>
    <d v="2025-10-20T00:00:00"/>
    <x v="3"/>
    <s v="Leeds"/>
    <s v="Small Business"/>
    <s v="Retail Store"/>
    <s v="P-007"/>
    <n v="2"/>
    <n v="0"/>
    <n v="137.1"/>
    <n v="4.2"/>
    <x v="7"/>
    <x v="0"/>
    <s v="Luma Imports"/>
    <n v="31.34"/>
    <n v="56.49"/>
    <n v="62.68"/>
    <n v="70.219999999999985"/>
    <n v="0.51218088986141497"/>
    <x v="22"/>
    <x v="1"/>
    <x v="0"/>
  </r>
  <r>
    <s v="ORD-100063"/>
    <d v="2024-08-01T00:00:00"/>
    <d v="2024-08-05T00:00:00"/>
    <x v="1"/>
    <s v="Norwich"/>
    <s v="Small Business"/>
    <s v="Online"/>
    <s v="P-007"/>
    <n v="2"/>
    <n v="0"/>
    <n v="102.53"/>
    <n v="4.2"/>
    <x v="7"/>
    <x v="0"/>
    <s v="Luma Imports"/>
    <n v="31.34"/>
    <n v="56.49"/>
    <n v="62.68"/>
    <n v="35.65"/>
    <n v="0.3477031112845021"/>
    <x v="7"/>
    <x v="1"/>
    <x v="1"/>
  </r>
  <r>
    <s v="ORD-100064"/>
    <d v="2024-04-28T00:00:00"/>
    <d v="2024-04-30T00:00:00"/>
    <x v="0"/>
    <s v="Cardiff"/>
    <s v="Corporate"/>
    <s v="Retail Store"/>
    <s v="P-005"/>
    <n v="3"/>
    <n v="0"/>
    <n v="151.93"/>
    <n v="4.95"/>
    <x v="13"/>
    <x v="0"/>
    <s v="Apex Wholesale"/>
    <n v="25.33"/>
    <n v="51.56"/>
    <n v="75.989999999999995"/>
    <n v="70.990000000000009"/>
    <n v="0.46725465674981903"/>
    <x v="21"/>
    <x v="1"/>
    <x v="1"/>
  </r>
  <r>
    <s v="ORD-100065"/>
    <d v="2024-04-20T00:00:00"/>
    <d v="2024-04-25T00:00:00"/>
    <x v="0"/>
    <s v="Cardiff"/>
    <s v="Small Business"/>
    <s v="Online"/>
    <s v="P-001"/>
    <n v="2"/>
    <n v="0.2"/>
    <n v="445.61"/>
    <n v="5.46"/>
    <x v="12"/>
    <x v="1"/>
    <s v="Luma Imports"/>
    <n v="173.56"/>
    <n v="286.14999999999998"/>
    <n v="347.12"/>
    <n v="93.030000000000015"/>
    <n v="0.20877000067323448"/>
    <x v="21"/>
    <x v="2"/>
    <x v="1"/>
  </r>
  <r>
    <s v="ORD-100066"/>
    <d v="2024-12-20T00:00:00"/>
    <d v="2024-12-24T00:00:00"/>
    <x v="3"/>
    <s v="Newcastle"/>
    <s v="Corporate"/>
    <s v="B2B Sales"/>
    <s v="P-009"/>
    <n v="1"/>
    <n v="0"/>
    <n v="189.61"/>
    <n v="5.75"/>
    <x v="0"/>
    <x v="0"/>
    <s v="Apex Wholesale"/>
    <n v="63.69"/>
    <n v="125.5"/>
    <n v="63.69"/>
    <n v="120.17000000000002"/>
    <n v="0.63377458994778757"/>
    <x v="9"/>
    <x v="1"/>
    <x v="1"/>
  </r>
  <r>
    <s v="ORD-100067"/>
    <d v="2024-11-04T00:00:00"/>
    <d v="2024-11-09T00:00:00"/>
    <x v="0"/>
    <s v="Liverpool"/>
    <s v="Home Office"/>
    <s v="Online"/>
    <s v="P-006"/>
    <n v="4"/>
    <n v="0"/>
    <n v="600.30999999999995"/>
    <n v="9.5"/>
    <x v="10"/>
    <x v="0"/>
    <s v="Apex Wholesale"/>
    <n v="54.95"/>
    <n v="112.56"/>
    <n v="219.8"/>
    <n v="371.00999999999993"/>
    <n v="0.61803068414652429"/>
    <x v="14"/>
    <x v="1"/>
    <x v="1"/>
  </r>
  <r>
    <s v="ORD-100068"/>
    <d v="2024-07-11T00:00:00"/>
    <d v="2024-07-13T00:00:00"/>
    <x v="1"/>
    <s v="Norwich"/>
    <s v="Corporate"/>
    <s v="Retail Store"/>
    <s v="P-003"/>
    <n v="4"/>
    <n v="0"/>
    <n v="405.27"/>
    <n v="8.2200000000000006"/>
    <x v="1"/>
    <x v="1"/>
    <s v="Orbit Supply Co."/>
    <n v="71.489999999999995"/>
    <n v="112.88"/>
    <n v="285.95999999999998"/>
    <n v="111.09"/>
    <n v="0.27411355392701164"/>
    <x v="16"/>
    <x v="1"/>
    <x v="1"/>
  </r>
  <r>
    <s v="ORD-100069"/>
    <d v="2024-12-02T00:00:00"/>
    <d v="2024-12-06T00:00:00"/>
    <x v="3"/>
    <s v="Leeds"/>
    <s v="Corporate"/>
    <s v="Online"/>
    <s v="P-001"/>
    <n v="1"/>
    <n v="0.1"/>
    <n v="376.49"/>
    <n v="6.8"/>
    <x v="12"/>
    <x v="1"/>
    <s v="Luma Imports"/>
    <n v="173.56"/>
    <n v="286.14999999999998"/>
    <n v="173.56"/>
    <n v="196.13"/>
    <n v="0.52094345135328957"/>
    <x v="9"/>
    <x v="0"/>
    <x v="1"/>
  </r>
  <r>
    <s v="ORD-100070"/>
    <d v="2024-05-10T00:00:00"/>
    <d v="2024-05-13T00:00:00"/>
    <x v="1"/>
    <s v="Norwich"/>
    <s v="Home Office"/>
    <s v="B2B Sales"/>
    <s v="P-005"/>
    <n v="4"/>
    <n v="0"/>
    <n v="218.27"/>
    <n v="9.5"/>
    <x v="13"/>
    <x v="0"/>
    <s v="Apex Wholesale"/>
    <n v="25.33"/>
    <n v="51.56"/>
    <n v="101.32"/>
    <n v="107.45000000000002"/>
    <n v="0.49228020341778539"/>
    <x v="8"/>
    <x v="1"/>
    <x v="1"/>
  </r>
  <r>
    <s v="ORD-100071"/>
    <d v="2024-03-11T00:00:00"/>
    <d v="2024-03-12T00:00:00"/>
    <x v="3"/>
    <s v="Leeds"/>
    <s v="Corporate"/>
    <s v="B2B Sales"/>
    <s v="P-006"/>
    <n v="4"/>
    <n v="0"/>
    <n v="418.07"/>
    <n v="5.7"/>
    <x v="10"/>
    <x v="0"/>
    <s v="Apex Wholesale"/>
    <n v="54.95"/>
    <n v="112.56"/>
    <n v="219.8"/>
    <n v="192.57"/>
    <n v="0.46061664314588463"/>
    <x v="10"/>
    <x v="1"/>
    <x v="1"/>
  </r>
  <r>
    <s v="ORD-100072"/>
    <d v="2024-12-11T00:00:00"/>
    <d v="2024-12-14T00:00:00"/>
    <x v="0"/>
    <s v="Birmingham"/>
    <s v="Corporate"/>
    <s v="B2B Sales"/>
    <s v="P-008"/>
    <n v="7"/>
    <n v="0"/>
    <n v="1907.78"/>
    <n v="7.95"/>
    <x v="6"/>
    <x v="0"/>
    <s v="Vertex Trade"/>
    <n v="112.09"/>
    <n v="192.47"/>
    <n v="784.63"/>
    <n v="1115.2"/>
    <n v="0.58455377454423474"/>
    <x v="9"/>
    <x v="1"/>
    <x v="1"/>
  </r>
  <r>
    <s v="ORD-100073"/>
    <d v="2025-01-18T00:00:00"/>
    <d v="2025-01-21T00:00:00"/>
    <x v="3"/>
    <s v="Newcastle"/>
    <s v="Small Business"/>
    <s v="Retail Store"/>
    <s v="P-006"/>
    <n v="4"/>
    <n v="0"/>
    <n v="413.19"/>
    <n v="5.7"/>
    <x v="10"/>
    <x v="0"/>
    <s v="Apex Wholesale"/>
    <n v="54.95"/>
    <n v="112.56"/>
    <n v="219.8"/>
    <n v="187.69"/>
    <n v="0.45424623054768992"/>
    <x v="20"/>
    <x v="1"/>
    <x v="0"/>
  </r>
  <r>
    <s v="ORD-100074"/>
    <d v="2024-04-14T00:00:00"/>
    <d v="2024-04-20T00:00:00"/>
    <x v="2"/>
    <s v="Brighton"/>
    <s v="Small Business"/>
    <s v="B2B Sales"/>
    <s v="P-006"/>
    <n v="1"/>
    <n v="0.25"/>
    <n v="83.36"/>
    <n v="5.75"/>
    <x v="10"/>
    <x v="0"/>
    <s v="Apex Wholesale"/>
    <n v="54.95"/>
    <n v="112.56"/>
    <n v="54.95"/>
    <n v="22.659999999999997"/>
    <n v="0.27183301343570054"/>
    <x v="21"/>
    <x v="3"/>
    <x v="1"/>
  </r>
  <r>
    <s v="ORD-100075"/>
    <d v="2024-03-17T00:00:00"/>
    <d v="2024-03-18T00:00:00"/>
    <x v="0"/>
    <s v="Cardiff"/>
    <s v="Small Business"/>
    <s v="Retail Store"/>
    <s v="P-005"/>
    <n v="4"/>
    <n v="0.1"/>
    <n v="180.69"/>
    <n v="5.7"/>
    <x v="13"/>
    <x v="0"/>
    <s v="Apex Wholesale"/>
    <n v="25.33"/>
    <n v="51.56"/>
    <n v="101.32"/>
    <n v="73.67"/>
    <n v="0.40771487077314739"/>
    <x v="10"/>
    <x v="0"/>
    <x v="1"/>
  </r>
  <r>
    <s v="ORD-100076"/>
    <d v="2024-11-17T00:00:00"/>
    <d v="2024-11-23T00:00:00"/>
    <x v="2"/>
    <s v="London"/>
    <s v="Home Office"/>
    <s v="Online"/>
    <s v="P-005"/>
    <n v="3"/>
    <n v="0.2"/>
    <n v="168.04"/>
    <n v="4.95"/>
    <x v="13"/>
    <x v="0"/>
    <s v="Apex Wholesale"/>
    <n v="25.33"/>
    <n v="51.56"/>
    <n v="75.989999999999995"/>
    <n v="87.1"/>
    <n v="0.51832896929302541"/>
    <x v="14"/>
    <x v="2"/>
    <x v="1"/>
  </r>
  <r>
    <s v="ORD-100077"/>
    <d v="2025-03-23T00:00:00"/>
    <d v="2025-03-29T00:00:00"/>
    <x v="2"/>
    <s v="Bristol"/>
    <s v="Small Business"/>
    <s v="Online"/>
    <s v="P-008"/>
    <n v="3"/>
    <n v="0"/>
    <n v="530.74"/>
    <n v="4.95"/>
    <x v="6"/>
    <x v="0"/>
    <s v="Vertex Trade"/>
    <n v="112.09"/>
    <n v="192.47"/>
    <n v="336.27"/>
    <n v="189.52000000000004"/>
    <n v="0.35708633229076392"/>
    <x v="2"/>
    <x v="1"/>
    <x v="0"/>
  </r>
  <r>
    <s v="ORD-100078"/>
    <d v="2025-10-26T00:00:00"/>
    <d v="2025-10-28T00:00:00"/>
    <x v="3"/>
    <s v="Newcastle"/>
    <s v="Home Office"/>
    <s v="Online"/>
    <s v="P-005"/>
    <n v="1"/>
    <n v="0"/>
    <n v="62.22"/>
    <n v="3.45"/>
    <x v="13"/>
    <x v="0"/>
    <s v="Apex Wholesale"/>
    <n v="25.33"/>
    <n v="51.56"/>
    <n v="25.33"/>
    <n v="33.44"/>
    <n v="0.53744776599164257"/>
    <x v="22"/>
    <x v="1"/>
    <x v="0"/>
  </r>
  <r>
    <s v="ORD-100079"/>
    <d v="2025-04-01T00:00:00"/>
    <d v="2025-04-03T00:00:00"/>
    <x v="3"/>
    <s v="Manchester"/>
    <s v="Small Business"/>
    <s v="B2B Sales"/>
    <s v="P-009"/>
    <n v="2"/>
    <n v="0"/>
    <n v="248.11"/>
    <n v="7"/>
    <x v="0"/>
    <x v="0"/>
    <s v="Apex Wholesale"/>
    <n v="63.69"/>
    <n v="125.5"/>
    <n v="127.38"/>
    <n v="113.73000000000002"/>
    <n v="0.45838539357543029"/>
    <x v="15"/>
    <x v="1"/>
    <x v="0"/>
  </r>
  <r>
    <s v="ORD-100080"/>
    <d v="2025-04-05T00:00:00"/>
    <d v="2025-04-07T00:00:00"/>
    <x v="1"/>
    <s v="Peterborough"/>
    <s v="Small Business"/>
    <s v="Retail Store"/>
    <s v="P-009"/>
    <n v="1"/>
    <n v="0"/>
    <n v="123.25"/>
    <n v="3.45"/>
    <x v="0"/>
    <x v="0"/>
    <s v="Apex Wholesale"/>
    <n v="63.69"/>
    <n v="125.5"/>
    <n v="63.69"/>
    <n v="56.11"/>
    <n v="0.45525354969574033"/>
    <x v="15"/>
    <x v="1"/>
    <x v="0"/>
  </r>
  <r>
    <s v="ORD-100081"/>
    <d v="2025-11-13T00:00:00"/>
    <d v="2025-11-16T00:00:00"/>
    <x v="2"/>
    <s v="London"/>
    <s v="Home Office"/>
    <s v="Online"/>
    <s v="P-005"/>
    <n v="4"/>
    <n v="0"/>
    <n v="275.04000000000002"/>
    <n v="5.7"/>
    <x v="13"/>
    <x v="0"/>
    <s v="Apex Wholesale"/>
    <n v="25.33"/>
    <n v="51.56"/>
    <n v="101.32"/>
    <n v="168.02000000000004"/>
    <n v="0.61089296102385116"/>
    <x v="19"/>
    <x v="1"/>
    <x v="0"/>
  </r>
  <r>
    <s v="ORD-100082"/>
    <d v="2024-08-08T00:00:00"/>
    <d v="2024-08-13T00:00:00"/>
    <x v="2"/>
    <s v="Bristol"/>
    <s v="Corporate"/>
    <s v="B2B Sales"/>
    <s v="P-014"/>
    <n v="8"/>
    <n v="0"/>
    <n v="216.42"/>
    <n v="4.8600000000000003"/>
    <x v="3"/>
    <x v="2"/>
    <s v="Orbit Supply Co."/>
    <n v="16.760000000000002"/>
    <n v="27.71"/>
    <n v="134.08000000000001"/>
    <n v="77.479999999999976"/>
    <n v="0.35800757785786885"/>
    <x v="7"/>
    <x v="1"/>
    <x v="1"/>
  </r>
  <r>
    <s v="ORD-100083"/>
    <d v="2024-04-17T00:00:00"/>
    <d v="2024-04-22T00:00:00"/>
    <x v="0"/>
    <s v="Birmingham"/>
    <s v="Home Office"/>
    <s v="Retail Store"/>
    <s v="P-009"/>
    <n v="3"/>
    <n v="0.2"/>
    <n v="305.68"/>
    <n v="4.95"/>
    <x v="0"/>
    <x v="0"/>
    <s v="Apex Wholesale"/>
    <n v="63.69"/>
    <n v="125.5"/>
    <n v="191.07"/>
    <n v="109.66000000000001"/>
    <n v="0.35874116723370847"/>
    <x v="21"/>
    <x v="2"/>
    <x v="1"/>
  </r>
  <r>
    <s v="ORD-100084"/>
    <d v="2024-04-30T00:00:00"/>
    <d v="2024-05-04T00:00:00"/>
    <x v="0"/>
    <s v="Cardiff"/>
    <s v="Corporate"/>
    <s v="Online"/>
    <s v="P-003"/>
    <n v="2"/>
    <n v="0.15"/>
    <n v="188.33"/>
    <n v="5.46"/>
    <x v="1"/>
    <x v="1"/>
    <s v="Orbit Supply Co."/>
    <n v="71.489999999999995"/>
    <n v="112.88"/>
    <n v="142.97999999999999"/>
    <n v="39.890000000000022"/>
    <n v="0.21180905856740836"/>
    <x v="21"/>
    <x v="2"/>
    <x v="1"/>
  </r>
  <r>
    <s v="ORD-100085"/>
    <d v="2024-03-21T00:00:00"/>
    <d v="2024-03-22T00:00:00"/>
    <x v="0"/>
    <s v="Birmingham"/>
    <s v="Small Business"/>
    <s v="B2B Sales"/>
    <s v="P-012"/>
    <n v="5"/>
    <n v="0"/>
    <n v="39.4"/>
    <n v="6.75"/>
    <x v="14"/>
    <x v="2"/>
    <s v="Luma Imports"/>
    <n v="4.5"/>
    <n v="8.2899999999999991"/>
    <n v="22.5"/>
    <n v="10.149999999999999"/>
    <n v="0.25761421319796951"/>
    <x v="10"/>
    <x v="1"/>
    <x v="1"/>
  </r>
  <r>
    <s v="ORD-100086"/>
    <d v="2024-01-10T00:00:00"/>
    <d v="2024-01-16T00:00:00"/>
    <x v="1"/>
    <s v="Cambridge"/>
    <s v="Home Office"/>
    <s v="Online"/>
    <s v="P-010"/>
    <n v="6"/>
    <n v="0"/>
    <n v="30.7"/>
    <n v="4.32"/>
    <x v="4"/>
    <x v="2"/>
    <s v="Orbit Supply Co."/>
    <n v="3.62"/>
    <n v="6.03"/>
    <n v="21.72"/>
    <n v="4.66"/>
    <n v="0.15179153094462541"/>
    <x v="18"/>
    <x v="1"/>
    <x v="1"/>
  </r>
  <r>
    <s v="ORD-100087"/>
    <d v="2025-09-12T00:00:00"/>
    <d v="2025-09-17T00:00:00"/>
    <x v="0"/>
    <s v="Birmingham"/>
    <s v="Small Business"/>
    <s v="B2B Sales"/>
    <s v="P-005"/>
    <n v="2"/>
    <n v="0.25"/>
    <n v="81.63"/>
    <n v="7"/>
    <x v="13"/>
    <x v="0"/>
    <s v="Apex Wholesale"/>
    <n v="25.33"/>
    <n v="51.56"/>
    <n v="50.66"/>
    <n v="23.97"/>
    <n v="0.29364204336640942"/>
    <x v="11"/>
    <x v="3"/>
    <x v="0"/>
  </r>
  <r>
    <s v="ORD-100088"/>
    <d v="2025-03-31T00:00:00"/>
    <d v="2025-04-01T00:00:00"/>
    <x v="0"/>
    <s v="Birmingham"/>
    <s v="Small Business"/>
    <s v="Retail Store"/>
    <s v="P-008"/>
    <n v="4"/>
    <n v="0.1"/>
    <n v="627.72"/>
    <n v="9.5"/>
    <x v="6"/>
    <x v="0"/>
    <s v="Vertex Trade"/>
    <n v="112.09"/>
    <n v="192.47"/>
    <n v="448.36"/>
    <n v="169.86"/>
    <n v="0.27059835595488435"/>
    <x v="2"/>
    <x v="0"/>
    <x v="0"/>
  </r>
  <r>
    <s v="ORD-100089"/>
    <d v="2025-08-06T00:00:00"/>
    <d v="2025-08-09T00:00:00"/>
    <x v="1"/>
    <s v="Cambridge"/>
    <s v="Small Business"/>
    <s v="B2B Sales"/>
    <s v="P-008"/>
    <n v="1"/>
    <n v="0.25"/>
    <n v="131.94999999999999"/>
    <n v="5.75"/>
    <x v="6"/>
    <x v="0"/>
    <s v="Vertex Trade"/>
    <n v="112.09"/>
    <n v="192.47"/>
    <n v="112.09"/>
    <n v="14.109999999999985"/>
    <n v="0.10693444486547925"/>
    <x v="6"/>
    <x v="3"/>
    <x v="0"/>
  </r>
  <r>
    <s v="ORD-100090"/>
    <d v="2025-02-26T00:00:00"/>
    <d v="2025-03-02T00:00:00"/>
    <x v="3"/>
    <s v="Leeds"/>
    <s v="Small Business"/>
    <s v="Online"/>
    <s v="P-007"/>
    <n v="3"/>
    <n v="0"/>
    <n v="145.55000000000001"/>
    <n v="8.25"/>
    <x v="7"/>
    <x v="0"/>
    <s v="Luma Imports"/>
    <n v="31.34"/>
    <n v="56.49"/>
    <n v="94.02"/>
    <n v="43.280000000000015"/>
    <n v="0.29735486087255247"/>
    <x v="5"/>
    <x v="1"/>
    <x v="0"/>
  </r>
  <r>
    <s v="ORD-100091"/>
    <d v="2025-10-02T00:00:00"/>
    <d v="2025-10-04T00:00:00"/>
    <x v="2"/>
    <s v="Bristol"/>
    <s v="Corporate"/>
    <s v="Online"/>
    <s v="P-008"/>
    <n v="2"/>
    <n v="0"/>
    <n v="463.21"/>
    <n v="7"/>
    <x v="6"/>
    <x v="0"/>
    <s v="Vertex Trade"/>
    <n v="112.09"/>
    <n v="192.47"/>
    <n v="224.18"/>
    <n v="232.02999999999997"/>
    <n v="0.50091751041644172"/>
    <x v="22"/>
    <x v="1"/>
    <x v="0"/>
  </r>
  <r>
    <s v="ORD-100092"/>
    <d v="2025-09-03T00:00:00"/>
    <d v="2025-09-05T00:00:00"/>
    <x v="3"/>
    <s v="Newcastle"/>
    <s v="Home Office"/>
    <s v="Retail Store"/>
    <s v="P-005"/>
    <n v="3"/>
    <n v="0"/>
    <n v="171.28"/>
    <n v="8.25"/>
    <x v="13"/>
    <x v="0"/>
    <s v="Apex Wholesale"/>
    <n v="25.33"/>
    <n v="51.56"/>
    <n v="75.989999999999995"/>
    <n v="87.04"/>
    <n v="0.5081737505838394"/>
    <x v="11"/>
    <x v="1"/>
    <x v="0"/>
  </r>
  <r>
    <s v="ORD-100093"/>
    <d v="2024-01-04T00:00:00"/>
    <d v="2024-01-09T00:00:00"/>
    <x v="1"/>
    <s v="Cambridge"/>
    <s v="Small Business"/>
    <s v="Retail Store"/>
    <s v="P-009"/>
    <n v="4"/>
    <n v="0.15"/>
    <n v="388.72"/>
    <n v="9.5"/>
    <x v="0"/>
    <x v="0"/>
    <s v="Apex Wholesale"/>
    <n v="63.69"/>
    <n v="125.5"/>
    <n v="254.76"/>
    <n v="124.46000000000004"/>
    <n v="0.32017904918707563"/>
    <x v="18"/>
    <x v="2"/>
    <x v="1"/>
  </r>
  <r>
    <s v="ORD-100094"/>
    <d v="2025-01-20T00:00:00"/>
    <d v="2025-01-23T00:00:00"/>
    <x v="3"/>
    <s v="Leeds"/>
    <s v="Corporate"/>
    <s v="B2B Sales"/>
    <s v="P-001"/>
    <n v="4"/>
    <n v="0.2"/>
    <n v="765.87"/>
    <n v="8.2200000000000006"/>
    <x v="12"/>
    <x v="1"/>
    <s v="Luma Imports"/>
    <n v="173.56"/>
    <n v="286.14999999999998"/>
    <n v="694.24"/>
    <n v="63.41"/>
    <n v="8.2794730176139544E-2"/>
    <x v="20"/>
    <x v="2"/>
    <x v="0"/>
  </r>
  <r>
    <s v="ORD-100095"/>
    <d v="2025-07-24T00:00:00"/>
    <d v="2025-07-25T00:00:00"/>
    <x v="2"/>
    <s v="London"/>
    <s v="Corporate"/>
    <s v="B2B Sales"/>
    <s v="P-013"/>
    <n v="7"/>
    <n v="0"/>
    <n v="78.84"/>
    <n v="7.65"/>
    <x v="11"/>
    <x v="2"/>
    <s v="Apex Wholesale"/>
    <n v="6.33"/>
    <n v="12.16"/>
    <n v="44.31"/>
    <n v="26.880000000000003"/>
    <n v="0.34094368340943687"/>
    <x v="4"/>
    <x v="1"/>
    <x v="0"/>
  </r>
  <r>
    <s v="ORD-100096"/>
    <d v="2025-11-22T00:00:00"/>
    <d v="2025-11-28T00:00:00"/>
    <x v="2"/>
    <s v="London"/>
    <s v="Home Office"/>
    <s v="Retail Store"/>
    <s v="P-006"/>
    <n v="3"/>
    <n v="0.1"/>
    <n v="406.74"/>
    <n v="4.95"/>
    <x v="10"/>
    <x v="0"/>
    <s v="Apex Wholesale"/>
    <n v="54.95"/>
    <n v="112.56"/>
    <n v="164.85000000000002"/>
    <n v="236.94"/>
    <n v="0.58253429709396665"/>
    <x v="19"/>
    <x v="0"/>
    <x v="0"/>
  </r>
  <r>
    <s v="ORD-100097"/>
    <d v="2024-01-12T00:00:00"/>
    <d v="2024-01-18T00:00:00"/>
    <x v="1"/>
    <s v="Peterborough"/>
    <s v="Small Business"/>
    <s v="Retail Store"/>
    <s v="P-014"/>
    <n v="13"/>
    <n v="0"/>
    <n v="325.66000000000003"/>
    <n v="6.21"/>
    <x v="3"/>
    <x v="2"/>
    <s v="Orbit Supply Co."/>
    <n v="16.760000000000002"/>
    <n v="27.71"/>
    <n v="217.88000000000002"/>
    <n v="101.57000000000001"/>
    <n v="0.31188970091506479"/>
    <x v="18"/>
    <x v="1"/>
    <x v="1"/>
  </r>
  <r>
    <s v="ORD-100098"/>
    <d v="2025-04-02T00:00:00"/>
    <d v="2025-04-03T00:00:00"/>
    <x v="0"/>
    <s v="Cardiff"/>
    <s v="Corporate"/>
    <s v="Retail Store"/>
    <s v="P-015"/>
    <n v="9"/>
    <n v="0.15"/>
    <n v="48.6"/>
    <n v="5.13"/>
    <x v="8"/>
    <x v="2"/>
    <s v="Luma Imports"/>
    <n v="3.3"/>
    <n v="6.13"/>
    <n v="29.7"/>
    <n v="13.770000000000003"/>
    <n v="0.28333333333333338"/>
    <x v="15"/>
    <x v="2"/>
    <x v="0"/>
  </r>
  <r>
    <s v="ORD-100099"/>
    <d v="2025-01-04T00:00:00"/>
    <d v="2025-01-08T00:00:00"/>
    <x v="1"/>
    <s v="Cambridge"/>
    <s v="Corporate"/>
    <s v="Retail Store"/>
    <s v="P-003"/>
    <n v="5"/>
    <n v="0.15"/>
    <n v="442.51"/>
    <n v="16"/>
    <x v="1"/>
    <x v="1"/>
    <s v="Orbit Supply Co."/>
    <n v="71.489999999999995"/>
    <n v="112.88"/>
    <n v="357.45"/>
    <n v="69.06"/>
    <n v="0.15606426973401732"/>
    <x v="20"/>
    <x v="2"/>
    <x v="0"/>
  </r>
  <r>
    <s v="ORD-100100"/>
    <d v="2025-01-24T00:00:00"/>
    <d v="2025-01-30T00:00:00"/>
    <x v="0"/>
    <s v="Liverpool"/>
    <s v="Corporate"/>
    <s v="B2B Sales"/>
    <s v="P-003"/>
    <n v="4"/>
    <n v="0"/>
    <n v="401.66"/>
    <n v="13.7"/>
    <x v="1"/>
    <x v="1"/>
    <s v="Orbit Supply Co."/>
    <n v="71.489999999999995"/>
    <n v="112.88"/>
    <n v="285.95999999999998"/>
    <n v="102.00000000000004"/>
    <n v="0.25394612358711355"/>
    <x v="20"/>
    <x v="1"/>
    <x v="0"/>
  </r>
  <r>
    <s v="ORD-100101"/>
    <d v="2025-04-17T00:00:00"/>
    <d v="2025-04-23T00:00:00"/>
    <x v="0"/>
    <s v="Cardiff"/>
    <s v="Small Business"/>
    <s v="Online"/>
    <s v="P-011"/>
    <n v="12"/>
    <n v="0.05"/>
    <n v="161.91"/>
    <n v="5.94"/>
    <x v="9"/>
    <x v="2"/>
    <s v="Orbit Supply Co."/>
    <n v="7.93"/>
    <n v="14.78"/>
    <n v="95.16"/>
    <n v="60.81"/>
    <n v="0.37557902538447285"/>
    <x v="15"/>
    <x v="0"/>
    <x v="0"/>
  </r>
  <r>
    <s v="ORD-100102"/>
    <d v="2024-11-03T00:00:00"/>
    <d v="2024-11-04T00:00:00"/>
    <x v="2"/>
    <s v="Brighton"/>
    <s v="Corporate"/>
    <s v="Retail Store"/>
    <s v="P-008"/>
    <n v="4"/>
    <n v="0.05"/>
    <n v="1020.2"/>
    <n v="9.5"/>
    <x v="6"/>
    <x v="0"/>
    <s v="Vertex Trade"/>
    <n v="112.09"/>
    <n v="192.47"/>
    <n v="448.36"/>
    <n v="562.34"/>
    <n v="0.55120564595177413"/>
    <x v="14"/>
    <x v="0"/>
    <x v="1"/>
  </r>
  <r>
    <s v="ORD-100103"/>
    <d v="2025-08-25T00:00:00"/>
    <d v="2025-08-28T00:00:00"/>
    <x v="0"/>
    <s v="Birmingham"/>
    <s v="Corporate"/>
    <s v="Online"/>
    <s v="P-012"/>
    <n v="6"/>
    <n v="0"/>
    <n v="46.16"/>
    <n v="7.2"/>
    <x v="14"/>
    <x v="2"/>
    <s v="Luma Imports"/>
    <n v="4.5"/>
    <n v="8.2899999999999991"/>
    <n v="27"/>
    <n v="11.959999999999997"/>
    <n v="0.25909878682842286"/>
    <x v="6"/>
    <x v="1"/>
    <x v="0"/>
  </r>
  <r>
    <s v="ORD-100104"/>
    <d v="2024-05-04T00:00:00"/>
    <d v="2024-05-06T00:00:00"/>
    <x v="0"/>
    <s v="Cardiff"/>
    <s v="Corporate"/>
    <s v="Online"/>
    <s v="P-010"/>
    <n v="7"/>
    <n v="0"/>
    <n v="44"/>
    <n v="7.65"/>
    <x v="4"/>
    <x v="2"/>
    <s v="Orbit Supply Co."/>
    <n v="3.62"/>
    <n v="6.03"/>
    <n v="25.34"/>
    <n v="11.01"/>
    <n v="0.25022727272727274"/>
    <x v="8"/>
    <x v="1"/>
    <x v="1"/>
  </r>
  <r>
    <s v="ORD-100105"/>
    <d v="2024-08-26T00:00:00"/>
    <d v="2024-08-28T00:00:00"/>
    <x v="1"/>
    <s v="Cambridge"/>
    <s v="Small Business"/>
    <s v="B2B Sales"/>
    <s v="P-012"/>
    <n v="5"/>
    <n v="0"/>
    <n v="37.82"/>
    <n v="6.75"/>
    <x v="14"/>
    <x v="2"/>
    <s v="Luma Imports"/>
    <n v="4.5"/>
    <n v="8.2899999999999991"/>
    <n v="22.5"/>
    <n v="8.57"/>
    <n v="0.22659968270756214"/>
    <x v="7"/>
    <x v="1"/>
    <x v="1"/>
  </r>
  <r>
    <s v="ORD-100106"/>
    <d v="2025-09-14T00:00:00"/>
    <d v="2025-09-18T00:00:00"/>
    <x v="2"/>
    <s v="Brighton"/>
    <s v="Corporate"/>
    <s v="Retail Store"/>
    <s v="P-001"/>
    <n v="4"/>
    <n v="0"/>
    <n v="1163.2"/>
    <n v="8.2200000000000006"/>
    <x v="12"/>
    <x v="1"/>
    <s v="Luma Imports"/>
    <n v="173.56"/>
    <n v="286.14999999999998"/>
    <n v="694.24"/>
    <n v="460.74"/>
    <n v="0.39609697386519943"/>
    <x v="11"/>
    <x v="1"/>
    <x v="0"/>
  </r>
  <r>
    <s v="ORD-100107"/>
    <d v="2024-10-08T00:00:00"/>
    <d v="2024-10-14T00:00:00"/>
    <x v="2"/>
    <s v="Brighton"/>
    <s v="Small Business"/>
    <s v="Retail Store"/>
    <s v="P-006"/>
    <n v="4"/>
    <n v="0.2"/>
    <n v="438.36"/>
    <n v="9.5"/>
    <x v="10"/>
    <x v="0"/>
    <s v="Apex Wholesale"/>
    <n v="54.95"/>
    <n v="112.56"/>
    <n v="219.8"/>
    <n v="209.06"/>
    <n v="0.47691395200291997"/>
    <x v="3"/>
    <x v="2"/>
    <x v="1"/>
  </r>
  <r>
    <s v="ORD-100108"/>
    <d v="2025-11-12T00:00:00"/>
    <d v="2025-11-18T00:00:00"/>
    <x v="0"/>
    <s v="Cardiff"/>
    <s v="Corporate"/>
    <s v="Retail Store"/>
    <s v="P-007"/>
    <n v="1"/>
    <n v="0.15"/>
    <n v="68.55"/>
    <n v="5.75"/>
    <x v="7"/>
    <x v="0"/>
    <s v="Luma Imports"/>
    <n v="31.34"/>
    <n v="56.49"/>
    <n v="31.34"/>
    <n v="31.459999999999994"/>
    <n v="0.45893508388037924"/>
    <x v="19"/>
    <x v="2"/>
    <x v="0"/>
  </r>
  <r>
    <s v="ORD-100109"/>
    <d v="2025-07-24T00:00:00"/>
    <d v="2025-07-27T00:00:00"/>
    <x v="0"/>
    <s v="Birmingham"/>
    <s v="Small Business"/>
    <s v="Retail Store"/>
    <s v="P-003"/>
    <n v="2"/>
    <n v="0"/>
    <n v="205.31"/>
    <n v="5.46"/>
    <x v="1"/>
    <x v="1"/>
    <s v="Orbit Supply Co."/>
    <n v="71.489999999999995"/>
    <n v="112.88"/>
    <n v="142.97999999999999"/>
    <n v="56.870000000000012"/>
    <n v="0.27699576250547958"/>
    <x v="4"/>
    <x v="1"/>
    <x v="0"/>
  </r>
  <r>
    <s v="ORD-100110"/>
    <d v="2024-04-12T00:00:00"/>
    <d v="2024-04-16T00:00:00"/>
    <x v="1"/>
    <s v="Norwich"/>
    <s v="Small Business"/>
    <s v="B2B Sales"/>
    <s v="P-001"/>
    <n v="4"/>
    <n v="0"/>
    <n v="1086.5899999999999"/>
    <n v="13.7"/>
    <x v="12"/>
    <x v="1"/>
    <s v="Luma Imports"/>
    <n v="173.56"/>
    <n v="286.14999999999998"/>
    <n v="694.24"/>
    <n v="378.64999999999992"/>
    <n v="0.34847550594060311"/>
    <x v="21"/>
    <x v="1"/>
    <x v="1"/>
  </r>
  <r>
    <s v="ORD-100111"/>
    <d v="2024-10-21T00:00:00"/>
    <d v="2024-10-22T00:00:00"/>
    <x v="3"/>
    <s v="Newcastle"/>
    <s v="Small Business"/>
    <s v="Retail Store"/>
    <s v="P-011"/>
    <n v="10"/>
    <n v="0"/>
    <n v="171.87"/>
    <n v="9"/>
    <x v="9"/>
    <x v="2"/>
    <s v="Orbit Supply Co."/>
    <n v="7.93"/>
    <n v="14.78"/>
    <n v="79.3"/>
    <n v="83.570000000000007"/>
    <n v="0.48623959969744579"/>
    <x v="3"/>
    <x v="1"/>
    <x v="1"/>
  </r>
  <r>
    <s v="ORD-100112"/>
    <d v="2025-10-15T00:00:00"/>
    <d v="2025-10-18T00:00:00"/>
    <x v="0"/>
    <s v="Cardiff"/>
    <s v="Small Business"/>
    <s v="Online"/>
    <s v="P-015"/>
    <n v="12"/>
    <n v="0"/>
    <n v="89.24"/>
    <n v="5.94"/>
    <x v="8"/>
    <x v="2"/>
    <s v="Luma Imports"/>
    <n v="3.3"/>
    <n v="6.13"/>
    <n v="39.599999999999994"/>
    <n v="43.7"/>
    <n v="0.48969072164948457"/>
    <x v="22"/>
    <x v="1"/>
    <x v="0"/>
  </r>
  <r>
    <s v="ORD-100113"/>
    <d v="2025-06-21T00:00:00"/>
    <d v="2025-06-23T00:00:00"/>
    <x v="1"/>
    <s v="Cambridge"/>
    <s v="Small Business"/>
    <s v="Retail Store"/>
    <s v="P-007"/>
    <n v="1"/>
    <n v="0.15"/>
    <n v="49.09"/>
    <n v="5.75"/>
    <x v="7"/>
    <x v="0"/>
    <s v="Luma Imports"/>
    <n v="31.34"/>
    <n v="56.49"/>
    <n v="31.34"/>
    <n v="12.000000000000004"/>
    <n v="0.24444897127724594"/>
    <x v="0"/>
    <x v="2"/>
    <x v="0"/>
  </r>
  <r>
    <s v="ORD-100114"/>
    <d v="2025-05-21T00:00:00"/>
    <d v="2025-05-24T00:00:00"/>
    <x v="1"/>
    <s v="Cambridge"/>
    <s v="Small Business"/>
    <s v="Online"/>
    <s v="P-008"/>
    <n v="4"/>
    <n v="0"/>
    <n v="764.32"/>
    <n v="9.5"/>
    <x v="6"/>
    <x v="0"/>
    <s v="Vertex Trade"/>
    <n v="112.09"/>
    <n v="192.47"/>
    <n v="448.36"/>
    <n v="306.46000000000004"/>
    <n v="0.40095771404647268"/>
    <x v="1"/>
    <x v="1"/>
    <x v="0"/>
  </r>
  <r>
    <s v="ORD-100115"/>
    <d v="2024-07-30T00:00:00"/>
    <d v="2024-08-01T00:00:00"/>
    <x v="0"/>
    <s v="Liverpool"/>
    <s v="Home Office"/>
    <s v="Retail Store"/>
    <s v="P-013"/>
    <n v="11"/>
    <n v="0.1"/>
    <n v="110.57"/>
    <n v="5.67"/>
    <x v="11"/>
    <x v="2"/>
    <s v="Apex Wholesale"/>
    <n v="6.33"/>
    <n v="12.16"/>
    <n v="69.63"/>
    <n v="35.269999999999996"/>
    <n v="0.31898344939857104"/>
    <x v="16"/>
    <x v="0"/>
    <x v="1"/>
  </r>
  <r>
    <s v="ORD-100116"/>
    <d v="2024-08-09T00:00:00"/>
    <d v="2024-08-15T00:00:00"/>
    <x v="2"/>
    <s v="Brighton"/>
    <s v="Home Office"/>
    <s v="B2B Sales"/>
    <s v="P-003"/>
    <n v="4"/>
    <n v="0"/>
    <n v="405.64"/>
    <n v="13.7"/>
    <x v="1"/>
    <x v="1"/>
    <s v="Orbit Supply Co."/>
    <n v="71.489999999999995"/>
    <n v="112.88"/>
    <n v="285.95999999999998"/>
    <n v="105.98"/>
    <n v="0.26126614732274928"/>
    <x v="7"/>
    <x v="1"/>
    <x v="1"/>
  </r>
  <r>
    <s v="ORD-100117"/>
    <d v="2025-04-25T00:00:00"/>
    <d v="2025-04-30T00:00:00"/>
    <x v="0"/>
    <s v="Liverpool"/>
    <s v="Corporate"/>
    <s v="B2B Sales"/>
    <s v="P-006"/>
    <n v="4"/>
    <n v="0.2"/>
    <n v="334.56"/>
    <n v="5.7"/>
    <x v="10"/>
    <x v="0"/>
    <s v="Apex Wholesale"/>
    <n v="54.95"/>
    <n v="112.56"/>
    <n v="219.8"/>
    <n v="109.05999999999999"/>
    <n v="0.3259803921568627"/>
    <x v="15"/>
    <x v="2"/>
    <x v="0"/>
  </r>
  <r>
    <s v="ORD-100118"/>
    <d v="2024-12-03T00:00:00"/>
    <d v="2024-12-04T00:00:00"/>
    <x v="2"/>
    <s v="Bristol"/>
    <s v="Small Business"/>
    <s v="Retail Store"/>
    <s v="P-014"/>
    <n v="5"/>
    <n v="0"/>
    <n v="195.69"/>
    <n v="6.75"/>
    <x v="3"/>
    <x v="2"/>
    <s v="Orbit Supply Co."/>
    <n v="16.760000000000002"/>
    <n v="27.71"/>
    <n v="83.800000000000011"/>
    <n v="105.13999999999999"/>
    <n v="0.53727834840819655"/>
    <x v="9"/>
    <x v="1"/>
    <x v="1"/>
  </r>
  <r>
    <s v="ORD-100119"/>
    <d v="2025-03-08T00:00:00"/>
    <d v="2025-03-11T00:00:00"/>
    <x v="3"/>
    <s v="Manchester"/>
    <s v="Corporate"/>
    <s v="B2B Sales"/>
    <s v="P-005"/>
    <n v="4"/>
    <n v="0.05"/>
    <n v="182.07"/>
    <n v="5.7"/>
    <x v="13"/>
    <x v="0"/>
    <s v="Apex Wholesale"/>
    <n v="25.33"/>
    <n v="51.56"/>
    <n v="101.32"/>
    <n v="75.05"/>
    <n v="0.41220409732520458"/>
    <x v="2"/>
    <x v="0"/>
    <x v="0"/>
  </r>
  <r>
    <s v="ORD-100120"/>
    <d v="2024-01-09T00:00:00"/>
    <d v="2024-01-12T00:00:00"/>
    <x v="0"/>
    <s v="Liverpool"/>
    <s v="Corporate"/>
    <s v="B2B Sales"/>
    <s v="P-007"/>
    <n v="4"/>
    <n v="0.25"/>
    <n v="158.08000000000001"/>
    <n v="5.7"/>
    <x v="7"/>
    <x v="0"/>
    <s v="Luma Imports"/>
    <n v="31.34"/>
    <n v="56.49"/>
    <n v="125.36"/>
    <n v="27.020000000000014"/>
    <n v="0.17092611336032396"/>
    <x v="18"/>
    <x v="3"/>
    <x v="1"/>
  </r>
  <r>
    <s v="ORD-100121"/>
    <d v="2024-05-27T00:00:00"/>
    <d v="2024-05-28T00:00:00"/>
    <x v="3"/>
    <s v="Manchester"/>
    <s v="Small Business"/>
    <s v="Online"/>
    <s v="P-005"/>
    <n v="3"/>
    <n v="0"/>
    <n v="162.52000000000001"/>
    <n v="4.95"/>
    <x v="13"/>
    <x v="0"/>
    <s v="Apex Wholesale"/>
    <n v="25.33"/>
    <n v="51.56"/>
    <n v="75.989999999999995"/>
    <n v="81.580000000000013"/>
    <n v="0.50196898843219295"/>
    <x v="8"/>
    <x v="1"/>
    <x v="1"/>
  </r>
  <r>
    <s v="ORD-100122"/>
    <d v="2024-03-28T00:00:00"/>
    <d v="2024-04-03T00:00:00"/>
    <x v="2"/>
    <s v="Bristol"/>
    <s v="Home Office"/>
    <s v="B2B Sales"/>
    <s v="P-001"/>
    <n v="1"/>
    <n v="0.25"/>
    <n v="202.1"/>
    <n v="4.08"/>
    <x v="12"/>
    <x v="1"/>
    <s v="Luma Imports"/>
    <n v="173.56"/>
    <n v="286.14999999999998"/>
    <n v="173.56"/>
    <n v="24.459999999999994"/>
    <n v="0.12102919346857988"/>
    <x v="10"/>
    <x v="3"/>
    <x v="1"/>
  </r>
  <r>
    <s v="ORD-100123"/>
    <d v="2025-10-25T00:00:00"/>
    <d v="2025-10-31T00:00:00"/>
    <x v="0"/>
    <s v="Cardiff"/>
    <s v="Home Office"/>
    <s v="Retail Store"/>
    <s v="P-012"/>
    <n v="3"/>
    <n v="0"/>
    <n v="30.25"/>
    <n v="3.51"/>
    <x v="14"/>
    <x v="2"/>
    <s v="Luma Imports"/>
    <n v="4.5"/>
    <n v="8.2899999999999991"/>
    <n v="13.5"/>
    <n v="13.24"/>
    <n v="0.43768595041322317"/>
    <x v="22"/>
    <x v="1"/>
    <x v="0"/>
  </r>
  <r>
    <s v="ORD-100124"/>
    <d v="2025-08-24T00:00:00"/>
    <d v="2025-08-29T00:00:00"/>
    <x v="0"/>
    <s v="Liverpool"/>
    <s v="Home Office"/>
    <s v="B2B Sales"/>
    <s v="P-012"/>
    <n v="8"/>
    <n v="0"/>
    <n v="65.239999999999995"/>
    <n v="4.8600000000000003"/>
    <x v="14"/>
    <x v="2"/>
    <s v="Luma Imports"/>
    <n v="4.5"/>
    <n v="8.2899999999999991"/>
    <n v="36"/>
    <n v="24.379999999999995"/>
    <n v="0.37369711833231145"/>
    <x v="6"/>
    <x v="1"/>
    <x v="0"/>
  </r>
  <r>
    <s v="ORD-100125"/>
    <d v="2024-08-06T00:00:00"/>
    <d v="2024-08-08T00:00:00"/>
    <x v="0"/>
    <s v="Birmingham"/>
    <s v="Small Business"/>
    <s v="Retail Store"/>
    <s v="P-007"/>
    <n v="3"/>
    <n v="0.15"/>
    <n v="140.37"/>
    <n v="8.25"/>
    <x v="7"/>
    <x v="0"/>
    <s v="Luma Imports"/>
    <n v="31.34"/>
    <n v="56.49"/>
    <n v="94.02"/>
    <n v="38.100000000000009"/>
    <n v="0.27142551827313532"/>
    <x v="7"/>
    <x v="2"/>
    <x v="1"/>
  </r>
  <r>
    <s v="ORD-100126"/>
    <d v="2024-03-19T00:00:00"/>
    <d v="2024-03-21T00:00:00"/>
    <x v="1"/>
    <s v="Norwich"/>
    <s v="Home Office"/>
    <s v="B2B Sales"/>
    <s v="P-010"/>
    <n v="13"/>
    <n v="0.1"/>
    <n v="65.95"/>
    <n v="6.21"/>
    <x v="4"/>
    <x v="2"/>
    <s v="Orbit Supply Co."/>
    <n v="3.62"/>
    <n v="6.03"/>
    <n v="47.06"/>
    <n v="12.68"/>
    <n v="0.1922668688400303"/>
    <x v="10"/>
    <x v="0"/>
    <x v="1"/>
  </r>
  <r>
    <s v="ORD-100127"/>
    <d v="2024-09-29T00:00:00"/>
    <d v="2024-09-30T00:00:00"/>
    <x v="1"/>
    <s v="Norwich"/>
    <s v="Small Business"/>
    <s v="B2B Sales"/>
    <s v="P-014"/>
    <n v="5"/>
    <n v="0.1"/>
    <n v="135.84"/>
    <n v="6.75"/>
    <x v="3"/>
    <x v="2"/>
    <s v="Orbit Supply Co."/>
    <n v="16.760000000000002"/>
    <n v="27.71"/>
    <n v="83.800000000000011"/>
    <n v="45.289999999999992"/>
    <n v="0.33340694935217896"/>
    <x v="23"/>
    <x v="0"/>
    <x v="1"/>
  </r>
  <r>
    <s v="ORD-100128"/>
    <d v="2025-07-26T00:00:00"/>
    <d v="2025-07-27T00:00:00"/>
    <x v="2"/>
    <s v="London"/>
    <s v="Home Office"/>
    <s v="B2B Sales"/>
    <s v="P-004"/>
    <n v="3"/>
    <n v="0.15"/>
    <n v="238.17"/>
    <n v="6.84"/>
    <x v="5"/>
    <x v="1"/>
    <s v="Cedar Distribution"/>
    <n v="63.6"/>
    <n v="107.94"/>
    <n v="190.8"/>
    <n v="40.529999999999973"/>
    <n v="0.17017256581433418"/>
    <x v="4"/>
    <x v="2"/>
    <x v="0"/>
  </r>
  <r>
    <s v="ORD-100129"/>
    <d v="2024-08-16T00:00:00"/>
    <d v="2024-08-18T00:00:00"/>
    <x v="2"/>
    <s v="London"/>
    <s v="Corporate"/>
    <s v="B2B Sales"/>
    <s v="P-011"/>
    <n v="13"/>
    <n v="0"/>
    <n v="174.1"/>
    <n v="10.35"/>
    <x v="9"/>
    <x v="2"/>
    <s v="Orbit Supply Co."/>
    <n v="7.93"/>
    <n v="14.78"/>
    <n v="103.09"/>
    <n v="60.659999999999989"/>
    <n v="0.34842044801838018"/>
    <x v="7"/>
    <x v="1"/>
    <x v="1"/>
  </r>
  <r>
    <s v="ORD-100130"/>
    <d v="2025-07-15T00:00:00"/>
    <d v="2025-07-19T00:00:00"/>
    <x v="3"/>
    <s v="Manchester"/>
    <s v="Home Office"/>
    <s v="B2B Sales"/>
    <s v="P-014"/>
    <n v="12"/>
    <n v="0.1"/>
    <n v="288.25"/>
    <n v="5.94"/>
    <x v="3"/>
    <x v="2"/>
    <s v="Orbit Supply Co."/>
    <n v="16.760000000000002"/>
    <n v="27.71"/>
    <n v="201.12"/>
    <n v="81.19"/>
    <n v="0.28166522116218562"/>
    <x v="4"/>
    <x v="0"/>
    <x v="0"/>
  </r>
  <r>
    <s v="ORD-100131"/>
    <d v="2024-06-15T00:00:00"/>
    <d v="2024-06-20T00:00:00"/>
    <x v="0"/>
    <s v="Liverpool"/>
    <s v="Corporate"/>
    <s v="B2B Sales"/>
    <s v="P-011"/>
    <n v="10"/>
    <n v="0"/>
    <n v="147.09"/>
    <n v="5.4"/>
    <x v="9"/>
    <x v="2"/>
    <s v="Orbit Supply Co."/>
    <n v="7.93"/>
    <n v="14.78"/>
    <n v="79.3"/>
    <n v="62.390000000000008"/>
    <n v="0.42416207763954045"/>
    <x v="17"/>
    <x v="1"/>
    <x v="1"/>
  </r>
  <r>
    <s v="ORD-100132"/>
    <d v="2025-02-13T00:00:00"/>
    <d v="2025-02-17T00:00:00"/>
    <x v="0"/>
    <s v="Liverpool"/>
    <s v="Corporate"/>
    <s v="Online"/>
    <s v="P-007"/>
    <n v="4"/>
    <n v="0"/>
    <n v="196.36"/>
    <n v="5.7"/>
    <x v="7"/>
    <x v="0"/>
    <s v="Luma Imports"/>
    <n v="31.34"/>
    <n v="56.49"/>
    <n v="125.36"/>
    <n v="65.300000000000011"/>
    <n v="0.3325524546750866"/>
    <x v="5"/>
    <x v="1"/>
    <x v="0"/>
  </r>
  <r>
    <s v="ORD-100133"/>
    <d v="2024-02-08T00:00:00"/>
    <d v="2024-02-14T00:00:00"/>
    <x v="0"/>
    <s v="Cardiff"/>
    <s v="Home Office"/>
    <s v="B2B Sales"/>
    <s v="P-007"/>
    <n v="4"/>
    <n v="0"/>
    <n v="191.93"/>
    <n v="5.7"/>
    <x v="7"/>
    <x v="0"/>
    <s v="Luma Imports"/>
    <n v="31.34"/>
    <n v="56.49"/>
    <n v="125.36"/>
    <n v="60.870000000000005"/>
    <n v="0.31714687646537804"/>
    <x v="12"/>
    <x v="1"/>
    <x v="1"/>
  </r>
  <r>
    <s v="ORD-100134"/>
    <d v="2025-05-02T00:00:00"/>
    <d v="2025-05-03T00:00:00"/>
    <x v="3"/>
    <s v="Manchester"/>
    <s v="Corporate"/>
    <s v="Online"/>
    <s v="P-005"/>
    <n v="7"/>
    <n v="0.2"/>
    <n v="284.89999999999998"/>
    <n v="7.95"/>
    <x v="13"/>
    <x v="0"/>
    <s v="Apex Wholesale"/>
    <n v="25.33"/>
    <n v="51.56"/>
    <n v="177.31"/>
    <n v="99.639999999999972"/>
    <n v="0.34973674973674967"/>
    <x v="1"/>
    <x v="2"/>
    <x v="0"/>
  </r>
  <r>
    <s v="ORD-100135"/>
    <d v="2024-07-06T00:00:00"/>
    <d v="2024-07-09T00:00:00"/>
    <x v="2"/>
    <s v="Bristol"/>
    <s v="Small Business"/>
    <s v="B2B Sales"/>
    <s v="P-009"/>
    <n v="3"/>
    <n v="0"/>
    <n v="362.14"/>
    <n v="4.95"/>
    <x v="0"/>
    <x v="0"/>
    <s v="Apex Wholesale"/>
    <n v="63.69"/>
    <n v="125.5"/>
    <n v="191.07"/>
    <n v="166.12"/>
    <n v="0.4587176230187221"/>
    <x v="16"/>
    <x v="1"/>
    <x v="1"/>
  </r>
  <r>
    <s v="ORD-100136"/>
    <d v="2025-09-20T00:00:00"/>
    <d v="2025-09-25T00:00:00"/>
    <x v="3"/>
    <s v="Leeds"/>
    <s v="Home Office"/>
    <s v="Online"/>
    <s v="P-008"/>
    <n v="1"/>
    <n v="0"/>
    <n v="205.2"/>
    <n v="3.45"/>
    <x v="6"/>
    <x v="0"/>
    <s v="Vertex Trade"/>
    <n v="112.09"/>
    <n v="192.47"/>
    <n v="112.09"/>
    <n v="89.659999999999982"/>
    <n v="0.43693957115009741"/>
    <x v="11"/>
    <x v="1"/>
    <x v="0"/>
  </r>
  <r>
    <s v="ORD-100137"/>
    <d v="2024-07-03T00:00:00"/>
    <d v="2024-07-06T00:00:00"/>
    <x v="1"/>
    <s v="Peterborough"/>
    <s v="Small Business"/>
    <s v="Retail Store"/>
    <s v="P-009"/>
    <n v="7"/>
    <n v="0.15"/>
    <n v="671.2"/>
    <n v="7.95"/>
    <x v="0"/>
    <x v="0"/>
    <s v="Apex Wholesale"/>
    <n v="63.69"/>
    <n v="125.5"/>
    <n v="445.83"/>
    <n v="217.42000000000007"/>
    <n v="0.32392729439809304"/>
    <x v="16"/>
    <x v="2"/>
    <x v="1"/>
  </r>
  <r>
    <s v="ORD-100138"/>
    <d v="2025-05-11T00:00:00"/>
    <d v="2025-05-14T00:00:00"/>
    <x v="1"/>
    <s v="Peterborough"/>
    <s v="Small Business"/>
    <s v="Online"/>
    <s v="P-009"/>
    <n v="4"/>
    <n v="0.2"/>
    <n v="411.97"/>
    <n v="5.7"/>
    <x v="0"/>
    <x v="0"/>
    <s v="Apex Wholesale"/>
    <n v="63.69"/>
    <n v="125.5"/>
    <n v="254.76"/>
    <n v="151.51000000000005"/>
    <n v="0.36776949777896456"/>
    <x v="1"/>
    <x v="2"/>
    <x v="0"/>
  </r>
  <r>
    <s v="ORD-100139"/>
    <d v="2024-07-26T00:00:00"/>
    <d v="2024-08-01T00:00:00"/>
    <x v="0"/>
    <s v="Cardiff"/>
    <s v="Small Business"/>
    <s v="B2B Sales"/>
    <s v="P-005"/>
    <n v="2"/>
    <n v="0"/>
    <n v="90.92"/>
    <n v="4.2"/>
    <x v="13"/>
    <x v="0"/>
    <s v="Apex Wholesale"/>
    <n v="25.33"/>
    <n v="51.56"/>
    <n v="50.66"/>
    <n v="36.06"/>
    <n v="0.39661240651121865"/>
    <x v="16"/>
    <x v="1"/>
    <x v="1"/>
  </r>
  <r>
    <s v="ORD-100140"/>
    <d v="2025-08-14T00:00:00"/>
    <d v="2025-08-18T00:00:00"/>
    <x v="3"/>
    <s v="Leeds"/>
    <s v="Corporate"/>
    <s v="B2B Sales"/>
    <s v="P-014"/>
    <n v="4"/>
    <n v="0"/>
    <n v="104.34"/>
    <n v="3.78"/>
    <x v="3"/>
    <x v="2"/>
    <s v="Orbit Supply Co."/>
    <n v="16.760000000000002"/>
    <n v="27.71"/>
    <n v="67.040000000000006"/>
    <n v="33.519999999999996"/>
    <n v="0.32125742764040632"/>
    <x v="6"/>
    <x v="1"/>
    <x v="0"/>
  </r>
  <r>
    <s v="ORD-100141"/>
    <d v="2024-12-08T00:00:00"/>
    <d v="2024-12-12T00:00:00"/>
    <x v="3"/>
    <s v="Manchester"/>
    <s v="Small Business"/>
    <s v="Online"/>
    <s v="P-005"/>
    <n v="4"/>
    <n v="0"/>
    <n v="284.68"/>
    <n v="9.5"/>
    <x v="13"/>
    <x v="0"/>
    <s v="Apex Wholesale"/>
    <n v="25.33"/>
    <n v="51.56"/>
    <n v="101.32"/>
    <n v="173.86"/>
    <n v="0.61072080932977379"/>
    <x v="9"/>
    <x v="1"/>
    <x v="1"/>
  </r>
  <r>
    <s v="ORD-100142"/>
    <d v="2024-12-29T00:00:00"/>
    <d v="2025-01-01T00:00:00"/>
    <x v="3"/>
    <s v="Newcastle"/>
    <s v="Small Business"/>
    <s v="B2B Sales"/>
    <s v="P-002"/>
    <n v="2"/>
    <n v="0.25"/>
    <n v="463.68"/>
    <n v="5.46"/>
    <x v="2"/>
    <x v="1"/>
    <s v="Vertex Trade"/>
    <n v="119.02"/>
    <n v="205.39"/>
    <n v="238.04"/>
    <n v="220.18"/>
    <n v="0.47485334713595584"/>
    <x v="9"/>
    <x v="3"/>
    <x v="1"/>
  </r>
  <r>
    <s v="ORD-100143"/>
    <d v="2024-10-14T00:00:00"/>
    <d v="2024-10-16T00:00:00"/>
    <x v="2"/>
    <s v="Brighton"/>
    <s v="Small Business"/>
    <s v="B2B Sales"/>
    <s v="P-009"/>
    <n v="2"/>
    <n v="0.05"/>
    <n v="272.56"/>
    <n v="7"/>
    <x v="0"/>
    <x v="0"/>
    <s v="Apex Wholesale"/>
    <n v="63.69"/>
    <n v="125.5"/>
    <n v="127.38"/>
    <n v="138.18"/>
    <n v="0.50697094217786909"/>
    <x v="3"/>
    <x v="0"/>
    <x v="1"/>
  </r>
  <r>
    <s v="ORD-100144"/>
    <d v="2024-11-14T00:00:00"/>
    <d v="2024-11-17T00:00:00"/>
    <x v="1"/>
    <s v="Peterborough"/>
    <s v="Home Office"/>
    <s v="Online"/>
    <s v="P-006"/>
    <n v="2"/>
    <n v="0.05"/>
    <n v="295.95"/>
    <n v="7"/>
    <x v="10"/>
    <x v="0"/>
    <s v="Apex Wholesale"/>
    <n v="54.95"/>
    <n v="112.56"/>
    <n v="109.9"/>
    <n v="179.04999999999998"/>
    <n v="0.60500084473728666"/>
    <x v="14"/>
    <x v="0"/>
    <x v="1"/>
  </r>
  <r>
    <s v="ORD-100145"/>
    <d v="2025-07-21T00:00:00"/>
    <d v="2025-07-23T00:00:00"/>
    <x v="1"/>
    <s v="Peterborough"/>
    <s v="Home Office"/>
    <s v="B2B Sales"/>
    <s v="P-009"/>
    <n v="4"/>
    <n v="0.1"/>
    <n v="426.96"/>
    <n v="5.7"/>
    <x v="0"/>
    <x v="0"/>
    <s v="Apex Wholesale"/>
    <n v="63.69"/>
    <n v="125.5"/>
    <n v="254.76"/>
    <n v="166.5"/>
    <n v="0.38996627318718385"/>
    <x v="4"/>
    <x v="0"/>
    <x v="0"/>
  </r>
  <r>
    <s v="ORD-100146"/>
    <d v="2024-07-12T00:00:00"/>
    <d v="2024-07-13T00:00:00"/>
    <x v="0"/>
    <s v="Birmingham"/>
    <s v="Small Business"/>
    <s v="B2B Sales"/>
    <s v="P-010"/>
    <n v="8"/>
    <n v="0"/>
    <n v="46.69"/>
    <n v="8.1"/>
    <x v="4"/>
    <x v="2"/>
    <s v="Orbit Supply Co."/>
    <n v="3.62"/>
    <n v="6.03"/>
    <n v="28.96"/>
    <n v="9.6299999999999972"/>
    <n v="0.20625401584921821"/>
    <x v="16"/>
    <x v="1"/>
    <x v="1"/>
  </r>
  <r>
    <s v="ORD-100147"/>
    <d v="2024-04-25T00:00:00"/>
    <d v="2024-04-30T00:00:00"/>
    <x v="3"/>
    <s v="Manchester"/>
    <s v="Small Business"/>
    <s v="B2B Sales"/>
    <s v="P-008"/>
    <n v="2"/>
    <n v="0.05"/>
    <n v="352.76"/>
    <n v="7"/>
    <x v="6"/>
    <x v="0"/>
    <s v="Vertex Trade"/>
    <n v="112.09"/>
    <n v="192.47"/>
    <n v="224.18"/>
    <n v="121.57999999999998"/>
    <n v="0.34465358884227232"/>
    <x v="21"/>
    <x v="0"/>
    <x v="1"/>
  </r>
  <r>
    <s v="ORD-100148"/>
    <d v="2024-10-15T00:00:00"/>
    <d v="2024-10-16T00:00:00"/>
    <x v="0"/>
    <s v="Liverpool"/>
    <s v="Home Office"/>
    <s v="Retail Store"/>
    <s v="P-010"/>
    <n v="7"/>
    <n v="0"/>
    <n v="50.39"/>
    <n v="4.59"/>
    <x v="4"/>
    <x v="2"/>
    <s v="Orbit Supply Co."/>
    <n v="3.62"/>
    <n v="6.03"/>
    <n v="25.34"/>
    <n v="20.46"/>
    <n v="0.4060329430442548"/>
    <x v="3"/>
    <x v="1"/>
    <x v="1"/>
  </r>
  <r>
    <s v="ORD-100149"/>
    <d v="2024-01-30T00:00:00"/>
    <d v="2024-02-04T00:00:00"/>
    <x v="2"/>
    <s v="Brighton"/>
    <s v="Corporate"/>
    <s v="Online"/>
    <s v="P-006"/>
    <n v="3"/>
    <n v="0"/>
    <n v="293.66000000000003"/>
    <n v="4.95"/>
    <x v="10"/>
    <x v="0"/>
    <s v="Apex Wholesale"/>
    <n v="54.95"/>
    <n v="112.56"/>
    <n v="164.85000000000002"/>
    <n v="123.86"/>
    <n v="0.42178029013144447"/>
    <x v="18"/>
    <x v="1"/>
    <x v="1"/>
  </r>
  <r>
    <s v="ORD-100150"/>
    <d v="2024-08-10T00:00:00"/>
    <d v="2024-08-14T00:00:00"/>
    <x v="0"/>
    <s v="Birmingham"/>
    <s v="Home Office"/>
    <s v="Online"/>
    <s v="P-013"/>
    <n v="11"/>
    <n v="0.15"/>
    <n v="102.19"/>
    <n v="5.67"/>
    <x v="11"/>
    <x v="2"/>
    <s v="Apex Wholesale"/>
    <n v="6.33"/>
    <n v="12.16"/>
    <n v="69.63"/>
    <n v="26.89"/>
    <n v="0.26313729327722868"/>
    <x v="7"/>
    <x v="2"/>
    <x v="1"/>
  </r>
  <r>
    <s v="ORD-100151"/>
    <d v="2024-08-25T00:00:00"/>
    <d v="2024-08-26T00:00:00"/>
    <x v="3"/>
    <s v="Manchester"/>
    <s v="Home Office"/>
    <s v="B2B Sales"/>
    <s v="P-014"/>
    <n v="8"/>
    <n v="0"/>
    <n v="199.21"/>
    <n v="8.1"/>
    <x v="3"/>
    <x v="2"/>
    <s v="Orbit Supply Co."/>
    <n v="16.760000000000002"/>
    <n v="27.71"/>
    <n v="134.08000000000001"/>
    <n v="57.029999999999994"/>
    <n v="0.28628080919632543"/>
    <x v="7"/>
    <x v="1"/>
    <x v="1"/>
  </r>
  <r>
    <s v="ORD-100152"/>
    <d v="2025-11-28T00:00:00"/>
    <d v="2025-12-03T00:00:00"/>
    <x v="0"/>
    <s v="Birmingham"/>
    <s v="Corporate"/>
    <s v="Online"/>
    <s v="P-014"/>
    <n v="6"/>
    <n v="0"/>
    <n v="215.06"/>
    <n v="4.32"/>
    <x v="3"/>
    <x v="2"/>
    <s v="Orbit Supply Co."/>
    <n v="16.760000000000002"/>
    <n v="27.71"/>
    <n v="100.56"/>
    <n v="110.18"/>
    <n v="0.51232214265786291"/>
    <x v="19"/>
    <x v="1"/>
    <x v="0"/>
  </r>
  <r>
    <s v="ORD-100153"/>
    <d v="2024-02-11T00:00:00"/>
    <d v="2024-02-12T00:00:00"/>
    <x v="1"/>
    <s v="Norwich"/>
    <s v="Home Office"/>
    <s v="Retail Store"/>
    <s v="P-003"/>
    <n v="2"/>
    <n v="0.1"/>
    <n v="178.36"/>
    <n v="5.46"/>
    <x v="1"/>
    <x v="1"/>
    <s v="Orbit Supply Co."/>
    <n v="71.489999999999995"/>
    <n v="112.88"/>
    <n v="142.97999999999999"/>
    <n v="29.920000000000023"/>
    <n v="0.16775061673020869"/>
    <x v="12"/>
    <x v="0"/>
    <x v="1"/>
  </r>
  <r>
    <s v="ORD-100154"/>
    <d v="2024-09-11T00:00:00"/>
    <d v="2024-09-13T00:00:00"/>
    <x v="3"/>
    <s v="Newcastle"/>
    <s v="Small Business"/>
    <s v="B2B Sales"/>
    <s v="P-010"/>
    <n v="6"/>
    <n v="0"/>
    <n v="38.92"/>
    <n v="7.2"/>
    <x v="4"/>
    <x v="2"/>
    <s v="Orbit Supply Co."/>
    <n v="3.62"/>
    <n v="6.03"/>
    <n v="21.72"/>
    <n v="10.000000000000004"/>
    <n v="0.25693730729701963"/>
    <x v="23"/>
    <x v="1"/>
    <x v="1"/>
  </r>
  <r>
    <s v="ORD-100155"/>
    <d v="2024-09-26T00:00:00"/>
    <d v="2024-09-29T00:00:00"/>
    <x v="2"/>
    <s v="Brighton"/>
    <s v="Home Office"/>
    <s v="Online"/>
    <s v="P-015"/>
    <n v="23"/>
    <n v="0"/>
    <n v="160.51"/>
    <n v="14.85"/>
    <x v="8"/>
    <x v="2"/>
    <s v="Luma Imports"/>
    <n v="3.3"/>
    <n v="6.13"/>
    <n v="75.899999999999991"/>
    <n v="69.760000000000005"/>
    <n v="0.43461466575291263"/>
    <x v="23"/>
    <x v="1"/>
    <x v="1"/>
  </r>
  <r>
    <s v="ORD-100156"/>
    <d v="2025-12-27T00:00:00"/>
    <d v="2025-12-28T00:00:00"/>
    <x v="0"/>
    <s v="Cardiff"/>
    <s v="Home Office"/>
    <s v="Online"/>
    <s v="P-009"/>
    <n v="3"/>
    <n v="0"/>
    <n v="564.28"/>
    <n v="4.95"/>
    <x v="0"/>
    <x v="0"/>
    <s v="Apex Wholesale"/>
    <n v="63.69"/>
    <n v="125.5"/>
    <n v="191.07"/>
    <n v="368.26"/>
    <n v="0.65261926703055217"/>
    <x v="13"/>
    <x v="1"/>
    <x v="0"/>
  </r>
  <r>
    <s v="ORD-100157"/>
    <d v="2024-08-13T00:00:00"/>
    <d v="2024-08-17T00:00:00"/>
    <x v="0"/>
    <s v="Cardiff"/>
    <s v="Small Business"/>
    <s v="B2B Sales"/>
    <s v="P-008"/>
    <n v="3"/>
    <n v="0.25"/>
    <n v="429.09"/>
    <n v="8.25"/>
    <x v="6"/>
    <x v="0"/>
    <s v="Vertex Trade"/>
    <n v="112.09"/>
    <n v="192.47"/>
    <n v="336.27"/>
    <n v="84.57"/>
    <n v="0.19709151926169335"/>
    <x v="7"/>
    <x v="3"/>
    <x v="1"/>
  </r>
  <r>
    <s v="ORD-100158"/>
    <d v="2025-07-27T00:00:00"/>
    <d v="2025-07-31T00:00:00"/>
    <x v="0"/>
    <s v="Liverpool"/>
    <s v="Home Office"/>
    <s v="Online"/>
    <s v="P-003"/>
    <n v="5"/>
    <n v="0.1"/>
    <n v="483.95"/>
    <n v="16"/>
    <x v="1"/>
    <x v="1"/>
    <s v="Orbit Supply Co."/>
    <n v="71.489999999999995"/>
    <n v="112.88"/>
    <n v="357.45"/>
    <n v="110.5"/>
    <n v="0.22832937286909805"/>
    <x v="4"/>
    <x v="0"/>
    <x v="0"/>
  </r>
  <r>
    <s v="ORD-100159"/>
    <d v="2025-08-03T00:00:00"/>
    <d v="2025-08-06T00:00:00"/>
    <x v="2"/>
    <s v="Brighton"/>
    <s v="Home Office"/>
    <s v="Retail Store"/>
    <s v="P-009"/>
    <n v="2"/>
    <n v="0.25"/>
    <n v="174.11"/>
    <n v="7"/>
    <x v="0"/>
    <x v="0"/>
    <s v="Apex Wholesale"/>
    <n v="63.69"/>
    <n v="125.5"/>
    <n v="127.38"/>
    <n v="39.730000000000018"/>
    <n v="0.22818907587157553"/>
    <x v="6"/>
    <x v="3"/>
    <x v="0"/>
  </r>
  <r>
    <s v="ORD-100160"/>
    <d v="2024-03-16T00:00:00"/>
    <d v="2024-03-21T00:00:00"/>
    <x v="3"/>
    <s v="Leeds"/>
    <s v="Small Business"/>
    <s v="Retail Store"/>
    <s v="P-002"/>
    <n v="1"/>
    <n v="0"/>
    <n v="197.86"/>
    <n v="6.8"/>
    <x v="2"/>
    <x v="1"/>
    <s v="Vertex Trade"/>
    <n v="119.02"/>
    <n v="205.39"/>
    <n v="119.02"/>
    <n v="72.04000000000002"/>
    <n v="0.36409582533104223"/>
    <x v="10"/>
    <x v="1"/>
    <x v="1"/>
  </r>
  <r>
    <s v="ORD-100161"/>
    <d v="2024-01-16T00:00:00"/>
    <d v="2024-01-17T00:00:00"/>
    <x v="0"/>
    <s v="Cardiff"/>
    <s v="Small Business"/>
    <s v="B2B Sales"/>
    <s v="P-004"/>
    <n v="2"/>
    <n v="0.15"/>
    <n v="162.97"/>
    <n v="5.46"/>
    <x v="5"/>
    <x v="1"/>
    <s v="Cedar Distribution"/>
    <n v="63.6"/>
    <n v="107.94"/>
    <n v="127.2"/>
    <n v="30.309999999999995"/>
    <n v="0.18598515064122229"/>
    <x v="18"/>
    <x v="2"/>
    <x v="1"/>
  </r>
  <r>
    <s v="ORD-100162"/>
    <d v="2025-03-13T00:00:00"/>
    <d v="2025-03-19T00:00:00"/>
    <x v="1"/>
    <s v="Peterborough"/>
    <s v="Small Business"/>
    <s v="B2B Sales"/>
    <s v="P-001"/>
    <n v="1"/>
    <n v="0"/>
    <n v="274.7"/>
    <n v="6.8"/>
    <x v="12"/>
    <x v="1"/>
    <s v="Luma Imports"/>
    <n v="173.56"/>
    <n v="286.14999999999998"/>
    <n v="173.56"/>
    <n v="94.339999999999989"/>
    <n v="0.34342919548598466"/>
    <x v="2"/>
    <x v="1"/>
    <x v="0"/>
  </r>
  <r>
    <s v="ORD-100163"/>
    <d v="2025-10-06T00:00:00"/>
    <d v="2025-10-12T00:00:00"/>
    <x v="1"/>
    <s v="Cambridge"/>
    <s v="Corporate"/>
    <s v="Retail Store"/>
    <s v="P-008"/>
    <n v="1"/>
    <n v="0"/>
    <n v="215.38"/>
    <n v="3.45"/>
    <x v="6"/>
    <x v="0"/>
    <s v="Vertex Trade"/>
    <n v="112.09"/>
    <n v="192.47"/>
    <n v="112.09"/>
    <n v="99.839999999999989"/>
    <n v="0.46355279041693748"/>
    <x v="22"/>
    <x v="1"/>
    <x v="0"/>
  </r>
  <r>
    <s v="ORD-100164"/>
    <d v="2024-04-18T00:00:00"/>
    <d v="2024-04-23T00:00:00"/>
    <x v="1"/>
    <s v="Cambridge"/>
    <s v="Small Business"/>
    <s v="B2B Sales"/>
    <s v="P-013"/>
    <n v="8"/>
    <n v="0"/>
    <n v="95.35"/>
    <n v="8.1"/>
    <x v="11"/>
    <x v="2"/>
    <s v="Apex Wholesale"/>
    <n v="6.33"/>
    <n v="12.16"/>
    <n v="50.64"/>
    <n v="36.609999999999992"/>
    <n v="0.38395385422128991"/>
    <x v="21"/>
    <x v="1"/>
    <x v="1"/>
  </r>
  <r>
    <s v="ORD-100165"/>
    <d v="2025-04-09T00:00:00"/>
    <d v="2025-04-14T00:00:00"/>
    <x v="1"/>
    <s v="Norwich"/>
    <s v="Corporate"/>
    <s v="B2B Sales"/>
    <s v="P-005"/>
    <n v="3"/>
    <n v="0"/>
    <n v="146.08000000000001"/>
    <n v="4.95"/>
    <x v="13"/>
    <x v="0"/>
    <s v="Apex Wholesale"/>
    <n v="25.33"/>
    <n v="51.56"/>
    <n v="75.989999999999995"/>
    <n v="65.140000000000015"/>
    <n v="0.44592004381161016"/>
    <x v="15"/>
    <x v="1"/>
    <x v="0"/>
  </r>
  <r>
    <s v="ORD-100166"/>
    <d v="2024-07-17T00:00:00"/>
    <d v="2024-07-23T00:00:00"/>
    <x v="2"/>
    <s v="London"/>
    <s v="Home Office"/>
    <s v="B2B Sales"/>
    <s v="P-002"/>
    <n v="3"/>
    <n v="0"/>
    <n v="600.47"/>
    <n v="6.84"/>
    <x v="2"/>
    <x v="1"/>
    <s v="Vertex Trade"/>
    <n v="119.02"/>
    <n v="205.39"/>
    <n v="357.06"/>
    <n v="236.57000000000002"/>
    <n v="0.39397471980282112"/>
    <x v="16"/>
    <x v="1"/>
    <x v="1"/>
  </r>
  <r>
    <s v="ORD-100167"/>
    <d v="2025-01-06T00:00:00"/>
    <d v="2025-01-08T00:00:00"/>
    <x v="2"/>
    <s v="Bristol"/>
    <s v="Corporate"/>
    <s v="Online"/>
    <s v="P-011"/>
    <n v="14"/>
    <n v="0.05"/>
    <n v="166.91"/>
    <n v="10.8"/>
    <x v="9"/>
    <x v="2"/>
    <s v="Orbit Supply Co."/>
    <n v="7.93"/>
    <n v="14.78"/>
    <n v="111.02"/>
    <n v="45.09"/>
    <n v="0.27014558744233425"/>
    <x v="20"/>
    <x v="0"/>
    <x v="0"/>
  </r>
  <r>
    <s v="ORD-100168"/>
    <d v="2025-04-21T00:00:00"/>
    <d v="2025-04-25T00:00:00"/>
    <x v="0"/>
    <s v="Cardiff"/>
    <s v="Home Office"/>
    <s v="Online"/>
    <s v="P-013"/>
    <n v="4"/>
    <n v="0.1"/>
    <n v="45.1"/>
    <n v="3.78"/>
    <x v="11"/>
    <x v="2"/>
    <s v="Apex Wholesale"/>
    <n v="6.33"/>
    <n v="12.16"/>
    <n v="25.32"/>
    <n v="16"/>
    <n v="0.35476718403547669"/>
    <x v="15"/>
    <x v="0"/>
    <x v="0"/>
  </r>
  <r>
    <s v="ORD-100169"/>
    <d v="2025-10-02T00:00:00"/>
    <d v="2025-10-07T00:00:00"/>
    <x v="0"/>
    <s v="Liverpool"/>
    <s v="Home Office"/>
    <s v="B2B Sales"/>
    <s v="P-008"/>
    <n v="4"/>
    <n v="0.05"/>
    <n v="864.55"/>
    <n v="9.5"/>
    <x v="6"/>
    <x v="0"/>
    <s v="Vertex Trade"/>
    <n v="112.09"/>
    <n v="192.47"/>
    <n v="448.36"/>
    <n v="406.68999999999994"/>
    <n v="0.4704065698918512"/>
    <x v="22"/>
    <x v="0"/>
    <x v="0"/>
  </r>
  <r>
    <s v="ORD-100170"/>
    <d v="2025-02-20T00:00:00"/>
    <d v="2025-02-26T00:00:00"/>
    <x v="3"/>
    <s v="Manchester"/>
    <s v="Home Office"/>
    <s v="B2B Sales"/>
    <s v="P-009"/>
    <n v="4"/>
    <n v="0"/>
    <n v="433.61"/>
    <n v="5.7"/>
    <x v="0"/>
    <x v="0"/>
    <s v="Apex Wholesale"/>
    <n v="63.69"/>
    <n v="125.5"/>
    <n v="254.76"/>
    <n v="173.15000000000003"/>
    <n v="0.39932197135674924"/>
    <x v="5"/>
    <x v="1"/>
    <x v="0"/>
  </r>
  <r>
    <s v="ORD-100171"/>
    <d v="2024-01-28T00:00:00"/>
    <d v="2024-01-30T00:00:00"/>
    <x v="0"/>
    <s v="Liverpool"/>
    <s v="Corporate"/>
    <s v="Online"/>
    <s v="P-011"/>
    <n v="7"/>
    <n v="0"/>
    <n v="95.54"/>
    <n v="4.59"/>
    <x v="9"/>
    <x v="2"/>
    <s v="Orbit Supply Co."/>
    <n v="7.93"/>
    <n v="14.78"/>
    <n v="55.51"/>
    <n v="35.440000000000012"/>
    <n v="0.37094410718023874"/>
    <x v="18"/>
    <x v="1"/>
    <x v="1"/>
  </r>
  <r>
    <s v="ORD-100172"/>
    <d v="2024-11-24T00:00:00"/>
    <d v="2024-11-29T00:00:00"/>
    <x v="2"/>
    <s v="London"/>
    <s v="Corporate"/>
    <s v="B2B Sales"/>
    <s v="P-006"/>
    <n v="3"/>
    <n v="0.05"/>
    <n v="408.63"/>
    <n v="4.95"/>
    <x v="10"/>
    <x v="0"/>
    <s v="Apex Wholesale"/>
    <n v="54.95"/>
    <n v="112.56"/>
    <n v="164.85000000000002"/>
    <n v="238.82999999999998"/>
    <n v="0.58446516408486893"/>
    <x v="14"/>
    <x v="0"/>
    <x v="1"/>
  </r>
  <r>
    <s v="ORD-100173"/>
    <d v="2024-08-13T00:00:00"/>
    <d v="2024-08-14T00:00:00"/>
    <x v="1"/>
    <s v="Norwich"/>
    <s v="Home Office"/>
    <s v="B2B Sales"/>
    <s v="P-002"/>
    <n v="2"/>
    <n v="0"/>
    <n v="393.65"/>
    <n v="5.46"/>
    <x v="2"/>
    <x v="1"/>
    <s v="Vertex Trade"/>
    <n v="119.02"/>
    <n v="205.39"/>
    <n v="238.04"/>
    <n v="150.14999999999998"/>
    <n v="0.38143020449637999"/>
    <x v="7"/>
    <x v="1"/>
    <x v="1"/>
  </r>
  <r>
    <s v="ORD-100174"/>
    <d v="2025-01-30T00:00:00"/>
    <d v="2025-02-04T00:00:00"/>
    <x v="0"/>
    <s v="Cardiff"/>
    <s v="Corporate"/>
    <s v="Retail Store"/>
    <s v="P-002"/>
    <n v="3"/>
    <n v="0.15"/>
    <n v="437.79"/>
    <n v="11.4"/>
    <x v="2"/>
    <x v="1"/>
    <s v="Vertex Trade"/>
    <n v="119.02"/>
    <n v="205.39"/>
    <n v="357.06"/>
    <n v="69.330000000000013"/>
    <n v="0.15836359898581515"/>
    <x v="20"/>
    <x v="2"/>
    <x v="0"/>
  </r>
  <r>
    <s v="ORD-100175"/>
    <d v="2025-04-19T00:00:00"/>
    <d v="2025-04-21T00:00:00"/>
    <x v="1"/>
    <s v="Norwich"/>
    <s v="Home Office"/>
    <s v="B2B Sales"/>
    <s v="P-013"/>
    <n v="20"/>
    <n v="0"/>
    <n v="230.65"/>
    <n v="8.1"/>
    <x v="11"/>
    <x v="2"/>
    <s v="Apex Wholesale"/>
    <n v="6.33"/>
    <n v="12.16"/>
    <n v="126.6"/>
    <n v="95.950000000000017"/>
    <n v="0.41599826577064825"/>
    <x v="15"/>
    <x v="1"/>
    <x v="0"/>
  </r>
  <r>
    <s v="ORD-100176"/>
    <d v="2024-01-03T00:00:00"/>
    <d v="2024-01-06T00:00:00"/>
    <x v="1"/>
    <s v="Peterborough"/>
    <s v="Corporate"/>
    <s v="Retail Store"/>
    <s v="P-014"/>
    <n v="5"/>
    <n v="0"/>
    <n v="118.12"/>
    <n v="4.05"/>
    <x v="3"/>
    <x v="2"/>
    <s v="Orbit Supply Co."/>
    <n v="16.760000000000002"/>
    <n v="27.71"/>
    <n v="83.800000000000011"/>
    <n v="30.269999999999992"/>
    <n v="0.25626481544192342"/>
    <x v="18"/>
    <x v="1"/>
    <x v="1"/>
  </r>
  <r>
    <s v="ORD-100177"/>
    <d v="2025-12-23T00:00:00"/>
    <d v="2025-12-26T00:00:00"/>
    <x v="0"/>
    <s v="Birmingham"/>
    <s v="Small Business"/>
    <s v="Retail Store"/>
    <s v="P-003"/>
    <n v="1"/>
    <n v="0"/>
    <n v="165.14"/>
    <n v="6.8"/>
    <x v="1"/>
    <x v="1"/>
    <s v="Orbit Supply Co."/>
    <n v="71.489999999999995"/>
    <n v="112.88"/>
    <n v="71.489999999999995"/>
    <n v="86.85"/>
    <n v="0.52591740341528403"/>
    <x v="13"/>
    <x v="1"/>
    <x v="0"/>
  </r>
  <r>
    <s v="ORD-100178"/>
    <d v="2025-04-28T00:00:00"/>
    <d v="2025-04-29T00:00:00"/>
    <x v="3"/>
    <s v="Leeds"/>
    <s v="Corporate"/>
    <s v="Online"/>
    <s v="P-011"/>
    <n v="8"/>
    <n v="0"/>
    <n v="121.37"/>
    <n v="8.1"/>
    <x v="9"/>
    <x v="2"/>
    <s v="Orbit Supply Co."/>
    <n v="7.93"/>
    <n v="14.78"/>
    <n v="63.44"/>
    <n v="49.830000000000005"/>
    <n v="0.4105627420285079"/>
    <x v="15"/>
    <x v="1"/>
    <x v="0"/>
  </r>
  <r>
    <s v="ORD-100179"/>
    <d v="2025-10-09T00:00:00"/>
    <d v="2025-10-15T00:00:00"/>
    <x v="3"/>
    <s v="Leeds"/>
    <s v="Home Office"/>
    <s v="Online"/>
    <s v="P-006"/>
    <n v="1"/>
    <n v="0"/>
    <n v="133.91"/>
    <n v="3.45"/>
    <x v="10"/>
    <x v="0"/>
    <s v="Apex Wholesale"/>
    <n v="54.95"/>
    <n v="112.56"/>
    <n v="54.95"/>
    <n v="75.509999999999991"/>
    <n v="0.56388619221865421"/>
    <x v="22"/>
    <x v="1"/>
    <x v="0"/>
  </r>
  <r>
    <s v="ORD-100180"/>
    <d v="2025-10-22T00:00:00"/>
    <d v="2025-10-23T00:00:00"/>
    <x v="0"/>
    <s v="Liverpool"/>
    <s v="Corporate"/>
    <s v="B2B Sales"/>
    <s v="P-004"/>
    <n v="4"/>
    <n v="0"/>
    <n v="471.48"/>
    <n v="8.2200000000000006"/>
    <x v="5"/>
    <x v="1"/>
    <s v="Cedar Distribution"/>
    <n v="63.6"/>
    <n v="107.94"/>
    <n v="254.4"/>
    <n v="208.86"/>
    <n v="0.442988037668618"/>
    <x v="22"/>
    <x v="1"/>
    <x v="0"/>
  </r>
  <r>
    <s v="ORD-100181"/>
    <d v="2024-02-20T00:00:00"/>
    <d v="2024-02-25T00:00:00"/>
    <x v="0"/>
    <s v="Liverpool"/>
    <s v="Corporate"/>
    <s v="Online"/>
    <s v="P-009"/>
    <n v="3"/>
    <n v="0"/>
    <n v="319.39999999999998"/>
    <n v="8.25"/>
    <x v="0"/>
    <x v="0"/>
    <s v="Apex Wholesale"/>
    <n v="63.69"/>
    <n v="125.5"/>
    <n v="191.07"/>
    <n v="120.07999999999998"/>
    <n v="0.37595491546649967"/>
    <x v="12"/>
    <x v="1"/>
    <x v="1"/>
  </r>
  <r>
    <s v="ORD-100182"/>
    <d v="2025-07-25T00:00:00"/>
    <d v="2025-07-28T00:00:00"/>
    <x v="1"/>
    <s v="Cambridge"/>
    <s v="Small Business"/>
    <s v="B2B Sales"/>
    <s v="P-001"/>
    <n v="5"/>
    <n v="0"/>
    <n v="1302.1500000000001"/>
    <n v="16"/>
    <x v="12"/>
    <x v="1"/>
    <s v="Luma Imports"/>
    <n v="173.56"/>
    <n v="286.14999999999998"/>
    <n v="867.8"/>
    <n v="418.35000000000014"/>
    <n v="0.32127635065084675"/>
    <x v="4"/>
    <x v="1"/>
    <x v="0"/>
  </r>
  <r>
    <s v="ORD-100183"/>
    <d v="2024-11-11T00:00:00"/>
    <d v="2024-11-12T00:00:00"/>
    <x v="2"/>
    <s v="Brighton"/>
    <s v="Small Business"/>
    <s v="Retail Store"/>
    <s v="P-006"/>
    <n v="2"/>
    <n v="0.2"/>
    <n v="236.38"/>
    <n v="7"/>
    <x v="10"/>
    <x v="0"/>
    <s v="Apex Wholesale"/>
    <n v="54.95"/>
    <n v="112.56"/>
    <n v="109.9"/>
    <n v="119.47999999999999"/>
    <n v="0.50545731449361198"/>
    <x v="14"/>
    <x v="2"/>
    <x v="1"/>
  </r>
  <r>
    <s v="ORD-100184"/>
    <d v="2024-09-23T00:00:00"/>
    <d v="2024-09-24T00:00:00"/>
    <x v="1"/>
    <s v="Norwich"/>
    <s v="Small Business"/>
    <s v="Online"/>
    <s v="P-012"/>
    <n v="5"/>
    <n v="0.2"/>
    <n v="34.78"/>
    <n v="6.75"/>
    <x v="14"/>
    <x v="2"/>
    <s v="Luma Imports"/>
    <n v="4.5"/>
    <n v="8.2899999999999991"/>
    <n v="22.5"/>
    <n v="5.5300000000000011"/>
    <n v="0.1589994249568718"/>
    <x v="23"/>
    <x v="2"/>
    <x v="1"/>
  </r>
  <r>
    <s v="ORD-100185"/>
    <d v="2024-12-29T00:00:00"/>
    <d v="2024-12-31T00:00:00"/>
    <x v="0"/>
    <s v="Cardiff"/>
    <s v="Corporate"/>
    <s v="B2B Sales"/>
    <s v="P-008"/>
    <n v="4"/>
    <n v="0.1"/>
    <n v="1018"/>
    <n v="9.5"/>
    <x v="6"/>
    <x v="0"/>
    <s v="Vertex Trade"/>
    <n v="112.09"/>
    <n v="192.47"/>
    <n v="448.36"/>
    <n v="560.14"/>
    <n v="0.55023575638506872"/>
    <x v="9"/>
    <x v="0"/>
    <x v="1"/>
  </r>
  <r>
    <s v="ORD-100186"/>
    <d v="2025-04-13T00:00:00"/>
    <d v="2025-04-17T00:00:00"/>
    <x v="0"/>
    <s v="Liverpool"/>
    <s v="Corporate"/>
    <s v="Online"/>
    <s v="P-011"/>
    <n v="14"/>
    <n v="0"/>
    <n v="207.46"/>
    <n v="6.48"/>
    <x v="9"/>
    <x v="2"/>
    <s v="Orbit Supply Co."/>
    <n v="7.93"/>
    <n v="14.78"/>
    <n v="111.02"/>
    <n v="89.960000000000008"/>
    <n v="0.43362575918249302"/>
    <x v="15"/>
    <x v="1"/>
    <x v="0"/>
  </r>
  <r>
    <s v="ORD-100187"/>
    <d v="2024-03-30T00:00:00"/>
    <d v="2024-04-02T00:00:00"/>
    <x v="1"/>
    <s v="Norwich"/>
    <s v="Corporate"/>
    <s v="Retail Store"/>
    <s v="P-009"/>
    <n v="1"/>
    <n v="0.1"/>
    <n v="106.88"/>
    <n v="3.45"/>
    <x v="0"/>
    <x v="0"/>
    <s v="Apex Wholesale"/>
    <n v="63.69"/>
    <n v="125.5"/>
    <n v="63.69"/>
    <n v="39.739999999999995"/>
    <n v="0.37181886227544908"/>
    <x v="10"/>
    <x v="0"/>
    <x v="1"/>
  </r>
  <r>
    <s v="ORD-100188"/>
    <d v="2024-02-02T00:00:00"/>
    <d v="2024-02-05T00:00:00"/>
    <x v="2"/>
    <s v="Bristol"/>
    <s v="Home Office"/>
    <s v="Online"/>
    <s v="P-006"/>
    <n v="4"/>
    <n v="0"/>
    <n v="408.99"/>
    <n v="5.7"/>
    <x v="10"/>
    <x v="0"/>
    <s v="Apex Wholesale"/>
    <n v="54.95"/>
    <n v="112.56"/>
    <n v="219.8"/>
    <n v="183.49"/>
    <n v="0.4486417760825448"/>
    <x v="12"/>
    <x v="1"/>
    <x v="1"/>
  </r>
  <r>
    <s v="ORD-100189"/>
    <d v="2024-12-22T00:00:00"/>
    <d v="2024-12-23T00:00:00"/>
    <x v="0"/>
    <s v="Birmingham"/>
    <s v="Corporate"/>
    <s v="B2B Sales"/>
    <s v="P-009"/>
    <n v="4"/>
    <n v="0"/>
    <n v="756.56"/>
    <n v="9.5"/>
    <x v="0"/>
    <x v="0"/>
    <s v="Apex Wholesale"/>
    <n v="63.69"/>
    <n v="125.5"/>
    <n v="254.76"/>
    <n v="492.29999999999995"/>
    <n v="0.65070846991646403"/>
    <x v="9"/>
    <x v="1"/>
    <x v="1"/>
  </r>
  <r>
    <s v="ORD-100190"/>
    <d v="2024-01-08T00:00:00"/>
    <d v="2024-01-11T00:00:00"/>
    <x v="2"/>
    <s v="London"/>
    <s v="Corporate"/>
    <s v="Retail Store"/>
    <s v="P-004"/>
    <n v="1"/>
    <n v="0.1"/>
    <n v="85.59"/>
    <n v="4.08"/>
    <x v="5"/>
    <x v="1"/>
    <s v="Cedar Distribution"/>
    <n v="63.6"/>
    <n v="107.94"/>
    <n v="63.6"/>
    <n v="17.910000000000004"/>
    <n v="0.20925341745531023"/>
    <x v="18"/>
    <x v="0"/>
    <x v="1"/>
  </r>
  <r>
    <s v="ORD-100191"/>
    <d v="2025-08-25T00:00:00"/>
    <d v="2025-08-28T00:00:00"/>
    <x v="3"/>
    <s v="Manchester"/>
    <s v="Small Business"/>
    <s v="Online"/>
    <s v="P-011"/>
    <n v="3"/>
    <n v="0.2"/>
    <n v="33.49"/>
    <n v="3.51"/>
    <x v="9"/>
    <x v="2"/>
    <s v="Orbit Supply Co."/>
    <n v="7.93"/>
    <n v="14.78"/>
    <n v="23.79"/>
    <n v="6.1900000000000031"/>
    <n v="0.18483129292326075"/>
    <x v="6"/>
    <x v="2"/>
    <x v="0"/>
  </r>
  <r>
    <s v="ORD-100192"/>
    <d v="2024-09-16T00:00:00"/>
    <d v="2024-09-17T00:00:00"/>
    <x v="3"/>
    <s v="Leeds"/>
    <s v="Small Business"/>
    <s v="Retail Store"/>
    <s v="P-012"/>
    <n v="10"/>
    <n v="0"/>
    <n v="93.55"/>
    <n v="5.4"/>
    <x v="14"/>
    <x v="2"/>
    <s v="Luma Imports"/>
    <n v="4.5"/>
    <n v="8.2899999999999991"/>
    <n v="45"/>
    <n v="43.15"/>
    <n v="0.46125066809192944"/>
    <x v="23"/>
    <x v="1"/>
    <x v="1"/>
  </r>
  <r>
    <s v="ORD-100193"/>
    <d v="2024-12-09T00:00:00"/>
    <d v="2024-12-11T00:00:00"/>
    <x v="1"/>
    <s v="Cambridge"/>
    <s v="Small Business"/>
    <s v="Retail Store"/>
    <s v="P-002"/>
    <n v="1"/>
    <n v="0"/>
    <n v="302.95"/>
    <n v="4.08"/>
    <x v="2"/>
    <x v="1"/>
    <s v="Vertex Trade"/>
    <n v="119.02"/>
    <n v="205.39"/>
    <n v="119.02"/>
    <n v="179.85"/>
    <n v="0.5936623205149365"/>
    <x v="9"/>
    <x v="1"/>
    <x v="1"/>
  </r>
  <r>
    <s v="ORD-100194"/>
    <d v="2025-10-09T00:00:00"/>
    <d v="2025-10-13T00:00:00"/>
    <x v="1"/>
    <s v="Peterborough"/>
    <s v="Corporate"/>
    <s v="B2B Sales"/>
    <s v="P-009"/>
    <n v="1"/>
    <n v="0.15"/>
    <n v="129.21"/>
    <n v="5.75"/>
    <x v="0"/>
    <x v="0"/>
    <s v="Apex Wholesale"/>
    <n v="63.69"/>
    <n v="125.5"/>
    <n v="63.69"/>
    <n v="59.77000000000001"/>
    <n v="0.46258029564275216"/>
    <x v="22"/>
    <x v="2"/>
    <x v="0"/>
  </r>
  <r>
    <s v="ORD-100195"/>
    <d v="2024-08-10T00:00:00"/>
    <d v="2024-08-16T00:00:00"/>
    <x v="0"/>
    <s v="Birmingham"/>
    <s v="Corporate"/>
    <s v="Online"/>
    <s v="P-002"/>
    <n v="2"/>
    <n v="0"/>
    <n v="406.86"/>
    <n v="9.1"/>
    <x v="2"/>
    <x v="1"/>
    <s v="Vertex Trade"/>
    <n v="119.02"/>
    <n v="205.39"/>
    <n v="238.04"/>
    <n v="159.72000000000003"/>
    <n v="0.39256746792508485"/>
    <x v="7"/>
    <x v="1"/>
    <x v="1"/>
  </r>
  <r>
    <s v="ORD-100196"/>
    <d v="2024-02-20T00:00:00"/>
    <d v="2024-02-24T00:00:00"/>
    <x v="1"/>
    <s v="Peterborough"/>
    <s v="Corporate"/>
    <s v="B2B Sales"/>
    <s v="P-015"/>
    <n v="4"/>
    <n v="0.15"/>
    <n v="19.559999999999999"/>
    <n v="3.78"/>
    <x v="8"/>
    <x v="2"/>
    <s v="Luma Imports"/>
    <n v="3.3"/>
    <n v="6.13"/>
    <n v="13.2"/>
    <n v="2.5799999999999996"/>
    <n v="0.13190184049079753"/>
    <x v="12"/>
    <x v="2"/>
    <x v="1"/>
  </r>
  <r>
    <s v="ORD-100197"/>
    <d v="2025-09-05T00:00:00"/>
    <d v="2025-09-10T00:00:00"/>
    <x v="2"/>
    <s v="Bristol"/>
    <s v="Small Business"/>
    <s v="B2B Sales"/>
    <s v="P-014"/>
    <n v="11"/>
    <n v="0.1"/>
    <n v="296.26"/>
    <n v="5.67"/>
    <x v="3"/>
    <x v="2"/>
    <s v="Orbit Supply Co."/>
    <n v="16.760000000000002"/>
    <n v="27.71"/>
    <n v="184.36"/>
    <n v="106.22999999999998"/>
    <n v="0.35857017484641862"/>
    <x v="11"/>
    <x v="0"/>
    <x v="0"/>
  </r>
  <r>
    <s v="ORD-100198"/>
    <d v="2024-11-03T00:00:00"/>
    <d v="2024-11-05T00:00:00"/>
    <x v="3"/>
    <s v="Newcastle"/>
    <s v="Small Business"/>
    <s v="B2B Sales"/>
    <s v="P-006"/>
    <n v="1"/>
    <n v="0.25"/>
    <n v="108.26"/>
    <n v="5.75"/>
    <x v="10"/>
    <x v="0"/>
    <s v="Apex Wholesale"/>
    <n v="54.95"/>
    <n v="112.56"/>
    <n v="54.95"/>
    <n v="47.56"/>
    <n v="0.43931276556438204"/>
    <x v="14"/>
    <x v="3"/>
    <x v="1"/>
  </r>
  <r>
    <s v="ORD-100199"/>
    <d v="2025-12-26T00:00:00"/>
    <d v="2025-12-28T00:00:00"/>
    <x v="2"/>
    <s v="Brighton"/>
    <s v="Corporate"/>
    <s v="Retail Store"/>
    <s v="P-015"/>
    <n v="11"/>
    <n v="0"/>
    <n v="93.16"/>
    <n v="9.4499999999999993"/>
    <x v="8"/>
    <x v="2"/>
    <s v="Luma Imports"/>
    <n v="3.3"/>
    <n v="6.13"/>
    <n v="36.299999999999997"/>
    <n v="47.41"/>
    <n v="0.50890940317732936"/>
    <x v="13"/>
    <x v="1"/>
    <x v="0"/>
  </r>
  <r>
    <s v="ORD-100200"/>
    <d v="2025-04-23T00:00:00"/>
    <d v="2025-04-29T00:00:00"/>
    <x v="2"/>
    <s v="Bristol"/>
    <s v="Small Business"/>
    <s v="Online"/>
    <s v="P-012"/>
    <n v="8"/>
    <n v="0"/>
    <n v="62.59"/>
    <n v="4.8600000000000003"/>
    <x v="14"/>
    <x v="2"/>
    <s v="Luma Imports"/>
    <n v="4.5"/>
    <n v="8.2899999999999991"/>
    <n v="36"/>
    <n v="21.730000000000004"/>
    <n v="0.34718006071257396"/>
    <x v="15"/>
    <x v="1"/>
    <x v="0"/>
  </r>
  <r>
    <s v="ORD-100201"/>
    <d v="2025-07-09T00:00:00"/>
    <d v="2025-07-10T00:00:00"/>
    <x v="2"/>
    <s v="Brighton"/>
    <s v="Corporate"/>
    <s v="Retail Store"/>
    <s v="P-009"/>
    <n v="1"/>
    <n v="0.2"/>
    <n v="90.1"/>
    <n v="3.45"/>
    <x v="0"/>
    <x v="0"/>
    <s v="Apex Wholesale"/>
    <n v="63.69"/>
    <n v="125.5"/>
    <n v="63.69"/>
    <n v="22.959999999999997"/>
    <n v="0.25482796892341841"/>
    <x v="4"/>
    <x v="2"/>
    <x v="0"/>
  </r>
  <r>
    <s v="ORD-100202"/>
    <d v="2024-06-09T00:00:00"/>
    <d v="2024-06-14T00:00:00"/>
    <x v="0"/>
    <s v="Birmingham"/>
    <s v="Home Office"/>
    <s v="Online"/>
    <s v="P-001"/>
    <n v="7"/>
    <n v="0.15"/>
    <n v="1717.7"/>
    <n v="12.36"/>
    <x v="12"/>
    <x v="1"/>
    <s v="Luma Imports"/>
    <n v="173.56"/>
    <n v="286.14999999999998"/>
    <n v="1214.92"/>
    <n v="490.41999999999996"/>
    <n v="0.28550969319438779"/>
    <x v="17"/>
    <x v="2"/>
    <x v="1"/>
  </r>
  <r>
    <s v="ORD-100203"/>
    <d v="2024-03-06T00:00:00"/>
    <d v="2024-03-11T00:00:00"/>
    <x v="0"/>
    <s v="Liverpool"/>
    <s v="Small Business"/>
    <s v="Online"/>
    <s v="P-001"/>
    <n v="1"/>
    <n v="0.15"/>
    <n v="239.65"/>
    <n v="6.8"/>
    <x v="12"/>
    <x v="1"/>
    <s v="Luma Imports"/>
    <n v="173.56"/>
    <n v="286.14999999999998"/>
    <n v="173.56"/>
    <n v="59.290000000000006"/>
    <n v="0.24740246192363866"/>
    <x v="10"/>
    <x v="2"/>
    <x v="1"/>
  </r>
  <r>
    <s v="ORD-100204"/>
    <d v="2025-06-20T00:00:00"/>
    <d v="2025-06-24T00:00:00"/>
    <x v="0"/>
    <s v="Liverpool"/>
    <s v="Corporate"/>
    <s v="Retail Store"/>
    <s v="P-013"/>
    <n v="7"/>
    <n v="0"/>
    <n v="92.57"/>
    <n v="7.65"/>
    <x v="11"/>
    <x v="2"/>
    <s v="Apex Wholesale"/>
    <n v="6.33"/>
    <n v="12.16"/>
    <n v="44.31"/>
    <n v="40.609999999999992"/>
    <n v="0.43869504159014794"/>
    <x v="0"/>
    <x v="1"/>
    <x v="0"/>
  </r>
  <r>
    <s v="ORD-100205"/>
    <d v="2025-12-20T00:00:00"/>
    <d v="2025-12-24T00:00:00"/>
    <x v="2"/>
    <s v="Bristol"/>
    <s v="Small Business"/>
    <s v="Retail Store"/>
    <s v="P-006"/>
    <n v="4"/>
    <n v="0"/>
    <n v="682.3"/>
    <n v="5.7"/>
    <x v="10"/>
    <x v="0"/>
    <s v="Apex Wholesale"/>
    <n v="54.95"/>
    <n v="112.56"/>
    <n v="219.8"/>
    <n v="456.79999999999995"/>
    <n v="0.66950021984464314"/>
    <x v="13"/>
    <x v="1"/>
    <x v="0"/>
  </r>
  <r>
    <s v="ORD-100206"/>
    <d v="2024-09-28T00:00:00"/>
    <d v="2024-09-29T00:00:00"/>
    <x v="3"/>
    <s v="Leeds"/>
    <s v="Corporate"/>
    <s v="Retail Store"/>
    <s v="P-009"/>
    <n v="5"/>
    <n v="0"/>
    <n v="702.28"/>
    <n v="6.45"/>
    <x v="0"/>
    <x v="0"/>
    <s v="Apex Wholesale"/>
    <n v="63.69"/>
    <n v="125.5"/>
    <n v="318.45"/>
    <n v="377.38"/>
    <n v="0.53736401435324943"/>
    <x v="23"/>
    <x v="1"/>
    <x v="1"/>
  </r>
  <r>
    <s v="ORD-100207"/>
    <d v="2024-12-15T00:00:00"/>
    <d v="2024-12-18T00:00:00"/>
    <x v="1"/>
    <s v="Norwich"/>
    <s v="Home Office"/>
    <s v="Online"/>
    <s v="P-004"/>
    <n v="1"/>
    <n v="0"/>
    <n v="152.43"/>
    <n v="4.08"/>
    <x v="5"/>
    <x v="1"/>
    <s v="Cedar Distribution"/>
    <n v="63.6"/>
    <n v="107.94"/>
    <n v="63.6"/>
    <n v="84.750000000000014"/>
    <n v="0.55599291478055513"/>
    <x v="9"/>
    <x v="1"/>
    <x v="1"/>
  </r>
  <r>
    <s v="ORD-100208"/>
    <d v="2024-10-13T00:00:00"/>
    <d v="2024-10-15T00:00:00"/>
    <x v="0"/>
    <s v="Cardiff"/>
    <s v="Small Business"/>
    <s v="B2B Sales"/>
    <s v="P-001"/>
    <n v="1"/>
    <n v="0.05"/>
    <n v="308.32"/>
    <n v="4.08"/>
    <x v="12"/>
    <x v="1"/>
    <s v="Luma Imports"/>
    <n v="173.56"/>
    <n v="286.14999999999998"/>
    <n v="173.56"/>
    <n v="130.67999999999998"/>
    <n v="0.42384535547483126"/>
    <x v="3"/>
    <x v="0"/>
    <x v="1"/>
  </r>
  <r>
    <s v="ORD-100209"/>
    <d v="2025-08-09T00:00:00"/>
    <d v="2025-08-12T00:00:00"/>
    <x v="0"/>
    <s v="Birmingham"/>
    <s v="Corporate"/>
    <s v="Retail Store"/>
    <s v="P-003"/>
    <n v="1"/>
    <n v="0.05"/>
    <n v="105.73"/>
    <n v="4.08"/>
    <x v="1"/>
    <x v="1"/>
    <s v="Orbit Supply Co."/>
    <n v="71.489999999999995"/>
    <n v="112.88"/>
    <n v="71.489999999999995"/>
    <n v="30.160000000000011"/>
    <n v="0.2852548945427032"/>
    <x v="6"/>
    <x v="0"/>
    <x v="0"/>
  </r>
  <r>
    <s v="ORD-100210"/>
    <d v="2025-09-13T00:00:00"/>
    <d v="2025-09-14T00:00:00"/>
    <x v="3"/>
    <s v="Manchester"/>
    <s v="Corporate"/>
    <s v="Retail Store"/>
    <s v="P-015"/>
    <n v="4"/>
    <n v="0.25"/>
    <n v="19.27"/>
    <n v="3.78"/>
    <x v="8"/>
    <x v="2"/>
    <s v="Luma Imports"/>
    <n v="3.3"/>
    <n v="6.13"/>
    <n v="13.2"/>
    <n v="2.2900000000000005"/>
    <n v="0.11883757135443698"/>
    <x v="11"/>
    <x v="3"/>
    <x v="0"/>
  </r>
  <r>
    <s v="ORD-100211"/>
    <d v="2024-09-21T00:00:00"/>
    <d v="2024-09-27T00:00:00"/>
    <x v="3"/>
    <s v="Leeds"/>
    <s v="Home Office"/>
    <s v="Retail Store"/>
    <s v="P-006"/>
    <n v="1"/>
    <n v="0"/>
    <n v="121.59"/>
    <n v="3.45"/>
    <x v="10"/>
    <x v="0"/>
    <s v="Apex Wholesale"/>
    <n v="54.95"/>
    <n v="112.56"/>
    <n v="54.95"/>
    <n v="63.19"/>
    <n v="0.5196973435315404"/>
    <x v="23"/>
    <x v="1"/>
    <x v="1"/>
  </r>
  <r>
    <s v="ORD-100212"/>
    <d v="2025-03-15T00:00:00"/>
    <d v="2025-03-20T00:00:00"/>
    <x v="1"/>
    <s v="Peterborough"/>
    <s v="Corporate"/>
    <s v="Retail Store"/>
    <s v="P-015"/>
    <n v="5"/>
    <n v="0"/>
    <n v="27.99"/>
    <n v="6.75"/>
    <x v="8"/>
    <x v="2"/>
    <s v="Luma Imports"/>
    <n v="3.3"/>
    <n v="6.13"/>
    <n v="16.5"/>
    <n v="4.7399999999999984"/>
    <n v="0.16934619506966769"/>
    <x v="2"/>
    <x v="1"/>
    <x v="0"/>
  </r>
  <r>
    <s v="ORD-100213"/>
    <d v="2025-12-09T00:00:00"/>
    <d v="2025-12-12T00:00:00"/>
    <x v="0"/>
    <s v="Birmingham"/>
    <s v="Corporate"/>
    <s v="Retail Store"/>
    <s v="P-009"/>
    <n v="4"/>
    <n v="0.1"/>
    <n v="675.3"/>
    <n v="9.5"/>
    <x v="0"/>
    <x v="0"/>
    <s v="Apex Wholesale"/>
    <n v="63.69"/>
    <n v="125.5"/>
    <n v="254.76"/>
    <n v="411.03999999999996"/>
    <n v="0.60867762475936615"/>
    <x v="13"/>
    <x v="0"/>
    <x v="0"/>
  </r>
  <r>
    <s v="ORD-100214"/>
    <d v="2024-12-07T00:00:00"/>
    <d v="2024-12-10T00:00:00"/>
    <x v="0"/>
    <s v="Birmingham"/>
    <s v="Corporate"/>
    <s v="Online"/>
    <s v="P-001"/>
    <n v="7"/>
    <n v="0"/>
    <n v="2809.08"/>
    <n v="12.36"/>
    <x v="12"/>
    <x v="1"/>
    <s v="Luma Imports"/>
    <n v="173.56"/>
    <n v="286.14999999999998"/>
    <n v="1214.92"/>
    <n v="1581.8"/>
    <n v="0.56310251043046122"/>
    <x v="9"/>
    <x v="1"/>
    <x v="1"/>
  </r>
  <r>
    <s v="ORD-100215"/>
    <d v="2025-03-23T00:00:00"/>
    <d v="2025-03-24T00:00:00"/>
    <x v="3"/>
    <s v="Newcastle"/>
    <s v="Small Business"/>
    <s v="Online"/>
    <s v="P-013"/>
    <n v="11"/>
    <n v="0"/>
    <n v="130.91"/>
    <n v="5.67"/>
    <x v="11"/>
    <x v="2"/>
    <s v="Apex Wholesale"/>
    <n v="6.33"/>
    <n v="12.16"/>
    <n v="69.63"/>
    <n v="55.61"/>
    <n v="0.42479566114124206"/>
    <x v="2"/>
    <x v="1"/>
    <x v="0"/>
  </r>
  <r>
    <s v="ORD-100216"/>
    <d v="2025-07-30T00:00:00"/>
    <d v="2025-08-01T00:00:00"/>
    <x v="2"/>
    <s v="Brighton"/>
    <s v="Small Business"/>
    <s v="Retail Store"/>
    <s v="P-003"/>
    <n v="3"/>
    <n v="0"/>
    <n v="325"/>
    <n v="11.4"/>
    <x v="1"/>
    <x v="1"/>
    <s v="Orbit Supply Co."/>
    <n v="71.489999999999995"/>
    <n v="112.88"/>
    <n v="214.46999999999997"/>
    <n v="99.130000000000024"/>
    <n v="0.30501538461538469"/>
    <x v="4"/>
    <x v="1"/>
    <x v="0"/>
  </r>
  <r>
    <s v="ORD-100217"/>
    <d v="2024-04-11T00:00:00"/>
    <d v="2024-04-12T00:00:00"/>
    <x v="0"/>
    <s v="Birmingham"/>
    <s v="Home Office"/>
    <s v="Online"/>
    <s v="P-007"/>
    <n v="5"/>
    <n v="0"/>
    <n v="275.57"/>
    <n v="10.75"/>
    <x v="7"/>
    <x v="0"/>
    <s v="Luma Imports"/>
    <n v="31.34"/>
    <n v="56.49"/>
    <n v="156.69999999999999"/>
    <n v="108.12"/>
    <n v="0.39235040098704504"/>
    <x v="21"/>
    <x v="1"/>
    <x v="1"/>
  </r>
  <r>
    <s v="ORD-100218"/>
    <d v="2025-10-09T00:00:00"/>
    <d v="2025-10-12T00:00:00"/>
    <x v="0"/>
    <s v="Birmingham"/>
    <s v="Home Office"/>
    <s v="Retail Store"/>
    <s v="P-003"/>
    <n v="3"/>
    <n v="0.15"/>
    <n v="315.11"/>
    <n v="6.84"/>
    <x v="1"/>
    <x v="1"/>
    <s v="Orbit Supply Co."/>
    <n v="71.489999999999995"/>
    <n v="112.88"/>
    <n v="214.46999999999997"/>
    <n v="93.80000000000004"/>
    <n v="0.29767382818698246"/>
    <x v="22"/>
    <x v="2"/>
    <x v="0"/>
  </r>
  <r>
    <s v="ORD-100219"/>
    <d v="2025-10-31T00:00:00"/>
    <d v="2025-11-05T00:00:00"/>
    <x v="2"/>
    <s v="Brighton"/>
    <s v="Small Business"/>
    <s v="Retail Store"/>
    <s v="P-009"/>
    <n v="4"/>
    <n v="0.15"/>
    <n v="475.11"/>
    <n v="5.7"/>
    <x v="0"/>
    <x v="0"/>
    <s v="Apex Wholesale"/>
    <n v="63.69"/>
    <n v="125.5"/>
    <n v="254.76"/>
    <n v="214.65000000000003"/>
    <n v="0.45179011176359163"/>
    <x v="22"/>
    <x v="2"/>
    <x v="0"/>
  </r>
  <r>
    <s v="ORD-100220"/>
    <d v="2024-07-25T00:00:00"/>
    <d v="2024-07-30T00:00:00"/>
    <x v="2"/>
    <s v="London"/>
    <s v="Corporate"/>
    <s v="Online"/>
    <s v="P-005"/>
    <n v="2"/>
    <n v="0"/>
    <n v="98.57"/>
    <n v="7"/>
    <x v="13"/>
    <x v="0"/>
    <s v="Apex Wholesale"/>
    <n v="25.33"/>
    <n v="51.56"/>
    <n v="50.66"/>
    <n v="40.909999999999997"/>
    <n v="0.41503500050725373"/>
    <x v="16"/>
    <x v="1"/>
    <x v="1"/>
  </r>
  <r>
    <s v="ORD-100221"/>
    <d v="2025-10-02T00:00:00"/>
    <d v="2025-10-04T00:00:00"/>
    <x v="2"/>
    <s v="Brighton"/>
    <s v="Small Business"/>
    <s v="B2B Sales"/>
    <s v="P-002"/>
    <n v="1"/>
    <n v="0"/>
    <n v="243.71"/>
    <n v="4.08"/>
    <x v="2"/>
    <x v="1"/>
    <s v="Vertex Trade"/>
    <n v="119.02"/>
    <n v="205.39"/>
    <n v="119.02"/>
    <n v="120.61000000000001"/>
    <n v="0.49489146936933243"/>
    <x v="22"/>
    <x v="1"/>
    <x v="0"/>
  </r>
  <r>
    <s v="ORD-100222"/>
    <d v="2025-08-16T00:00:00"/>
    <d v="2025-08-19T00:00:00"/>
    <x v="3"/>
    <s v="Leeds"/>
    <s v="Corporate"/>
    <s v="B2B Sales"/>
    <s v="P-015"/>
    <n v="3"/>
    <n v="0"/>
    <n v="16.829999999999998"/>
    <n v="3.51"/>
    <x v="8"/>
    <x v="2"/>
    <s v="Luma Imports"/>
    <n v="3.3"/>
    <n v="6.13"/>
    <n v="9.8999999999999986"/>
    <n v="3.42"/>
    <n v="0.20320855614973263"/>
    <x v="6"/>
    <x v="1"/>
    <x v="0"/>
  </r>
  <r>
    <s v="ORD-100223"/>
    <d v="2025-08-29T00:00:00"/>
    <d v="2025-08-31T00:00:00"/>
    <x v="0"/>
    <s v="Cardiff"/>
    <s v="Home Office"/>
    <s v="Retail Store"/>
    <s v="P-006"/>
    <n v="5"/>
    <n v="0"/>
    <n v="506.92"/>
    <n v="10.75"/>
    <x v="10"/>
    <x v="0"/>
    <s v="Apex Wholesale"/>
    <n v="54.95"/>
    <n v="112.56"/>
    <n v="274.75"/>
    <n v="221.42000000000002"/>
    <n v="0.43679476051447963"/>
    <x v="6"/>
    <x v="1"/>
    <x v="0"/>
  </r>
  <r>
    <s v="ORD-100224"/>
    <d v="2025-06-16T00:00:00"/>
    <d v="2025-06-17T00:00:00"/>
    <x v="3"/>
    <s v="Manchester"/>
    <s v="Small Business"/>
    <s v="Retail Store"/>
    <s v="P-004"/>
    <n v="3"/>
    <n v="0"/>
    <n v="332.52"/>
    <n v="11.4"/>
    <x v="5"/>
    <x v="1"/>
    <s v="Cedar Distribution"/>
    <n v="63.6"/>
    <n v="107.94"/>
    <n v="190.8"/>
    <n v="130.31999999999996"/>
    <n v="0.39191627571273902"/>
    <x v="0"/>
    <x v="1"/>
    <x v="0"/>
  </r>
  <r>
    <s v="ORD-100225"/>
    <d v="2024-11-28T00:00:00"/>
    <d v="2024-11-29T00:00:00"/>
    <x v="1"/>
    <s v="Cambridge"/>
    <s v="Corporate"/>
    <s v="B2B Sales"/>
    <s v="P-008"/>
    <n v="3"/>
    <n v="0"/>
    <n v="804.09"/>
    <n v="4.95"/>
    <x v="6"/>
    <x v="0"/>
    <s v="Vertex Trade"/>
    <n v="112.09"/>
    <n v="192.47"/>
    <n v="336.27"/>
    <n v="462.87000000000006"/>
    <n v="0.57564451740476819"/>
    <x v="14"/>
    <x v="1"/>
    <x v="1"/>
  </r>
  <r>
    <s v="ORD-100226"/>
    <d v="2025-08-06T00:00:00"/>
    <d v="2025-08-07T00:00:00"/>
    <x v="0"/>
    <s v="Birmingham"/>
    <s v="Home Office"/>
    <s v="Retail Store"/>
    <s v="P-010"/>
    <n v="8"/>
    <n v="0.15"/>
    <n v="40.75"/>
    <n v="8.1"/>
    <x v="4"/>
    <x v="2"/>
    <s v="Orbit Supply Co."/>
    <n v="3.62"/>
    <n v="6.03"/>
    <n v="28.96"/>
    <n v="3.6899999999999995"/>
    <n v="9.0552147239263789E-2"/>
    <x v="6"/>
    <x v="2"/>
    <x v="0"/>
  </r>
  <r>
    <s v="ORD-100227"/>
    <d v="2025-03-19T00:00:00"/>
    <d v="2025-03-22T00:00:00"/>
    <x v="0"/>
    <s v="Birmingham"/>
    <s v="Corporate"/>
    <s v="B2B Sales"/>
    <s v="P-013"/>
    <n v="13"/>
    <n v="0.05"/>
    <n v="148.63999999999999"/>
    <n v="10.35"/>
    <x v="11"/>
    <x v="2"/>
    <s v="Apex Wholesale"/>
    <n v="6.33"/>
    <n v="12.16"/>
    <n v="82.29"/>
    <n v="55.999999999999979"/>
    <n v="0.37674919268030127"/>
    <x v="2"/>
    <x v="0"/>
    <x v="0"/>
  </r>
  <r>
    <s v="ORD-100228"/>
    <d v="2024-08-29T00:00:00"/>
    <d v="2024-09-01T00:00:00"/>
    <x v="2"/>
    <s v="Bristol"/>
    <s v="Home Office"/>
    <s v="Online"/>
    <s v="P-008"/>
    <n v="2"/>
    <n v="0.2"/>
    <n v="278.97000000000003"/>
    <n v="7"/>
    <x v="6"/>
    <x v="0"/>
    <s v="Vertex Trade"/>
    <n v="112.09"/>
    <n v="192.47"/>
    <n v="224.18"/>
    <n v="47.79000000000002"/>
    <n v="0.17130874287557807"/>
    <x v="7"/>
    <x v="2"/>
    <x v="1"/>
  </r>
  <r>
    <s v="ORD-100229"/>
    <d v="2024-02-03T00:00:00"/>
    <d v="2024-02-04T00:00:00"/>
    <x v="0"/>
    <s v="Birmingham"/>
    <s v="Home Office"/>
    <s v="Retail Store"/>
    <s v="P-004"/>
    <n v="4"/>
    <n v="0"/>
    <n v="374.67"/>
    <n v="8.2200000000000006"/>
    <x v="5"/>
    <x v="1"/>
    <s v="Cedar Distribution"/>
    <n v="63.6"/>
    <n v="107.94"/>
    <n v="254.4"/>
    <n v="112.05000000000001"/>
    <n v="0.29906317559452322"/>
    <x v="12"/>
    <x v="1"/>
    <x v="1"/>
  </r>
  <r>
    <s v="ORD-100230"/>
    <d v="2024-05-07T00:00:00"/>
    <d v="2024-05-12T00:00:00"/>
    <x v="1"/>
    <s v="Cambridge"/>
    <s v="Corporate"/>
    <s v="Online"/>
    <s v="P-007"/>
    <n v="4"/>
    <n v="0.05"/>
    <n v="222.97"/>
    <n v="5.7"/>
    <x v="7"/>
    <x v="0"/>
    <s v="Luma Imports"/>
    <n v="31.34"/>
    <n v="56.49"/>
    <n v="125.36"/>
    <n v="91.91"/>
    <n v="0.41220792034802889"/>
    <x v="8"/>
    <x v="0"/>
    <x v="1"/>
  </r>
  <r>
    <s v="ORD-100231"/>
    <d v="2024-08-21T00:00:00"/>
    <d v="2024-08-22T00:00:00"/>
    <x v="2"/>
    <s v="Bristol"/>
    <s v="Home Office"/>
    <s v="B2B Sales"/>
    <s v="P-015"/>
    <n v="10"/>
    <n v="0"/>
    <n v="57.33"/>
    <n v="5.4"/>
    <x v="8"/>
    <x v="2"/>
    <s v="Luma Imports"/>
    <n v="3.3"/>
    <n v="6.13"/>
    <n v="33"/>
    <n v="18.93"/>
    <n v="0.33019361590790164"/>
    <x v="7"/>
    <x v="1"/>
    <x v="1"/>
  </r>
  <r>
    <s v="ORD-100232"/>
    <d v="2025-08-12T00:00:00"/>
    <d v="2025-08-16T00:00:00"/>
    <x v="2"/>
    <s v="Brighton"/>
    <s v="Home Office"/>
    <s v="B2B Sales"/>
    <s v="P-010"/>
    <n v="4"/>
    <n v="0"/>
    <n v="24"/>
    <n v="6.3"/>
    <x v="4"/>
    <x v="2"/>
    <s v="Orbit Supply Co."/>
    <n v="3.62"/>
    <n v="6.03"/>
    <n v="14.48"/>
    <n v="3.2199999999999998"/>
    <n v="0.13416666666666666"/>
    <x v="6"/>
    <x v="1"/>
    <x v="0"/>
  </r>
  <r>
    <s v="ORD-100233"/>
    <d v="2024-05-16T00:00:00"/>
    <d v="2024-05-21T00:00:00"/>
    <x v="0"/>
    <s v="Liverpool"/>
    <s v="Corporate"/>
    <s v="Retail Store"/>
    <s v="P-001"/>
    <n v="3"/>
    <n v="0"/>
    <n v="857"/>
    <n v="6.84"/>
    <x v="12"/>
    <x v="1"/>
    <s v="Luma Imports"/>
    <n v="173.56"/>
    <n v="286.14999999999998"/>
    <n v="520.68000000000006"/>
    <n v="329.47999999999996"/>
    <n v="0.38445740956826135"/>
    <x v="8"/>
    <x v="1"/>
    <x v="1"/>
  </r>
  <r>
    <s v="ORD-100234"/>
    <d v="2024-08-24T00:00:00"/>
    <d v="2024-08-29T00:00:00"/>
    <x v="2"/>
    <s v="Bristol"/>
    <s v="Corporate"/>
    <s v="Retail Store"/>
    <s v="P-013"/>
    <n v="16"/>
    <n v="0"/>
    <n v="177.53"/>
    <n v="7.02"/>
    <x v="11"/>
    <x v="2"/>
    <s v="Apex Wholesale"/>
    <n v="6.33"/>
    <n v="12.16"/>
    <n v="101.28"/>
    <n v="69.23"/>
    <n v="0.38996225989973526"/>
    <x v="7"/>
    <x v="1"/>
    <x v="1"/>
  </r>
  <r>
    <s v="ORD-100235"/>
    <d v="2024-05-15T00:00:00"/>
    <d v="2024-05-20T00:00:00"/>
    <x v="3"/>
    <s v="Manchester"/>
    <s v="Small Business"/>
    <s v="Online"/>
    <s v="P-005"/>
    <n v="1"/>
    <n v="0"/>
    <n v="53.09"/>
    <n v="3.45"/>
    <x v="13"/>
    <x v="0"/>
    <s v="Apex Wholesale"/>
    <n v="25.33"/>
    <n v="51.56"/>
    <n v="25.33"/>
    <n v="24.310000000000006"/>
    <n v="0.45790167639856855"/>
    <x v="8"/>
    <x v="1"/>
    <x v="1"/>
  </r>
  <r>
    <s v="ORD-100236"/>
    <d v="2024-02-27T00:00:00"/>
    <d v="2024-03-04T00:00:00"/>
    <x v="3"/>
    <s v="Manchester"/>
    <s v="Home Office"/>
    <s v="Online"/>
    <s v="P-006"/>
    <n v="1"/>
    <n v="0"/>
    <n v="101.23"/>
    <n v="5.75"/>
    <x v="10"/>
    <x v="0"/>
    <s v="Apex Wholesale"/>
    <n v="54.95"/>
    <n v="112.56"/>
    <n v="54.95"/>
    <n v="40.53"/>
    <n v="0.40037538279166257"/>
    <x v="12"/>
    <x v="1"/>
    <x v="1"/>
  </r>
  <r>
    <s v="ORD-100237"/>
    <d v="2025-09-29T00:00:00"/>
    <d v="2025-10-05T00:00:00"/>
    <x v="0"/>
    <s v="Liverpool"/>
    <s v="Small Business"/>
    <s v="B2B Sales"/>
    <s v="P-014"/>
    <n v="9"/>
    <n v="0.1"/>
    <n v="249.32"/>
    <n v="5.13"/>
    <x v="3"/>
    <x v="2"/>
    <s v="Orbit Supply Co."/>
    <n v="16.760000000000002"/>
    <n v="27.71"/>
    <n v="150.84"/>
    <n v="93.35"/>
    <n v="0.37441841809722443"/>
    <x v="11"/>
    <x v="0"/>
    <x v="0"/>
  </r>
  <r>
    <s v="ORD-100238"/>
    <d v="2024-03-07T00:00:00"/>
    <d v="2024-03-10T00:00:00"/>
    <x v="2"/>
    <s v="Brighton"/>
    <s v="Corporate"/>
    <s v="B2B Sales"/>
    <s v="P-008"/>
    <n v="4"/>
    <n v="0.1"/>
    <n v="623.67999999999995"/>
    <n v="9.5"/>
    <x v="6"/>
    <x v="0"/>
    <s v="Vertex Trade"/>
    <n v="112.09"/>
    <n v="192.47"/>
    <n v="448.36"/>
    <n v="165.81999999999994"/>
    <n v="0.26587352488455612"/>
    <x v="10"/>
    <x v="0"/>
    <x v="1"/>
  </r>
  <r>
    <s v="ORD-100239"/>
    <d v="2025-05-14T00:00:00"/>
    <d v="2025-05-19T00:00:00"/>
    <x v="3"/>
    <s v="Newcastle"/>
    <s v="Small Business"/>
    <s v="Online"/>
    <s v="P-001"/>
    <n v="2"/>
    <n v="0"/>
    <n v="589.42999999999995"/>
    <n v="9.1"/>
    <x v="12"/>
    <x v="1"/>
    <s v="Luma Imports"/>
    <n v="173.56"/>
    <n v="286.14999999999998"/>
    <n v="347.12"/>
    <n v="233.20999999999995"/>
    <n v="0.39565342788795949"/>
    <x v="1"/>
    <x v="1"/>
    <x v="0"/>
  </r>
  <r>
    <s v="ORD-100240"/>
    <d v="2024-10-19T00:00:00"/>
    <d v="2024-10-23T00:00:00"/>
    <x v="1"/>
    <s v="Cambridge"/>
    <s v="Corporate"/>
    <s v="B2B Sales"/>
    <s v="P-008"/>
    <n v="3"/>
    <n v="0"/>
    <n v="669.63"/>
    <n v="4.95"/>
    <x v="6"/>
    <x v="0"/>
    <s v="Vertex Trade"/>
    <n v="112.09"/>
    <n v="192.47"/>
    <n v="336.27"/>
    <n v="328.41"/>
    <n v="0.49043501635231401"/>
    <x v="3"/>
    <x v="1"/>
    <x v="1"/>
  </r>
  <r>
    <s v="ORD-100241"/>
    <d v="2025-11-04T00:00:00"/>
    <d v="2025-11-07T00:00:00"/>
    <x v="1"/>
    <s v="Peterborough"/>
    <s v="Home Office"/>
    <s v="Retail Store"/>
    <s v="P-009"/>
    <n v="3"/>
    <n v="0.05"/>
    <n v="473.62"/>
    <n v="4.95"/>
    <x v="0"/>
    <x v="0"/>
    <s v="Apex Wholesale"/>
    <n v="63.69"/>
    <n v="125.5"/>
    <n v="191.07"/>
    <n v="277.60000000000002"/>
    <n v="0.58612389679489896"/>
    <x v="19"/>
    <x v="0"/>
    <x v="0"/>
  </r>
  <r>
    <s v="ORD-100242"/>
    <d v="2025-09-13T00:00:00"/>
    <d v="2025-09-15T00:00:00"/>
    <x v="0"/>
    <s v="Birmingham"/>
    <s v="Small Business"/>
    <s v="Online"/>
    <s v="P-014"/>
    <n v="14"/>
    <n v="0.25"/>
    <n v="303.95"/>
    <n v="6.48"/>
    <x v="3"/>
    <x v="2"/>
    <s v="Orbit Supply Co."/>
    <n v="16.760000000000002"/>
    <n v="27.71"/>
    <n v="234.64000000000001"/>
    <n v="62.82999999999997"/>
    <n v="0.20671163020233582"/>
    <x v="11"/>
    <x v="3"/>
    <x v="0"/>
  </r>
  <r>
    <s v="ORD-100243"/>
    <d v="2024-08-19T00:00:00"/>
    <d v="2024-08-23T00:00:00"/>
    <x v="3"/>
    <s v="Leeds"/>
    <s v="Corporate"/>
    <s v="Retail Store"/>
    <s v="P-014"/>
    <n v="8"/>
    <n v="0"/>
    <n v="216.53"/>
    <n v="4.8600000000000003"/>
    <x v="3"/>
    <x v="2"/>
    <s v="Orbit Supply Co."/>
    <n v="16.760000000000002"/>
    <n v="27.71"/>
    <n v="134.08000000000001"/>
    <n v="77.589999999999989"/>
    <n v="0.35833371819147458"/>
    <x v="7"/>
    <x v="1"/>
    <x v="1"/>
  </r>
  <r>
    <s v="ORD-100244"/>
    <d v="2024-05-28T00:00:00"/>
    <d v="2024-06-02T00:00:00"/>
    <x v="0"/>
    <s v="Liverpool"/>
    <s v="Home Office"/>
    <s v="B2B Sales"/>
    <s v="P-003"/>
    <n v="3"/>
    <n v="0"/>
    <n v="333.4"/>
    <n v="6.84"/>
    <x v="1"/>
    <x v="1"/>
    <s v="Orbit Supply Co."/>
    <n v="71.489999999999995"/>
    <n v="112.88"/>
    <n v="214.46999999999997"/>
    <n v="112.09"/>
    <n v="0.3362027594481104"/>
    <x v="8"/>
    <x v="1"/>
    <x v="1"/>
  </r>
  <r>
    <s v="ORD-100245"/>
    <d v="2025-12-30T00:00:00"/>
    <d v="2026-01-04T00:00:00"/>
    <x v="2"/>
    <s v="London"/>
    <s v="Small Business"/>
    <s v="B2B Sales"/>
    <s v="P-011"/>
    <n v="12"/>
    <n v="0"/>
    <n v="240.97"/>
    <n v="9.9"/>
    <x v="9"/>
    <x v="2"/>
    <s v="Orbit Supply Co."/>
    <n v="7.93"/>
    <n v="14.78"/>
    <n v="95.16"/>
    <n v="135.91"/>
    <n v="0.5640121176909989"/>
    <x v="13"/>
    <x v="1"/>
    <x v="0"/>
  </r>
  <r>
    <s v="ORD-100246"/>
    <d v="2025-10-30T00:00:00"/>
    <d v="2025-11-05T00:00:00"/>
    <x v="2"/>
    <s v="Brighton"/>
    <s v="Corporate"/>
    <s v="Retail Store"/>
    <s v="P-011"/>
    <n v="5"/>
    <n v="0"/>
    <n v="87.21"/>
    <n v="4.05"/>
    <x v="9"/>
    <x v="2"/>
    <s v="Orbit Supply Co."/>
    <n v="7.93"/>
    <n v="14.78"/>
    <n v="39.65"/>
    <n v="43.51"/>
    <n v="0.4989106753812636"/>
    <x v="22"/>
    <x v="1"/>
    <x v="0"/>
  </r>
  <r>
    <s v="ORD-100247"/>
    <d v="2025-02-16T00:00:00"/>
    <d v="2025-02-21T00:00:00"/>
    <x v="3"/>
    <s v="Newcastle"/>
    <s v="Corporate"/>
    <s v="Online"/>
    <s v="P-003"/>
    <n v="1"/>
    <n v="0"/>
    <n v="100.68"/>
    <n v="4.08"/>
    <x v="1"/>
    <x v="1"/>
    <s v="Orbit Supply Co."/>
    <n v="71.489999999999995"/>
    <n v="112.88"/>
    <n v="71.489999999999995"/>
    <n v="25.110000000000014"/>
    <n v="0.24940405244338509"/>
    <x v="5"/>
    <x v="1"/>
    <x v="0"/>
  </r>
  <r>
    <s v="ORD-100248"/>
    <d v="2024-09-11T00:00:00"/>
    <d v="2024-09-13T00:00:00"/>
    <x v="0"/>
    <s v="Birmingham"/>
    <s v="Small Business"/>
    <s v="Online"/>
    <s v="P-010"/>
    <n v="11"/>
    <n v="0.15"/>
    <n v="58.44"/>
    <n v="5.67"/>
    <x v="4"/>
    <x v="2"/>
    <s v="Orbit Supply Co."/>
    <n v="3.62"/>
    <n v="6.03"/>
    <n v="39.82"/>
    <n v="12.949999999999998"/>
    <n v="0.22159479808350441"/>
    <x v="23"/>
    <x v="2"/>
    <x v="1"/>
  </r>
  <r>
    <s v="ORD-100249"/>
    <d v="2024-03-31T00:00:00"/>
    <d v="2024-04-04T00:00:00"/>
    <x v="0"/>
    <s v="Liverpool"/>
    <s v="Corporate"/>
    <s v="Online"/>
    <s v="P-003"/>
    <n v="2"/>
    <n v="0"/>
    <n v="204.69"/>
    <n v="9.1"/>
    <x v="1"/>
    <x v="1"/>
    <s v="Orbit Supply Co."/>
    <n v="71.489999999999995"/>
    <n v="112.88"/>
    <n v="142.97999999999999"/>
    <n v="52.610000000000007"/>
    <n v="0.25702281498851925"/>
    <x v="10"/>
    <x v="1"/>
    <x v="1"/>
  </r>
  <r>
    <s v="ORD-100250"/>
    <d v="2025-08-11T00:00:00"/>
    <d v="2025-08-13T00:00:00"/>
    <x v="0"/>
    <s v="Liverpool"/>
    <s v="Small Business"/>
    <s v="Online"/>
    <s v="P-010"/>
    <n v="5"/>
    <n v="0"/>
    <n v="27.29"/>
    <n v="4.05"/>
    <x v="4"/>
    <x v="2"/>
    <s v="Orbit Supply Co."/>
    <n v="3.62"/>
    <n v="6.03"/>
    <n v="18.100000000000001"/>
    <n v="5.1399999999999979"/>
    <n v="0.18834737999267123"/>
    <x v="6"/>
    <x v="1"/>
    <x v="0"/>
  </r>
  <r>
    <s v="ORD-100251"/>
    <d v="2025-12-03T00:00:00"/>
    <d v="2025-12-09T00:00:00"/>
    <x v="3"/>
    <s v="Manchester"/>
    <s v="Home Office"/>
    <s v="Retail Store"/>
    <s v="P-003"/>
    <n v="4"/>
    <n v="0"/>
    <n v="640.98"/>
    <n v="13.7"/>
    <x v="1"/>
    <x v="1"/>
    <s v="Orbit Supply Co."/>
    <n v="71.489999999999995"/>
    <n v="112.88"/>
    <n v="285.95999999999998"/>
    <n v="341.32000000000005"/>
    <n v="0.53249711379450226"/>
    <x v="13"/>
    <x v="1"/>
    <x v="0"/>
  </r>
  <r>
    <s v="ORD-100252"/>
    <d v="2024-12-28T00:00:00"/>
    <d v="2025-01-02T00:00:00"/>
    <x v="1"/>
    <s v="Norwich"/>
    <s v="Home Office"/>
    <s v="Retail Store"/>
    <s v="P-009"/>
    <n v="1"/>
    <n v="0"/>
    <n v="179.55"/>
    <n v="3.45"/>
    <x v="0"/>
    <x v="0"/>
    <s v="Apex Wholesale"/>
    <n v="63.69"/>
    <n v="125.5"/>
    <n v="63.69"/>
    <n v="112.41000000000001"/>
    <n v="0.62606516290726821"/>
    <x v="9"/>
    <x v="1"/>
    <x v="1"/>
  </r>
  <r>
    <s v="ORD-100253"/>
    <d v="2025-12-29T00:00:00"/>
    <d v="2025-12-31T00:00:00"/>
    <x v="1"/>
    <s v="Cambridge"/>
    <s v="Corporate"/>
    <s v="B2B Sales"/>
    <s v="P-011"/>
    <n v="14"/>
    <n v="0"/>
    <n v="304.69"/>
    <n v="10.8"/>
    <x v="9"/>
    <x v="2"/>
    <s v="Orbit Supply Co."/>
    <n v="7.93"/>
    <n v="14.78"/>
    <n v="111.02"/>
    <n v="182.87"/>
    <n v="0.60018379336374683"/>
    <x v="13"/>
    <x v="1"/>
    <x v="0"/>
  </r>
  <r>
    <s v="ORD-100254"/>
    <d v="2024-04-25T00:00:00"/>
    <d v="2024-04-28T00:00:00"/>
    <x v="0"/>
    <s v="Cardiff"/>
    <s v="Corporate"/>
    <s v="Retail Store"/>
    <s v="P-005"/>
    <n v="3"/>
    <n v="0.05"/>
    <n v="151.05000000000001"/>
    <n v="4.95"/>
    <x v="13"/>
    <x v="0"/>
    <s v="Apex Wholesale"/>
    <n v="25.33"/>
    <n v="51.56"/>
    <n v="75.989999999999995"/>
    <n v="70.110000000000014"/>
    <n v="0.46415094339622648"/>
    <x v="21"/>
    <x v="0"/>
    <x v="1"/>
  </r>
  <r>
    <s v="ORD-100255"/>
    <d v="2025-08-06T00:00:00"/>
    <d v="2025-08-09T00:00:00"/>
    <x v="1"/>
    <s v="Peterborough"/>
    <s v="Small Business"/>
    <s v="Online"/>
    <s v="P-013"/>
    <n v="13"/>
    <n v="0"/>
    <n v="159.1"/>
    <n v="10.35"/>
    <x v="11"/>
    <x v="2"/>
    <s v="Apex Wholesale"/>
    <n v="6.33"/>
    <n v="12.16"/>
    <n v="82.29"/>
    <n v="66.459999999999994"/>
    <n v="0.41772470144563167"/>
    <x v="6"/>
    <x v="1"/>
    <x v="0"/>
  </r>
  <r>
    <s v="ORD-100256"/>
    <d v="2025-05-27T00:00:00"/>
    <d v="2025-06-02T00:00:00"/>
    <x v="3"/>
    <s v="Manchester"/>
    <s v="Home Office"/>
    <s v="B2B Sales"/>
    <s v="P-011"/>
    <n v="7"/>
    <n v="0.1"/>
    <n v="90.74"/>
    <n v="4.59"/>
    <x v="9"/>
    <x v="2"/>
    <s v="Orbit Supply Co."/>
    <n v="7.93"/>
    <n v="14.78"/>
    <n v="55.51"/>
    <n v="30.639999999999997"/>
    <n v="0.33766806259642934"/>
    <x v="1"/>
    <x v="0"/>
    <x v="0"/>
  </r>
  <r>
    <s v="ORD-100257"/>
    <d v="2025-10-23T00:00:00"/>
    <d v="2025-10-24T00:00:00"/>
    <x v="0"/>
    <s v="Birmingham"/>
    <s v="Corporate"/>
    <s v="Retail Store"/>
    <s v="P-004"/>
    <n v="3"/>
    <n v="0.15"/>
    <n v="305.83999999999997"/>
    <n v="6.84"/>
    <x v="5"/>
    <x v="1"/>
    <s v="Cedar Distribution"/>
    <n v="63.6"/>
    <n v="107.94"/>
    <n v="190.8"/>
    <n v="108.19999999999996"/>
    <n v="0.35377975411980112"/>
    <x v="22"/>
    <x v="2"/>
    <x v="0"/>
  </r>
  <r>
    <s v="ORD-100258"/>
    <d v="2024-05-06T00:00:00"/>
    <d v="2024-05-12T00:00:00"/>
    <x v="0"/>
    <s v="Cardiff"/>
    <s v="Home Office"/>
    <s v="Retail Store"/>
    <s v="P-004"/>
    <n v="3"/>
    <n v="0"/>
    <n v="347.25"/>
    <n v="6.84"/>
    <x v="5"/>
    <x v="1"/>
    <s v="Cedar Distribution"/>
    <n v="63.6"/>
    <n v="107.94"/>
    <n v="190.8"/>
    <n v="149.60999999999999"/>
    <n v="0.43084233261339089"/>
    <x v="8"/>
    <x v="1"/>
    <x v="1"/>
  </r>
  <r>
    <s v="ORD-100259"/>
    <d v="2024-03-04T00:00:00"/>
    <d v="2024-03-07T00:00:00"/>
    <x v="0"/>
    <s v="Liverpool"/>
    <s v="Home Office"/>
    <s v="B2B Sales"/>
    <s v="P-003"/>
    <n v="4"/>
    <n v="0.05"/>
    <n v="384.91"/>
    <n v="13.7"/>
    <x v="1"/>
    <x v="1"/>
    <s v="Orbit Supply Co."/>
    <n v="71.489999999999995"/>
    <n v="112.88"/>
    <n v="285.95999999999998"/>
    <n v="85.250000000000043"/>
    <n v="0.22148034605492203"/>
    <x v="10"/>
    <x v="0"/>
    <x v="1"/>
  </r>
  <r>
    <s v="ORD-100260"/>
    <d v="2024-05-22T00:00:00"/>
    <d v="2024-05-26T00:00:00"/>
    <x v="1"/>
    <s v="Peterborough"/>
    <s v="Corporate"/>
    <s v="B2B Sales"/>
    <s v="P-008"/>
    <n v="1"/>
    <n v="0"/>
    <n v="205.39"/>
    <n v="3.45"/>
    <x v="6"/>
    <x v="0"/>
    <s v="Vertex Trade"/>
    <n v="112.09"/>
    <n v="192.47"/>
    <n v="112.09"/>
    <n v="89.84999999999998"/>
    <n v="0.4374604411120307"/>
    <x v="8"/>
    <x v="1"/>
    <x v="1"/>
  </r>
  <r>
    <s v="ORD-100261"/>
    <d v="2024-08-23T00:00:00"/>
    <d v="2024-08-26T00:00:00"/>
    <x v="2"/>
    <s v="London"/>
    <s v="Corporate"/>
    <s v="B2B Sales"/>
    <s v="P-009"/>
    <n v="3"/>
    <n v="0"/>
    <n v="352.7"/>
    <n v="8.25"/>
    <x v="0"/>
    <x v="0"/>
    <s v="Apex Wholesale"/>
    <n v="63.69"/>
    <n v="125.5"/>
    <n v="191.07"/>
    <n v="153.38"/>
    <n v="0.43487383045080807"/>
    <x v="7"/>
    <x v="1"/>
    <x v="1"/>
  </r>
  <r>
    <s v="ORD-100262"/>
    <d v="2025-01-22T00:00:00"/>
    <d v="2025-01-24T00:00:00"/>
    <x v="0"/>
    <s v="Birmingham"/>
    <s v="Home Office"/>
    <s v="B2B Sales"/>
    <s v="P-010"/>
    <n v="14"/>
    <n v="0"/>
    <n v="74.81"/>
    <n v="6.48"/>
    <x v="4"/>
    <x v="2"/>
    <s v="Orbit Supply Co."/>
    <n v="3.62"/>
    <n v="6.03"/>
    <n v="50.68"/>
    <n v="17.650000000000002"/>
    <n v="0.23593102526400217"/>
    <x v="20"/>
    <x v="1"/>
    <x v="0"/>
  </r>
  <r>
    <s v="ORD-100263"/>
    <d v="2025-09-07T00:00:00"/>
    <d v="2025-09-13T00:00:00"/>
    <x v="0"/>
    <s v="Cardiff"/>
    <s v="Small Business"/>
    <s v="Online"/>
    <s v="P-003"/>
    <n v="4"/>
    <n v="0"/>
    <n v="507.75"/>
    <n v="8.2200000000000006"/>
    <x v="1"/>
    <x v="1"/>
    <s v="Orbit Supply Co."/>
    <n v="71.489999999999995"/>
    <n v="112.88"/>
    <n v="285.95999999999998"/>
    <n v="213.57000000000002"/>
    <n v="0.42062038404726743"/>
    <x v="11"/>
    <x v="1"/>
    <x v="0"/>
  </r>
  <r>
    <s v="ORD-100264"/>
    <d v="2025-03-04T00:00:00"/>
    <d v="2025-03-07T00:00:00"/>
    <x v="3"/>
    <s v="Manchester"/>
    <s v="Home Office"/>
    <s v="Retail Store"/>
    <s v="P-007"/>
    <n v="1"/>
    <n v="0.25"/>
    <n v="38.090000000000003"/>
    <n v="5.75"/>
    <x v="7"/>
    <x v="0"/>
    <s v="Luma Imports"/>
    <n v="31.34"/>
    <n v="56.49"/>
    <n v="31.34"/>
    <n v="1.0000000000000036"/>
    <n v="2.6253609871357404E-2"/>
    <x v="2"/>
    <x v="3"/>
    <x v="0"/>
  </r>
  <r>
    <s v="ORD-100265"/>
    <d v="2025-11-28T00:00:00"/>
    <d v="2025-12-02T00:00:00"/>
    <x v="0"/>
    <s v="Liverpool"/>
    <s v="Corporate"/>
    <s v="B2B Sales"/>
    <s v="P-002"/>
    <n v="1"/>
    <n v="0.1"/>
    <n v="248.18"/>
    <n v="6.8"/>
    <x v="2"/>
    <x v="1"/>
    <s v="Vertex Trade"/>
    <n v="119.02"/>
    <n v="205.39"/>
    <n v="119.02"/>
    <n v="122.36000000000003"/>
    <n v="0.49302925296156025"/>
    <x v="19"/>
    <x v="0"/>
    <x v="0"/>
  </r>
  <r>
    <s v="ORD-100266"/>
    <d v="2025-11-11T00:00:00"/>
    <d v="2025-11-14T00:00:00"/>
    <x v="0"/>
    <s v="Cardiff"/>
    <s v="Home Office"/>
    <s v="Online"/>
    <s v="P-005"/>
    <n v="1"/>
    <n v="0"/>
    <n v="65.930000000000007"/>
    <n v="5.75"/>
    <x v="13"/>
    <x v="0"/>
    <s v="Apex Wholesale"/>
    <n v="25.33"/>
    <n v="51.56"/>
    <n v="25.33"/>
    <n v="34.850000000000009"/>
    <n v="0.52859092977400279"/>
    <x v="19"/>
    <x v="1"/>
    <x v="0"/>
  </r>
  <r>
    <s v="ORD-100267"/>
    <d v="2025-05-16T00:00:00"/>
    <d v="2025-05-18T00:00:00"/>
    <x v="2"/>
    <s v="Bristol"/>
    <s v="Corporate"/>
    <s v="Retail Store"/>
    <s v="P-012"/>
    <n v="6"/>
    <n v="0.15"/>
    <n v="44.91"/>
    <n v="7.2"/>
    <x v="14"/>
    <x v="2"/>
    <s v="Luma Imports"/>
    <n v="4.5"/>
    <n v="8.2899999999999991"/>
    <n v="27"/>
    <n v="10.709999999999997"/>
    <n v="0.23847695390781559"/>
    <x v="1"/>
    <x v="2"/>
    <x v="0"/>
  </r>
  <r>
    <s v="ORD-100268"/>
    <d v="2025-01-24T00:00:00"/>
    <d v="2025-01-28T00:00:00"/>
    <x v="0"/>
    <s v="Birmingham"/>
    <s v="Corporate"/>
    <s v="Retail Store"/>
    <s v="P-006"/>
    <n v="2"/>
    <n v="0.1"/>
    <n v="174.33"/>
    <n v="7"/>
    <x v="10"/>
    <x v="0"/>
    <s v="Apex Wholesale"/>
    <n v="54.95"/>
    <n v="112.56"/>
    <n v="109.9"/>
    <n v="57.430000000000007"/>
    <n v="0.32943268513738316"/>
    <x v="20"/>
    <x v="0"/>
    <x v="0"/>
  </r>
  <r>
    <s v="ORD-100269"/>
    <d v="2024-03-11T00:00:00"/>
    <d v="2024-03-15T00:00:00"/>
    <x v="3"/>
    <s v="Leeds"/>
    <s v="Small Business"/>
    <s v="Retail Store"/>
    <s v="P-008"/>
    <n v="4"/>
    <n v="0.25"/>
    <n v="516.13"/>
    <n v="9.5"/>
    <x v="6"/>
    <x v="0"/>
    <s v="Vertex Trade"/>
    <n v="112.09"/>
    <n v="192.47"/>
    <n v="448.36"/>
    <n v="58.269999999999982"/>
    <n v="0.1128979133164125"/>
    <x v="10"/>
    <x v="3"/>
    <x v="1"/>
  </r>
  <r>
    <s v="ORD-100270"/>
    <d v="2025-11-30T00:00:00"/>
    <d v="2025-12-06T00:00:00"/>
    <x v="0"/>
    <s v="Liverpool"/>
    <s v="Small Business"/>
    <s v="B2B Sales"/>
    <s v="P-009"/>
    <n v="3"/>
    <n v="0.25"/>
    <n v="390.74"/>
    <n v="4.95"/>
    <x v="0"/>
    <x v="0"/>
    <s v="Apex Wholesale"/>
    <n v="63.69"/>
    <n v="125.5"/>
    <n v="191.07"/>
    <n v="194.72000000000003"/>
    <n v="0.49833648973742134"/>
    <x v="19"/>
    <x v="3"/>
    <x v="0"/>
  </r>
  <r>
    <s v="ORD-100271"/>
    <d v="2024-10-26T00:00:00"/>
    <d v="2024-10-27T00:00:00"/>
    <x v="2"/>
    <s v="Bristol"/>
    <s v="Home Office"/>
    <s v="B2B Sales"/>
    <s v="P-006"/>
    <n v="1"/>
    <n v="0"/>
    <n v="123.53"/>
    <n v="5.75"/>
    <x v="10"/>
    <x v="0"/>
    <s v="Apex Wholesale"/>
    <n v="54.95"/>
    <n v="112.56"/>
    <n v="54.95"/>
    <n v="62.83"/>
    <n v="0.50862138751720232"/>
    <x v="3"/>
    <x v="1"/>
    <x v="1"/>
  </r>
  <r>
    <s v="ORD-100272"/>
    <d v="2025-11-25T00:00:00"/>
    <d v="2025-12-01T00:00:00"/>
    <x v="2"/>
    <s v="Bristol"/>
    <s v="Home Office"/>
    <s v="Retail Store"/>
    <s v="P-001"/>
    <n v="1"/>
    <n v="0.2"/>
    <n v="312.44"/>
    <n v="4.08"/>
    <x v="12"/>
    <x v="1"/>
    <s v="Luma Imports"/>
    <n v="173.56"/>
    <n v="286.14999999999998"/>
    <n v="173.56"/>
    <n v="134.79999999999998"/>
    <n v="0.4314428370247087"/>
    <x v="19"/>
    <x v="2"/>
    <x v="0"/>
  </r>
  <r>
    <s v="ORD-100273"/>
    <d v="2025-06-05T00:00:00"/>
    <d v="2025-06-10T00:00:00"/>
    <x v="0"/>
    <s v="Birmingham"/>
    <s v="Small Business"/>
    <s v="Retail Store"/>
    <s v="P-004"/>
    <n v="4"/>
    <n v="0"/>
    <n v="451.72"/>
    <n v="8.2200000000000006"/>
    <x v="5"/>
    <x v="1"/>
    <s v="Cedar Distribution"/>
    <n v="63.6"/>
    <n v="107.94"/>
    <n v="254.4"/>
    <n v="189.10000000000002"/>
    <n v="0.41862215531745334"/>
    <x v="0"/>
    <x v="1"/>
    <x v="0"/>
  </r>
  <r>
    <s v="ORD-100274"/>
    <d v="2025-02-05T00:00:00"/>
    <d v="2025-02-08T00:00:00"/>
    <x v="3"/>
    <s v="Newcastle"/>
    <s v="Home Office"/>
    <s v="Retail Store"/>
    <s v="P-007"/>
    <n v="3"/>
    <n v="0"/>
    <n v="144.91999999999999"/>
    <n v="8.25"/>
    <x v="7"/>
    <x v="0"/>
    <s v="Luma Imports"/>
    <n v="31.34"/>
    <n v="56.49"/>
    <n v="94.02"/>
    <n v="42.649999999999991"/>
    <n v="0.29430030361578796"/>
    <x v="5"/>
    <x v="1"/>
    <x v="0"/>
  </r>
  <r>
    <s v="ORD-100275"/>
    <d v="2025-09-23T00:00:00"/>
    <d v="2025-09-29T00:00:00"/>
    <x v="3"/>
    <s v="Manchester"/>
    <s v="Small Business"/>
    <s v="Retail Store"/>
    <s v="P-006"/>
    <n v="2"/>
    <n v="0.2"/>
    <n v="186.26"/>
    <n v="7"/>
    <x v="10"/>
    <x v="0"/>
    <s v="Apex Wholesale"/>
    <n v="54.95"/>
    <n v="112.56"/>
    <n v="109.9"/>
    <n v="69.359999999999985"/>
    <n v="0.37238269086223552"/>
    <x v="11"/>
    <x v="2"/>
    <x v="0"/>
  </r>
  <r>
    <s v="ORD-100276"/>
    <d v="2024-07-31T00:00:00"/>
    <d v="2024-08-01T00:00:00"/>
    <x v="2"/>
    <s v="Bristol"/>
    <s v="Small Business"/>
    <s v="B2B Sales"/>
    <s v="P-003"/>
    <n v="3"/>
    <n v="0"/>
    <n v="295.58"/>
    <n v="6.84"/>
    <x v="1"/>
    <x v="1"/>
    <s v="Orbit Supply Co."/>
    <n v="71.489999999999995"/>
    <n v="112.88"/>
    <n v="214.46999999999997"/>
    <n v="74.27000000000001"/>
    <n v="0.25126869206306252"/>
    <x v="16"/>
    <x v="1"/>
    <x v="1"/>
  </r>
  <r>
    <s v="ORD-100277"/>
    <d v="2025-04-02T00:00:00"/>
    <d v="2025-04-04T00:00:00"/>
    <x v="3"/>
    <s v="Newcastle"/>
    <s v="Small Business"/>
    <s v="B2B Sales"/>
    <s v="P-003"/>
    <n v="4"/>
    <n v="0.05"/>
    <n v="427.15"/>
    <n v="13.7"/>
    <x v="1"/>
    <x v="1"/>
    <s v="Orbit Supply Co."/>
    <n v="71.489999999999995"/>
    <n v="112.88"/>
    <n v="285.95999999999998"/>
    <n v="127.49"/>
    <n v="0.29846658082640759"/>
    <x v="15"/>
    <x v="0"/>
    <x v="0"/>
  </r>
  <r>
    <s v="ORD-100278"/>
    <d v="2025-01-06T00:00:00"/>
    <d v="2025-01-11T00:00:00"/>
    <x v="3"/>
    <s v="Newcastle"/>
    <s v="Corporate"/>
    <s v="Retail Store"/>
    <s v="P-004"/>
    <n v="1"/>
    <n v="0"/>
    <n v="92.61"/>
    <n v="4.08"/>
    <x v="5"/>
    <x v="1"/>
    <s v="Cedar Distribution"/>
    <n v="63.6"/>
    <n v="107.94"/>
    <n v="63.6"/>
    <n v="24.93"/>
    <n v="0.26919339164237122"/>
    <x v="20"/>
    <x v="1"/>
    <x v="0"/>
  </r>
  <r>
    <s v="ORD-100279"/>
    <d v="2025-09-16T00:00:00"/>
    <d v="2025-09-19T00:00:00"/>
    <x v="0"/>
    <s v="Liverpool"/>
    <s v="Corporate"/>
    <s v="Online"/>
    <s v="P-005"/>
    <n v="1"/>
    <n v="0.05"/>
    <n v="50.22"/>
    <n v="3.45"/>
    <x v="13"/>
    <x v="0"/>
    <s v="Apex Wholesale"/>
    <n v="25.33"/>
    <n v="51.56"/>
    <n v="25.33"/>
    <n v="21.44"/>
    <n v="0.42692154520111514"/>
    <x v="11"/>
    <x v="0"/>
    <x v="0"/>
  </r>
  <r>
    <s v="ORD-100280"/>
    <d v="2025-12-11T00:00:00"/>
    <d v="2025-12-13T00:00:00"/>
    <x v="1"/>
    <s v="Norwich"/>
    <s v="Home Office"/>
    <s v="Retail Store"/>
    <s v="P-003"/>
    <n v="1"/>
    <n v="0"/>
    <n v="153.72"/>
    <n v="4.08"/>
    <x v="1"/>
    <x v="1"/>
    <s v="Orbit Supply Co."/>
    <n v="71.489999999999995"/>
    <n v="112.88"/>
    <n v="71.489999999999995"/>
    <n v="78.150000000000006"/>
    <n v="0.50839188134270108"/>
    <x v="13"/>
    <x v="1"/>
    <x v="0"/>
  </r>
  <r>
    <s v="ORD-100281"/>
    <d v="2025-04-18T00:00:00"/>
    <d v="2025-04-23T00:00:00"/>
    <x v="0"/>
    <s v="Birmingham"/>
    <s v="Home Office"/>
    <s v="B2B Sales"/>
    <s v="P-003"/>
    <n v="1"/>
    <n v="0"/>
    <n v="109.51"/>
    <n v="4.08"/>
    <x v="1"/>
    <x v="1"/>
    <s v="Orbit Supply Co."/>
    <n v="71.489999999999995"/>
    <n v="112.88"/>
    <n v="71.489999999999995"/>
    <n v="33.940000000000012"/>
    <n v="0.30992603415213232"/>
    <x v="15"/>
    <x v="1"/>
    <x v="0"/>
  </r>
  <r>
    <s v="ORD-100282"/>
    <d v="2024-03-20T00:00:00"/>
    <d v="2024-03-25T00:00:00"/>
    <x v="1"/>
    <s v="Peterborough"/>
    <s v="Small Business"/>
    <s v="B2B Sales"/>
    <s v="P-012"/>
    <n v="14"/>
    <n v="0"/>
    <n v="107.62"/>
    <n v="6.48"/>
    <x v="14"/>
    <x v="2"/>
    <s v="Luma Imports"/>
    <n v="4.5"/>
    <n v="8.2899999999999991"/>
    <n v="63"/>
    <n v="38.14"/>
    <n v="0.35439509384872697"/>
    <x v="10"/>
    <x v="1"/>
    <x v="1"/>
  </r>
  <r>
    <s v="ORD-100283"/>
    <d v="2024-04-30T00:00:00"/>
    <d v="2024-05-03T00:00:00"/>
    <x v="0"/>
    <s v="Liverpool"/>
    <s v="Small Business"/>
    <s v="Online"/>
    <s v="P-003"/>
    <n v="2"/>
    <n v="0.15"/>
    <n v="195.12"/>
    <n v="5.46"/>
    <x v="1"/>
    <x v="1"/>
    <s v="Orbit Supply Co."/>
    <n v="71.489999999999995"/>
    <n v="112.88"/>
    <n v="142.97999999999999"/>
    <n v="46.680000000000014"/>
    <n v="0.2392373923739238"/>
    <x v="21"/>
    <x v="2"/>
    <x v="1"/>
  </r>
  <r>
    <s v="ORD-100284"/>
    <d v="2025-09-27T00:00:00"/>
    <d v="2025-09-30T00:00:00"/>
    <x v="3"/>
    <s v="Leeds"/>
    <s v="Small Business"/>
    <s v="Online"/>
    <s v="P-004"/>
    <n v="2"/>
    <n v="0"/>
    <n v="228.54"/>
    <n v="5.46"/>
    <x v="5"/>
    <x v="1"/>
    <s v="Cedar Distribution"/>
    <n v="63.6"/>
    <n v="107.94"/>
    <n v="127.2"/>
    <n v="95.88"/>
    <n v="0.41953268574428981"/>
    <x v="11"/>
    <x v="1"/>
    <x v="0"/>
  </r>
  <r>
    <s v="ORD-100285"/>
    <d v="2025-08-07T00:00:00"/>
    <d v="2025-08-11T00:00:00"/>
    <x v="3"/>
    <s v="Leeds"/>
    <s v="Small Business"/>
    <s v="B2B Sales"/>
    <s v="P-011"/>
    <n v="6"/>
    <n v="0.2"/>
    <n v="65.489999999999995"/>
    <n v="4.32"/>
    <x v="9"/>
    <x v="2"/>
    <s v="Orbit Supply Co."/>
    <n v="7.93"/>
    <n v="14.78"/>
    <n v="47.58"/>
    <n v="13.589999999999996"/>
    <n v="0.20751259734310579"/>
    <x v="6"/>
    <x v="2"/>
    <x v="0"/>
  </r>
  <r>
    <s v="ORD-100286"/>
    <d v="2025-05-02T00:00:00"/>
    <d v="2025-05-08T00:00:00"/>
    <x v="3"/>
    <s v="Manchester"/>
    <s v="Small Business"/>
    <s v="B2B Sales"/>
    <s v="P-014"/>
    <n v="11"/>
    <n v="0"/>
    <n v="322.87"/>
    <n v="5.67"/>
    <x v="3"/>
    <x v="2"/>
    <s v="Orbit Supply Co."/>
    <n v="16.760000000000002"/>
    <n v="27.71"/>
    <n v="184.36"/>
    <n v="132.84"/>
    <n v="0.41143494285625792"/>
    <x v="1"/>
    <x v="1"/>
    <x v="0"/>
  </r>
  <r>
    <s v="ORD-100287"/>
    <d v="2024-04-04T00:00:00"/>
    <d v="2024-04-05T00:00:00"/>
    <x v="3"/>
    <s v="Manchester"/>
    <s v="Small Business"/>
    <s v="Online"/>
    <s v="P-013"/>
    <n v="6"/>
    <n v="0.2"/>
    <n v="59.01"/>
    <n v="7.2"/>
    <x v="11"/>
    <x v="2"/>
    <s v="Apex Wholesale"/>
    <n v="6.33"/>
    <n v="12.16"/>
    <n v="37.980000000000004"/>
    <n v="13.829999999999995"/>
    <n v="0.2343670564311133"/>
    <x v="21"/>
    <x v="2"/>
    <x v="1"/>
  </r>
  <r>
    <s v="ORD-100288"/>
    <d v="2025-05-05T00:00:00"/>
    <d v="2025-05-07T00:00:00"/>
    <x v="2"/>
    <s v="Brighton"/>
    <s v="Corporate"/>
    <s v="B2B Sales"/>
    <s v="P-012"/>
    <n v="5"/>
    <n v="0"/>
    <n v="40.35"/>
    <n v="4.05"/>
    <x v="14"/>
    <x v="2"/>
    <s v="Luma Imports"/>
    <n v="4.5"/>
    <n v="8.2899999999999991"/>
    <n v="22.5"/>
    <n v="13.8"/>
    <n v="0.34200743494423791"/>
    <x v="1"/>
    <x v="1"/>
    <x v="0"/>
  </r>
  <r>
    <s v="ORD-100289"/>
    <d v="2024-06-03T00:00:00"/>
    <d v="2024-06-08T00:00:00"/>
    <x v="0"/>
    <s v="Cardiff"/>
    <s v="Home Office"/>
    <s v="B2B Sales"/>
    <s v="P-007"/>
    <n v="4"/>
    <n v="0"/>
    <n v="248.09"/>
    <n v="5.7"/>
    <x v="7"/>
    <x v="0"/>
    <s v="Luma Imports"/>
    <n v="31.34"/>
    <n v="56.49"/>
    <n v="125.36"/>
    <n v="117.03"/>
    <n v="0.47172397113950582"/>
    <x v="17"/>
    <x v="1"/>
    <x v="1"/>
  </r>
  <r>
    <s v="ORD-100290"/>
    <d v="2024-05-28T00:00:00"/>
    <d v="2024-06-01T00:00:00"/>
    <x v="1"/>
    <s v="Peterborough"/>
    <s v="Small Business"/>
    <s v="Online"/>
    <s v="P-013"/>
    <n v="13"/>
    <n v="0"/>
    <n v="169.94"/>
    <n v="6.21"/>
    <x v="11"/>
    <x v="2"/>
    <s v="Apex Wholesale"/>
    <n v="6.33"/>
    <n v="12.16"/>
    <n v="82.29"/>
    <n v="81.44"/>
    <n v="0.47922796281040364"/>
    <x v="8"/>
    <x v="1"/>
    <x v="1"/>
  </r>
  <r>
    <s v="ORD-100291"/>
    <d v="2024-11-14T00:00:00"/>
    <d v="2024-11-15T00:00:00"/>
    <x v="0"/>
    <s v="Liverpool"/>
    <s v="Small Business"/>
    <s v="B2B Sales"/>
    <s v="P-003"/>
    <n v="2"/>
    <n v="0.05"/>
    <n v="281.49"/>
    <n v="5.46"/>
    <x v="1"/>
    <x v="1"/>
    <s v="Orbit Supply Co."/>
    <n v="71.489999999999995"/>
    <n v="112.88"/>
    <n v="142.97999999999999"/>
    <n v="133.05000000000001"/>
    <n v="0.47266332729404242"/>
    <x v="14"/>
    <x v="0"/>
    <x v="1"/>
  </r>
  <r>
    <s v="ORD-100292"/>
    <d v="2024-02-28T00:00:00"/>
    <d v="2024-03-04T00:00:00"/>
    <x v="2"/>
    <s v="Bristol"/>
    <s v="Corporate"/>
    <s v="Retail Store"/>
    <s v="P-014"/>
    <n v="13"/>
    <n v="0.15"/>
    <n v="269.49"/>
    <n v="6.21"/>
    <x v="3"/>
    <x v="2"/>
    <s v="Orbit Supply Co."/>
    <n v="16.760000000000002"/>
    <n v="27.71"/>
    <n v="217.88000000000002"/>
    <n v="45.399999999999984"/>
    <n v="0.16846636238821472"/>
    <x v="12"/>
    <x v="2"/>
    <x v="1"/>
  </r>
  <r>
    <s v="ORD-100293"/>
    <d v="2024-03-07T00:00:00"/>
    <d v="2024-03-12T00:00:00"/>
    <x v="0"/>
    <s v="Birmingham"/>
    <s v="Home Office"/>
    <s v="Retail Store"/>
    <s v="P-007"/>
    <n v="1"/>
    <n v="0.1"/>
    <n v="50.23"/>
    <n v="5.75"/>
    <x v="7"/>
    <x v="0"/>
    <s v="Luma Imports"/>
    <n v="31.34"/>
    <n v="56.49"/>
    <n v="31.34"/>
    <n v="13.139999999999997"/>
    <n v="0.26159665538522792"/>
    <x v="10"/>
    <x v="0"/>
    <x v="1"/>
  </r>
  <r>
    <s v="ORD-100294"/>
    <d v="2024-03-03T00:00:00"/>
    <d v="2024-03-05T00:00:00"/>
    <x v="2"/>
    <s v="Brighton"/>
    <s v="Small Business"/>
    <s v="Retail Store"/>
    <s v="P-001"/>
    <n v="3"/>
    <n v="0.1"/>
    <n v="725.92"/>
    <n v="6.84"/>
    <x v="12"/>
    <x v="1"/>
    <s v="Luma Imports"/>
    <n v="173.56"/>
    <n v="286.14999999999998"/>
    <n v="520.68000000000006"/>
    <n v="198.39999999999989"/>
    <n v="0.27330835353757976"/>
    <x v="10"/>
    <x v="0"/>
    <x v="1"/>
  </r>
  <r>
    <s v="ORD-100295"/>
    <d v="2024-08-10T00:00:00"/>
    <d v="2024-08-15T00:00:00"/>
    <x v="3"/>
    <s v="Leeds"/>
    <s v="Small Business"/>
    <s v="Online"/>
    <s v="P-009"/>
    <n v="4"/>
    <n v="0"/>
    <n v="465.66"/>
    <n v="5.7"/>
    <x v="0"/>
    <x v="0"/>
    <s v="Apex Wholesale"/>
    <n v="63.69"/>
    <n v="125.5"/>
    <n v="254.76"/>
    <n v="205.20000000000005"/>
    <n v="0.44066486277541561"/>
    <x v="7"/>
    <x v="1"/>
    <x v="1"/>
  </r>
  <r>
    <s v="ORD-100296"/>
    <d v="2025-03-01T00:00:00"/>
    <d v="2025-03-06T00:00:00"/>
    <x v="0"/>
    <s v="Birmingham"/>
    <s v="Corporate"/>
    <s v="Online"/>
    <s v="P-014"/>
    <n v="6"/>
    <n v="0.15"/>
    <n v="129.54"/>
    <n v="4.32"/>
    <x v="3"/>
    <x v="2"/>
    <s v="Orbit Supply Co."/>
    <n v="16.760000000000002"/>
    <n v="27.71"/>
    <n v="100.56"/>
    <n v="24.659999999999989"/>
    <n v="0.19036591014358492"/>
    <x v="2"/>
    <x v="2"/>
    <x v="0"/>
  </r>
  <r>
    <s v="ORD-100297"/>
    <d v="2025-12-28T00:00:00"/>
    <d v="2025-12-29T00:00:00"/>
    <x v="1"/>
    <s v="Peterborough"/>
    <s v="Small Business"/>
    <s v="Online"/>
    <s v="P-002"/>
    <n v="2"/>
    <n v="0"/>
    <n v="575.03"/>
    <n v="5.46"/>
    <x v="2"/>
    <x v="1"/>
    <s v="Vertex Trade"/>
    <n v="119.02"/>
    <n v="205.39"/>
    <n v="238.04"/>
    <n v="331.53000000000003"/>
    <n v="0.57654383249569596"/>
    <x v="13"/>
    <x v="1"/>
    <x v="0"/>
  </r>
  <r>
    <s v="ORD-100298"/>
    <d v="2024-07-20T00:00:00"/>
    <d v="2024-07-22T00:00:00"/>
    <x v="1"/>
    <s v="Cambridge"/>
    <s v="Small Business"/>
    <s v="Online"/>
    <s v="P-005"/>
    <n v="2"/>
    <n v="0.25"/>
    <n v="69.83"/>
    <n v="7"/>
    <x v="13"/>
    <x v="0"/>
    <s v="Apex Wholesale"/>
    <n v="25.33"/>
    <n v="51.56"/>
    <n v="50.66"/>
    <n v="12.170000000000002"/>
    <n v="0.17428039524559646"/>
    <x v="16"/>
    <x v="3"/>
    <x v="1"/>
  </r>
  <r>
    <s v="ORD-100299"/>
    <d v="2024-02-21T00:00:00"/>
    <d v="2024-02-25T00:00:00"/>
    <x v="3"/>
    <s v="Newcastle"/>
    <s v="Home Office"/>
    <s v="Retail Store"/>
    <s v="P-007"/>
    <n v="3"/>
    <n v="0"/>
    <n v="149.63999999999999"/>
    <n v="4.95"/>
    <x v="7"/>
    <x v="0"/>
    <s v="Luma Imports"/>
    <n v="31.34"/>
    <n v="56.49"/>
    <n v="94.02"/>
    <n v="50.669999999999987"/>
    <n v="0.33861267040898152"/>
    <x v="12"/>
    <x v="1"/>
    <x v="1"/>
  </r>
  <r>
    <s v="ORD-100300"/>
    <d v="2024-10-17T00:00:00"/>
    <d v="2024-10-22T00:00:00"/>
    <x v="3"/>
    <s v="Newcastle"/>
    <s v="Home Office"/>
    <s v="Retail Store"/>
    <s v="P-011"/>
    <n v="9"/>
    <n v="0"/>
    <n v="162.91999999999999"/>
    <n v="5.13"/>
    <x v="9"/>
    <x v="2"/>
    <s v="Orbit Supply Co."/>
    <n v="7.93"/>
    <n v="14.78"/>
    <n v="71.37"/>
    <n v="86.419999999999987"/>
    <n v="0.53044438988460596"/>
    <x v="3"/>
    <x v="1"/>
    <x v="1"/>
  </r>
  <r>
    <s v="ORD-100301"/>
    <d v="2024-04-04T00:00:00"/>
    <d v="2024-04-09T00:00:00"/>
    <x v="3"/>
    <s v="Leeds"/>
    <s v="Small Business"/>
    <s v="Retail Store"/>
    <s v="P-008"/>
    <n v="3"/>
    <n v="0"/>
    <n v="561.95000000000005"/>
    <n v="8.25"/>
    <x v="6"/>
    <x v="0"/>
    <s v="Vertex Trade"/>
    <n v="112.09"/>
    <n v="192.47"/>
    <n v="336.27"/>
    <n v="217.43000000000006"/>
    <n v="0.3869205445324318"/>
    <x v="21"/>
    <x v="1"/>
    <x v="1"/>
  </r>
  <r>
    <s v="ORD-100302"/>
    <d v="2025-09-23T00:00:00"/>
    <d v="2025-09-24T00:00:00"/>
    <x v="0"/>
    <s v="Cardiff"/>
    <s v="Corporate"/>
    <s v="Online"/>
    <s v="P-014"/>
    <n v="12"/>
    <n v="0.25"/>
    <n v="270.29000000000002"/>
    <n v="9.9"/>
    <x v="3"/>
    <x v="2"/>
    <s v="Orbit Supply Co."/>
    <n v="16.760000000000002"/>
    <n v="27.71"/>
    <n v="201.12"/>
    <n v="59.270000000000017"/>
    <n v="0.21928299234155912"/>
    <x v="11"/>
    <x v="3"/>
    <x v="0"/>
  </r>
  <r>
    <s v="ORD-100303"/>
    <d v="2024-12-06T00:00:00"/>
    <d v="2024-12-11T00:00:00"/>
    <x v="2"/>
    <s v="Bristol"/>
    <s v="Home Office"/>
    <s v="B2B Sales"/>
    <s v="P-010"/>
    <n v="14"/>
    <n v="0"/>
    <n v="119.52"/>
    <n v="10.8"/>
    <x v="4"/>
    <x v="2"/>
    <s v="Orbit Supply Co."/>
    <n v="3.62"/>
    <n v="6.03"/>
    <n v="50.68"/>
    <n v="58.040000000000006"/>
    <n v="0.48560910307898264"/>
    <x v="9"/>
    <x v="1"/>
    <x v="1"/>
  </r>
  <r>
    <s v="ORD-100304"/>
    <d v="2025-03-08T00:00:00"/>
    <d v="2025-03-10T00:00:00"/>
    <x v="2"/>
    <s v="Brighton"/>
    <s v="Corporate"/>
    <s v="B2B Sales"/>
    <s v="P-012"/>
    <n v="6"/>
    <n v="0.1"/>
    <n v="43.52"/>
    <n v="7.2"/>
    <x v="14"/>
    <x v="2"/>
    <s v="Luma Imports"/>
    <n v="4.5"/>
    <n v="8.2899999999999991"/>
    <n v="27"/>
    <n v="9.3200000000000038"/>
    <n v="0.21415441176470595"/>
    <x v="2"/>
    <x v="0"/>
    <x v="0"/>
  </r>
  <r>
    <s v="ORD-100305"/>
    <d v="2024-08-15T00:00:00"/>
    <d v="2024-08-19T00:00:00"/>
    <x v="1"/>
    <s v="Peterborough"/>
    <s v="Small Business"/>
    <s v="Retail Store"/>
    <s v="P-013"/>
    <n v="7"/>
    <n v="0"/>
    <n v="81.02"/>
    <n v="4.59"/>
    <x v="11"/>
    <x v="2"/>
    <s v="Apex Wholesale"/>
    <n v="6.33"/>
    <n v="12.16"/>
    <n v="44.31"/>
    <n v="32.11999999999999"/>
    <n v="0.39644532214268074"/>
    <x v="7"/>
    <x v="1"/>
    <x v="1"/>
  </r>
  <r>
    <s v="ORD-100306"/>
    <d v="2025-12-02T00:00:00"/>
    <d v="2025-12-08T00:00:00"/>
    <x v="2"/>
    <s v="Brighton"/>
    <s v="Home Office"/>
    <s v="B2B Sales"/>
    <s v="P-013"/>
    <n v="3"/>
    <n v="0.05"/>
    <n v="48.87"/>
    <n v="5.85"/>
    <x v="11"/>
    <x v="2"/>
    <s v="Apex Wholesale"/>
    <n v="6.33"/>
    <n v="12.16"/>
    <n v="18.990000000000002"/>
    <n v="24.029999999999994"/>
    <n v="0.49171270718232035"/>
    <x v="13"/>
    <x v="0"/>
    <x v="0"/>
  </r>
  <r>
    <s v="ORD-100307"/>
    <d v="2025-07-13T00:00:00"/>
    <d v="2025-07-17T00:00:00"/>
    <x v="0"/>
    <s v="Birmingham"/>
    <s v="Corporate"/>
    <s v="Retail Store"/>
    <s v="P-011"/>
    <n v="5"/>
    <n v="0.15"/>
    <n v="55.8"/>
    <n v="4.05"/>
    <x v="9"/>
    <x v="2"/>
    <s v="Orbit Supply Co."/>
    <n v="7.93"/>
    <n v="14.78"/>
    <n v="39.65"/>
    <n v="12.099999999999998"/>
    <n v="0.21684587813620068"/>
    <x v="4"/>
    <x v="2"/>
    <x v="0"/>
  </r>
  <r>
    <s v="ORD-100308"/>
    <d v="2025-10-11T00:00:00"/>
    <d v="2025-10-16T00:00:00"/>
    <x v="3"/>
    <s v="Leeds"/>
    <s v="Corporate"/>
    <s v="Online"/>
    <s v="P-001"/>
    <n v="4"/>
    <n v="0.2"/>
    <n v="1057.79"/>
    <n v="13.7"/>
    <x v="12"/>
    <x v="1"/>
    <s v="Luma Imports"/>
    <n v="173.56"/>
    <n v="286.14999999999998"/>
    <n v="694.24"/>
    <n v="349.84999999999997"/>
    <n v="0.3307367246807022"/>
    <x v="22"/>
    <x v="2"/>
    <x v="0"/>
  </r>
  <r>
    <s v="ORD-100309"/>
    <d v="2025-09-11T00:00:00"/>
    <d v="2025-09-14T00:00:00"/>
    <x v="2"/>
    <s v="Bristol"/>
    <s v="Home Office"/>
    <s v="B2B Sales"/>
    <s v="P-005"/>
    <n v="1"/>
    <n v="0.2"/>
    <n v="46.81"/>
    <n v="5.75"/>
    <x v="13"/>
    <x v="0"/>
    <s v="Apex Wholesale"/>
    <n v="25.33"/>
    <n v="51.56"/>
    <n v="25.33"/>
    <n v="15.730000000000004"/>
    <n v="0.33603930784020514"/>
    <x v="11"/>
    <x v="2"/>
    <x v="0"/>
  </r>
  <r>
    <s v="ORD-100310"/>
    <d v="2024-01-01T00:00:00"/>
    <d v="2024-01-05T00:00:00"/>
    <x v="2"/>
    <s v="Brighton"/>
    <s v="Small Business"/>
    <s v="Online"/>
    <s v="P-004"/>
    <n v="2"/>
    <n v="0.1"/>
    <n v="164.59"/>
    <n v="5.46"/>
    <x v="5"/>
    <x v="1"/>
    <s v="Cedar Distribution"/>
    <n v="63.6"/>
    <n v="107.94"/>
    <n v="127.2"/>
    <n v="31.93"/>
    <n v="0.19399720517649918"/>
    <x v="18"/>
    <x v="0"/>
    <x v="1"/>
  </r>
  <r>
    <s v="ORD-100311"/>
    <d v="2024-02-12T00:00:00"/>
    <d v="2024-02-14T00:00:00"/>
    <x v="2"/>
    <s v="Brighton"/>
    <s v="Home Office"/>
    <s v="B2B Sales"/>
    <s v="P-006"/>
    <n v="4"/>
    <n v="0"/>
    <n v="385.29"/>
    <n v="5.7"/>
    <x v="10"/>
    <x v="0"/>
    <s v="Apex Wholesale"/>
    <n v="54.95"/>
    <n v="112.56"/>
    <n v="219.8"/>
    <n v="159.79000000000002"/>
    <n v="0.414726569596927"/>
    <x v="12"/>
    <x v="1"/>
    <x v="1"/>
  </r>
  <r>
    <s v="ORD-100312"/>
    <d v="2025-03-13T00:00:00"/>
    <d v="2025-03-16T00:00:00"/>
    <x v="3"/>
    <s v="Newcastle"/>
    <s v="Small Business"/>
    <s v="Online"/>
    <s v="P-005"/>
    <n v="5"/>
    <n v="0"/>
    <n v="244.48"/>
    <n v="6.45"/>
    <x v="13"/>
    <x v="0"/>
    <s v="Apex Wholesale"/>
    <n v="25.33"/>
    <n v="51.56"/>
    <n v="126.64999999999999"/>
    <n v="111.38"/>
    <n v="0.45557918848167539"/>
    <x v="2"/>
    <x v="1"/>
    <x v="0"/>
  </r>
  <r>
    <s v="ORD-100313"/>
    <d v="2024-08-24T00:00:00"/>
    <d v="2024-08-26T00:00:00"/>
    <x v="2"/>
    <s v="London"/>
    <s v="Small Business"/>
    <s v="B2B Sales"/>
    <s v="P-007"/>
    <n v="1"/>
    <n v="0"/>
    <n v="55.82"/>
    <n v="3.45"/>
    <x v="7"/>
    <x v="0"/>
    <s v="Luma Imports"/>
    <n v="31.34"/>
    <n v="56.49"/>
    <n v="31.34"/>
    <n v="21.03"/>
    <n v="0.37674668577570763"/>
    <x v="7"/>
    <x v="1"/>
    <x v="1"/>
  </r>
  <r>
    <s v="ORD-100314"/>
    <d v="2025-01-23T00:00:00"/>
    <d v="2025-01-29T00:00:00"/>
    <x v="1"/>
    <s v="Norwich"/>
    <s v="Home Office"/>
    <s v="Retail Store"/>
    <s v="P-015"/>
    <n v="3"/>
    <n v="0.1"/>
    <n v="14.04"/>
    <n v="5.85"/>
    <x v="8"/>
    <x v="2"/>
    <s v="Luma Imports"/>
    <n v="3.3"/>
    <n v="6.13"/>
    <n v="9.8999999999999986"/>
    <n v="-1.7099999999999991"/>
    <n v="-0.12179487179487174"/>
    <x v="20"/>
    <x v="0"/>
    <x v="0"/>
  </r>
  <r>
    <s v="ORD-100315"/>
    <d v="2024-10-17T00:00:00"/>
    <d v="2024-10-23T00:00:00"/>
    <x v="3"/>
    <s v="Newcastle"/>
    <s v="Corporate"/>
    <s v="Retail Store"/>
    <s v="P-015"/>
    <n v="23"/>
    <n v="0"/>
    <n v="167.36"/>
    <n v="8.91"/>
    <x v="8"/>
    <x v="2"/>
    <s v="Luma Imports"/>
    <n v="3.3"/>
    <n v="6.13"/>
    <n v="75.899999999999991"/>
    <n v="82.550000000000026"/>
    <n v="0.49324808795411101"/>
    <x v="3"/>
    <x v="1"/>
    <x v="1"/>
  </r>
  <r>
    <s v="ORD-100316"/>
    <d v="2025-05-17T00:00:00"/>
    <d v="2025-05-19T00:00:00"/>
    <x v="3"/>
    <s v="Leeds"/>
    <s v="Small Business"/>
    <s v="B2B Sales"/>
    <s v="P-013"/>
    <n v="10"/>
    <n v="0"/>
    <n v="120.18"/>
    <n v="5.4"/>
    <x v="11"/>
    <x v="2"/>
    <s v="Apex Wholesale"/>
    <n v="6.33"/>
    <n v="12.16"/>
    <n v="63.3"/>
    <n v="51.480000000000011"/>
    <n v="0.42835746380429363"/>
    <x v="1"/>
    <x v="1"/>
    <x v="0"/>
  </r>
  <r>
    <s v="ORD-100317"/>
    <d v="2025-06-08T00:00:00"/>
    <d v="2025-06-10T00:00:00"/>
    <x v="1"/>
    <s v="Peterborough"/>
    <s v="Corporate"/>
    <s v="Online"/>
    <s v="P-002"/>
    <n v="1"/>
    <n v="0"/>
    <n v="225.17"/>
    <n v="6.8"/>
    <x v="2"/>
    <x v="1"/>
    <s v="Vertex Trade"/>
    <n v="119.02"/>
    <n v="205.39"/>
    <n v="119.02"/>
    <n v="99.35"/>
    <n v="0.44122218768041926"/>
    <x v="0"/>
    <x v="1"/>
    <x v="0"/>
  </r>
  <r>
    <s v="ORD-100318"/>
    <d v="2024-08-18T00:00:00"/>
    <d v="2024-08-23T00:00:00"/>
    <x v="0"/>
    <s v="Liverpool"/>
    <s v="Home Office"/>
    <s v="Retail Store"/>
    <s v="P-013"/>
    <n v="8"/>
    <n v="0.1"/>
    <n v="78.459999999999994"/>
    <n v="4.8600000000000003"/>
    <x v="11"/>
    <x v="2"/>
    <s v="Apex Wholesale"/>
    <n v="6.33"/>
    <n v="12.16"/>
    <n v="50.64"/>
    <n v="22.959999999999994"/>
    <n v="0.29263318888605655"/>
    <x v="7"/>
    <x v="0"/>
    <x v="1"/>
  </r>
  <r>
    <s v="ORD-100319"/>
    <d v="2024-12-26T00:00:00"/>
    <d v="2024-12-28T00:00:00"/>
    <x v="0"/>
    <s v="Liverpool"/>
    <s v="Corporate"/>
    <s v="Online"/>
    <s v="P-002"/>
    <n v="1"/>
    <n v="0"/>
    <n v="278.35000000000002"/>
    <n v="6.8"/>
    <x v="2"/>
    <x v="1"/>
    <s v="Vertex Trade"/>
    <n v="119.02"/>
    <n v="205.39"/>
    <n v="119.02"/>
    <n v="152.53000000000003"/>
    <n v="0.54797916292437587"/>
    <x v="9"/>
    <x v="1"/>
    <x v="1"/>
  </r>
  <r>
    <s v="ORD-100320"/>
    <d v="2025-01-03T00:00:00"/>
    <d v="2025-01-04T00:00:00"/>
    <x v="0"/>
    <s v="Birmingham"/>
    <s v="Home Office"/>
    <s v="B2B Sales"/>
    <s v="P-004"/>
    <n v="4"/>
    <n v="0.05"/>
    <n v="343.43"/>
    <n v="8.2200000000000006"/>
    <x v="5"/>
    <x v="1"/>
    <s v="Cedar Distribution"/>
    <n v="63.6"/>
    <n v="107.94"/>
    <n v="254.4"/>
    <n v="80.81"/>
    <n v="0.23530268176921063"/>
    <x v="20"/>
    <x v="0"/>
    <x v="0"/>
  </r>
  <r>
    <s v="ORD-100321"/>
    <d v="2024-12-01T00:00:00"/>
    <d v="2024-12-06T00:00:00"/>
    <x v="3"/>
    <s v="Newcastle"/>
    <s v="Small Business"/>
    <s v="Retail Store"/>
    <s v="P-012"/>
    <n v="9"/>
    <n v="0.1"/>
    <n v="101.54"/>
    <n v="5.13"/>
    <x v="14"/>
    <x v="2"/>
    <s v="Luma Imports"/>
    <n v="4.5"/>
    <n v="8.2899999999999991"/>
    <n v="40.5"/>
    <n v="55.910000000000004"/>
    <n v="0.55062044514477049"/>
    <x v="9"/>
    <x v="0"/>
    <x v="1"/>
  </r>
  <r>
    <s v="ORD-100322"/>
    <d v="2024-01-10T00:00:00"/>
    <d v="2024-01-11T00:00:00"/>
    <x v="0"/>
    <s v="Birmingham"/>
    <s v="Small Business"/>
    <s v="B2B Sales"/>
    <s v="P-001"/>
    <n v="2"/>
    <n v="0"/>
    <n v="483.53"/>
    <n v="9.1"/>
    <x v="12"/>
    <x v="1"/>
    <s v="Luma Imports"/>
    <n v="173.56"/>
    <n v="286.14999999999998"/>
    <n v="347.12"/>
    <n v="127.30999999999997"/>
    <n v="0.26329286704030769"/>
    <x v="18"/>
    <x v="1"/>
    <x v="1"/>
  </r>
  <r>
    <s v="ORD-100323"/>
    <d v="2024-02-22T00:00:00"/>
    <d v="2024-02-25T00:00:00"/>
    <x v="3"/>
    <s v="Newcastle"/>
    <s v="Corporate"/>
    <s v="Online"/>
    <s v="P-004"/>
    <n v="2"/>
    <n v="0.2"/>
    <n v="150.33000000000001"/>
    <n v="9.1"/>
    <x v="5"/>
    <x v="1"/>
    <s v="Cedar Distribution"/>
    <n v="63.6"/>
    <n v="107.94"/>
    <n v="127.2"/>
    <n v="14.03000000000001"/>
    <n v="9.3328011707576722E-2"/>
    <x v="12"/>
    <x v="2"/>
    <x v="1"/>
  </r>
  <r>
    <s v="ORD-100324"/>
    <d v="2024-10-21T00:00:00"/>
    <d v="2024-10-23T00:00:00"/>
    <x v="1"/>
    <s v="Peterborough"/>
    <s v="Home Office"/>
    <s v="B2B Sales"/>
    <s v="P-008"/>
    <n v="1"/>
    <n v="0"/>
    <n v="232.68"/>
    <n v="3.45"/>
    <x v="6"/>
    <x v="0"/>
    <s v="Vertex Trade"/>
    <n v="112.09"/>
    <n v="192.47"/>
    <n v="112.09"/>
    <n v="117.14"/>
    <n v="0.5034381983840468"/>
    <x v="3"/>
    <x v="1"/>
    <x v="1"/>
  </r>
  <r>
    <s v="ORD-100325"/>
    <d v="2025-05-19T00:00:00"/>
    <d v="2025-05-22T00:00:00"/>
    <x v="0"/>
    <s v="Liverpool"/>
    <s v="Small Business"/>
    <s v="B2B Sales"/>
    <s v="P-004"/>
    <n v="7"/>
    <n v="0"/>
    <n v="759.06"/>
    <n v="12.36"/>
    <x v="5"/>
    <x v="1"/>
    <s v="Cedar Distribution"/>
    <n v="63.6"/>
    <n v="107.94"/>
    <n v="445.2"/>
    <n v="301.49999999999994"/>
    <n v="0.39720180222907275"/>
    <x v="1"/>
    <x v="1"/>
    <x v="0"/>
  </r>
  <r>
    <s v="ORD-100326"/>
    <d v="2025-12-17T00:00:00"/>
    <d v="2025-12-22T00:00:00"/>
    <x v="3"/>
    <s v="Manchester"/>
    <s v="Corporate"/>
    <s v="B2B Sales"/>
    <s v="P-015"/>
    <n v="10"/>
    <n v="0"/>
    <n v="82.5"/>
    <n v="5.4"/>
    <x v="8"/>
    <x v="2"/>
    <s v="Luma Imports"/>
    <n v="3.3"/>
    <n v="6.13"/>
    <n v="33"/>
    <n v="44.1"/>
    <n v="0.53454545454545455"/>
    <x v="13"/>
    <x v="1"/>
    <x v="0"/>
  </r>
  <r>
    <s v="ORD-100327"/>
    <d v="2025-02-24T00:00:00"/>
    <d v="2025-02-26T00:00:00"/>
    <x v="0"/>
    <s v="Cardiff"/>
    <s v="Small Business"/>
    <s v="Retail Store"/>
    <s v="P-009"/>
    <n v="2"/>
    <n v="0.05"/>
    <n v="213.89"/>
    <n v="4.2"/>
    <x v="0"/>
    <x v="0"/>
    <s v="Apex Wholesale"/>
    <n v="63.69"/>
    <n v="125.5"/>
    <n v="127.38"/>
    <n v="82.309999999999988"/>
    <n v="0.38482397494038989"/>
    <x v="5"/>
    <x v="0"/>
    <x v="0"/>
  </r>
  <r>
    <s v="ORD-100328"/>
    <d v="2024-06-11T00:00:00"/>
    <d v="2024-06-14T00:00:00"/>
    <x v="2"/>
    <s v="Brighton"/>
    <s v="Small Business"/>
    <s v="Online"/>
    <s v="P-013"/>
    <n v="14"/>
    <n v="0"/>
    <n v="175.66"/>
    <n v="6.48"/>
    <x v="11"/>
    <x v="2"/>
    <s v="Apex Wholesale"/>
    <n v="6.33"/>
    <n v="12.16"/>
    <n v="88.62"/>
    <n v="80.559999999999988"/>
    <n v="0.45861323010360916"/>
    <x v="17"/>
    <x v="1"/>
    <x v="1"/>
  </r>
  <r>
    <s v="ORD-100329"/>
    <d v="2024-02-12T00:00:00"/>
    <d v="2024-02-16T00:00:00"/>
    <x v="1"/>
    <s v="Norwich"/>
    <s v="Small Business"/>
    <s v="B2B Sales"/>
    <s v="P-015"/>
    <n v="13"/>
    <n v="0"/>
    <n v="69.73"/>
    <n v="6.21"/>
    <x v="8"/>
    <x v="2"/>
    <s v="Luma Imports"/>
    <n v="3.3"/>
    <n v="6.13"/>
    <n v="42.9"/>
    <n v="20.620000000000005"/>
    <n v="0.29571203212390657"/>
    <x v="12"/>
    <x v="1"/>
    <x v="1"/>
  </r>
  <r>
    <s v="ORD-100330"/>
    <d v="2025-11-19T00:00:00"/>
    <d v="2025-11-24T00:00:00"/>
    <x v="1"/>
    <s v="Norwich"/>
    <s v="Small Business"/>
    <s v="Online"/>
    <s v="P-014"/>
    <n v="13"/>
    <n v="0"/>
    <n v="508.52"/>
    <n v="6.21"/>
    <x v="3"/>
    <x v="2"/>
    <s v="Orbit Supply Co."/>
    <n v="16.760000000000002"/>
    <n v="27.71"/>
    <n v="217.88000000000002"/>
    <n v="284.43"/>
    <n v="0.55932903327302763"/>
    <x v="19"/>
    <x v="1"/>
    <x v="0"/>
  </r>
  <r>
    <s v="ORD-100331"/>
    <d v="2024-06-26T00:00:00"/>
    <d v="2024-06-29T00:00:00"/>
    <x v="0"/>
    <s v="Birmingham"/>
    <s v="Corporate"/>
    <s v="Retail Store"/>
    <s v="P-012"/>
    <n v="7"/>
    <n v="0"/>
    <n v="63.13"/>
    <n v="4.59"/>
    <x v="14"/>
    <x v="2"/>
    <s v="Luma Imports"/>
    <n v="4.5"/>
    <n v="8.2899999999999991"/>
    <n v="31.5"/>
    <n v="27.040000000000003"/>
    <n v="0.42832250910818948"/>
    <x v="17"/>
    <x v="1"/>
    <x v="1"/>
  </r>
  <r>
    <s v="ORD-100332"/>
    <d v="2024-05-08T00:00:00"/>
    <d v="2024-05-10T00:00:00"/>
    <x v="3"/>
    <s v="Manchester"/>
    <s v="Small Business"/>
    <s v="B2B Sales"/>
    <s v="P-012"/>
    <n v="16"/>
    <n v="0"/>
    <n v="134.80000000000001"/>
    <n v="7.02"/>
    <x v="14"/>
    <x v="2"/>
    <s v="Luma Imports"/>
    <n v="4.5"/>
    <n v="8.2899999999999991"/>
    <n v="72"/>
    <n v="55.780000000000015"/>
    <n v="0.4137982195845698"/>
    <x v="8"/>
    <x v="1"/>
    <x v="1"/>
  </r>
  <r>
    <s v="ORD-100333"/>
    <d v="2024-05-08T00:00:00"/>
    <d v="2024-05-10T00:00:00"/>
    <x v="3"/>
    <s v="Leeds"/>
    <s v="Small Business"/>
    <s v="Online"/>
    <s v="P-006"/>
    <n v="2"/>
    <n v="0"/>
    <n v="216.3"/>
    <n v="4.2"/>
    <x v="10"/>
    <x v="0"/>
    <s v="Apex Wholesale"/>
    <n v="54.95"/>
    <n v="112.56"/>
    <n v="109.9"/>
    <n v="102.2"/>
    <n v="0.47249190938511326"/>
    <x v="8"/>
    <x v="1"/>
    <x v="1"/>
  </r>
  <r>
    <s v="ORD-100334"/>
    <d v="2024-05-12T00:00:00"/>
    <d v="2024-05-14T00:00:00"/>
    <x v="1"/>
    <s v="Peterborough"/>
    <s v="Corporate"/>
    <s v="Online"/>
    <s v="P-005"/>
    <n v="3"/>
    <n v="0"/>
    <n v="156.84"/>
    <n v="4.95"/>
    <x v="13"/>
    <x v="0"/>
    <s v="Apex Wholesale"/>
    <n v="25.33"/>
    <n v="51.56"/>
    <n v="75.989999999999995"/>
    <n v="75.900000000000006"/>
    <n v="0.48393267023718439"/>
    <x v="8"/>
    <x v="1"/>
    <x v="1"/>
  </r>
  <r>
    <s v="ORD-100335"/>
    <d v="2024-10-13T00:00:00"/>
    <d v="2024-10-15T00:00:00"/>
    <x v="1"/>
    <s v="Norwich"/>
    <s v="Home Office"/>
    <s v="Retail Store"/>
    <s v="P-010"/>
    <n v="12"/>
    <n v="0"/>
    <n v="83.83"/>
    <n v="9.9"/>
    <x v="4"/>
    <x v="2"/>
    <s v="Orbit Supply Co."/>
    <n v="3.62"/>
    <n v="6.03"/>
    <n v="43.44"/>
    <n v="30.490000000000002"/>
    <n v="0.36371227484194207"/>
    <x v="3"/>
    <x v="1"/>
    <x v="1"/>
  </r>
  <r>
    <s v="ORD-100336"/>
    <d v="2024-12-25T00:00:00"/>
    <d v="2024-12-29T00:00:00"/>
    <x v="1"/>
    <s v="Norwich"/>
    <s v="Home Office"/>
    <s v="Online"/>
    <s v="P-015"/>
    <n v="9"/>
    <n v="0.2"/>
    <n v="63.21"/>
    <n v="5.13"/>
    <x v="8"/>
    <x v="2"/>
    <s v="Luma Imports"/>
    <n v="3.3"/>
    <n v="6.13"/>
    <n v="29.7"/>
    <n v="28.380000000000006"/>
    <n v="0.4489795918367348"/>
    <x v="9"/>
    <x v="2"/>
    <x v="1"/>
  </r>
  <r>
    <s v="ORD-100337"/>
    <d v="2025-10-31T00:00:00"/>
    <d v="2025-11-06T00:00:00"/>
    <x v="1"/>
    <s v="Peterborough"/>
    <s v="Home Office"/>
    <s v="Retail Store"/>
    <s v="P-013"/>
    <n v="10"/>
    <n v="0.25"/>
    <n v="103.24"/>
    <n v="5.4"/>
    <x v="11"/>
    <x v="2"/>
    <s v="Apex Wholesale"/>
    <n v="6.33"/>
    <n v="12.16"/>
    <n v="63.3"/>
    <n v="34.54"/>
    <n v="0.33456024796590472"/>
    <x v="22"/>
    <x v="3"/>
    <x v="0"/>
  </r>
  <r>
    <s v="ORD-100338"/>
    <d v="2025-01-24T00:00:00"/>
    <d v="2025-01-28T00:00:00"/>
    <x v="2"/>
    <s v="Bristol"/>
    <s v="Small Business"/>
    <s v="B2B Sales"/>
    <s v="P-014"/>
    <n v="4"/>
    <n v="0"/>
    <n v="97.44"/>
    <n v="6.3"/>
    <x v="3"/>
    <x v="2"/>
    <s v="Orbit Supply Co."/>
    <n v="16.760000000000002"/>
    <n v="27.71"/>
    <n v="67.040000000000006"/>
    <n v="24.099999999999991"/>
    <n v="0.24733169129720844"/>
    <x v="20"/>
    <x v="1"/>
    <x v="0"/>
  </r>
  <r>
    <s v="ORD-100339"/>
    <d v="2024-05-14T00:00:00"/>
    <d v="2024-05-16T00:00:00"/>
    <x v="0"/>
    <s v="Birmingham"/>
    <s v="Home Office"/>
    <s v="Retail Store"/>
    <s v="P-001"/>
    <n v="4"/>
    <n v="0"/>
    <n v="1208.68"/>
    <n v="13.7"/>
    <x v="12"/>
    <x v="1"/>
    <s v="Luma Imports"/>
    <n v="173.56"/>
    <n v="286.14999999999998"/>
    <n v="694.24"/>
    <n v="500.74000000000007"/>
    <n v="0.4142866598272496"/>
    <x v="8"/>
    <x v="1"/>
    <x v="1"/>
  </r>
  <r>
    <s v="ORD-100340"/>
    <d v="2025-07-12T00:00:00"/>
    <d v="2025-07-15T00:00:00"/>
    <x v="2"/>
    <s v="Bristol"/>
    <s v="Home Office"/>
    <s v="Retail Store"/>
    <s v="P-002"/>
    <n v="1"/>
    <n v="0"/>
    <n v="186.1"/>
    <n v="6.8"/>
    <x v="2"/>
    <x v="1"/>
    <s v="Vertex Trade"/>
    <n v="119.02"/>
    <n v="205.39"/>
    <n v="119.02"/>
    <n v="60.28"/>
    <n v="0.32391187533584098"/>
    <x v="4"/>
    <x v="1"/>
    <x v="0"/>
  </r>
  <r>
    <s v="ORD-100341"/>
    <d v="2024-01-17T00:00:00"/>
    <d v="2024-01-18T00:00:00"/>
    <x v="3"/>
    <s v="Newcastle"/>
    <s v="Small Business"/>
    <s v="Retail Store"/>
    <s v="P-004"/>
    <n v="2"/>
    <n v="0"/>
    <n v="186.58"/>
    <n v="9.1"/>
    <x v="5"/>
    <x v="1"/>
    <s v="Cedar Distribution"/>
    <n v="63.6"/>
    <n v="107.94"/>
    <n v="127.2"/>
    <n v="50.280000000000008"/>
    <n v="0.26948225962053812"/>
    <x v="18"/>
    <x v="1"/>
    <x v="1"/>
  </r>
  <r>
    <s v="ORD-100342"/>
    <d v="2025-06-11T00:00:00"/>
    <d v="2025-06-15T00:00:00"/>
    <x v="0"/>
    <s v="Cardiff"/>
    <s v="Corporate"/>
    <s v="B2B Sales"/>
    <s v="P-014"/>
    <n v="23"/>
    <n v="0"/>
    <n v="629.21"/>
    <n v="8.91"/>
    <x v="3"/>
    <x v="2"/>
    <s v="Orbit Supply Co."/>
    <n v="16.760000000000002"/>
    <n v="27.71"/>
    <n v="385.48"/>
    <n v="234.82000000000002"/>
    <n v="0.37319813734683177"/>
    <x v="0"/>
    <x v="1"/>
    <x v="0"/>
  </r>
  <r>
    <s v="ORD-100343"/>
    <d v="2025-06-30T00:00:00"/>
    <d v="2025-07-06T00:00:00"/>
    <x v="3"/>
    <s v="Leeds"/>
    <s v="Home Office"/>
    <s v="B2B Sales"/>
    <s v="P-015"/>
    <n v="9"/>
    <n v="0"/>
    <n v="58.14"/>
    <n v="8.5500000000000007"/>
    <x v="8"/>
    <x v="2"/>
    <s v="Luma Imports"/>
    <n v="3.3"/>
    <n v="6.13"/>
    <n v="29.7"/>
    <n v="19.89"/>
    <n v="0.34210526315789475"/>
    <x v="0"/>
    <x v="1"/>
    <x v="0"/>
  </r>
  <r>
    <s v="ORD-100344"/>
    <d v="2024-12-13T00:00:00"/>
    <d v="2024-12-15T00:00:00"/>
    <x v="0"/>
    <s v="Cardiff"/>
    <s v="Small Business"/>
    <s v="Retail Store"/>
    <s v="P-008"/>
    <n v="2"/>
    <n v="0.05"/>
    <n v="525.35"/>
    <n v="4.2"/>
    <x v="6"/>
    <x v="0"/>
    <s v="Vertex Trade"/>
    <n v="112.09"/>
    <n v="192.47"/>
    <n v="224.18"/>
    <n v="296.97000000000003"/>
    <n v="0.56528028933092223"/>
    <x v="9"/>
    <x v="0"/>
    <x v="1"/>
  </r>
  <r>
    <s v="ORD-100345"/>
    <d v="2024-03-09T00:00:00"/>
    <d v="2024-03-12T00:00:00"/>
    <x v="2"/>
    <s v="London"/>
    <s v="Small Business"/>
    <s v="B2B Sales"/>
    <s v="P-009"/>
    <n v="3"/>
    <n v="0"/>
    <n v="369.02"/>
    <n v="4.95"/>
    <x v="0"/>
    <x v="0"/>
    <s v="Apex Wholesale"/>
    <n v="63.69"/>
    <n v="125.5"/>
    <n v="191.07"/>
    <n v="173"/>
    <n v="0.46880927862988458"/>
    <x v="10"/>
    <x v="1"/>
    <x v="1"/>
  </r>
  <r>
    <s v="ORD-100346"/>
    <d v="2024-06-15T00:00:00"/>
    <d v="2024-06-17T00:00:00"/>
    <x v="2"/>
    <s v="London"/>
    <s v="Home Office"/>
    <s v="B2B Sales"/>
    <s v="P-008"/>
    <n v="2"/>
    <n v="0"/>
    <n v="389.45"/>
    <n v="7"/>
    <x v="6"/>
    <x v="0"/>
    <s v="Vertex Trade"/>
    <n v="112.09"/>
    <n v="192.47"/>
    <n v="224.18"/>
    <n v="158.26999999999998"/>
    <n v="0.40639363204519191"/>
    <x v="17"/>
    <x v="1"/>
    <x v="1"/>
  </r>
  <r>
    <s v="ORD-100347"/>
    <d v="2024-08-13T00:00:00"/>
    <d v="2024-08-14T00:00:00"/>
    <x v="1"/>
    <s v="Norwich"/>
    <s v="Corporate"/>
    <s v="Retail Store"/>
    <s v="P-008"/>
    <n v="2"/>
    <n v="0.1"/>
    <n v="340.68"/>
    <n v="7"/>
    <x v="6"/>
    <x v="0"/>
    <s v="Vertex Trade"/>
    <n v="112.09"/>
    <n v="192.47"/>
    <n v="224.18"/>
    <n v="109.5"/>
    <n v="0.32141599154631911"/>
    <x v="7"/>
    <x v="0"/>
    <x v="1"/>
  </r>
  <r>
    <s v="ORD-100348"/>
    <d v="2024-03-01T00:00:00"/>
    <d v="2024-03-04T00:00:00"/>
    <x v="0"/>
    <s v="Cardiff"/>
    <s v="Small Business"/>
    <s v="B2B Sales"/>
    <s v="P-012"/>
    <n v="9"/>
    <n v="0.2"/>
    <n v="56.96"/>
    <n v="8.5500000000000007"/>
    <x v="14"/>
    <x v="2"/>
    <s v="Luma Imports"/>
    <n v="4.5"/>
    <n v="8.2899999999999991"/>
    <n v="40.5"/>
    <n v="7.91"/>
    <n v="0.1388693820224719"/>
    <x v="10"/>
    <x v="2"/>
    <x v="1"/>
  </r>
  <r>
    <s v="ORD-100349"/>
    <d v="2025-10-20T00:00:00"/>
    <d v="2025-10-23T00:00:00"/>
    <x v="3"/>
    <s v="Leeds"/>
    <s v="Small Business"/>
    <s v="Online"/>
    <s v="P-011"/>
    <n v="7"/>
    <n v="0.2"/>
    <n v="94.98"/>
    <n v="4.59"/>
    <x v="9"/>
    <x v="2"/>
    <s v="Orbit Supply Co."/>
    <n v="7.93"/>
    <n v="14.78"/>
    <n v="55.51"/>
    <n v="34.88000000000001"/>
    <n v="0.36723520741208682"/>
    <x v="22"/>
    <x v="2"/>
    <x v="0"/>
  </r>
  <r>
    <s v="ORD-100350"/>
    <d v="2025-11-01T00:00:00"/>
    <d v="2025-11-03T00:00:00"/>
    <x v="3"/>
    <s v="Manchester"/>
    <s v="Corporate"/>
    <s v="Retail Store"/>
    <s v="P-010"/>
    <n v="14"/>
    <n v="0"/>
    <n v="118.58"/>
    <n v="6.48"/>
    <x v="4"/>
    <x v="2"/>
    <s v="Orbit Supply Co."/>
    <n v="3.62"/>
    <n v="6.03"/>
    <n v="50.68"/>
    <n v="61.42"/>
    <n v="0.51796255692359594"/>
    <x v="19"/>
    <x v="1"/>
    <x v="0"/>
  </r>
  <r>
    <s v="ORD-100351"/>
    <d v="2025-07-17T00:00:00"/>
    <d v="2025-07-22T00:00:00"/>
    <x v="1"/>
    <s v="Peterborough"/>
    <s v="Corporate"/>
    <s v="Retail Store"/>
    <s v="P-009"/>
    <n v="3"/>
    <n v="0"/>
    <n v="336.74"/>
    <n v="8.25"/>
    <x v="0"/>
    <x v="0"/>
    <s v="Apex Wholesale"/>
    <n v="63.69"/>
    <n v="125.5"/>
    <n v="191.07"/>
    <n v="137.42000000000002"/>
    <n v="0.40808932707727036"/>
    <x v="4"/>
    <x v="1"/>
    <x v="0"/>
  </r>
  <r>
    <s v="ORD-100352"/>
    <d v="2025-07-04T00:00:00"/>
    <d v="2025-07-08T00:00:00"/>
    <x v="1"/>
    <s v="Norwich"/>
    <s v="Home Office"/>
    <s v="B2B Sales"/>
    <s v="P-008"/>
    <n v="1"/>
    <n v="0.2"/>
    <n v="136.38999999999999"/>
    <n v="5.75"/>
    <x v="6"/>
    <x v="0"/>
    <s v="Vertex Trade"/>
    <n v="112.09"/>
    <n v="192.47"/>
    <n v="112.09"/>
    <n v="18.549999999999983"/>
    <n v="0.1360070386391963"/>
    <x v="4"/>
    <x v="2"/>
    <x v="0"/>
  </r>
  <r>
    <s v="ORD-100353"/>
    <d v="2024-07-26T00:00:00"/>
    <d v="2024-07-28T00:00:00"/>
    <x v="0"/>
    <s v="Cardiff"/>
    <s v="Small Business"/>
    <s v="B2B Sales"/>
    <s v="P-010"/>
    <n v="4"/>
    <n v="0.05"/>
    <n v="21.31"/>
    <n v="3.78"/>
    <x v="4"/>
    <x v="2"/>
    <s v="Orbit Supply Co."/>
    <n v="3.62"/>
    <n v="6.03"/>
    <n v="14.48"/>
    <n v="3.0499999999999985"/>
    <n v="0.14312529328953535"/>
    <x v="16"/>
    <x v="0"/>
    <x v="1"/>
  </r>
  <r>
    <s v="ORD-100354"/>
    <d v="2024-08-06T00:00:00"/>
    <d v="2024-08-10T00:00:00"/>
    <x v="1"/>
    <s v="Peterborough"/>
    <s v="Home Office"/>
    <s v="Online"/>
    <s v="P-009"/>
    <n v="4"/>
    <n v="0"/>
    <n v="482.68"/>
    <n v="9.5"/>
    <x v="0"/>
    <x v="0"/>
    <s v="Apex Wholesale"/>
    <n v="63.69"/>
    <n v="125.5"/>
    <n v="254.76"/>
    <n v="218.42000000000002"/>
    <n v="0.45251512389160525"/>
    <x v="7"/>
    <x v="1"/>
    <x v="1"/>
  </r>
  <r>
    <s v="ORD-100355"/>
    <d v="2025-12-19T00:00:00"/>
    <d v="2025-12-20T00:00:00"/>
    <x v="2"/>
    <s v="London"/>
    <s v="Corporate"/>
    <s v="Online"/>
    <s v="P-003"/>
    <n v="2"/>
    <n v="0"/>
    <n v="337.23"/>
    <n v="9.1"/>
    <x v="1"/>
    <x v="1"/>
    <s v="Orbit Supply Co."/>
    <n v="71.489999999999995"/>
    <n v="112.88"/>
    <n v="142.97999999999999"/>
    <n v="185.15000000000003"/>
    <n v="0.54903181804703027"/>
    <x v="13"/>
    <x v="1"/>
    <x v="0"/>
  </r>
  <r>
    <s v="ORD-100356"/>
    <d v="2024-09-02T00:00:00"/>
    <d v="2024-09-05T00:00:00"/>
    <x v="2"/>
    <s v="Brighton"/>
    <s v="Corporate"/>
    <s v="B2B Sales"/>
    <s v="P-015"/>
    <n v="22"/>
    <n v="0"/>
    <n v="140.69999999999999"/>
    <n v="14.4"/>
    <x v="8"/>
    <x v="2"/>
    <s v="Luma Imports"/>
    <n v="3.3"/>
    <n v="6.13"/>
    <n v="72.599999999999994"/>
    <n v="53.699999999999996"/>
    <n v="0.3816631130063966"/>
    <x v="23"/>
    <x v="1"/>
    <x v="1"/>
  </r>
  <r>
    <s v="ORD-100357"/>
    <d v="2024-08-29T00:00:00"/>
    <d v="2024-08-31T00:00:00"/>
    <x v="3"/>
    <s v="Manchester"/>
    <s v="Home Office"/>
    <s v="Online"/>
    <s v="P-006"/>
    <n v="3"/>
    <n v="0"/>
    <n v="335.22"/>
    <n v="4.95"/>
    <x v="10"/>
    <x v="0"/>
    <s v="Apex Wholesale"/>
    <n v="54.95"/>
    <n v="112.56"/>
    <n v="164.85000000000002"/>
    <n v="165.42000000000002"/>
    <n v="0.49346697691068553"/>
    <x v="7"/>
    <x v="1"/>
    <x v="1"/>
  </r>
  <r>
    <s v="ORD-100358"/>
    <d v="2025-10-10T00:00:00"/>
    <d v="2025-10-14T00:00:00"/>
    <x v="1"/>
    <s v="Cambridge"/>
    <s v="Corporate"/>
    <s v="Online"/>
    <s v="P-001"/>
    <n v="1"/>
    <n v="0.05"/>
    <n v="318.70999999999998"/>
    <n v="4.08"/>
    <x v="12"/>
    <x v="1"/>
    <s v="Luma Imports"/>
    <n v="173.56"/>
    <n v="286.14999999999998"/>
    <n v="173.56"/>
    <n v="141.06999999999996"/>
    <n v="0.44262809450597712"/>
    <x v="22"/>
    <x v="0"/>
    <x v="0"/>
  </r>
  <r>
    <s v="ORD-100359"/>
    <d v="2025-07-07T00:00:00"/>
    <d v="2025-07-12T00:00:00"/>
    <x v="0"/>
    <s v="Cardiff"/>
    <s v="Small Business"/>
    <s v="Retail Store"/>
    <s v="P-002"/>
    <n v="5"/>
    <n v="0"/>
    <n v="928.11"/>
    <n v="16"/>
    <x v="2"/>
    <x v="1"/>
    <s v="Vertex Trade"/>
    <n v="119.02"/>
    <n v="205.39"/>
    <n v="595.1"/>
    <n v="317.01"/>
    <n v="0.34156511620389823"/>
    <x v="4"/>
    <x v="1"/>
    <x v="0"/>
  </r>
  <r>
    <s v="ORD-100360"/>
    <d v="2025-03-17T00:00:00"/>
    <d v="2025-03-22T00:00:00"/>
    <x v="1"/>
    <s v="Norwich"/>
    <s v="Small Business"/>
    <s v="Retail Store"/>
    <s v="P-005"/>
    <n v="5"/>
    <n v="0"/>
    <n v="232.95"/>
    <n v="10.75"/>
    <x v="13"/>
    <x v="0"/>
    <s v="Apex Wholesale"/>
    <n v="25.33"/>
    <n v="51.56"/>
    <n v="126.64999999999999"/>
    <n v="95.55"/>
    <n v="0.41017385705086928"/>
    <x v="2"/>
    <x v="1"/>
    <x v="0"/>
  </r>
  <r>
    <s v="ORD-100361"/>
    <d v="2024-04-15T00:00:00"/>
    <d v="2024-04-16T00:00:00"/>
    <x v="3"/>
    <s v="Manchester"/>
    <s v="Corporate"/>
    <s v="Online"/>
    <s v="P-014"/>
    <n v="10"/>
    <n v="0"/>
    <n v="281.18"/>
    <n v="5.4"/>
    <x v="3"/>
    <x v="2"/>
    <s v="Orbit Supply Co."/>
    <n v="16.760000000000002"/>
    <n v="27.71"/>
    <n v="167.60000000000002"/>
    <n v="108.17999999999998"/>
    <n v="0.38473575645493979"/>
    <x v="21"/>
    <x v="1"/>
    <x v="1"/>
  </r>
  <r>
    <s v="ORD-100362"/>
    <d v="2025-08-07T00:00:00"/>
    <d v="2025-08-13T00:00:00"/>
    <x v="1"/>
    <s v="Cambridge"/>
    <s v="Home Office"/>
    <s v="Retail Store"/>
    <s v="P-008"/>
    <n v="1"/>
    <n v="0"/>
    <n v="176.31"/>
    <n v="5.75"/>
    <x v="6"/>
    <x v="0"/>
    <s v="Vertex Trade"/>
    <n v="112.09"/>
    <n v="192.47"/>
    <n v="112.09"/>
    <n v="58.47"/>
    <n v="0.33163178492428108"/>
    <x v="6"/>
    <x v="1"/>
    <x v="0"/>
  </r>
  <r>
    <s v="ORD-100363"/>
    <d v="2024-05-18T00:00:00"/>
    <d v="2024-05-22T00:00:00"/>
    <x v="3"/>
    <s v="Leeds"/>
    <s v="Corporate"/>
    <s v="Retail Store"/>
    <s v="P-007"/>
    <n v="2"/>
    <n v="0.2"/>
    <n v="92.3"/>
    <n v="4.2"/>
    <x v="7"/>
    <x v="0"/>
    <s v="Luma Imports"/>
    <n v="31.34"/>
    <n v="56.49"/>
    <n v="62.68"/>
    <n v="25.419999999999998"/>
    <n v="0.27540628385698807"/>
    <x v="8"/>
    <x v="2"/>
    <x v="1"/>
  </r>
  <r>
    <s v="ORD-100364"/>
    <d v="2025-11-12T00:00:00"/>
    <d v="2025-11-13T00:00:00"/>
    <x v="1"/>
    <s v="Peterborough"/>
    <s v="Corporate"/>
    <s v="B2B Sales"/>
    <s v="P-015"/>
    <n v="9"/>
    <n v="0"/>
    <n v="78.33"/>
    <n v="8.5500000000000007"/>
    <x v="8"/>
    <x v="2"/>
    <s v="Luma Imports"/>
    <n v="3.3"/>
    <n v="6.13"/>
    <n v="29.7"/>
    <n v="40.08"/>
    <n v="0.51168134814247412"/>
    <x v="19"/>
    <x v="1"/>
    <x v="0"/>
  </r>
  <r>
    <s v="ORD-100365"/>
    <d v="2024-11-17T00:00:00"/>
    <d v="2024-11-21T00:00:00"/>
    <x v="3"/>
    <s v="Manchester"/>
    <s v="Corporate"/>
    <s v="Online"/>
    <s v="P-014"/>
    <n v="14"/>
    <n v="0"/>
    <n v="543.75"/>
    <n v="10.8"/>
    <x v="3"/>
    <x v="2"/>
    <s v="Orbit Supply Co."/>
    <n v="16.760000000000002"/>
    <n v="27.71"/>
    <n v="234.64000000000001"/>
    <n v="298.31"/>
    <n v="0.54861609195402294"/>
    <x v="14"/>
    <x v="1"/>
    <x v="1"/>
  </r>
  <r>
    <s v="ORD-100366"/>
    <d v="2024-12-10T00:00:00"/>
    <d v="2024-12-16T00:00:00"/>
    <x v="1"/>
    <s v="Peterborough"/>
    <s v="Corporate"/>
    <s v="Online"/>
    <s v="P-015"/>
    <n v="13"/>
    <n v="0.05"/>
    <n v="109.43"/>
    <n v="10.35"/>
    <x v="8"/>
    <x v="2"/>
    <s v="Luma Imports"/>
    <n v="3.3"/>
    <n v="6.13"/>
    <n v="42.9"/>
    <n v="56.18"/>
    <n v="0.51338755368728861"/>
    <x v="9"/>
    <x v="0"/>
    <x v="1"/>
  </r>
  <r>
    <s v="ORD-100367"/>
    <d v="2024-08-19T00:00:00"/>
    <d v="2024-08-23T00:00:00"/>
    <x v="1"/>
    <s v="Cambridge"/>
    <s v="Home Office"/>
    <s v="B2B Sales"/>
    <s v="P-011"/>
    <n v="5"/>
    <n v="0"/>
    <n v="73.459999999999994"/>
    <n v="4.05"/>
    <x v="9"/>
    <x v="2"/>
    <s v="Orbit Supply Co."/>
    <n v="7.93"/>
    <n v="14.78"/>
    <n v="39.65"/>
    <n v="29.759999999999994"/>
    <n v="0.40511843179961882"/>
    <x v="7"/>
    <x v="1"/>
    <x v="1"/>
  </r>
  <r>
    <s v="ORD-100368"/>
    <d v="2025-02-23T00:00:00"/>
    <d v="2025-02-26T00:00:00"/>
    <x v="1"/>
    <s v="Cambridge"/>
    <s v="Corporate"/>
    <s v="Retail Store"/>
    <s v="P-004"/>
    <n v="1"/>
    <n v="0"/>
    <n v="94.95"/>
    <n v="6.8"/>
    <x v="5"/>
    <x v="1"/>
    <s v="Cedar Distribution"/>
    <n v="63.6"/>
    <n v="107.94"/>
    <n v="63.6"/>
    <n v="24.55"/>
    <n v="0.25855713533438651"/>
    <x v="5"/>
    <x v="1"/>
    <x v="0"/>
  </r>
  <r>
    <s v="ORD-100369"/>
    <d v="2024-12-22T00:00:00"/>
    <d v="2024-12-25T00:00:00"/>
    <x v="3"/>
    <s v="Newcastle"/>
    <s v="Small Business"/>
    <s v="B2B Sales"/>
    <s v="P-003"/>
    <n v="4"/>
    <n v="0.15"/>
    <n v="553.44000000000005"/>
    <n v="8.2200000000000006"/>
    <x v="1"/>
    <x v="1"/>
    <s v="Orbit Supply Co."/>
    <n v="71.489999999999995"/>
    <n v="112.88"/>
    <n v="285.95999999999998"/>
    <n v="259.26000000000005"/>
    <n v="0.4684518647007806"/>
    <x v="9"/>
    <x v="2"/>
    <x v="1"/>
  </r>
  <r>
    <s v="ORD-100370"/>
    <d v="2024-06-29T00:00:00"/>
    <d v="2024-06-30T00:00:00"/>
    <x v="3"/>
    <s v="Newcastle"/>
    <s v="Home Office"/>
    <s v="B2B Sales"/>
    <s v="P-010"/>
    <n v="7"/>
    <n v="0"/>
    <n v="44.26"/>
    <n v="4.59"/>
    <x v="4"/>
    <x v="2"/>
    <s v="Orbit Supply Co."/>
    <n v="3.62"/>
    <n v="6.03"/>
    <n v="25.34"/>
    <n v="14.329999999999998"/>
    <n v="0.32376863985539989"/>
    <x v="17"/>
    <x v="1"/>
    <x v="1"/>
  </r>
  <r>
    <s v="ORD-100371"/>
    <d v="2024-06-24T00:00:00"/>
    <d v="2024-06-30T00:00:00"/>
    <x v="0"/>
    <s v="Cardiff"/>
    <s v="Home Office"/>
    <s v="B2B Sales"/>
    <s v="P-005"/>
    <n v="2"/>
    <n v="0.1"/>
    <n v="95.38"/>
    <n v="4.2"/>
    <x v="13"/>
    <x v="0"/>
    <s v="Apex Wholesale"/>
    <n v="25.33"/>
    <n v="51.56"/>
    <n v="50.66"/>
    <n v="40.519999999999996"/>
    <n v="0.4248270077584399"/>
    <x v="17"/>
    <x v="0"/>
    <x v="1"/>
  </r>
  <r>
    <s v="ORD-100372"/>
    <d v="2025-04-07T00:00:00"/>
    <d v="2025-04-13T00:00:00"/>
    <x v="2"/>
    <s v="Bristol"/>
    <s v="Small Business"/>
    <s v="Online"/>
    <s v="P-013"/>
    <n v="6"/>
    <n v="0.05"/>
    <n v="70.040000000000006"/>
    <n v="4.32"/>
    <x v="11"/>
    <x v="2"/>
    <s v="Apex Wholesale"/>
    <n v="6.33"/>
    <n v="12.16"/>
    <n v="37.980000000000004"/>
    <n v="27.740000000000002"/>
    <n v="0.39605939463163908"/>
    <x v="15"/>
    <x v="0"/>
    <x v="0"/>
  </r>
  <r>
    <s v="ORD-100373"/>
    <d v="2024-03-08T00:00:00"/>
    <d v="2024-03-10T00:00:00"/>
    <x v="3"/>
    <s v="Leeds"/>
    <s v="Home Office"/>
    <s v="B2B Sales"/>
    <s v="P-008"/>
    <n v="4"/>
    <n v="0"/>
    <n v="712.4"/>
    <n v="9.5"/>
    <x v="6"/>
    <x v="0"/>
    <s v="Vertex Trade"/>
    <n v="112.09"/>
    <n v="192.47"/>
    <n v="448.36"/>
    <n v="254.53999999999996"/>
    <n v="0.35729927007299267"/>
    <x v="10"/>
    <x v="1"/>
    <x v="1"/>
  </r>
  <r>
    <s v="ORD-100374"/>
    <d v="2025-03-28T00:00:00"/>
    <d v="2025-04-01T00:00:00"/>
    <x v="3"/>
    <s v="Newcastle"/>
    <s v="Home Office"/>
    <s v="Retail Store"/>
    <s v="P-007"/>
    <n v="1"/>
    <n v="0.25"/>
    <n v="39.04"/>
    <n v="3.45"/>
    <x v="7"/>
    <x v="0"/>
    <s v="Luma Imports"/>
    <n v="31.34"/>
    <n v="56.49"/>
    <n v="31.34"/>
    <n v="4.2499999999999991"/>
    <n v="0.10886270491803277"/>
    <x v="2"/>
    <x v="3"/>
    <x v="0"/>
  </r>
  <r>
    <s v="ORD-100375"/>
    <d v="2025-12-18T00:00:00"/>
    <d v="2025-12-19T00:00:00"/>
    <x v="1"/>
    <s v="Norwich"/>
    <s v="Corporate"/>
    <s v="Retail Store"/>
    <s v="P-004"/>
    <n v="2"/>
    <n v="0"/>
    <n v="306.13"/>
    <n v="5.46"/>
    <x v="5"/>
    <x v="1"/>
    <s v="Cedar Distribution"/>
    <n v="63.6"/>
    <n v="107.94"/>
    <n v="127.2"/>
    <n v="173.47"/>
    <n v="0.56665468918433348"/>
    <x v="13"/>
    <x v="1"/>
    <x v="0"/>
  </r>
  <r>
    <s v="ORD-100376"/>
    <d v="2025-11-20T00:00:00"/>
    <d v="2025-11-21T00:00:00"/>
    <x v="3"/>
    <s v="Newcastle"/>
    <s v="Corporate"/>
    <s v="Online"/>
    <s v="P-009"/>
    <n v="2"/>
    <n v="0"/>
    <n v="349.68"/>
    <n v="7"/>
    <x v="0"/>
    <x v="0"/>
    <s v="Apex Wholesale"/>
    <n v="63.69"/>
    <n v="125.5"/>
    <n v="127.38"/>
    <n v="215.3"/>
    <n v="0.61570578814916499"/>
    <x v="19"/>
    <x v="1"/>
    <x v="0"/>
  </r>
  <r>
    <s v="ORD-100377"/>
    <d v="2024-05-11T00:00:00"/>
    <d v="2024-05-13T00:00:00"/>
    <x v="0"/>
    <s v="Cardiff"/>
    <s v="Corporate"/>
    <s v="Retail Store"/>
    <s v="P-011"/>
    <n v="5"/>
    <n v="0.1"/>
    <n v="63.92"/>
    <n v="6.75"/>
    <x v="9"/>
    <x v="2"/>
    <s v="Orbit Supply Co."/>
    <n v="7.93"/>
    <n v="14.78"/>
    <n v="39.65"/>
    <n v="17.520000000000003"/>
    <n v="0.27409261576971217"/>
    <x v="8"/>
    <x v="0"/>
    <x v="1"/>
  </r>
  <r>
    <s v="ORD-100378"/>
    <d v="2025-08-16T00:00:00"/>
    <d v="2025-08-20T00:00:00"/>
    <x v="1"/>
    <s v="Norwich"/>
    <s v="Home Office"/>
    <s v="B2B Sales"/>
    <s v="P-013"/>
    <n v="18"/>
    <n v="0.2"/>
    <n v="162.94"/>
    <n v="12.6"/>
    <x v="11"/>
    <x v="2"/>
    <s v="Apex Wholesale"/>
    <n v="6.33"/>
    <n v="12.16"/>
    <n v="113.94"/>
    <n v="36.4"/>
    <n v="0.2233951147661716"/>
    <x v="6"/>
    <x v="2"/>
    <x v="0"/>
  </r>
  <r>
    <s v="ORD-100379"/>
    <d v="2024-08-12T00:00:00"/>
    <d v="2024-08-14T00:00:00"/>
    <x v="3"/>
    <s v="Leeds"/>
    <s v="Small Business"/>
    <s v="Retail Store"/>
    <s v="P-007"/>
    <n v="1"/>
    <n v="0"/>
    <n v="55.06"/>
    <n v="5.75"/>
    <x v="7"/>
    <x v="0"/>
    <s v="Luma Imports"/>
    <n v="31.34"/>
    <n v="56.49"/>
    <n v="31.34"/>
    <n v="17.970000000000002"/>
    <n v="0.3263712313839448"/>
    <x v="7"/>
    <x v="1"/>
    <x v="1"/>
  </r>
  <r>
    <s v="ORD-100380"/>
    <d v="2024-05-18T00:00:00"/>
    <d v="2024-05-21T00:00:00"/>
    <x v="2"/>
    <s v="London"/>
    <s v="Corporate"/>
    <s v="Online"/>
    <s v="P-006"/>
    <n v="4"/>
    <n v="0.05"/>
    <n v="451.84"/>
    <n v="5.7"/>
    <x v="10"/>
    <x v="0"/>
    <s v="Apex Wholesale"/>
    <n v="54.95"/>
    <n v="112.56"/>
    <n v="219.8"/>
    <n v="226.33999999999997"/>
    <n v="0.50092953257790362"/>
    <x v="8"/>
    <x v="0"/>
    <x v="1"/>
  </r>
  <r>
    <s v="ORD-100381"/>
    <d v="2024-03-29T00:00:00"/>
    <d v="2024-04-01T00:00:00"/>
    <x v="1"/>
    <s v="Peterborough"/>
    <s v="Small Business"/>
    <s v="Retail Store"/>
    <s v="P-001"/>
    <n v="4"/>
    <n v="0.05"/>
    <n v="974.53"/>
    <n v="13.7"/>
    <x v="12"/>
    <x v="1"/>
    <s v="Luma Imports"/>
    <n v="173.56"/>
    <n v="286.14999999999998"/>
    <n v="694.24"/>
    <n v="266.58999999999997"/>
    <n v="0.27355750977394228"/>
    <x v="10"/>
    <x v="0"/>
    <x v="1"/>
  </r>
  <r>
    <s v="ORD-100382"/>
    <d v="2025-09-05T00:00:00"/>
    <d v="2025-09-07T00:00:00"/>
    <x v="0"/>
    <s v="Birmingham"/>
    <s v="Corporate"/>
    <s v="B2B Sales"/>
    <s v="P-001"/>
    <n v="7"/>
    <n v="0.1"/>
    <n v="1909.41"/>
    <n v="12.36"/>
    <x v="12"/>
    <x v="1"/>
    <s v="Luma Imports"/>
    <n v="173.56"/>
    <n v="286.14999999999998"/>
    <n v="1214.92"/>
    <n v="682.13"/>
    <n v="0.35724647927893954"/>
    <x v="11"/>
    <x v="0"/>
    <x v="0"/>
  </r>
  <r>
    <s v="ORD-100383"/>
    <d v="2024-08-16T00:00:00"/>
    <d v="2024-08-21T00:00:00"/>
    <x v="0"/>
    <s v="Birmingham"/>
    <s v="Small Business"/>
    <s v="Online"/>
    <s v="P-013"/>
    <n v="12"/>
    <n v="0"/>
    <n v="145.08000000000001"/>
    <n v="9.9"/>
    <x v="11"/>
    <x v="2"/>
    <s v="Apex Wholesale"/>
    <n v="6.33"/>
    <n v="12.16"/>
    <n v="75.960000000000008"/>
    <n v="59.220000000000006"/>
    <n v="0.40818858560794047"/>
    <x v="7"/>
    <x v="1"/>
    <x v="1"/>
  </r>
  <r>
    <s v="ORD-100384"/>
    <d v="2025-01-20T00:00:00"/>
    <d v="2025-01-22T00:00:00"/>
    <x v="1"/>
    <s v="Norwich"/>
    <s v="Corporate"/>
    <s v="B2B Sales"/>
    <s v="P-012"/>
    <n v="4"/>
    <n v="0.2"/>
    <n v="24.11"/>
    <n v="6.3"/>
    <x v="14"/>
    <x v="2"/>
    <s v="Luma Imports"/>
    <n v="4.5"/>
    <n v="8.2899999999999991"/>
    <n v="18"/>
    <n v="-0.19000000000000039"/>
    <n v="-7.8805474906677893E-3"/>
    <x v="20"/>
    <x v="2"/>
    <x v="0"/>
  </r>
  <r>
    <s v="ORD-100385"/>
    <d v="2024-08-27T00:00:00"/>
    <d v="2024-08-30T00:00:00"/>
    <x v="3"/>
    <s v="Leeds"/>
    <s v="Corporate"/>
    <s v="Retail Store"/>
    <s v="P-014"/>
    <n v="9"/>
    <n v="0"/>
    <n v="237.8"/>
    <n v="8.5500000000000007"/>
    <x v="3"/>
    <x v="2"/>
    <s v="Orbit Supply Co."/>
    <n v="16.760000000000002"/>
    <n v="27.71"/>
    <n v="150.84"/>
    <n v="78.410000000000011"/>
    <n v="0.32973086627418002"/>
    <x v="7"/>
    <x v="1"/>
    <x v="1"/>
  </r>
  <r>
    <s v="ORD-100386"/>
    <d v="2025-05-15T00:00:00"/>
    <d v="2025-05-16T00:00:00"/>
    <x v="0"/>
    <s v="Birmingham"/>
    <s v="Home Office"/>
    <s v="B2B Sales"/>
    <s v="P-015"/>
    <n v="5"/>
    <n v="0.15"/>
    <n v="26.97"/>
    <n v="4.05"/>
    <x v="8"/>
    <x v="2"/>
    <s v="Luma Imports"/>
    <n v="3.3"/>
    <n v="6.13"/>
    <n v="16.5"/>
    <n v="6.419999999999999"/>
    <n v="0.23804226918798663"/>
    <x v="1"/>
    <x v="2"/>
    <x v="0"/>
  </r>
  <r>
    <s v="ORD-100387"/>
    <d v="2024-03-10T00:00:00"/>
    <d v="2024-03-16T00:00:00"/>
    <x v="0"/>
    <s v="Liverpool"/>
    <s v="Corporate"/>
    <s v="Retail Store"/>
    <s v="P-011"/>
    <n v="4"/>
    <n v="0"/>
    <n v="53.36"/>
    <n v="6.3"/>
    <x v="9"/>
    <x v="2"/>
    <s v="Orbit Supply Co."/>
    <n v="7.93"/>
    <n v="14.78"/>
    <n v="31.72"/>
    <n v="15.34"/>
    <n v="0.28748125937031482"/>
    <x v="10"/>
    <x v="1"/>
    <x v="1"/>
  </r>
  <r>
    <s v="ORD-100388"/>
    <d v="2025-06-12T00:00:00"/>
    <d v="2025-06-18T00:00:00"/>
    <x v="0"/>
    <s v="Liverpool"/>
    <s v="Small Business"/>
    <s v="Retail Store"/>
    <s v="P-008"/>
    <n v="3"/>
    <n v="0"/>
    <n v="565.91"/>
    <n v="4.95"/>
    <x v="6"/>
    <x v="0"/>
    <s v="Vertex Trade"/>
    <n v="112.09"/>
    <n v="192.47"/>
    <n v="336.27"/>
    <n v="224.69"/>
    <n v="0.3970419324627591"/>
    <x v="0"/>
    <x v="1"/>
    <x v="0"/>
  </r>
  <r>
    <s v="ORD-100389"/>
    <d v="2025-05-17T00:00:00"/>
    <d v="2025-05-18T00:00:00"/>
    <x v="0"/>
    <s v="Liverpool"/>
    <s v="Corporate"/>
    <s v="B2B Sales"/>
    <s v="P-009"/>
    <n v="3"/>
    <n v="0"/>
    <n v="377.09"/>
    <n v="4.95"/>
    <x v="0"/>
    <x v="0"/>
    <s v="Apex Wholesale"/>
    <n v="63.69"/>
    <n v="125.5"/>
    <n v="191.07"/>
    <n v="181.07"/>
    <n v="0.48017714603940703"/>
    <x v="1"/>
    <x v="1"/>
    <x v="0"/>
  </r>
  <r>
    <s v="ORD-100390"/>
    <d v="2025-09-27T00:00:00"/>
    <d v="2025-09-29T00:00:00"/>
    <x v="3"/>
    <s v="Newcastle"/>
    <s v="Corporate"/>
    <s v="B2B Sales"/>
    <s v="P-007"/>
    <n v="4"/>
    <n v="0.15"/>
    <n v="211.28"/>
    <n v="5.7"/>
    <x v="7"/>
    <x v="0"/>
    <s v="Luma Imports"/>
    <n v="31.34"/>
    <n v="56.49"/>
    <n v="125.36"/>
    <n v="80.22"/>
    <n v="0.37968572510412724"/>
    <x v="11"/>
    <x v="2"/>
    <x v="0"/>
  </r>
  <r>
    <s v="ORD-100391"/>
    <d v="2025-02-03T00:00:00"/>
    <d v="2025-02-07T00:00:00"/>
    <x v="1"/>
    <s v="Cambridge"/>
    <s v="Corporate"/>
    <s v="B2B Sales"/>
    <s v="P-001"/>
    <n v="2"/>
    <n v="0.2"/>
    <n v="389.97"/>
    <n v="5.46"/>
    <x v="12"/>
    <x v="1"/>
    <s v="Luma Imports"/>
    <n v="173.56"/>
    <n v="286.14999999999998"/>
    <n v="347.12"/>
    <n v="37.390000000000022"/>
    <n v="9.5879170192578966E-2"/>
    <x v="5"/>
    <x v="2"/>
    <x v="0"/>
  </r>
  <r>
    <s v="ORD-100392"/>
    <d v="2024-11-09T00:00:00"/>
    <d v="2024-11-13T00:00:00"/>
    <x v="1"/>
    <s v="Norwich"/>
    <s v="Small Business"/>
    <s v="Online"/>
    <s v="P-003"/>
    <n v="3"/>
    <n v="0.1"/>
    <n v="409.05"/>
    <n v="11.4"/>
    <x v="1"/>
    <x v="1"/>
    <s v="Orbit Supply Co."/>
    <n v="71.489999999999995"/>
    <n v="112.88"/>
    <n v="214.46999999999997"/>
    <n v="183.18000000000004"/>
    <n v="0.44781811514484787"/>
    <x v="14"/>
    <x v="0"/>
    <x v="1"/>
  </r>
  <r>
    <s v="ORD-100393"/>
    <d v="2024-12-07T00:00:00"/>
    <d v="2024-12-08T00:00:00"/>
    <x v="1"/>
    <s v="Peterborough"/>
    <s v="Small Business"/>
    <s v="B2B Sales"/>
    <s v="P-009"/>
    <n v="2"/>
    <n v="0.05"/>
    <n v="354.66"/>
    <n v="7"/>
    <x v="0"/>
    <x v="0"/>
    <s v="Apex Wholesale"/>
    <n v="63.69"/>
    <n v="125.5"/>
    <n v="127.38"/>
    <n v="220.28000000000003"/>
    <n v="0.62110190041166191"/>
    <x v="9"/>
    <x v="0"/>
    <x v="1"/>
  </r>
  <r>
    <s v="ORD-100394"/>
    <d v="2025-04-30T00:00:00"/>
    <d v="2025-05-04T00:00:00"/>
    <x v="0"/>
    <s v="Liverpool"/>
    <s v="Small Business"/>
    <s v="Retail Store"/>
    <s v="P-012"/>
    <n v="14"/>
    <n v="0"/>
    <n v="110.46"/>
    <n v="6.48"/>
    <x v="14"/>
    <x v="2"/>
    <s v="Luma Imports"/>
    <n v="4.5"/>
    <n v="8.2899999999999991"/>
    <n v="63"/>
    <n v="40.97999999999999"/>
    <n v="0.37099402498642037"/>
    <x v="15"/>
    <x v="1"/>
    <x v="0"/>
  </r>
  <r>
    <s v="ORD-100395"/>
    <d v="2025-03-13T00:00:00"/>
    <d v="2025-03-15T00:00:00"/>
    <x v="2"/>
    <s v="Bristol"/>
    <s v="Home Office"/>
    <s v="Online"/>
    <s v="P-011"/>
    <n v="14"/>
    <n v="0"/>
    <n v="202.59"/>
    <n v="10.8"/>
    <x v="9"/>
    <x v="2"/>
    <s v="Orbit Supply Co."/>
    <n v="7.93"/>
    <n v="14.78"/>
    <n v="111.02"/>
    <n v="80.77000000000001"/>
    <n v="0.39868700330717216"/>
    <x v="2"/>
    <x v="1"/>
    <x v="0"/>
  </r>
  <r>
    <s v="ORD-100396"/>
    <d v="2025-11-05T00:00:00"/>
    <d v="2025-11-06T00:00:00"/>
    <x v="1"/>
    <s v="Peterborough"/>
    <s v="Home Office"/>
    <s v="Online"/>
    <s v="P-007"/>
    <n v="5"/>
    <n v="0.1"/>
    <n v="327.32"/>
    <n v="10.75"/>
    <x v="7"/>
    <x v="0"/>
    <s v="Luma Imports"/>
    <n v="31.34"/>
    <n v="56.49"/>
    <n v="156.69999999999999"/>
    <n v="159.87"/>
    <n v="0.48842111694977397"/>
    <x v="19"/>
    <x v="0"/>
    <x v="0"/>
  </r>
  <r>
    <s v="ORD-100397"/>
    <d v="2024-06-23T00:00:00"/>
    <d v="2024-06-29T00:00:00"/>
    <x v="3"/>
    <s v="Leeds"/>
    <s v="Small Business"/>
    <s v="Retail Store"/>
    <s v="P-011"/>
    <n v="3"/>
    <n v="0"/>
    <n v="44.96"/>
    <n v="5.85"/>
    <x v="9"/>
    <x v="2"/>
    <s v="Orbit Supply Co."/>
    <n v="7.93"/>
    <n v="14.78"/>
    <n v="23.79"/>
    <n v="15.320000000000002"/>
    <n v="0.34074733096085413"/>
    <x v="17"/>
    <x v="1"/>
    <x v="1"/>
  </r>
  <r>
    <s v="ORD-100398"/>
    <d v="2024-07-08T00:00:00"/>
    <d v="2024-07-14T00:00:00"/>
    <x v="2"/>
    <s v="London"/>
    <s v="Corporate"/>
    <s v="Online"/>
    <s v="P-006"/>
    <n v="4"/>
    <n v="0"/>
    <n v="434.92"/>
    <n v="9.5"/>
    <x v="10"/>
    <x v="0"/>
    <s v="Apex Wholesale"/>
    <n v="54.95"/>
    <n v="112.56"/>
    <n v="219.8"/>
    <n v="205.62"/>
    <n v="0.4727766025935804"/>
    <x v="16"/>
    <x v="1"/>
    <x v="1"/>
  </r>
  <r>
    <s v="ORD-100399"/>
    <d v="2025-04-23T00:00:00"/>
    <d v="2025-04-29T00:00:00"/>
    <x v="2"/>
    <s v="London"/>
    <s v="Small Business"/>
    <s v="B2B Sales"/>
    <s v="P-002"/>
    <n v="2"/>
    <n v="0"/>
    <n v="414.82"/>
    <n v="9.1"/>
    <x v="2"/>
    <x v="1"/>
    <s v="Vertex Trade"/>
    <n v="119.02"/>
    <n v="205.39"/>
    <n v="238.04"/>
    <n v="167.68"/>
    <n v="0.4042235186345885"/>
    <x v="15"/>
    <x v="1"/>
    <x v="0"/>
  </r>
  <r>
    <s v="ORD-100400"/>
    <d v="2024-11-09T00:00:00"/>
    <d v="2024-11-12T00:00:00"/>
    <x v="1"/>
    <s v="Cambridge"/>
    <s v="Corporate"/>
    <s v="Online"/>
    <s v="P-012"/>
    <n v="8"/>
    <n v="0"/>
    <n v="85.37"/>
    <n v="4.8600000000000003"/>
    <x v="14"/>
    <x v="2"/>
    <s v="Luma Imports"/>
    <n v="4.5"/>
    <n v="8.2899999999999991"/>
    <n v="36"/>
    <n v="44.510000000000005"/>
    <n v="0.5213775330912499"/>
    <x v="14"/>
    <x v="1"/>
    <x v="1"/>
  </r>
  <r>
    <s v="ORD-100401"/>
    <d v="2024-12-07T00:00:00"/>
    <d v="2024-12-12T00:00:00"/>
    <x v="0"/>
    <s v="Liverpool"/>
    <s v="Small Business"/>
    <s v="Online"/>
    <s v="P-014"/>
    <n v="5"/>
    <n v="0"/>
    <n v="202.62"/>
    <n v="6.75"/>
    <x v="3"/>
    <x v="2"/>
    <s v="Orbit Supply Co."/>
    <n v="16.760000000000002"/>
    <n v="27.71"/>
    <n v="83.800000000000011"/>
    <n v="112.07"/>
    <n v="0.55310433323462638"/>
    <x v="9"/>
    <x v="1"/>
    <x v="1"/>
  </r>
  <r>
    <s v="ORD-100402"/>
    <d v="2025-03-23T00:00:00"/>
    <d v="2025-03-24T00:00:00"/>
    <x v="3"/>
    <s v="Leeds"/>
    <s v="Small Business"/>
    <s v="Retail Store"/>
    <s v="P-006"/>
    <n v="2"/>
    <n v="0.05"/>
    <n v="201.46"/>
    <n v="4.2"/>
    <x v="10"/>
    <x v="0"/>
    <s v="Apex Wholesale"/>
    <n v="54.95"/>
    <n v="112.56"/>
    <n v="109.9"/>
    <n v="87.36"/>
    <n v="0.43363446838081998"/>
    <x v="2"/>
    <x v="0"/>
    <x v="0"/>
  </r>
  <r>
    <s v="ORD-100403"/>
    <d v="2024-03-08T00:00:00"/>
    <d v="2024-03-11T00:00:00"/>
    <x v="0"/>
    <s v="Liverpool"/>
    <s v="Small Business"/>
    <s v="B2B Sales"/>
    <s v="P-001"/>
    <n v="2"/>
    <n v="0"/>
    <n v="563.47"/>
    <n v="5.46"/>
    <x v="12"/>
    <x v="1"/>
    <s v="Luma Imports"/>
    <n v="173.56"/>
    <n v="286.14999999999998"/>
    <n v="347.12"/>
    <n v="210.89000000000001"/>
    <n v="0.37427014747901399"/>
    <x v="10"/>
    <x v="1"/>
    <x v="1"/>
  </r>
  <r>
    <s v="ORD-100404"/>
    <d v="2025-12-17T00:00:00"/>
    <d v="2025-12-19T00:00:00"/>
    <x v="2"/>
    <s v="Brighton"/>
    <s v="Home Office"/>
    <s v="Online"/>
    <s v="P-003"/>
    <n v="2"/>
    <n v="0.15"/>
    <n v="259.26"/>
    <n v="9.1"/>
    <x v="1"/>
    <x v="1"/>
    <s v="Orbit Supply Co."/>
    <n v="71.489999999999995"/>
    <n v="112.88"/>
    <n v="142.97999999999999"/>
    <n v="107.18"/>
    <n v="0.41340739026459927"/>
    <x v="13"/>
    <x v="2"/>
    <x v="0"/>
  </r>
  <r>
    <s v="ORD-100405"/>
    <d v="2025-03-26T00:00:00"/>
    <d v="2025-03-28T00:00:00"/>
    <x v="1"/>
    <s v="Norwich"/>
    <s v="Small Business"/>
    <s v="Online"/>
    <s v="P-015"/>
    <n v="8"/>
    <n v="0.1"/>
    <n v="39.700000000000003"/>
    <n v="4.8600000000000003"/>
    <x v="8"/>
    <x v="2"/>
    <s v="Luma Imports"/>
    <n v="3.3"/>
    <n v="6.13"/>
    <n v="26.4"/>
    <n v="8.4400000000000048"/>
    <n v="0.21259445843828725"/>
    <x v="2"/>
    <x v="0"/>
    <x v="0"/>
  </r>
  <r>
    <s v="ORD-100406"/>
    <d v="2024-01-03T00:00:00"/>
    <d v="2024-01-04T00:00:00"/>
    <x v="0"/>
    <s v="Birmingham"/>
    <s v="Small Business"/>
    <s v="B2B Sales"/>
    <s v="P-013"/>
    <n v="9"/>
    <n v="0.2"/>
    <n v="75.819999999999993"/>
    <n v="5.13"/>
    <x v="11"/>
    <x v="2"/>
    <s v="Apex Wholesale"/>
    <n v="6.33"/>
    <n v="12.16"/>
    <n v="56.97"/>
    <n v="13.719999999999995"/>
    <n v="0.18095489316802948"/>
    <x v="18"/>
    <x v="2"/>
    <x v="1"/>
  </r>
  <r>
    <s v="ORD-100407"/>
    <d v="2025-01-22T00:00:00"/>
    <d v="2025-01-23T00:00:00"/>
    <x v="3"/>
    <s v="Newcastle"/>
    <s v="Home Office"/>
    <s v="Retail Store"/>
    <s v="P-001"/>
    <n v="4"/>
    <n v="0.15"/>
    <n v="885.09"/>
    <n v="13.7"/>
    <x v="12"/>
    <x v="1"/>
    <s v="Luma Imports"/>
    <n v="173.56"/>
    <n v="286.14999999999998"/>
    <n v="694.24"/>
    <n v="177.15000000000003"/>
    <n v="0.20014913737586013"/>
    <x v="20"/>
    <x v="2"/>
    <x v="0"/>
  </r>
  <r>
    <s v="ORD-100408"/>
    <d v="2024-11-29T00:00:00"/>
    <d v="2024-12-03T00:00:00"/>
    <x v="2"/>
    <s v="London"/>
    <s v="Small Business"/>
    <s v="Retail Store"/>
    <s v="P-002"/>
    <n v="2"/>
    <n v="0.1"/>
    <n v="473.43"/>
    <n v="5.46"/>
    <x v="2"/>
    <x v="1"/>
    <s v="Vertex Trade"/>
    <n v="119.02"/>
    <n v="205.39"/>
    <n v="238.04"/>
    <n v="229.93"/>
    <n v="0.48566841982975306"/>
    <x v="14"/>
    <x v="0"/>
    <x v="1"/>
  </r>
  <r>
    <s v="ORD-100409"/>
    <d v="2024-05-25T00:00:00"/>
    <d v="2024-05-27T00:00:00"/>
    <x v="2"/>
    <s v="Brighton"/>
    <s v="Corporate"/>
    <s v="B2B Sales"/>
    <s v="P-012"/>
    <n v="11"/>
    <n v="0.15"/>
    <n v="75.39"/>
    <n v="9.4499999999999993"/>
    <x v="14"/>
    <x v="2"/>
    <s v="Luma Imports"/>
    <n v="4.5"/>
    <n v="8.2899999999999991"/>
    <n v="49.5"/>
    <n v="16.440000000000001"/>
    <n v="0.21806605650616795"/>
    <x v="8"/>
    <x v="2"/>
    <x v="1"/>
  </r>
  <r>
    <s v="ORD-100410"/>
    <d v="2025-01-16T00:00:00"/>
    <d v="2025-01-21T00:00:00"/>
    <x v="2"/>
    <s v="London"/>
    <s v="Small Business"/>
    <s v="Retail Store"/>
    <s v="P-001"/>
    <n v="3"/>
    <n v="0.25"/>
    <n v="561.84"/>
    <n v="6.84"/>
    <x v="12"/>
    <x v="1"/>
    <s v="Luma Imports"/>
    <n v="173.56"/>
    <n v="286.14999999999998"/>
    <n v="520.68000000000006"/>
    <n v="34.319999999999965"/>
    <n v="6.1085006407518086E-2"/>
    <x v="20"/>
    <x v="3"/>
    <x v="0"/>
  </r>
  <r>
    <s v="ORD-100411"/>
    <d v="2025-06-05T00:00:00"/>
    <d v="2025-06-06T00:00:00"/>
    <x v="0"/>
    <s v="Liverpool"/>
    <s v="Corporate"/>
    <s v="B2B Sales"/>
    <s v="P-015"/>
    <n v="8"/>
    <n v="0.1"/>
    <n v="45.12"/>
    <n v="8.1"/>
    <x v="8"/>
    <x v="2"/>
    <s v="Luma Imports"/>
    <n v="3.3"/>
    <n v="6.13"/>
    <n v="26.4"/>
    <n v="10.62"/>
    <n v="0.2353723404255319"/>
    <x v="0"/>
    <x v="0"/>
    <x v="0"/>
  </r>
  <r>
    <s v="ORD-100412"/>
    <d v="2025-10-14T00:00:00"/>
    <d v="2025-10-16T00:00:00"/>
    <x v="2"/>
    <s v="London"/>
    <s v="Corporate"/>
    <s v="Retail Store"/>
    <s v="P-001"/>
    <n v="3"/>
    <n v="0.15"/>
    <n v="893.86"/>
    <n v="6.84"/>
    <x v="12"/>
    <x v="1"/>
    <s v="Luma Imports"/>
    <n v="173.56"/>
    <n v="286.14999999999998"/>
    <n v="520.68000000000006"/>
    <n v="366.34"/>
    <n v="0.40984046718725525"/>
    <x v="22"/>
    <x v="2"/>
    <x v="0"/>
  </r>
  <r>
    <s v="ORD-100413"/>
    <d v="2024-07-08T00:00:00"/>
    <d v="2024-07-10T00:00:00"/>
    <x v="2"/>
    <s v="London"/>
    <s v="Small Business"/>
    <s v="B2B Sales"/>
    <s v="P-010"/>
    <n v="5"/>
    <n v="0.15"/>
    <n v="23.71"/>
    <n v="6.75"/>
    <x v="4"/>
    <x v="2"/>
    <s v="Orbit Supply Co."/>
    <n v="3.62"/>
    <n v="6.03"/>
    <n v="18.100000000000001"/>
    <n v="-1.1400000000000006"/>
    <n v="-4.8080978490088591E-2"/>
    <x v="16"/>
    <x v="2"/>
    <x v="1"/>
  </r>
  <r>
    <s v="ORD-100414"/>
    <d v="2025-07-07T00:00:00"/>
    <d v="2025-07-10T00:00:00"/>
    <x v="0"/>
    <s v="Cardiff"/>
    <s v="Home Office"/>
    <s v="Retail Store"/>
    <s v="P-003"/>
    <n v="1"/>
    <n v="0"/>
    <n v="98.22"/>
    <n v="4.08"/>
    <x v="1"/>
    <x v="1"/>
    <s v="Orbit Supply Co."/>
    <n v="71.489999999999995"/>
    <n v="112.88"/>
    <n v="71.489999999999995"/>
    <n v="22.650000000000006"/>
    <n v="0.23060476481368364"/>
    <x v="4"/>
    <x v="1"/>
    <x v="0"/>
  </r>
  <r>
    <s v="ORD-100415"/>
    <d v="2025-04-20T00:00:00"/>
    <d v="2025-04-25T00:00:00"/>
    <x v="1"/>
    <s v="Cambridge"/>
    <s v="Home Office"/>
    <s v="Retail Store"/>
    <s v="P-014"/>
    <n v="7"/>
    <n v="0"/>
    <n v="183.52"/>
    <n v="4.59"/>
    <x v="3"/>
    <x v="2"/>
    <s v="Orbit Supply Co."/>
    <n v="16.760000000000002"/>
    <n v="27.71"/>
    <n v="117.32000000000001"/>
    <n v="61.61"/>
    <n v="0.33571272885789011"/>
    <x v="15"/>
    <x v="1"/>
    <x v="0"/>
  </r>
  <r>
    <s v="ORD-100416"/>
    <d v="2024-07-13T00:00:00"/>
    <d v="2024-07-18T00:00:00"/>
    <x v="3"/>
    <s v="Newcastle"/>
    <s v="Small Business"/>
    <s v="B2B Sales"/>
    <s v="P-014"/>
    <n v="10"/>
    <n v="0"/>
    <n v="262.38"/>
    <n v="5.4"/>
    <x v="3"/>
    <x v="2"/>
    <s v="Orbit Supply Co."/>
    <n v="16.760000000000002"/>
    <n v="27.71"/>
    <n v="167.60000000000002"/>
    <n v="89.379999999999967"/>
    <n v="0.34065096425032382"/>
    <x v="16"/>
    <x v="1"/>
    <x v="1"/>
  </r>
  <r>
    <s v="ORD-100417"/>
    <d v="2025-10-06T00:00:00"/>
    <d v="2025-10-10T00:00:00"/>
    <x v="3"/>
    <s v="Manchester"/>
    <s v="Small Business"/>
    <s v="Retail Store"/>
    <s v="P-003"/>
    <n v="1"/>
    <n v="0.25"/>
    <n v="93.46"/>
    <n v="6.8"/>
    <x v="1"/>
    <x v="1"/>
    <s v="Orbit Supply Co."/>
    <n v="71.489999999999995"/>
    <n v="112.88"/>
    <n v="71.489999999999995"/>
    <n v="15.169999999999998"/>
    <n v="0.16231542906056065"/>
    <x v="22"/>
    <x v="3"/>
    <x v="0"/>
  </r>
  <r>
    <s v="ORD-100418"/>
    <d v="2024-09-22T00:00:00"/>
    <d v="2024-09-27T00:00:00"/>
    <x v="2"/>
    <s v="Bristol"/>
    <s v="Home Office"/>
    <s v="Retail Store"/>
    <s v="P-009"/>
    <n v="2"/>
    <n v="0.15"/>
    <n v="217.06"/>
    <n v="4.2"/>
    <x v="0"/>
    <x v="0"/>
    <s v="Apex Wholesale"/>
    <n v="63.69"/>
    <n v="125.5"/>
    <n v="127.38"/>
    <n v="85.48"/>
    <n v="0.39380816364138949"/>
    <x v="23"/>
    <x v="2"/>
    <x v="1"/>
  </r>
  <r>
    <s v="ORD-100419"/>
    <d v="2025-11-13T00:00:00"/>
    <d v="2025-11-15T00:00:00"/>
    <x v="2"/>
    <s v="Brighton"/>
    <s v="Home Office"/>
    <s v="Retail Store"/>
    <s v="P-010"/>
    <n v="11"/>
    <n v="0.25"/>
    <n v="64.95"/>
    <n v="9.4499999999999993"/>
    <x v="4"/>
    <x v="2"/>
    <s v="Orbit Supply Co."/>
    <n v="3.62"/>
    <n v="6.03"/>
    <n v="39.82"/>
    <n v="15.680000000000003"/>
    <n v="0.24141647421093151"/>
    <x v="19"/>
    <x v="3"/>
    <x v="0"/>
  </r>
  <r>
    <s v="ORD-100420"/>
    <d v="2025-03-04T00:00:00"/>
    <d v="2025-03-08T00:00:00"/>
    <x v="2"/>
    <s v="London"/>
    <s v="Small Business"/>
    <s v="Online"/>
    <s v="P-005"/>
    <n v="3"/>
    <n v="0.05"/>
    <n v="134.54"/>
    <n v="4.95"/>
    <x v="13"/>
    <x v="0"/>
    <s v="Apex Wholesale"/>
    <n v="25.33"/>
    <n v="51.56"/>
    <n v="75.989999999999995"/>
    <n v="53.599999999999994"/>
    <n v="0.39839452950795301"/>
    <x v="2"/>
    <x v="0"/>
    <x v="0"/>
  </r>
  <r>
    <s v="ORD-100421"/>
    <d v="2025-03-20T00:00:00"/>
    <d v="2025-03-21T00:00:00"/>
    <x v="2"/>
    <s v="Brighton"/>
    <s v="Home Office"/>
    <s v="B2B Sales"/>
    <s v="P-015"/>
    <n v="10"/>
    <n v="0"/>
    <n v="54.75"/>
    <n v="5.4"/>
    <x v="8"/>
    <x v="2"/>
    <s v="Luma Imports"/>
    <n v="3.3"/>
    <n v="6.13"/>
    <n v="33"/>
    <n v="16.350000000000001"/>
    <n v="0.29863013698630142"/>
    <x v="2"/>
    <x v="1"/>
    <x v="0"/>
  </r>
  <r>
    <s v="ORD-100422"/>
    <d v="2025-11-22T00:00:00"/>
    <d v="2025-11-26T00:00:00"/>
    <x v="2"/>
    <s v="London"/>
    <s v="Corporate"/>
    <s v="Online"/>
    <s v="P-002"/>
    <n v="7"/>
    <n v="0.2"/>
    <n v="1608.68"/>
    <n v="20.6"/>
    <x v="2"/>
    <x v="1"/>
    <s v="Vertex Trade"/>
    <n v="119.02"/>
    <n v="205.39"/>
    <n v="833.14"/>
    <n v="754.94"/>
    <n v="0.46929159310739244"/>
    <x v="19"/>
    <x v="2"/>
    <x v="0"/>
  </r>
  <r>
    <s v="ORD-100423"/>
    <d v="2025-12-03T00:00:00"/>
    <d v="2025-12-08T00:00:00"/>
    <x v="1"/>
    <s v="Cambridge"/>
    <s v="Corporate"/>
    <s v="Retail Store"/>
    <s v="P-003"/>
    <n v="4"/>
    <n v="0.1"/>
    <n v="549.57000000000005"/>
    <n v="8.2200000000000006"/>
    <x v="1"/>
    <x v="1"/>
    <s v="Orbit Supply Co."/>
    <n v="71.489999999999995"/>
    <n v="112.88"/>
    <n v="285.95999999999998"/>
    <n v="255.39000000000007"/>
    <n v="0.46470877231289925"/>
    <x v="13"/>
    <x v="0"/>
    <x v="0"/>
  </r>
  <r>
    <s v="ORD-100424"/>
    <d v="2024-02-22T00:00:00"/>
    <d v="2024-02-28T00:00:00"/>
    <x v="0"/>
    <s v="Liverpool"/>
    <s v="Corporate"/>
    <s v="Retail Store"/>
    <s v="P-011"/>
    <n v="4"/>
    <n v="0"/>
    <n v="52.16"/>
    <n v="6.3"/>
    <x v="9"/>
    <x v="2"/>
    <s v="Orbit Supply Co."/>
    <n v="7.93"/>
    <n v="14.78"/>
    <n v="31.72"/>
    <n v="14.139999999999997"/>
    <n v="0.27108895705521469"/>
    <x v="12"/>
    <x v="1"/>
    <x v="1"/>
  </r>
  <r>
    <s v="ORD-100425"/>
    <d v="2024-07-11T00:00:00"/>
    <d v="2024-07-14T00:00:00"/>
    <x v="0"/>
    <s v="Liverpool"/>
    <s v="Home Office"/>
    <s v="Retail Store"/>
    <s v="P-010"/>
    <n v="12"/>
    <n v="0"/>
    <n v="66.38"/>
    <n v="5.94"/>
    <x v="4"/>
    <x v="2"/>
    <s v="Orbit Supply Co."/>
    <n v="3.62"/>
    <n v="6.03"/>
    <n v="43.44"/>
    <n v="16.999999999999996"/>
    <n v="0.25610123531184087"/>
    <x v="16"/>
    <x v="1"/>
    <x v="1"/>
  </r>
  <r>
    <s v="ORD-100426"/>
    <d v="2025-08-05T00:00:00"/>
    <d v="2025-08-10T00:00:00"/>
    <x v="1"/>
    <s v="Norwich"/>
    <s v="Small Business"/>
    <s v="Retail Store"/>
    <s v="P-014"/>
    <n v="13"/>
    <n v="0.05"/>
    <n v="336.75"/>
    <n v="6.21"/>
    <x v="3"/>
    <x v="2"/>
    <s v="Orbit Supply Co."/>
    <n v="16.760000000000002"/>
    <n v="27.71"/>
    <n v="217.88000000000002"/>
    <n v="112.65999999999998"/>
    <n v="0.33455085374907195"/>
    <x v="6"/>
    <x v="0"/>
    <x v="0"/>
  </r>
  <r>
    <s v="ORD-100427"/>
    <d v="2025-07-26T00:00:00"/>
    <d v="2025-07-28T00:00:00"/>
    <x v="3"/>
    <s v="Leeds"/>
    <s v="Small Business"/>
    <s v="Retail Store"/>
    <s v="P-009"/>
    <n v="5"/>
    <n v="0"/>
    <n v="583.96"/>
    <n v="6.45"/>
    <x v="0"/>
    <x v="0"/>
    <s v="Apex Wholesale"/>
    <n v="63.69"/>
    <n v="125.5"/>
    <n v="318.45"/>
    <n v="259.06000000000006"/>
    <n v="0.44362627577231323"/>
    <x v="4"/>
    <x v="1"/>
    <x v="0"/>
  </r>
  <r>
    <s v="ORD-100428"/>
    <d v="2024-07-16T00:00:00"/>
    <d v="2024-07-19T00:00:00"/>
    <x v="1"/>
    <s v="Norwich"/>
    <s v="Corporate"/>
    <s v="Online"/>
    <s v="P-015"/>
    <n v="7"/>
    <n v="0.05"/>
    <n v="36.549999999999997"/>
    <n v="7.65"/>
    <x v="8"/>
    <x v="2"/>
    <s v="Luma Imports"/>
    <n v="3.3"/>
    <n v="6.13"/>
    <n v="23.099999999999998"/>
    <n v="5.7999999999999989"/>
    <n v="0.15868673050615592"/>
    <x v="16"/>
    <x v="0"/>
    <x v="1"/>
  </r>
  <r>
    <s v="ORD-100429"/>
    <d v="2025-07-03T00:00:00"/>
    <d v="2025-07-07T00:00:00"/>
    <x v="1"/>
    <s v="Norwich"/>
    <s v="Small Business"/>
    <s v="B2B Sales"/>
    <s v="P-010"/>
    <n v="9"/>
    <n v="0.1"/>
    <n v="43.78"/>
    <n v="8.5500000000000007"/>
    <x v="4"/>
    <x v="2"/>
    <s v="Orbit Supply Co."/>
    <n v="3.62"/>
    <n v="6.03"/>
    <n v="32.58"/>
    <n v="2.6500000000000021"/>
    <n v="6.0529922338967611E-2"/>
    <x v="4"/>
    <x v="0"/>
    <x v="0"/>
  </r>
  <r>
    <s v="ORD-100430"/>
    <d v="2025-12-11T00:00:00"/>
    <d v="2025-12-15T00:00:00"/>
    <x v="1"/>
    <s v="Cambridge"/>
    <s v="Small Business"/>
    <s v="B2B Sales"/>
    <s v="P-015"/>
    <n v="12"/>
    <n v="0.25"/>
    <n v="83.36"/>
    <n v="5.94"/>
    <x v="8"/>
    <x v="2"/>
    <s v="Luma Imports"/>
    <n v="3.3"/>
    <n v="6.13"/>
    <n v="39.599999999999994"/>
    <n v="37.820000000000007"/>
    <n v="0.4536948176583494"/>
    <x v="13"/>
    <x v="3"/>
    <x v="0"/>
  </r>
  <r>
    <s v="ORD-100431"/>
    <d v="2025-03-20T00:00:00"/>
    <d v="2025-03-25T00:00:00"/>
    <x v="1"/>
    <s v="Norwich"/>
    <s v="Home Office"/>
    <s v="Online"/>
    <s v="P-003"/>
    <n v="7"/>
    <n v="0"/>
    <n v="761.25"/>
    <n v="12.36"/>
    <x v="1"/>
    <x v="1"/>
    <s v="Orbit Supply Co."/>
    <n v="71.489999999999995"/>
    <n v="112.88"/>
    <n v="500.42999999999995"/>
    <n v="248.46000000000004"/>
    <n v="0.32638423645320203"/>
    <x v="2"/>
    <x v="1"/>
    <x v="0"/>
  </r>
  <r>
    <s v="ORD-100432"/>
    <d v="2024-07-30T00:00:00"/>
    <d v="2024-08-03T00:00:00"/>
    <x v="3"/>
    <s v="Newcastle"/>
    <s v="Home Office"/>
    <s v="Retail Store"/>
    <s v="P-005"/>
    <n v="5"/>
    <n v="0.15"/>
    <n v="191.73"/>
    <n v="10.75"/>
    <x v="13"/>
    <x v="0"/>
    <s v="Apex Wholesale"/>
    <n v="25.33"/>
    <n v="51.56"/>
    <n v="126.64999999999999"/>
    <n v="54.33"/>
    <n v="0.2833672351744641"/>
    <x v="16"/>
    <x v="2"/>
    <x v="1"/>
  </r>
  <r>
    <s v="ORD-100433"/>
    <d v="2024-11-20T00:00:00"/>
    <d v="2024-11-23T00:00:00"/>
    <x v="0"/>
    <s v="Liverpool"/>
    <s v="Small Business"/>
    <s v="Retail Store"/>
    <s v="P-010"/>
    <n v="11"/>
    <n v="0.15"/>
    <n v="78.77"/>
    <n v="5.67"/>
    <x v="4"/>
    <x v="2"/>
    <s v="Orbit Supply Co."/>
    <n v="3.62"/>
    <n v="6.03"/>
    <n v="39.82"/>
    <n v="33.279999999999994"/>
    <n v="0.42249587406372979"/>
    <x v="14"/>
    <x v="2"/>
    <x v="1"/>
  </r>
  <r>
    <s v="ORD-100434"/>
    <d v="2025-04-20T00:00:00"/>
    <d v="2025-04-25T00:00:00"/>
    <x v="1"/>
    <s v="Peterborough"/>
    <s v="Home Office"/>
    <s v="Retail Store"/>
    <s v="P-010"/>
    <n v="14"/>
    <n v="0.1"/>
    <n v="71.709999999999994"/>
    <n v="6.48"/>
    <x v="4"/>
    <x v="2"/>
    <s v="Orbit Supply Co."/>
    <n v="3.62"/>
    <n v="6.03"/>
    <n v="50.68"/>
    <n v="14.549999999999994"/>
    <n v="0.20290057174731552"/>
    <x v="15"/>
    <x v="0"/>
    <x v="0"/>
  </r>
  <r>
    <s v="ORD-100435"/>
    <d v="2024-09-13T00:00:00"/>
    <d v="2024-09-19T00:00:00"/>
    <x v="3"/>
    <s v="Manchester"/>
    <s v="Corporate"/>
    <s v="Retail Store"/>
    <s v="P-015"/>
    <n v="4"/>
    <n v="0.25"/>
    <n v="20.89"/>
    <n v="3.78"/>
    <x v="8"/>
    <x v="2"/>
    <s v="Luma Imports"/>
    <n v="3.3"/>
    <n v="6.13"/>
    <n v="13.2"/>
    <n v="3.9100000000000015"/>
    <n v="0.18717089516515087"/>
    <x v="23"/>
    <x v="3"/>
    <x v="1"/>
  </r>
  <r>
    <s v="ORD-100436"/>
    <d v="2024-11-02T00:00:00"/>
    <d v="2024-11-04T00:00:00"/>
    <x v="0"/>
    <s v="Liverpool"/>
    <s v="Small Business"/>
    <s v="Retail Store"/>
    <s v="P-006"/>
    <n v="2"/>
    <n v="0"/>
    <n v="293.54000000000002"/>
    <n v="7"/>
    <x v="10"/>
    <x v="0"/>
    <s v="Apex Wholesale"/>
    <n v="54.95"/>
    <n v="112.56"/>
    <n v="109.9"/>
    <n v="176.64000000000001"/>
    <n v="0.60175785242215718"/>
    <x v="14"/>
    <x v="1"/>
    <x v="1"/>
  </r>
  <r>
    <s v="ORD-100437"/>
    <d v="2024-11-18T00:00:00"/>
    <d v="2024-11-21T00:00:00"/>
    <x v="0"/>
    <s v="Cardiff"/>
    <s v="Home Office"/>
    <s v="Online"/>
    <s v="P-007"/>
    <n v="4"/>
    <n v="0.2"/>
    <n v="247.14"/>
    <n v="9.5"/>
    <x v="7"/>
    <x v="0"/>
    <s v="Luma Imports"/>
    <n v="31.34"/>
    <n v="56.49"/>
    <n v="125.36"/>
    <n v="112.27999999999999"/>
    <n v="0.45431739095249651"/>
    <x v="14"/>
    <x v="2"/>
    <x v="1"/>
  </r>
  <r>
    <s v="ORD-100438"/>
    <d v="2025-02-18T00:00:00"/>
    <d v="2025-02-24T00:00:00"/>
    <x v="1"/>
    <s v="Peterborough"/>
    <s v="Home Office"/>
    <s v="B2B Sales"/>
    <s v="P-013"/>
    <n v="20"/>
    <n v="0"/>
    <n v="219.79"/>
    <n v="13.5"/>
    <x v="11"/>
    <x v="2"/>
    <s v="Apex Wholesale"/>
    <n v="6.33"/>
    <n v="12.16"/>
    <n v="126.6"/>
    <n v="79.69"/>
    <n v="0.36257336548523589"/>
    <x v="5"/>
    <x v="1"/>
    <x v="0"/>
  </r>
  <r>
    <s v="ORD-100439"/>
    <d v="2024-12-11T00:00:00"/>
    <d v="2024-12-16T00:00:00"/>
    <x v="2"/>
    <s v="Bristol"/>
    <s v="Corporate"/>
    <s v="Online"/>
    <s v="P-004"/>
    <n v="3"/>
    <n v="0.15"/>
    <n v="376.6"/>
    <n v="6.84"/>
    <x v="5"/>
    <x v="1"/>
    <s v="Cedar Distribution"/>
    <n v="63.6"/>
    <n v="107.94"/>
    <n v="190.8"/>
    <n v="178.96"/>
    <n v="0.47519915029208709"/>
    <x v="9"/>
    <x v="2"/>
    <x v="1"/>
  </r>
  <r>
    <s v="ORD-100440"/>
    <d v="2025-02-17T00:00:00"/>
    <d v="2025-02-18T00:00:00"/>
    <x v="3"/>
    <s v="Leeds"/>
    <s v="Corporate"/>
    <s v="Online"/>
    <s v="P-010"/>
    <n v="9"/>
    <n v="0"/>
    <n v="51.19"/>
    <n v="8.5500000000000007"/>
    <x v="4"/>
    <x v="2"/>
    <s v="Orbit Supply Co."/>
    <n v="3.62"/>
    <n v="6.03"/>
    <n v="32.58"/>
    <n v="10.059999999999999"/>
    <n v="0.19652275835124047"/>
    <x v="5"/>
    <x v="1"/>
    <x v="0"/>
  </r>
  <r>
    <s v="ORD-100441"/>
    <d v="2025-03-29T00:00:00"/>
    <d v="2025-03-30T00:00:00"/>
    <x v="1"/>
    <s v="Peterborough"/>
    <s v="Home Office"/>
    <s v="Online"/>
    <s v="P-005"/>
    <n v="2"/>
    <n v="0"/>
    <n v="99.08"/>
    <n v="7"/>
    <x v="13"/>
    <x v="0"/>
    <s v="Apex Wholesale"/>
    <n v="25.33"/>
    <n v="51.56"/>
    <n v="50.66"/>
    <n v="41.42"/>
    <n v="0.41804602341542191"/>
    <x v="2"/>
    <x v="1"/>
    <x v="0"/>
  </r>
  <r>
    <s v="ORD-100442"/>
    <d v="2024-12-22T00:00:00"/>
    <d v="2024-12-27T00:00:00"/>
    <x v="1"/>
    <s v="Norwich"/>
    <s v="Small Business"/>
    <s v="B2B Sales"/>
    <s v="P-015"/>
    <n v="11"/>
    <n v="0.2"/>
    <n v="75.900000000000006"/>
    <n v="5.67"/>
    <x v="8"/>
    <x v="2"/>
    <s v="Luma Imports"/>
    <n v="3.3"/>
    <n v="6.13"/>
    <n v="36.299999999999997"/>
    <n v="33.930000000000007"/>
    <n v="0.44703557312252973"/>
    <x v="9"/>
    <x v="2"/>
    <x v="1"/>
  </r>
  <r>
    <s v="ORD-100443"/>
    <d v="2024-02-08T00:00:00"/>
    <d v="2024-02-11T00:00:00"/>
    <x v="2"/>
    <s v="Bristol"/>
    <s v="Home Office"/>
    <s v="Online"/>
    <s v="P-002"/>
    <n v="3"/>
    <n v="0.1"/>
    <n v="522.69000000000005"/>
    <n v="6.84"/>
    <x v="2"/>
    <x v="1"/>
    <s v="Vertex Trade"/>
    <n v="119.02"/>
    <n v="205.39"/>
    <n v="357.06"/>
    <n v="158.79000000000005"/>
    <n v="0.30379383573437418"/>
    <x v="12"/>
    <x v="0"/>
    <x v="1"/>
  </r>
  <r>
    <s v="ORD-100444"/>
    <d v="2024-10-02T00:00:00"/>
    <d v="2024-10-03T00:00:00"/>
    <x v="3"/>
    <s v="Manchester"/>
    <s v="Small Business"/>
    <s v="Retail Store"/>
    <s v="P-003"/>
    <n v="1"/>
    <n v="0.25"/>
    <n v="100.55"/>
    <n v="4.08"/>
    <x v="1"/>
    <x v="1"/>
    <s v="Orbit Supply Co."/>
    <n v="71.489999999999995"/>
    <n v="112.88"/>
    <n v="71.489999999999995"/>
    <n v="24.980000000000004"/>
    <n v="0.24843361511685733"/>
    <x v="3"/>
    <x v="3"/>
    <x v="1"/>
  </r>
  <r>
    <s v="ORD-100445"/>
    <d v="2025-04-12T00:00:00"/>
    <d v="2025-04-14T00:00:00"/>
    <x v="3"/>
    <s v="Newcastle"/>
    <s v="Home Office"/>
    <s v="Retail Store"/>
    <s v="P-004"/>
    <n v="3"/>
    <n v="0"/>
    <n v="298.91000000000003"/>
    <n v="6.84"/>
    <x v="5"/>
    <x v="1"/>
    <s v="Cedar Distribution"/>
    <n v="63.6"/>
    <n v="107.94"/>
    <n v="190.8"/>
    <n v="101.27000000000001"/>
    <n v="0.3387976313940651"/>
    <x v="15"/>
    <x v="1"/>
    <x v="0"/>
  </r>
  <r>
    <s v="ORD-100446"/>
    <d v="2025-01-20T00:00:00"/>
    <d v="2025-01-24T00:00:00"/>
    <x v="2"/>
    <s v="Brighton"/>
    <s v="Home Office"/>
    <s v="Retail Store"/>
    <s v="P-007"/>
    <n v="2"/>
    <n v="0"/>
    <n v="101.18"/>
    <n v="4.2"/>
    <x v="7"/>
    <x v="0"/>
    <s v="Luma Imports"/>
    <n v="31.34"/>
    <n v="56.49"/>
    <n v="62.68"/>
    <n v="34.300000000000004"/>
    <n v="0.33899980233247679"/>
    <x v="20"/>
    <x v="1"/>
    <x v="0"/>
  </r>
  <r>
    <s v="ORD-100447"/>
    <d v="2025-09-21T00:00:00"/>
    <d v="2025-09-23T00:00:00"/>
    <x v="1"/>
    <s v="Peterborough"/>
    <s v="Small Business"/>
    <s v="Retail Store"/>
    <s v="P-001"/>
    <n v="4"/>
    <n v="0"/>
    <n v="1272.5"/>
    <n v="8.2200000000000006"/>
    <x v="12"/>
    <x v="1"/>
    <s v="Luma Imports"/>
    <n v="173.56"/>
    <n v="286.14999999999998"/>
    <n v="694.24"/>
    <n v="570.04"/>
    <n v="0.44796856581532413"/>
    <x v="11"/>
    <x v="1"/>
    <x v="0"/>
  </r>
  <r>
    <s v="ORD-100448"/>
    <d v="2025-11-23T00:00:00"/>
    <d v="2025-11-28T00:00:00"/>
    <x v="3"/>
    <s v="Newcastle"/>
    <s v="Home Office"/>
    <s v="Online"/>
    <s v="P-004"/>
    <n v="1"/>
    <n v="0"/>
    <n v="142.04"/>
    <n v="4.08"/>
    <x v="5"/>
    <x v="1"/>
    <s v="Cedar Distribution"/>
    <n v="63.6"/>
    <n v="107.94"/>
    <n v="63.6"/>
    <n v="74.36"/>
    <n v="0.5235145029569136"/>
    <x v="19"/>
    <x v="1"/>
    <x v="0"/>
  </r>
  <r>
    <s v="ORD-100449"/>
    <d v="2025-04-29T00:00:00"/>
    <d v="2025-05-02T00:00:00"/>
    <x v="1"/>
    <s v="Peterborough"/>
    <s v="Corporate"/>
    <s v="B2B Sales"/>
    <s v="P-011"/>
    <n v="10"/>
    <n v="0.15"/>
    <n v="127.54"/>
    <n v="5.4"/>
    <x v="9"/>
    <x v="2"/>
    <s v="Orbit Supply Co."/>
    <n v="7.93"/>
    <n v="14.78"/>
    <n v="79.3"/>
    <n v="42.840000000000011"/>
    <n v="0.33589462129527997"/>
    <x v="15"/>
    <x v="2"/>
    <x v="0"/>
  </r>
  <r>
    <s v="ORD-100450"/>
    <d v="2024-11-12T00:00:00"/>
    <d v="2024-11-17T00:00:00"/>
    <x v="0"/>
    <s v="Liverpool"/>
    <s v="Home Office"/>
    <s v="B2B Sales"/>
    <s v="P-001"/>
    <n v="1"/>
    <n v="0"/>
    <n v="383.02"/>
    <n v="4.08"/>
    <x v="12"/>
    <x v="1"/>
    <s v="Luma Imports"/>
    <n v="173.56"/>
    <n v="286.14999999999998"/>
    <n v="173.56"/>
    <n v="205.37999999999997"/>
    <n v="0.53621220823977855"/>
    <x v="14"/>
    <x v="1"/>
    <x v="1"/>
  </r>
  <r>
    <s v="ORD-100451"/>
    <d v="2024-06-03T00:00:00"/>
    <d v="2024-06-09T00:00:00"/>
    <x v="0"/>
    <s v="Birmingham"/>
    <s v="Home Office"/>
    <s v="B2B Sales"/>
    <s v="P-001"/>
    <n v="2"/>
    <n v="0"/>
    <n v="594.11"/>
    <n v="9.1"/>
    <x v="12"/>
    <x v="1"/>
    <s v="Luma Imports"/>
    <n v="173.56"/>
    <n v="286.14999999999998"/>
    <n v="347.12"/>
    <n v="237.89000000000001"/>
    <n v="0.40041406473548669"/>
    <x v="17"/>
    <x v="1"/>
    <x v="1"/>
  </r>
  <r>
    <s v="ORD-100452"/>
    <d v="2024-03-07T00:00:00"/>
    <d v="2024-03-13T00:00:00"/>
    <x v="1"/>
    <s v="Peterborough"/>
    <s v="Corporate"/>
    <s v="B2B Sales"/>
    <s v="P-002"/>
    <n v="1"/>
    <n v="0"/>
    <n v="181.72"/>
    <n v="4.08"/>
    <x v="2"/>
    <x v="1"/>
    <s v="Vertex Trade"/>
    <n v="119.02"/>
    <n v="205.39"/>
    <n v="119.02"/>
    <n v="58.620000000000005"/>
    <n v="0.32258419546555145"/>
    <x v="10"/>
    <x v="1"/>
    <x v="1"/>
  </r>
  <r>
    <s v="ORD-100453"/>
    <d v="2025-08-06T00:00:00"/>
    <d v="2025-08-07T00:00:00"/>
    <x v="3"/>
    <s v="Leeds"/>
    <s v="Corporate"/>
    <s v="Online"/>
    <s v="P-008"/>
    <n v="4"/>
    <n v="0"/>
    <n v="736.28"/>
    <n v="5.7"/>
    <x v="6"/>
    <x v="0"/>
    <s v="Vertex Trade"/>
    <n v="112.09"/>
    <n v="192.47"/>
    <n v="448.36"/>
    <n v="282.21999999999997"/>
    <n v="0.38330526430162437"/>
    <x v="6"/>
    <x v="1"/>
    <x v="0"/>
  </r>
  <r>
    <s v="ORD-100454"/>
    <d v="2024-04-08T00:00:00"/>
    <d v="2024-04-13T00:00:00"/>
    <x v="2"/>
    <s v="Bristol"/>
    <s v="Small Business"/>
    <s v="B2B Sales"/>
    <s v="P-005"/>
    <n v="2"/>
    <n v="0.15"/>
    <n v="88.45"/>
    <n v="4.2"/>
    <x v="13"/>
    <x v="0"/>
    <s v="Apex Wholesale"/>
    <n v="25.33"/>
    <n v="51.56"/>
    <n v="50.66"/>
    <n v="33.590000000000003"/>
    <n v="0.37976257772752969"/>
    <x v="21"/>
    <x v="2"/>
    <x v="1"/>
  </r>
  <r>
    <s v="ORD-100455"/>
    <d v="2025-01-03T00:00:00"/>
    <d v="2025-01-05T00:00:00"/>
    <x v="1"/>
    <s v="Cambridge"/>
    <s v="Small Business"/>
    <s v="B2B Sales"/>
    <s v="P-003"/>
    <n v="3"/>
    <n v="0"/>
    <n v="294.38"/>
    <n v="11.4"/>
    <x v="1"/>
    <x v="1"/>
    <s v="Orbit Supply Co."/>
    <n v="71.489999999999995"/>
    <n v="112.88"/>
    <n v="214.46999999999997"/>
    <n v="68.510000000000019"/>
    <n v="0.23272640804402481"/>
    <x v="20"/>
    <x v="1"/>
    <x v="0"/>
  </r>
  <r>
    <s v="ORD-100456"/>
    <d v="2025-09-26T00:00:00"/>
    <d v="2025-10-01T00:00:00"/>
    <x v="3"/>
    <s v="Leeds"/>
    <s v="Home Office"/>
    <s v="Retail Store"/>
    <s v="P-006"/>
    <n v="3"/>
    <n v="0.15"/>
    <n v="317.63"/>
    <n v="8.25"/>
    <x v="10"/>
    <x v="0"/>
    <s v="Apex Wholesale"/>
    <n v="54.95"/>
    <n v="112.56"/>
    <n v="164.85000000000002"/>
    <n v="144.52999999999997"/>
    <n v="0.45502628844882403"/>
    <x v="11"/>
    <x v="2"/>
    <x v="0"/>
  </r>
  <r>
    <s v="ORD-100457"/>
    <d v="2025-08-10T00:00:00"/>
    <d v="2025-08-15T00:00:00"/>
    <x v="3"/>
    <s v="Leeds"/>
    <s v="Home Office"/>
    <s v="Online"/>
    <s v="P-004"/>
    <n v="1"/>
    <n v="0"/>
    <n v="107.22"/>
    <n v="4.08"/>
    <x v="5"/>
    <x v="1"/>
    <s v="Cedar Distribution"/>
    <n v="63.6"/>
    <n v="107.94"/>
    <n v="63.6"/>
    <n v="39.54"/>
    <n v="0.36877448237269167"/>
    <x v="6"/>
    <x v="1"/>
    <x v="0"/>
  </r>
  <r>
    <s v="ORD-100458"/>
    <d v="2025-01-10T00:00:00"/>
    <d v="2025-01-11T00:00:00"/>
    <x v="2"/>
    <s v="London"/>
    <s v="Home Office"/>
    <s v="B2B Sales"/>
    <s v="P-009"/>
    <n v="1"/>
    <n v="0.1"/>
    <n v="102.21"/>
    <n v="3.45"/>
    <x v="0"/>
    <x v="0"/>
    <s v="Apex Wholesale"/>
    <n v="63.69"/>
    <n v="125.5"/>
    <n v="63.69"/>
    <n v="35.069999999999993"/>
    <n v="0.34311711182858817"/>
    <x v="20"/>
    <x v="0"/>
    <x v="0"/>
  </r>
  <r>
    <s v="ORD-100459"/>
    <d v="2025-06-15T00:00:00"/>
    <d v="2025-06-17T00:00:00"/>
    <x v="0"/>
    <s v="Liverpool"/>
    <s v="Home Office"/>
    <s v="B2B Sales"/>
    <s v="P-012"/>
    <n v="6"/>
    <n v="0.15"/>
    <n v="46.17"/>
    <n v="7.2"/>
    <x v="14"/>
    <x v="2"/>
    <s v="Luma Imports"/>
    <n v="4.5"/>
    <n v="8.2899999999999991"/>
    <n v="27"/>
    <n v="11.970000000000002"/>
    <n v="0.2592592592592593"/>
    <x v="0"/>
    <x v="2"/>
    <x v="0"/>
  </r>
  <r>
    <s v="ORD-100460"/>
    <d v="2025-03-03T00:00:00"/>
    <d v="2025-03-04T00:00:00"/>
    <x v="0"/>
    <s v="Birmingham"/>
    <s v="Corporate"/>
    <s v="B2B Sales"/>
    <s v="P-012"/>
    <n v="8"/>
    <n v="0"/>
    <n v="63.55"/>
    <n v="4.8600000000000003"/>
    <x v="14"/>
    <x v="2"/>
    <s v="Luma Imports"/>
    <n v="4.5"/>
    <n v="8.2899999999999991"/>
    <n v="36"/>
    <n v="22.689999999999998"/>
    <n v="0.35704169944925251"/>
    <x v="2"/>
    <x v="1"/>
    <x v="0"/>
  </r>
  <r>
    <s v="ORD-100461"/>
    <d v="2025-08-12T00:00:00"/>
    <d v="2025-08-18T00:00:00"/>
    <x v="3"/>
    <s v="Leeds"/>
    <s v="Home Office"/>
    <s v="Online"/>
    <s v="P-008"/>
    <n v="4"/>
    <n v="0.1"/>
    <n v="659.25"/>
    <n v="9.5"/>
    <x v="6"/>
    <x v="0"/>
    <s v="Vertex Trade"/>
    <n v="112.09"/>
    <n v="192.47"/>
    <n v="448.36"/>
    <n v="201.39"/>
    <n v="0.30548350398179747"/>
    <x v="6"/>
    <x v="0"/>
    <x v="0"/>
  </r>
  <r>
    <s v="ORD-100462"/>
    <d v="2024-12-02T00:00:00"/>
    <d v="2024-12-03T00:00:00"/>
    <x v="2"/>
    <s v="Brighton"/>
    <s v="Corporate"/>
    <s v="Online"/>
    <s v="P-012"/>
    <n v="6"/>
    <n v="0"/>
    <n v="74.55"/>
    <n v="4.32"/>
    <x v="14"/>
    <x v="2"/>
    <s v="Luma Imports"/>
    <n v="4.5"/>
    <n v="8.2899999999999991"/>
    <n v="27"/>
    <n v="43.23"/>
    <n v="0.5798792756539235"/>
    <x v="9"/>
    <x v="1"/>
    <x v="1"/>
  </r>
  <r>
    <s v="ORD-100463"/>
    <d v="2025-10-28T00:00:00"/>
    <d v="2025-11-03T00:00:00"/>
    <x v="3"/>
    <s v="Newcastle"/>
    <s v="Small Business"/>
    <s v="Online"/>
    <s v="P-014"/>
    <n v="8"/>
    <n v="0.05"/>
    <n v="233.34"/>
    <n v="4.8600000000000003"/>
    <x v="3"/>
    <x v="2"/>
    <s v="Orbit Supply Co."/>
    <n v="16.760000000000002"/>
    <n v="27.71"/>
    <n v="134.08000000000001"/>
    <n v="94.399999999999991"/>
    <n v="0.404559869718008"/>
    <x v="22"/>
    <x v="0"/>
    <x v="0"/>
  </r>
  <r>
    <s v="ORD-100464"/>
    <d v="2025-12-28T00:00:00"/>
    <d v="2025-12-30T00:00:00"/>
    <x v="2"/>
    <s v="Bristol"/>
    <s v="Home Office"/>
    <s v="B2B Sales"/>
    <s v="P-002"/>
    <n v="1"/>
    <n v="0"/>
    <n v="303.64999999999998"/>
    <n v="6.8"/>
    <x v="2"/>
    <x v="1"/>
    <s v="Vertex Trade"/>
    <n v="119.02"/>
    <n v="205.39"/>
    <n v="119.02"/>
    <n v="177.82999999999998"/>
    <n v="0.58564136341182282"/>
    <x v="13"/>
    <x v="1"/>
    <x v="0"/>
  </r>
  <r>
    <s v="ORD-100465"/>
    <d v="2025-08-02T00:00:00"/>
    <d v="2025-08-07T00:00:00"/>
    <x v="3"/>
    <s v="Newcastle"/>
    <s v="Small Business"/>
    <s v="Retail Store"/>
    <s v="P-012"/>
    <n v="9"/>
    <n v="0.15"/>
    <n v="58.71"/>
    <n v="8.5500000000000007"/>
    <x v="14"/>
    <x v="2"/>
    <s v="Luma Imports"/>
    <n v="4.5"/>
    <n v="8.2899999999999991"/>
    <n v="40.5"/>
    <n v="9.66"/>
    <n v="0.16453755748594787"/>
    <x v="6"/>
    <x v="2"/>
    <x v="0"/>
  </r>
  <r>
    <s v="ORD-100466"/>
    <d v="2025-04-23T00:00:00"/>
    <d v="2025-04-24T00:00:00"/>
    <x v="1"/>
    <s v="Cambridge"/>
    <s v="Small Business"/>
    <s v="B2B Sales"/>
    <s v="P-013"/>
    <n v="10"/>
    <n v="0.15"/>
    <n v="101.01"/>
    <n v="5.4"/>
    <x v="11"/>
    <x v="2"/>
    <s v="Apex Wholesale"/>
    <n v="6.33"/>
    <n v="12.16"/>
    <n v="63.3"/>
    <n v="32.310000000000009"/>
    <n v="0.31986931986931993"/>
    <x v="15"/>
    <x v="2"/>
    <x v="0"/>
  </r>
  <r>
    <s v="ORD-100467"/>
    <d v="2024-06-08T00:00:00"/>
    <d v="2024-06-11T00:00:00"/>
    <x v="3"/>
    <s v="Manchester"/>
    <s v="Home Office"/>
    <s v="Retail Store"/>
    <s v="P-001"/>
    <n v="2"/>
    <n v="0"/>
    <n v="571.87"/>
    <n v="5.46"/>
    <x v="12"/>
    <x v="1"/>
    <s v="Luma Imports"/>
    <n v="173.56"/>
    <n v="286.14999999999998"/>
    <n v="347.12"/>
    <n v="219.29"/>
    <n v="0.38346127616416315"/>
    <x v="17"/>
    <x v="1"/>
    <x v="1"/>
  </r>
  <r>
    <s v="ORD-100468"/>
    <d v="2024-04-20T00:00:00"/>
    <d v="2024-04-24T00:00:00"/>
    <x v="3"/>
    <s v="Manchester"/>
    <s v="Small Business"/>
    <s v="Retail Store"/>
    <s v="P-014"/>
    <n v="5"/>
    <n v="0"/>
    <n v="143.22"/>
    <n v="4.05"/>
    <x v="3"/>
    <x v="2"/>
    <s v="Orbit Supply Co."/>
    <n v="16.760000000000002"/>
    <n v="27.71"/>
    <n v="83.800000000000011"/>
    <n v="55.36999999999999"/>
    <n v="0.38660801564027364"/>
    <x v="21"/>
    <x v="1"/>
    <x v="1"/>
  </r>
  <r>
    <s v="ORD-100469"/>
    <d v="2025-10-11T00:00:00"/>
    <d v="2025-10-12T00:00:00"/>
    <x v="0"/>
    <s v="Birmingham"/>
    <s v="Home Office"/>
    <s v="Online"/>
    <s v="P-006"/>
    <n v="1"/>
    <n v="0.25"/>
    <n v="101.58"/>
    <n v="5.75"/>
    <x v="10"/>
    <x v="0"/>
    <s v="Apex Wholesale"/>
    <n v="54.95"/>
    <n v="112.56"/>
    <n v="54.95"/>
    <n v="40.879999999999995"/>
    <n v="0.40244142547745615"/>
    <x v="22"/>
    <x v="3"/>
    <x v="0"/>
  </r>
  <r>
    <s v="ORD-100470"/>
    <d v="2025-10-07T00:00:00"/>
    <d v="2025-10-13T00:00:00"/>
    <x v="2"/>
    <s v="London"/>
    <s v="Home Office"/>
    <s v="Online"/>
    <s v="P-012"/>
    <n v="4"/>
    <n v="0"/>
    <n v="38.869999999999997"/>
    <n v="6.3"/>
    <x v="14"/>
    <x v="2"/>
    <s v="Luma Imports"/>
    <n v="4.5"/>
    <n v="8.2899999999999991"/>
    <n v="18"/>
    <n v="14.569999999999997"/>
    <n v="0.37483920761512729"/>
    <x v="22"/>
    <x v="1"/>
    <x v="0"/>
  </r>
  <r>
    <s v="ORD-100471"/>
    <d v="2025-06-11T00:00:00"/>
    <d v="2025-06-17T00:00:00"/>
    <x v="0"/>
    <s v="Birmingham"/>
    <s v="Small Business"/>
    <s v="B2B Sales"/>
    <s v="P-011"/>
    <n v="4"/>
    <n v="0"/>
    <n v="58.91"/>
    <n v="3.78"/>
    <x v="9"/>
    <x v="2"/>
    <s v="Orbit Supply Co."/>
    <n v="7.93"/>
    <n v="14.78"/>
    <n v="31.72"/>
    <n v="23.409999999999997"/>
    <n v="0.3973858428110677"/>
    <x v="0"/>
    <x v="1"/>
    <x v="0"/>
  </r>
  <r>
    <s v="ORD-100472"/>
    <d v="2025-04-13T00:00:00"/>
    <d v="2025-04-17T00:00:00"/>
    <x v="0"/>
    <s v="Cardiff"/>
    <s v="Corporate"/>
    <s v="Retail Store"/>
    <s v="P-015"/>
    <n v="3"/>
    <n v="0.2"/>
    <n v="14.68"/>
    <n v="5.85"/>
    <x v="8"/>
    <x v="2"/>
    <s v="Luma Imports"/>
    <n v="3.3"/>
    <n v="6.13"/>
    <n v="9.8999999999999986"/>
    <n v="-1.0699999999999985"/>
    <n v="-7.2888283378746491E-2"/>
    <x v="15"/>
    <x v="2"/>
    <x v="0"/>
  </r>
  <r>
    <s v="ORD-100473"/>
    <d v="2024-08-08T00:00:00"/>
    <d v="2024-08-13T00:00:00"/>
    <x v="0"/>
    <s v="Liverpool"/>
    <s v="Small Business"/>
    <s v="Online"/>
    <s v="P-007"/>
    <n v="2"/>
    <n v="0"/>
    <n v="102.52"/>
    <n v="7"/>
    <x v="7"/>
    <x v="0"/>
    <s v="Luma Imports"/>
    <n v="31.34"/>
    <n v="56.49"/>
    <n v="62.68"/>
    <n v="32.839999999999996"/>
    <n v="0.32032774092859928"/>
    <x v="7"/>
    <x v="1"/>
    <x v="1"/>
  </r>
  <r>
    <s v="ORD-100474"/>
    <d v="2025-08-23T00:00:00"/>
    <d v="2025-08-28T00:00:00"/>
    <x v="2"/>
    <s v="Brighton"/>
    <s v="Home Office"/>
    <s v="Retail Store"/>
    <s v="P-013"/>
    <n v="9"/>
    <n v="0"/>
    <n v="104.37"/>
    <n v="5.13"/>
    <x v="11"/>
    <x v="2"/>
    <s v="Apex Wholesale"/>
    <n v="6.33"/>
    <n v="12.16"/>
    <n v="56.97"/>
    <n v="42.27"/>
    <n v="0.40500143719459614"/>
    <x v="6"/>
    <x v="1"/>
    <x v="0"/>
  </r>
  <r>
    <s v="ORD-100475"/>
    <d v="2024-07-16T00:00:00"/>
    <d v="2024-07-21T00:00:00"/>
    <x v="3"/>
    <s v="Newcastle"/>
    <s v="Home Office"/>
    <s v="B2B Sales"/>
    <s v="P-013"/>
    <n v="13"/>
    <n v="0.2"/>
    <n v="110.79"/>
    <n v="6.21"/>
    <x v="11"/>
    <x v="2"/>
    <s v="Apex Wholesale"/>
    <n v="6.33"/>
    <n v="12.16"/>
    <n v="82.29"/>
    <n v="22.29"/>
    <n v="0.20119144327105332"/>
    <x v="16"/>
    <x v="2"/>
    <x v="1"/>
  </r>
  <r>
    <s v="ORD-100476"/>
    <d v="2025-01-12T00:00:00"/>
    <d v="2025-01-15T00:00:00"/>
    <x v="0"/>
    <s v="Cardiff"/>
    <s v="Corporate"/>
    <s v="Online"/>
    <s v="P-012"/>
    <n v="7"/>
    <n v="0"/>
    <n v="53.66"/>
    <n v="4.59"/>
    <x v="14"/>
    <x v="2"/>
    <s v="Luma Imports"/>
    <n v="4.5"/>
    <n v="8.2899999999999991"/>
    <n v="31.5"/>
    <n v="17.569999999999997"/>
    <n v="0.32743197912784194"/>
    <x v="20"/>
    <x v="1"/>
    <x v="0"/>
  </r>
  <r>
    <s v="ORD-100477"/>
    <d v="2024-03-20T00:00:00"/>
    <d v="2024-03-25T00:00:00"/>
    <x v="0"/>
    <s v="Liverpool"/>
    <s v="Corporate"/>
    <s v="Online"/>
    <s v="P-009"/>
    <n v="4"/>
    <n v="0.2"/>
    <n v="377.16"/>
    <n v="9.5"/>
    <x v="0"/>
    <x v="0"/>
    <s v="Apex Wholesale"/>
    <n v="63.69"/>
    <n v="125.5"/>
    <n v="254.76"/>
    <n v="112.90000000000003"/>
    <n v="0.2993424541308729"/>
    <x v="10"/>
    <x v="2"/>
    <x v="1"/>
  </r>
  <r>
    <s v="ORD-100478"/>
    <d v="2024-09-02T00:00:00"/>
    <d v="2024-09-04T00:00:00"/>
    <x v="0"/>
    <s v="Cardiff"/>
    <s v="Small Business"/>
    <s v="B2B Sales"/>
    <s v="P-004"/>
    <n v="3"/>
    <n v="0"/>
    <n v="335.71"/>
    <n v="6.84"/>
    <x v="5"/>
    <x v="1"/>
    <s v="Cedar Distribution"/>
    <n v="63.6"/>
    <n v="107.94"/>
    <n v="190.8"/>
    <n v="138.06999999999996"/>
    <n v="0.41127759077775455"/>
    <x v="23"/>
    <x v="1"/>
    <x v="1"/>
  </r>
  <r>
    <s v="ORD-100479"/>
    <d v="2024-01-23T00:00:00"/>
    <d v="2024-01-28T00:00:00"/>
    <x v="3"/>
    <s v="Newcastle"/>
    <s v="Corporate"/>
    <s v="Retail Store"/>
    <s v="P-004"/>
    <n v="4"/>
    <n v="0"/>
    <n v="401.53"/>
    <n v="8.2200000000000006"/>
    <x v="5"/>
    <x v="1"/>
    <s v="Cedar Distribution"/>
    <n v="63.6"/>
    <n v="107.94"/>
    <n v="254.4"/>
    <n v="138.90999999999997"/>
    <n v="0.34595173461509721"/>
    <x v="18"/>
    <x v="1"/>
    <x v="1"/>
  </r>
  <r>
    <s v="ORD-100480"/>
    <d v="2024-07-09T00:00:00"/>
    <d v="2024-07-11T00:00:00"/>
    <x v="2"/>
    <s v="Bristol"/>
    <s v="Small Business"/>
    <s v="Online"/>
    <s v="P-007"/>
    <n v="1"/>
    <n v="0.2"/>
    <n v="40.92"/>
    <n v="3.45"/>
    <x v="7"/>
    <x v="0"/>
    <s v="Luma Imports"/>
    <n v="31.34"/>
    <n v="56.49"/>
    <n v="31.34"/>
    <n v="6.1300000000000017"/>
    <n v="0.14980449657869016"/>
    <x v="16"/>
    <x v="2"/>
    <x v="1"/>
  </r>
  <r>
    <s v="ORD-100481"/>
    <d v="2024-03-11T00:00:00"/>
    <d v="2024-03-16T00:00:00"/>
    <x v="0"/>
    <s v="Cardiff"/>
    <s v="Small Business"/>
    <s v="B2B Sales"/>
    <s v="P-008"/>
    <n v="3"/>
    <n v="0"/>
    <n v="535.75"/>
    <n v="4.95"/>
    <x v="6"/>
    <x v="0"/>
    <s v="Vertex Trade"/>
    <n v="112.09"/>
    <n v="192.47"/>
    <n v="336.27"/>
    <n v="194.53000000000003"/>
    <n v="0.36309846010265989"/>
    <x v="10"/>
    <x v="1"/>
    <x v="1"/>
  </r>
  <r>
    <s v="ORD-100482"/>
    <d v="2025-05-24T00:00:00"/>
    <d v="2025-05-30T00:00:00"/>
    <x v="0"/>
    <s v="Cardiff"/>
    <s v="Corporate"/>
    <s v="Online"/>
    <s v="P-009"/>
    <n v="1"/>
    <n v="0"/>
    <n v="133.06"/>
    <n v="5.75"/>
    <x v="0"/>
    <x v="0"/>
    <s v="Apex Wholesale"/>
    <n v="63.69"/>
    <n v="125.5"/>
    <n v="63.69"/>
    <n v="63.620000000000005"/>
    <n v="0.47813016684202619"/>
    <x v="1"/>
    <x v="1"/>
    <x v="0"/>
  </r>
  <r>
    <s v="ORD-100483"/>
    <d v="2025-01-30T00:00:00"/>
    <d v="2025-02-01T00:00:00"/>
    <x v="3"/>
    <s v="Newcastle"/>
    <s v="Corporate"/>
    <s v="Online"/>
    <s v="P-014"/>
    <n v="11"/>
    <n v="0.25"/>
    <n v="196.8"/>
    <n v="9.4499999999999993"/>
    <x v="3"/>
    <x v="2"/>
    <s v="Orbit Supply Co."/>
    <n v="16.760000000000002"/>
    <n v="27.71"/>
    <n v="184.36"/>
    <n v="2.9899999999999984"/>
    <n v="1.5193089430894299E-2"/>
    <x v="20"/>
    <x v="3"/>
    <x v="0"/>
  </r>
  <r>
    <s v="ORD-100484"/>
    <d v="2025-04-23T00:00:00"/>
    <d v="2025-04-27T00:00:00"/>
    <x v="1"/>
    <s v="Cambridge"/>
    <s v="Home Office"/>
    <s v="Retail Store"/>
    <s v="P-004"/>
    <n v="4"/>
    <n v="0.1"/>
    <n v="358.88"/>
    <n v="13.7"/>
    <x v="5"/>
    <x v="1"/>
    <s v="Cedar Distribution"/>
    <n v="63.6"/>
    <n v="107.94"/>
    <n v="254.4"/>
    <n v="90.779999999999987"/>
    <n v="0.25295363352652694"/>
    <x v="15"/>
    <x v="0"/>
    <x v="0"/>
  </r>
  <r>
    <s v="ORD-100485"/>
    <d v="2024-09-23T00:00:00"/>
    <d v="2024-09-28T00:00:00"/>
    <x v="2"/>
    <s v="London"/>
    <s v="Small Business"/>
    <s v="Online"/>
    <s v="P-007"/>
    <n v="4"/>
    <n v="0"/>
    <n v="231.63"/>
    <n v="9.5"/>
    <x v="7"/>
    <x v="0"/>
    <s v="Luma Imports"/>
    <n v="31.34"/>
    <n v="56.49"/>
    <n v="125.36"/>
    <n v="96.77"/>
    <n v="0.41777835340845315"/>
    <x v="23"/>
    <x v="1"/>
    <x v="1"/>
  </r>
  <r>
    <s v="ORD-100486"/>
    <d v="2025-05-25T00:00:00"/>
    <d v="2025-05-28T00:00:00"/>
    <x v="0"/>
    <s v="Cardiff"/>
    <s v="Corporate"/>
    <s v="B2B Sales"/>
    <s v="P-008"/>
    <n v="4"/>
    <n v="0"/>
    <n v="785.48"/>
    <n v="9.5"/>
    <x v="6"/>
    <x v="0"/>
    <s v="Vertex Trade"/>
    <n v="112.09"/>
    <n v="192.47"/>
    <n v="448.36"/>
    <n v="327.62"/>
    <n v="0.41709527931965168"/>
    <x v="1"/>
    <x v="1"/>
    <x v="0"/>
  </r>
  <r>
    <s v="ORD-100487"/>
    <d v="2024-10-15T00:00:00"/>
    <d v="2024-10-17T00:00:00"/>
    <x v="0"/>
    <s v="Liverpool"/>
    <s v="Home Office"/>
    <s v="Online"/>
    <s v="P-013"/>
    <n v="6"/>
    <n v="0"/>
    <n v="88.2"/>
    <n v="4.32"/>
    <x v="11"/>
    <x v="2"/>
    <s v="Apex Wholesale"/>
    <n v="6.33"/>
    <n v="12.16"/>
    <n v="37.980000000000004"/>
    <n v="45.9"/>
    <n v="0.52040816326530603"/>
    <x v="3"/>
    <x v="1"/>
    <x v="1"/>
  </r>
  <r>
    <s v="ORD-100488"/>
    <d v="2024-09-24T00:00:00"/>
    <d v="2024-09-26T00:00:00"/>
    <x v="0"/>
    <s v="Cardiff"/>
    <s v="Home Office"/>
    <s v="Retail Store"/>
    <s v="P-014"/>
    <n v="9"/>
    <n v="0"/>
    <n v="273.07"/>
    <n v="5.13"/>
    <x v="3"/>
    <x v="2"/>
    <s v="Orbit Supply Co."/>
    <n v="16.760000000000002"/>
    <n v="27.71"/>
    <n v="150.84"/>
    <n v="117.1"/>
    <n v="0.42882777309847292"/>
    <x v="23"/>
    <x v="1"/>
    <x v="1"/>
  </r>
  <r>
    <s v="ORD-100489"/>
    <d v="2024-11-22T00:00:00"/>
    <d v="2024-11-24T00:00:00"/>
    <x v="3"/>
    <s v="Newcastle"/>
    <s v="Small Business"/>
    <s v="Online"/>
    <s v="P-001"/>
    <n v="1"/>
    <n v="0"/>
    <n v="398.41"/>
    <n v="6.8"/>
    <x v="12"/>
    <x v="1"/>
    <s v="Luma Imports"/>
    <n v="173.56"/>
    <n v="286.14999999999998"/>
    <n v="173.56"/>
    <n v="218.05"/>
    <n v="0.54730051956527193"/>
    <x v="14"/>
    <x v="1"/>
    <x v="1"/>
  </r>
  <r>
    <s v="ORD-100490"/>
    <d v="2024-09-23T00:00:00"/>
    <d v="2024-09-27T00:00:00"/>
    <x v="2"/>
    <s v="Brighton"/>
    <s v="Small Business"/>
    <s v="B2B Sales"/>
    <s v="P-012"/>
    <n v="11"/>
    <n v="0"/>
    <n v="94.51"/>
    <n v="5.67"/>
    <x v="14"/>
    <x v="2"/>
    <s v="Luma Imports"/>
    <n v="4.5"/>
    <n v="8.2899999999999991"/>
    <n v="49.5"/>
    <n v="39.340000000000003"/>
    <n v="0.41625224843931863"/>
    <x v="23"/>
    <x v="1"/>
    <x v="1"/>
  </r>
  <r>
    <s v="ORD-100491"/>
    <d v="2025-01-30T00:00:00"/>
    <d v="2025-02-03T00:00:00"/>
    <x v="3"/>
    <s v="Leeds"/>
    <s v="Small Business"/>
    <s v="Retail Store"/>
    <s v="P-008"/>
    <n v="1"/>
    <n v="0.1"/>
    <n v="143.76"/>
    <n v="5.75"/>
    <x v="6"/>
    <x v="0"/>
    <s v="Vertex Trade"/>
    <n v="112.09"/>
    <n v="192.47"/>
    <n v="112.09"/>
    <n v="25.919999999999987"/>
    <n v="0.18030050083472446"/>
    <x v="20"/>
    <x v="0"/>
    <x v="0"/>
  </r>
  <r>
    <s v="ORD-100492"/>
    <d v="2024-02-06T00:00:00"/>
    <d v="2024-02-12T00:00:00"/>
    <x v="2"/>
    <s v="London"/>
    <s v="Home Office"/>
    <s v="Online"/>
    <s v="P-015"/>
    <n v="5"/>
    <n v="0"/>
    <n v="28.04"/>
    <n v="4.05"/>
    <x v="8"/>
    <x v="2"/>
    <s v="Luma Imports"/>
    <n v="3.3"/>
    <n v="6.13"/>
    <n v="16.5"/>
    <n v="7.4899999999999993"/>
    <n v="0.26711840228245365"/>
    <x v="12"/>
    <x v="1"/>
    <x v="1"/>
  </r>
  <r>
    <s v="ORD-100493"/>
    <d v="2025-12-24T00:00:00"/>
    <d v="2025-12-27T00:00:00"/>
    <x v="0"/>
    <s v="Liverpool"/>
    <s v="Corporate"/>
    <s v="B2B Sales"/>
    <s v="P-011"/>
    <n v="11"/>
    <n v="0"/>
    <n v="225.78"/>
    <n v="9.4499999999999993"/>
    <x v="9"/>
    <x v="2"/>
    <s v="Orbit Supply Co."/>
    <n v="7.93"/>
    <n v="14.78"/>
    <n v="87.22999999999999"/>
    <n v="129.10000000000002"/>
    <n v="0.57179555319337416"/>
    <x v="13"/>
    <x v="1"/>
    <x v="0"/>
  </r>
  <r>
    <s v="ORD-100494"/>
    <d v="2025-01-14T00:00:00"/>
    <d v="2025-01-17T00:00:00"/>
    <x v="1"/>
    <s v="Norwich"/>
    <s v="Corporate"/>
    <s v="B2B Sales"/>
    <s v="P-003"/>
    <n v="2"/>
    <n v="0.25"/>
    <n v="141.44999999999999"/>
    <n v="9.1"/>
    <x v="1"/>
    <x v="1"/>
    <s v="Orbit Supply Co."/>
    <n v="71.489999999999995"/>
    <n v="112.88"/>
    <n v="142.97999999999999"/>
    <n v="-10.63"/>
    <n v="-7.5150229763167209E-2"/>
    <x v="20"/>
    <x v="3"/>
    <x v="0"/>
  </r>
  <r>
    <s v="ORD-100495"/>
    <d v="2024-06-24T00:00:00"/>
    <d v="2024-06-27T00:00:00"/>
    <x v="2"/>
    <s v="Bristol"/>
    <s v="Corporate"/>
    <s v="Online"/>
    <s v="P-010"/>
    <n v="12"/>
    <n v="0"/>
    <n v="72.010000000000005"/>
    <n v="9.9"/>
    <x v="4"/>
    <x v="2"/>
    <s v="Orbit Supply Co."/>
    <n v="3.62"/>
    <n v="6.03"/>
    <n v="43.44"/>
    <n v="18.670000000000009"/>
    <n v="0.25926954589640339"/>
    <x v="17"/>
    <x v="1"/>
    <x v="1"/>
  </r>
  <r>
    <s v="ORD-100496"/>
    <d v="2025-10-02T00:00:00"/>
    <d v="2025-10-04T00:00:00"/>
    <x v="1"/>
    <s v="Cambridge"/>
    <s v="Corporate"/>
    <s v="Retail Store"/>
    <s v="P-015"/>
    <n v="7"/>
    <n v="0"/>
    <n v="51.38"/>
    <n v="7.65"/>
    <x v="8"/>
    <x v="2"/>
    <s v="Luma Imports"/>
    <n v="3.3"/>
    <n v="6.13"/>
    <n v="23.099999999999998"/>
    <n v="20.630000000000003"/>
    <n v="0.4015181004281822"/>
    <x v="22"/>
    <x v="1"/>
    <x v="0"/>
  </r>
  <r>
    <s v="ORD-100497"/>
    <d v="2025-10-31T00:00:00"/>
    <d v="2025-11-04T00:00:00"/>
    <x v="3"/>
    <s v="Newcastle"/>
    <s v="Corporate"/>
    <s v="Retail Store"/>
    <s v="P-010"/>
    <n v="14"/>
    <n v="0.1"/>
    <n v="91.54"/>
    <n v="6.48"/>
    <x v="4"/>
    <x v="2"/>
    <s v="Orbit Supply Co."/>
    <n v="3.62"/>
    <n v="6.03"/>
    <n v="50.68"/>
    <n v="34.38000000000001"/>
    <n v="0.37557351977277703"/>
    <x v="22"/>
    <x v="0"/>
    <x v="0"/>
  </r>
  <r>
    <s v="ORD-100498"/>
    <d v="2024-08-28T00:00:00"/>
    <d v="2024-08-30T00:00:00"/>
    <x v="2"/>
    <s v="London"/>
    <s v="Corporate"/>
    <s v="B2B Sales"/>
    <s v="P-010"/>
    <n v="4"/>
    <n v="0"/>
    <n v="22.88"/>
    <n v="3.78"/>
    <x v="4"/>
    <x v="2"/>
    <s v="Orbit Supply Co."/>
    <n v="3.62"/>
    <n v="6.03"/>
    <n v="14.48"/>
    <n v="4.6199999999999992"/>
    <n v="0.2019230769230769"/>
    <x v="7"/>
    <x v="1"/>
    <x v="1"/>
  </r>
  <r>
    <s v="ORD-100499"/>
    <d v="2025-10-16T00:00:00"/>
    <d v="2025-10-21T00:00:00"/>
    <x v="0"/>
    <s v="Liverpool"/>
    <s v="Home Office"/>
    <s v="Retail Store"/>
    <s v="P-015"/>
    <n v="4"/>
    <n v="0.2"/>
    <n v="22.15"/>
    <n v="6.3"/>
    <x v="8"/>
    <x v="2"/>
    <s v="Luma Imports"/>
    <n v="3.3"/>
    <n v="6.13"/>
    <n v="13.2"/>
    <n v="2.6499999999999995"/>
    <n v="0.11963882618510156"/>
    <x v="22"/>
    <x v="2"/>
    <x v="0"/>
  </r>
  <r>
    <s v="ORD-100500"/>
    <d v="2024-08-05T00:00:00"/>
    <d v="2024-08-09T00:00:00"/>
    <x v="1"/>
    <s v="Norwich"/>
    <s v="Small Business"/>
    <s v="Retail Store"/>
    <s v="P-004"/>
    <n v="2"/>
    <n v="0"/>
    <n v="207.29"/>
    <n v="9.1"/>
    <x v="5"/>
    <x v="1"/>
    <s v="Cedar Distribution"/>
    <n v="63.6"/>
    <n v="107.94"/>
    <n v="127.2"/>
    <n v="70.989999999999995"/>
    <n v="0.34246707511216168"/>
    <x v="7"/>
    <x v="1"/>
    <x v="1"/>
  </r>
  <r>
    <s v="ORD-100501"/>
    <d v="2025-07-06T00:00:00"/>
    <d v="2025-07-10T00:00:00"/>
    <x v="0"/>
    <s v="Cardiff"/>
    <s v="Small Business"/>
    <s v="Retail Store"/>
    <s v="P-012"/>
    <n v="3"/>
    <n v="0"/>
    <n v="22.42"/>
    <n v="3.51"/>
    <x v="14"/>
    <x v="2"/>
    <s v="Luma Imports"/>
    <n v="4.5"/>
    <n v="8.2899999999999991"/>
    <n v="13.5"/>
    <n v="5.4100000000000019"/>
    <n v="0.24130240856378241"/>
    <x v="4"/>
    <x v="1"/>
    <x v="0"/>
  </r>
  <r>
    <s v="ORD-100502"/>
    <d v="2024-04-18T00:00:00"/>
    <d v="2024-04-22T00:00:00"/>
    <x v="0"/>
    <s v="Liverpool"/>
    <s v="Small Business"/>
    <s v="Retail Store"/>
    <s v="P-004"/>
    <n v="2"/>
    <n v="0.1"/>
    <n v="194.74"/>
    <n v="5.46"/>
    <x v="5"/>
    <x v="1"/>
    <s v="Cedar Distribution"/>
    <n v="63.6"/>
    <n v="107.94"/>
    <n v="127.2"/>
    <n v="62.080000000000005"/>
    <n v="0.31878401971859915"/>
    <x v="21"/>
    <x v="0"/>
    <x v="1"/>
  </r>
  <r>
    <s v="ORD-100503"/>
    <d v="2024-10-18T00:00:00"/>
    <d v="2024-10-21T00:00:00"/>
    <x v="2"/>
    <s v="Bristol"/>
    <s v="Small Business"/>
    <s v="Online"/>
    <s v="P-001"/>
    <n v="2"/>
    <n v="0.25"/>
    <n v="481.01"/>
    <n v="9.1"/>
    <x v="12"/>
    <x v="1"/>
    <s v="Luma Imports"/>
    <n v="173.56"/>
    <n v="286.14999999999998"/>
    <n v="347.12"/>
    <n v="124.78999999999999"/>
    <n v="0.2594332758154716"/>
    <x v="3"/>
    <x v="3"/>
    <x v="1"/>
  </r>
  <r>
    <s v="ORD-100504"/>
    <d v="2024-01-08T00:00:00"/>
    <d v="2024-01-10T00:00:00"/>
    <x v="0"/>
    <s v="Cardiff"/>
    <s v="Home Office"/>
    <s v="Retail Store"/>
    <s v="P-003"/>
    <n v="4"/>
    <n v="0"/>
    <n v="401.5"/>
    <n v="13.7"/>
    <x v="1"/>
    <x v="1"/>
    <s v="Orbit Supply Co."/>
    <n v="71.489999999999995"/>
    <n v="112.88"/>
    <n v="285.95999999999998"/>
    <n v="101.84000000000002"/>
    <n v="0.25364881693648822"/>
    <x v="18"/>
    <x v="1"/>
    <x v="1"/>
  </r>
  <r>
    <s v="ORD-100505"/>
    <d v="2024-07-06T00:00:00"/>
    <d v="2024-07-11T00:00:00"/>
    <x v="1"/>
    <s v="Cambridge"/>
    <s v="Corporate"/>
    <s v="B2B Sales"/>
    <s v="P-009"/>
    <n v="2"/>
    <n v="0"/>
    <n v="228.43"/>
    <n v="7"/>
    <x v="0"/>
    <x v="0"/>
    <s v="Apex Wholesale"/>
    <n v="63.69"/>
    <n v="125.5"/>
    <n v="127.38"/>
    <n v="94.050000000000011"/>
    <n v="0.41172350391804935"/>
    <x v="16"/>
    <x v="1"/>
    <x v="1"/>
  </r>
  <r>
    <s v="ORD-100506"/>
    <d v="2025-09-01T00:00:00"/>
    <d v="2025-09-03T00:00:00"/>
    <x v="0"/>
    <s v="Liverpool"/>
    <s v="Home Office"/>
    <s v="Online"/>
    <s v="P-007"/>
    <n v="4"/>
    <n v="0.05"/>
    <n v="231.51"/>
    <n v="9.5"/>
    <x v="7"/>
    <x v="0"/>
    <s v="Luma Imports"/>
    <n v="31.34"/>
    <n v="56.49"/>
    <n v="125.36"/>
    <n v="96.649999999999991"/>
    <n v="0.4174765668869595"/>
    <x v="11"/>
    <x v="0"/>
    <x v="0"/>
  </r>
  <r>
    <s v="ORD-100507"/>
    <d v="2025-06-22T00:00:00"/>
    <d v="2025-06-26T00:00:00"/>
    <x v="0"/>
    <s v="Liverpool"/>
    <s v="Small Business"/>
    <s v="Online"/>
    <s v="P-011"/>
    <n v="9"/>
    <n v="0"/>
    <n v="143.12"/>
    <n v="5.13"/>
    <x v="9"/>
    <x v="2"/>
    <s v="Orbit Supply Co."/>
    <n v="7.93"/>
    <n v="14.78"/>
    <n v="71.37"/>
    <n v="66.62"/>
    <n v="0.46548351034097263"/>
    <x v="0"/>
    <x v="1"/>
    <x v="0"/>
  </r>
  <r>
    <s v="ORD-100508"/>
    <d v="2024-08-10T00:00:00"/>
    <d v="2024-08-16T00:00:00"/>
    <x v="0"/>
    <s v="Cardiff"/>
    <s v="Corporate"/>
    <s v="Retail Store"/>
    <s v="P-006"/>
    <n v="1"/>
    <n v="0"/>
    <n v="101.83"/>
    <n v="5.75"/>
    <x v="10"/>
    <x v="0"/>
    <s v="Apex Wholesale"/>
    <n v="54.95"/>
    <n v="112.56"/>
    <n v="54.95"/>
    <n v="41.129999999999995"/>
    <n v="0.40390847490916232"/>
    <x v="7"/>
    <x v="1"/>
    <x v="1"/>
  </r>
  <r>
    <s v="ORD-100509"/>
    <d v="2024-08-29T00:00:00"/>
    <d v="2024-09-02T00:00:00"/>
    <x v="0"/>
    <s v="Liverpool"/>
    <s v="Corporate"/>
    <s v="B2B Sales"/>
    <s v="P-015"/>
    <n v="13"/>
    <n v="0"/>
    <n v="71.489999999999995"/>
    <n v="6.21"/>
    <x v="8"/>
    <x v="2"/>
    <s v="Luma Imports"/>
    <n v="3.3"/>
    <n v="6.13"/>
    <n v="42.9"/>
    <n v="22.379999999999995"/>
    <n v="0.31305077633235412"/>
    <x v="7"/>
    <x v="1"/>
    <x v="1"/>
  </r>
  <r>
    <s v="ORD-100510"/>
    <d v="2025-09-09T00:00:00"/>
    <d v="2025-09-11T00:00:00"/>
    <x v="0"/>
    <s v="Liverpool"/>
    <s v="Corporate"/>
    <s v="Retail Store"/>
    <s v="P-014"/>
    <n v="5"/>
    <n v="0.1"/>
    <n v="137.25"/>
    <n v="4.05"/>
    <x v="3"/>
    <x v="2"/>
    <s v="Orbit Supply Co."/>
    <n v="16.760000000000002"/>
    <n v="27.71"/>
    <n v="83.800000000000011"/>
    <n v="49.399999999999991"/>
    <n v="0.35992714025500905"/>
    <x v="11"/>
    <x v="0"/>
    <x v="0"/>
  </r>
  <r>
    <s v="ORD-100511"/>
    <d v="2024-09-15T00:00:00"/>
    <d v="2024-09-20T00:00:00"/>
    <x v="3"/>
    <s v="Manchester"/>
    <s v="Corporate"/>
    <s v="B2B Sales"/>
    <s v="P-003"/>
    <n v="2"/>
    <n v="0"/>
    <n v="255.77"/>
    <n v="5.46"/>
    <x v="1"/>
    <x v="1"/>
    <s v="Orbit Supply Co."/>
    <n v="71.489999999999995"/>
    <n v="112.88"/>
    <n v="142.97999999999999"/>
    <n v="107.33000000000003"/>
    <n v="0.4196348281659304"/>
    <x v="23"/>
    <x v="1"/>
    <x v="1"/>
  </r>
  <r>
    <s v="ORD-100512"/>
    <d v="2025-06-14T00:00:00"/>
    <d v="2025-06-17T00:00:00"/>
    <x v="0"/>
    <s v="Birmingham"/>
    <s v="Small Business"/>
    <s v="B2B Sales"/>
    <s v="P-001"/>
    <n v="3"/>
    <n v="0.05"/>
    <n v="891.52"/>
    <n v="6.84"/>
    <x v="12"/>
    <x v="1"/>
    <s v="Luma Imports"/>
    <n v="173.56"/>
    <n v="286.14999999999998"/>
    <n v="520.68000000000006"/>
    <n v="363.99999999999994"/>
    <n v="0.40829145728643212"/>
    <x v="0"/>
    <x v="0"/>
    <x v="0"/>
  </r>
  <r>
    <s v="ORD-100513"/>
    <d v="2025-06-15T00:00:00"/>
    <d v="2025-06-20T00:00:00"/>
    <x v="1"/>
    <s v="Norwich"/>
    <s v="Home Office"/>
    <s v="Online"/>
    <s v="P-015"/>
    <n v="5"/>
    <n v="0"/>
    <n v="33.049999999999997"/>
    <n v="4.05"/>
    <x v="8"/>
    <x v="2"/>
    <s v="Luma Imports"/>
    <n v="3.3"/>
    <n v="6.13"/>
    <n v="16.5"/>
    <n v="12.499999999999996"/>
    <n v="0.37821482602117995"/>
    <x v="0"/>
    <x v="1"/>
    <x v="0"/>
  </r>
  <r>
    <s v="ORD-100514"/>
    <d v="2024-08-17T00:00:00"/>
    <d v="2024-08-20T00:00:00"/>
    <x v="1"/>
    <s v="Cambridge"/>
    <s v="Small Business"/>
    <s v="Online"/>
    <s v="P-003"/>
    <n v="3"/>
    <n v="0"/>
    <n v="317.01"/>
    <n v="6.84"/>
    <x v="1"/>
    <x v="1"/>
    <s v="Orbit Supply Co."/>
    <n v="71.489999999999995"/>
    <n v="112.88"/>
    <n v="214.46999999999997"/>
    <n v="95.700000000000017"/>
    <n v="0.30188322134948431"/>
    <x v="7"/>
    <x v="1"/>
    <x v="1"/>
  </r>
  <r>
    <s v="ORD-100515"/>
    <d v="2025-11-10T00:00:00"/>
    <d v="2025-11-13T00:00:00"/>
    <x v="0"/>
    <s v="Liverpool"/>
    <s v="Small Business"/>
    <s v="B2B Sales"/>
    <s v="P-011"/>
    <n v="5"/>
    <n v="0.05"/>
    <n v="90.39"/>
    <n v="4.05"/>
    <x v="9"/>
    <x v="2"/>
    <s v="Orbit Supply Co."/>
    <n v="7.93"/>
    <n v="14.78"/>
    <n v="39.65"/>
    <n v="46.690000000000005"/>
    <n v="0.51653944020356235"/>
    <x v="19"/>
    <x v="0"/>
    <x v="0"/>
  </r>
  <r>
    <s v="ORD-100516"/>
    <d v="2024-04-25T00:00:00"/>
    <d v="2024-04-26T00:00:00"/>
    <x v="1"/>
    <s v="Norwich"/>
    <s v="Corporate"/>
    <s v="Retail Store"/>
    <s v="P-014"/>
    <n v="10"/>
    <n v="0"/>
    <n v="266.38"/>
    <n v="5.4"/>
    <x v="3"/>
    <x v="2"/>
    <s v="Orbit Supply Co."/>
    <n v="16.760000000000002"/>
    <n v="27.71"/>
    <n v="167.60000000000002"/>
    <n v="93.379999999999967"/>
    <n v="0.3505518432314737"/>
    <x v="21"/>
    <x v="1"/>
    <x v="1"/>
  </r>
  <r>
    <s v="ORD-100517"/>
    <d v="2025-10-17T00:00:00"/>
    <d v="2025-10-18T00:00:00"/>
    <x v="1"/>
    <s v="Cambridge"/>
    <s v="Corporate"/>
    <s v="Online"/>
    <s v="P-008"/>
    <n v="2"/>
    <n v="0.2"/>
    <n v="362.29"/>
    <n v="4.2"/>
    <x v="6"/>
    <x v="0"/>
    <s v="Vertex Trade"/>
    <n v="112.09"/>
    <n v="192.47"/>
    <n v="224.18"/>
    <n v="133.91000000000003"/>
    <n v="0.369621021833338"/>
    <x v="22"/>
    <x v="2"/>
    <x v="0"/>
  </r>
  <r>
    <s v="ORD-100518"/>
    <d v="2024-06-28T00:00:00"/>
    <d v="2024-07-04T00:00:00"/>
    <x v="0"/>
    <s v="Liverpool"/>
    <s v="Small Business"/>
    <s v="B2B Sales"/>
    <s v="P-007"/>
    <n v="4"/>
    <n v="0.2"/>
    <n v="181.42"/>
    <n v="9.5"/>
    <x v="7"/>
    <x v="0"/>
    <s v="Luma Imports"/>
    <n v="31.34"/>
    <n v="56.49"/>
    <n v="125.36"/>
    <n v="46.559999999999988"/>
    <n v="0.25664204608091717"/>
    <x v="17"/>
    <x v="2"/>
    <x v="1"/>
  </r>
  <r>
    <s v="ORD-100519"/>
    <d v="2024-05-28T00:00:00"/>
    <d v="2024-05-31T00:00:00"/>
    <x v="3"/>
    <s v="Manchester"/>
    <s v="Home Office"/>
    <s v="Online"/>
    <s v="P-002"/>
    <n v="4"/>
    <n v="0"/>
    <n v="875.8"/>
    <n v="13.7"/>
    <x v="2"/>
    <x v="1"/>
    <s v="Vertex Trade"/>
    <n v="119.02"/>
    <n v="205.39"/>
    <n v="476.08"/>
    <n v="386.02"/>
    <n v="0.44076273121717285"/>
    <x v="8"/>
    <x v="1"/>
    <x v="1"/>
  </r>
  <r>
    <s v="ORD-100520"/>
    <d v="2024-06-23T00:00:00"/>
    <d v="2024-06-25T00:00:00"/>
    <x v="1"/>
    <s v="Cambridge"/>
    <s v="Small Business"/>
    <s v="Retail Store"/>
    <s v="P-012"/>
    <n v="12"/>
    <n v="0"/>
    <n v="97.58"/>
    <n v="5.94"/>
    <x v="14"/>
    <x v="2"/>
    <s v="Luma Imports"/>
    <n v="4.5"/>
    <n v="8.2899999999999991"/>
    <n v="54"/>
    <n v="37.64"/>
    <n v="0.38573478171756509"/>
    <x v="17"/>
    <x v="1"/>
    <x v="1"/>
  </r>
  <r>
    <s v="ORD-100521"/>
    <d v="2025-11-23T00:00:00"/>
    <d v="2025-11-29T00:00:00"/>
    <x v="2"/>
    <s v="London"/>
    <s v="Corporate"/>
    <s v="Online"/>
    <s v="P-014"/>
    <n v="11"/>
    <n v="0"/>
    <n v="408.47"/>
    <n v="5.67"/>
    <x v="3"/>
    <x v="2"/>
    <s v="Orbit Supply Co."/>
    <n v="16.760000000000002"/>
    <n v="27.71"/>
    <n v="184.36"/>
    <n v="218.44000000000003"/>
    <n v="0.53477611574901462"/>
    <x v="19"/>
    <x v="1"/>
    <x v="0"/>
  </r>
  <r>
    <s v="ORD-100522"/>
    <d v="2025-08-02T00:00:00"/>
    <d v="2025-08-05T00:00:00"/>
    <x v="2"/>
    <s v="Bristol"/>
    <s v="Home Office"/>
    <s v="B2B Sales"/>
    <s v="P-010"/>
    <n v="8"/>
    <n v="0.1"/>
    <n v="41.71"/>
    <n v="4.8600000000000003"/>
    <x v="4"/>
    <x v="2"/>
    <s v="Orbit Supply Co."/>
    <n v="3.62"/>
    <n v="6.03"/>
    <n v="28.96"/>
    <n v="7.89"/>
    <n v="0.18916327019899304"/>
    <x v="6"/>
    <x v="0"/>
    <x v="0"/>
  </r>
  <r>
    <s v="ORD-100523"/>
    <d v="2024-02-09T00:00:00"/>
    <d v="2024-02-11T00:00:00"/>
    <x v="2"/>
    <s v="Brighton"/>
    <s v="Home Office"/>
    <s v="B2B Sales"/>
    <s v="P-010"/>
    <n v="7"/>
    <n v="0"/>
    <n v="36.56"/>
    <n v="7.65"/>
    <x v="4"/>
    <x v="2"/>
    <s v="Orbit Supply Co."/>
    <n v="3.62"/>
    <n v="6.03"/>
    <n v="25.34"/>
    <n v="3.5700000000000021"/>
    <n v="9.764770240700224E-2"/>
    <x v="12"/>
    <x v="1"/>
    <x v="1"/>
  </r>
  <r>
    <s v="ORD-100524"/>
    <d v="2025-10-05T00:00:00"/>
    <d v="2025-10-08T00:00:00"/>
    <x v="1"/>
    <s v="Cambridge"/>
    <s v="Home Office"/>
    <s v="B2B Sales"/>
    <s v="P-001"/>
    <n v="1"/>
    <n v="0.25"/>
    <n v="254.77"/>
    <n v="6.8"/>
    <x v="12"/>
    <x v="1"/>
    <s v="Luma Imports"/>
    <n v="173.56"/>
    <n v="286.14999999999998"/>
    <n v="173.56"/>
    <n v="74.410000000000011"/>
    <n v="0.29206735486909763"/>
    <x v="22"/>
    <x v="3"/>
    <x v="0"/>
  </r>
  <r>
    <s v="ORD-100525"/>
    <d v="2025-10-11T00:00:00"/>
    <d v="2025-10-14T00:00:00"/>
    <x v="0"/>
    <s v="Liverpool"/>
    <s v="Home Office"/>
    <s v="Online"/>
    <s v="P-013"/>
    <n v="7"/>
    <n v="0"/>
    <n v="93.6"/>
    <n v="7.65"/>
    <x v="11"/>
    <x v="2"/>
    <s v="Apex Wholesale"/>
    <n v="6.33"/>
    <n v="12.16"/>
    <n v="44.31"/>
    <n v="41.639999999999993"/>
    <n v="0.44487179487179485"/>
    <x v="22"/>
    <x v="1"/>
    <x v="0"/>
  </r>
  <r>
    <s v="ORD-100526"/>
    <d v="2024-11-17T00:00:00"/>
    <d v="2024-11-20T00:00:00"/>
    <x v="1"/>
    <s v="Cambridge"/>
    <s v="Home Office"/>
    <s v="Retail Store"/>
    <s v="P-005"/>
    <n v="4"/>
    <n v="0.05"/>
    <n v="275.58999999999997"/>
    <n v="5.7"/>
    <x v="13"/>
    <x v="0"/>
    <s v="Apex Wholesale"/>
    <n v="25.33"/>
    <n v="51.56"/>
    <n v="101.32"/>
    <n v="168.57"/>
    <n v="0.61166950905330386"/>
    <x v="14"/>
    <x v="0"/>
    <x v="1"/>
  </r>
  <r>
    <s v="ORD-100527"/>
    <d v="2025-04-17T00:00:00"/>
    <d v="2025-04-23T00:00:00"/>
    <x v="0"/>
    <s v="Birmingham"/>
    <s v="Corporate"/>
    <s v="Retail Store"/>
    <s v="P-005"/>
    <n v="1"/>
    <n v="0"/>
    <n v="52.5"/>
    <n v="5.75"/>
    <x v="13"/>
    <x v="0"/>
    <s v="Apex Wholesale"/>
    <n v="25.33"/>
    <n v="51.56"/>
    <n v="25.33"/>
    <n v="21.42"/>
    <n v="0.40800000000000003"/>
    <x v="15"/>
    <x v="1"/>
    <x v="0"/>
  </r>
  <r>
    <s v="ORD-100528"/>
    <d v="2024-05-17T00:00:00"/>
    <d v="2024-05-22T00:00:00"/>
    <x v="0"/>
    <s v="Liverpool"/>
    <s v="Home Office"/>
    <s v="Retail Store"/>
    <s v="P-009"/>
    <n v="1"/>
    <n v="0.1"/>
    <n v="109.71"/>
    <n v="5.75"/>
    <x v="0"/>
    <x v="0"/>
    <s v="Apex Wholesale"/>
    <n v="63.69"/>
    <n v="125.5"/>
    <n v="63.69"/>
    <n v="40.269999999999996"/>
    <n v="0.36705860906024973"/>
    <x v="8"/>
    <x v="0"/>
    <x v="1"/>
  </r>
  <r>
    <s v="ORD-100529"/>
    <d v="2025-08-25T00:00:00"/>
    <d v="2025-08-27T00:00:00"/>
    <x v="1"/>
    <s v="Peterborough"/>
    <s v="Corporate"/>
    <s v="B2B Sales"/>
    <s v="P-001"/>
    <n v="3"/>
    <n v="0"/>
    <n v="803.39"/>
    <n v="6.84"/>
    <x v="12"/>
    <x v="1"/>
    <s v="Luma Imports"/>
    <n v="173.56"/>
    <n v="286.14999999999998"/>
    <n v="520.68000000000006"/>
    <n v="275.86999999999995"/>
    <n v="0.34338241700792882"/>
    <x v="6"/>
    <x v="1"/>
    <x v="0"/>
  </r>
  <r>
    <s v="ORD-100530"/>
    <d v="2024-01-05T00:00:00"/>
    <d v="2024-01-06T00:00:00"/>
    <x v="3"/>
    <s v="Leeds"/>
    <s v="Corporate"/>
    <s v="Online"/>
    <s v="P-006"/>
    <n v="4"/>
    <n v="0.15"/>
    <n v="344.94"/>
    <n v="9.5"/>
    <x v="10"/>
    <x v="0"/>
    <s v="Apex Wholesale"/>
    <n v="54.95"/>
    <n v="112.56"/>
    <n v="219.8"/>
    <n v="115.63999999999999"/>
    <n v="0.33524670957267927"/>
    <x v="18"/>
    <x v="2"/>
    <x v="1"/>
  </r>
  <r>
    <s v="ORD-100531"/>
    <d v="2025-02-25T00:00:00"/>
    <d v="2025-03-02T00:00:00"/>
    <x v="3"/>
    <s v="Newcastle"/>
    <s v="Small Business"/>
    <s v="B2B Sales"/>
    <s v="P-003"/>
    <n v="4"/>
    <n v="0"/>
    <n v="405.52"/>
    <n v="13.7"/>
    <x v="1"/>
    <x v="1"/>
    <s v="Orbit Supply Co."/>
    <n v="71.489999999999995"/>
    <n v="112.88"/>
    <n v="285.95999999999998"/>
    <n v="105.86"/>
    <n v="0.26104754389425922"/>
    <x v="5"/>
    <x v="1"/>
    <x v="0"/>
  </r>
  <r>
    <s v="ORD-100532"/>
    <d v="2024-04-29T00:00:00"/>
    <d v="2024-05-02T00:00:00"/>
    <x v="3"/>
    <s v="Leeds"/>
    <s v="Small Business"/>
    <s v="Retail Store"/>
    <s v="P-006"/>
    <n v="4"/>
    <n v="0.05"/>
    <n v="432.06"/>
    <n v="9.5"/>
    <x v="10"/>
    <x v="0"/>
    <s v="Apex Wholesale"/>
    <n v="54.95"/>
    <n v="112.56"/>
    <n v="219.8"/>
    <n v="202.76"/>
    <n v="0.46928667314724803"/>
    <x v="21"/>
    <x v="0"/>
    <x v="1"/>
  </r>
  <r>
    <s v="ORD-100533"/>
    <d v="2025-11-04T00:00:00"/>
    <d v="2025-11-06T00:00:00"/>
    <x v="2"/>
    <s v="London"/>
    <s v="Small Business"/>
    <s v="Retail Store"/>
    <s v="P-002"/>
    <n v="3"/>
    <n v="0"/>
    <n v="841.1"/>
    <n v="11.4"/>
    <x v="2"/>
    <x v="1"/>
    <s v="Vertex Trade"/>
    <n v="119.02"/>
    <n v="205.39"/>
    <n v="357.06"/>
    <n v="472.64000000000004"/>
    <n v="0.56193080489834746"/>
    <x v="19"/>
    <x v="1"/>
    <x v="0"/>
  </r>
  <r>
    <s v="ORD-100534"/>
    <d v="2024-02-05T00:00:00"/>
    <d v="2024-02-08T00:00:00"/>
    <x v="0"/>
    <s v="Cardiff"/>
    <s v="Corporate"/>
    <s v="B2B Sales"/>
    <s v="P-002"/>
    <n v="4"/>
    <n v="0"/>
    <n v="760.27"/>
    <n v="13.7"/>
    <x v="2"/>
    <x v="1"/>
    <s v="Vertex Trade"/>
    <n v="119.02"/>
    <n v="205.39"/>
    <n v="476.08"/>
    <n v="270.49"/>
    <n v="0.35578149867810122"/>
    <x v="12"/>
    <x v="1"/>
    <x v="1"/>
  </r>
  <r>
    <s v="ORD-100535"/>
    <d v="2025-12-27T00:00:00"/>
    <d v="2025-12-30T00:00:00"/>
    <x v="2"/>
    <s v="London"/>
    <s v="Small Business"/>
    <s v="Online"/>
    <s v="P-014"/>
    <n v="3"/>
    <n v="0"/>
    <n v="123.57"/>
    <n v="5.85"/>
    <x v="3"/>
    <x v="2"/>
    <s v="Orbit Supply Co."/>
    <n v="16.760000000000002"/>
    <n v="27.71"/>
    <n v="50.28"/>
    <n v="67.44"/>
    <n v="0.54576353483855311"/>
    <x v="13"/>
    <x v="1"/>
    <x v="0"/>
  </r>
  <r>
    <s v="ORD-100536"/>
    <d v="2024-11-22T00:00:00"/>
    <d v="2024-11-24T00:00:00"/>
    <x v="3"/>
    <s v="Newcastle"/>
    <s v="Small Business"/>
    <s v="B2B Sales"/>
    <s v="P-012"/>
    <n v="6"/>
    <n v="0"/>
    <n v="66.45"/>
    <n v="4.32"/>
    <x v="14"/>
    <x v="2"/>
    <s v="Luma Imports"/>
    <n v="4.5"/>
    <n v="8.2899999999999991"/>
    <n v="27"/>
    <n v="35.130000000000003"/>
    <n v="0.52866817155756207"/>
    <x v="14"/>
    <x v="1"/>
    <x v="1"/>
  </r>
  <r>
    <s v="ORD-100537"/>
    <d v="2025-06-25T00:00:00"/>
    <d v="2025-06-30T00:00:00"/>
    <x v="0"/>
    <s v="Cardiff"/>
    <s v="Small Business"/>
    <s v="Retail Store"/>
    <s v="P-006"/>
    <n v="2"/>
    <n v="0"/>
    <n v="228.88"/>
    <n v="7"/>
    <x v="10"/>
    <x v="0"/>
    <s v="Apex Wholesale"/>
    <n v="54.95"/>
    <n v="112.56"/>
    <n v="109.9"/>
    <n v="111.97999999999999"/>
    <n v="0.48925200978678779"/>
    <x v="0"/>
    <x v="1"/>
    <x v="0"/>
  </r>
  <r>
    <s v="ORD-100538"/>
    <d v="2024-06-09T00:00:00"/>
    <d v="2024-06-15T00:00:00"/>
    <x v="2"/>
    <s v="Bristol"/>
    <s v="Small Business"/>
    <s v="B2B Sales"/>
    <s v="P-010"/>
    <n v="25"/>
    <n v="0"/>
    <n v="148.09"/>
    <n v="9.4499999999999993"/>
    <x v="4"/>
    <x v="2"/>
    <s v="Orbit Supply Co."/>
    <n v="3.62"/>
    <n v="6.03"/>
    <n v="90.5"/>
    <n v="48.14"/>
    <n v="0.32507259099196434"/>
    <x v="17"/>
    <x v="1"/>
    <x v="1"/>
  </r>
  <r>
    <s v="ORD-100539"/>
    <d v="2025-05-27T00:00:00"/>
    <d v="2025-06-02T00:00:00"/>
    <x v="0"/>
    <s v="Liverpool"/>
    <s v="Home Office"/>
    <s v="Retail Store"/>
    <s v="P-002"/>
    <n v="1"/>
    <n v="0.05"/>
    <n v="189.82"/>
    <n v="4.08"/>
    <x v="2"/>
    <x v="1"/>
    <s v="Vertex Trade"/>
    <n v="119.02"/>
    <n v="205.39"/>
    <n v="119.02"/>
    <n v="66.72"/>
    <n v="0.35149088610262352"/>
    <x v="1"/>
    <x v="0"/>
    <x v="0"/>
  </r>
  <r>
    <s v="ORD-100540"/>
    <d v="2024-07-22T00:00:00"/>
    <d v="2024-07-25T00:00:00"/>
    <x v="2"/>
    <s v="Bristol"/>
    <s v="Home Office"/>
    <s v="Retail Store"/>
    <s v="P-014"/>
    <n v="12"/>
    <n v="0"/>
    <n v="302.02999999999997"/>
    <n v="5.94"/>
    <x v="3"/>
    <x v="2"/>
    <s v="Orbit Supply Co."/>
    <n v="16.760000000000002"/>
    <n v="27.71"/>
    <n v="201.12"/>
    <n v="94.96999999999997"/>
    <n v="0.31443896301691876"/>
    <x v="16"/>
    <x v="1"/>
    <x v="1"/>
  </r>
  <r>
    <s v="ORD-100541"/>
    <d v="2025-06-06T00:00:00"/>
    <d v="2025-06-08T00:00:00"/>
    <x v="3"/>
    <s v="Leeds"/>
    <s v="Corporate"/>
    <s v="Retail Store"/>
    <s v="P-006"/>
    <n v="1"/>
    <n v="0.2"/>
    <n v="88.53"/>
    <n v="5.75"/>
    <x v="10"/>
    <x v="0"/>
    <s v="Apex Wholesale"/>
    <n v="54.95"/>
    <n v="112.56"/>
    <n v="54.95"/>
    <n v="27.83"/>
    <n v="0.31435671523777248"/>
    <x v="0"/>
    <x v="2"/>
    <x v="0"/>
  </r>
  <r>
    <s v="ORD-100542"/>
    <d v="2024-02-16T00:00:00"/>
    <d v="2024-02-18T00:00:00"/>
    <x v="3"/>
    <s v="Leeds"/>
    <s v="Home Office"/>
    <s v="Online"/>
    <s v="P-003"/>
    <n v="3"/>
    <n v="0"/>
    <n v="309.01"/>
    <n v="11.4"/>
    <x v="1"/>
    <x v="1"/>
    <s v="Orbit Supply Co."/>
    <n v="71.489999999999995"/>
    <n v="112.88"/>
    <n v="214.46999999999997"/>
    <n v="83.140000000000015"/>
    <n v="0.26905278146338313"/>
    <x v="12"/>
    <x v="1"/>
    <x v="1"/>
  </r>
  <r>
    <s v="ORD-100543"/>
    <d v="2025-12-14T00:00:00"/>
    <d v="2025-12-20T00:00:00"/>
    <x v="2"/>
    <s v="London"/>
    <s v="Home Office"/>
    <s v="Retail Store"/>
    <s v="P-014"/>
    <n v="13"/>
    <n v="0"/>
    <n v="524.66999999999996"/>
    <n v="10.35"/>
    <x v="3"/>
    <x v="2"/>
    <s v="Orbit Supply Co."/>
    <n v="16.760000000000002"/>
    <n v="27.71"/>
    <n v="217.88000000000002"/>
    <n v="296.43999999999994"/>
    <n v="0.56500276364190816"/>
    <x v="13"/>
    <x v="1"/>
    <x v="0"/>
  </r>
  <r>
    <s v="ORD-100544"/>
    <d v="2025-08-05T00:00:00"/>
    <d v="2025-08-06T00:00:00"/>
    <x v="2"/>
    <s v="Bristol"/>
    <s v="Small Business"/>
    <s v="B2B Sales"/>
    <s v="P-001"/>
    <n v="2"/>
    <n v="0.2"/>
    <n v="435.09"/>
    <n v="5.46"/>
    <x v="12"/>
    <x v="1"/>
    <s v="Luma Imports"/>
    <n v="173.56"/>
    <n v="286.14999999999998"/>
    <n v="347.12"/>
    <n v="82.509999999999977"/>
    <n v="0.18963892527982712"/>
    <x v="6"/>
    <x v="2"/>
    <x v="0"/>
  </r>
  <r>
    <s v="ORD-100545"/>
    <d v="2025-04-18T00:00:00"/>
    <d v="2025-04-23T00:00:00"/>
    <x v="0"/>
    <s v="Liverpool"/>
    <s v="Small Business"/>
    <s v="Retail Store"/>
    <s v="P-003"/>
    <n v="1"/>
    <n v="0"/>
    <n v="105.73"/>
    <n v="6.8"/>
    <x v="1"/>
    <x v="1"/>
    <s v="Orbit Supply Co."/>
    <n v="71.489999999999995"/>
    <n v="112.88"/>
    <n v="71.489999999999995"/>
    <n v="27.440000000000008"/>
    <n v="0.25952898893407744"/>
    <x v="15"/>
    <x v="1"/>
    <x v="0"/>
  </r>
  <r>
    <s v="ORD-100546"/>
    <d v="2024-02-08T00:00:00"/>
    <d v="2024-02-13T00:00:00"/>
    <x v="3"/>
    <s v="Leeds"/>
    <s v="Corporate"/>
    <s v="B2B Sales"/>
    <s v="P-008"/>
    <n v="7"/>
    <n v="0"/>
    <n v="1258.05"/>
    <n v="7.95"/>
    <x v="6"/>
    <x v="0"/>
    <s v="Vertex Trade"/>
    <n v="112.09"/>
    <n v="192.47"/>
    <n v="784.63"/>
    <n v="465.46999999999997"/>
    <n v="0.36999324351178409"/>
    <x v="12"/>
    <x v="1"/>
    <x v="1"/>
  </r>
  <r>
    <s v="ORD-100547"/>
    <d v="2024-02-02T00:00:00"/>
    <d v="2024-02-07T00:00:00"/>
    <x v="0"/>
    <s v="Birmingham"/>
    <s v="Corporate"/>
    <s v="Online"/>
    <s v="P-014"/>
    <n v="8"/>
    <n v="0"/>
    <n v="206.57"/>
    <n v="4.8600000000000003"/>
    <x v="3"/>
    <x v="2"/>
    <s v="Orbit Supply Co."/>
    <n v="16.760000000000002"/>
    <n v="27.71"/>
    <n v="134.08000000000001"/>
    <n v="67.629999999999981"/>
    <n v="0.3273950718884639"/>
    <x v="12"/>
    <x v="1"/>
    <x v="1"/>
  </r>
  <r>
    <s v="ORD-100548"/>
    <d v="2025-03-09T00:00:00"/>
    <d v="2025-03-13T00:00:00"/>
    <x v="3"/>
    <s v="Newcastle"/>
    <s v="Corporate"/>
    <s v="Online"/>
    <s v="P-003"/>
    <n v="2"/>
    <n v="0"/>
    <n v="215.61"/>
    <n v="5.46"/>
    <x v="1"/>
    <x v="1"/>
    <s v="Orbit Supply Co."/>
    <n v="71.489999999999995"/>
    <n v="112.88"/>
    <n v="142.97999999999999"/>
    <n v="67.17000000000003"/>
    <n v="0.31153471545846678"/>
    <x v="2"/>
    <x v="1"/>
    <x v="0"/>
  </r>
  <r>
    <s v="ORD-100549"/>
    <d v="2025-09-02T00:00:00"/>
    <d v="2025-09-08T00:00:00"/>
    <x v="1"/>
    <s v="Cambridge"/>
    <s v="Corporate"/>
    <s v="Retail Store"/>
    <s v="P-009"/>
    <n v="3"/>
    <n v="0"/>
    <n v="416.96"/>
    <n v="4.95"/>
    <x v="0"/>
    <x v="0"/>
    <s v="Apex Wholesale"/>
    <n v="63.69"/>
    <n v="125.5"/>
    <n v="191.07"/>
    <n v="220.94"/>
    <n v="0.5298829623944743"/>
    <x v="11"/>
    <x v="1"/>
    <x v="0"/>
  </r>
  <r>
    <s v="ORD-100550"/>
    <d v="2025-01-03T00:00:00"/>
    <d v="2025-01-04T00:00:00"/>
    <x v="2"/>
    <s v="Brighton"/>
    <s v="Corporate"/>
    <s v="B2B Sales"/>
    <s v="P-012"/>
    <n v="3"/>
    <n v="0"/>
    <n v="21.32"/>
    <n v="3.51"/>
    <x v="14"/>
    <x v="2"/>
    <s v="Luma Imports"/>
    <n v="4.5"/>
    <n v="8.2899999999999991"/>
    <n v="13.5"/>
    <n v="4.3100000000000005"/>
    <n v="0.20215759849906192"/>
    <x v="20"/>
    <x v="1"/>
    <x v="0"/>
  </r>
  <r>
    <s v="ORD-100551"/>
    <d v="2024-02-09T00:00:00"/>
    <d v="2024-02-12T00:00:00"/>
    <x v="2"/>
    <s v="London"/>
    <s v="Home Office"/>
    <s v="Online"/>
    <s v="P-002"/>
    <n v="1"/>
    <n v="0.1"/>
    <n v="174.78"/>
    <n v="6.8"/>
    <x v="2"/>
    <x v="1"/>
    <s v="Vertex Trade"/>
    <n v="119.02"/>
    <n v="205.39"/>
    <n v="119.02"/>
    <n v="48.960000000000008"/>
    <n v="0.28012358393408859"/>
    <x v="12"/>
    <x v="0"/>
    <x v="1"/>
  </r>
  <r>
    <s v="ORD-100552"/>
    <d v="2024-07-28T00:00:00"/>
    <d v="2024-07-29T00:00:00"/>
    <x v="1"/>
    <s v="Cambridge"/>
    <s v="Home Office"/>
    <s v="Online"/>
    <s v="P-013"/>
    <n v="9"/>
    <n v="0"/>
    <n v="97.93"/>
    <n v="5.13"/>
    <x v="11"/>
    <x v="2"/>
    <s v="Apex Wholesale"/>
    <n v="6.33"/>
    <n v="12.16"/>
    <n v="56.97"/>
    <n v="35.830000000000005"/>
    <n v="0.36587358317165325"/>
    <x v="16"/>
    <x v="1"/>
    <x v="1"/>
  </r>
  <r>
    <s v="ORD-100553"/>
    <d v="2024-08-12T00:00:00"/>
    <d v="2024-08-13T00:00:00"/>
    <x v="2"/>
    <s v="Brighton"/>
    <s v="Corporate"/>
    <s v="B2B Sales"/>
    <s v="P-007"/>
    <n v="4"/>
    <n v="0.05"/>
    <n v="205.91"/>
    <n v="5.7"/>
    <x v="7"/>
    <x v="0"/>
    <s v="Luma Imports"/>
    <n v="31.34"/>
    <n v="56.49"/>
    <n v="125.36"/>
    <n v="74.849999999999994"/>
    <n v="0.36350832888155016"/>
    <x v="7"/>
    <x v="0"/>
    <x v="1"/>
  </r>
  <r>
    <s v="ORD-100554"/>
    <d v="2024-05-08T00:00:00"/>
    <d v="2024-05-10T00:00:00"/>
    <x v="0"/>
    <s v="Birmingham"/>
    <s v="Small Business"/>
    <s v="Retail Store"/>
    <s v="P-002"/>
    <n v="2"/>
    <n v="0.2"/>
    <n v="319.62"/>
    <n v="5.46"/>
    <x v="2"/>
    <x v="1"/>
    <s v="Vertex Trade"/>
    <n v="119.02"/>
    <n v="205.39"/>
    <n v="238.04"/>
    <n v="76.120000000000019"/>
    <n v="0.23815781240222769"/>
    <x v="8"/>
    <x v="2"/>
    <x v="1"/>
  </r>
  <r>
    <s v="ORD-100555"/>
    <d v="2025-05-10T00:00:00"/>
    <d v="2025-05-11T00:00:00"/>
    <x v="2"/>
    <s v="Bristol"/>
    <s v="Corporate"/>
    <s v="Online"/>
    <s v="P-011"/>
    <n v="10"/>
    <n v="0"/>
    <n v="154.19"/>
    <n v="9"/>
    <x v="9"/>
    <x v="2"/>
    <s v="Orbit Supply Co."/>
    <n v="7.93"/>
    <n v="14.78"/>
    <n v="79.3"/>
    <n v="65.89"/>
    <n v="0.42732991763408784"/>
    <x v="1"/>
    <x v="1"/>
    <x v="0"/>
  </r>
  <r>
    <s v="ORD-100556"/>
    <d v="2025-08-24T00:00:00"/>
    <d v="2025-08-25T00:00:00"/>
    <x v="1"/>
    <s v="Peterborough"/>
    <s v="Home Office"/>
    <s v="Online"/>
    <s v="P-008"/>
    <n v="4"/>
    <n v="0"/>
    <n v="771.96"/>
    <n v="9.5"/>
    <x v="6"/>
    <x v="0"/>
    <s v="Vertex Trade"/>
    <n v="112.09"/>
    <n v="192.47"/>
    <n v="448.36"/>
    <n v="314.10000000000002"/>
    <n v="0.40688636716928339"/>
    <x v="6"/>
    <x v="1"/>
    <x v="0"/>
  </r>
  <r>
    <s v="ORD-100557"/>
    <d v="2024-11-29T00:00:00"/>
    <d v="2024-12-04T00:00:00"/>
    <x v="2"/>
    <s v="Brighton"/>
    <s v="Small Business"/>
    <s v="Online"/>
    <s v="P-003"/>
    <n v="1"/>
    <n v="0"/>
    <n v="146.26"/>
    <n v="4.08"/>
    <x v="1"/>
    <x v="1"/>
    <s v="Orbit Supply Co."/>
    <n v="71.489999999999995"/>
    <n v="112.88"/>
    <n v="71.489999999999995"/>
    <n v="70.69"/>
    <n v="0.48331738000820457"/>
    <x v="14"/>
    <x v="1"/>
    <x v="1"/>
  </r>
  <r>
    <s v="ORD-100558"/>
    <d v="2025-12-04T00:00:00"/>
    <d v="2025-12-06T00:00:00"/>
    <x v="2"/>
    <s v="London"/>
    <s v="Corporate"/>
    <s v="Online"/>
    <s v="P-014"/>
    <n v="7"/>
    <n v="0.1"/>
    <n v="248.1"/>
    <n v="4.59"/>
    <x v="3"/>
    <x v="2"/>
    <s v="Orbit Supply Co."/>
    <n v="16.760000000000002"/>
    <n v="27.71"/>
    <n v="117.32000000000001"/>
    <n v="126.18999999999997"/>
    <n v="0.50862555421201117"/>
    <x v="13"/>
    <x v="0"/>
    <x v="0"/>
  </r>
  <r>
    <s v="ORD-100559"/>
    <d v="2025-04-08T00:00:00"/>
    <d v="2025-04-09T00:00:00"/>
    <x v="1"/>
    <s v="Norwich"/>
    <s v="Home Office"/>
    <s v="Online"/>
    <s v="P-013"/>
    <n v="11"/>
    <n v="0"/>
    <n v="129.01"/>
    <n v="5.67"/>
    <x v="11"/>
    <x v="2"/>
    <s v="Apex Wholesale"/>
    <n v="6.33"/>
    <n v="12.16"/>
    <n v="69.63"/>
    <n v="53.709999999999994"/>
    <n v="0.41632431594450042"/>
    <x v="15"/>
    <x v="1"/>
    <x v="0"/>
  </r>
  <r>
    <s v="ORD-100560"/>
    <d v="2025-06-11T00:00:00"/>
    <d v="2025-06-16T00:00:00"/>
    <x v="2"/>
    <s v="Brighton"/>
    <s v="Small Business"/>
    <s v="Online"/>
    <s v="P-012"/>
    <n v="6"/>
    <n v="0"/>
    <n v="50.85"/>
    <n v="4.32"/>
    <x v="14"/>
    <x v="2"/>
    <s v="Luma Imports"/>
    <n v="4.5"/>
    <n v="8.2899999999999991"/>
    <n v="27"/>
    <n v="19.53"/>
    <n v="0.384070796460177"/>
    <x v="0"/>
    <x v="1"/>
    <x v="0"/>
  </r>
  <r>
    <s v="ORD-100561"/>
    <d v="2025-02-17T00:00:00"/>
    <d v="2025-02-20T00:00:00"/>
    <x v="2"/>
    <s v="Bristol"/>
    <s v="Small Business"/>
    <s v="Online"/>
    <s v="P-005"/>
    <n v="7"/>
    <n v="0.05"/>
    <n v="290.55"/>
    <n v="7.95"/>
    <x v="13"/>
    <x v="0"/>
    <s v="Apex Wholesale"/>
    <n v="25.33"/>
    <n v="51.56"/>
    <n v="177.31"/>
    <n v="105.29"/>
    <n v="0.36238168989846842"/>
    <x v="5"/>
    <x v="0"/>
    <x v="0"/>
  </r>
  <r>
    <s v="ORD-100562"/>
    <d v="2024-06-09T00:00:00"/>
    <d v="2024-06-13T00:00:00"/>
    <x v="3"/>
    <s v="Newcastle"/>
    <s v="Small Business"/>
    <s v="Online"/>
    <s v="P-001"/>
    <n v="4"/>
    <n v="0.15"/>
    <n v="976.8"/>
    <n v="13.7"/>
    <x v="12"/>
    <x v="1"/>
    <s v="Luma Imports"/>
    <n v="173.56"/>
    <n v="286.14999999999998"/>
    <n v="694.24"/>
    <n v="268.85999999999996"/>
    <n v="0.27524570024570022"/>
    <x v="17"/>
    <x v="2"/>
    <x v="1"/>
  </r>
  <r>
    <s v="ORD-100563"/>
    <d v="2025-10-31T00:00:00"/>
    <d v="2025-11-01T00:00:00"/>
    <x v="0"/>
    <s v="Birmingham"/>
    <s v="Home Office"/>
    <s v="Online"/>
    <s v="P-009"/>
    <n v="5"/>
    <n v="0"/>
    <n v="727.7"/>
    <n v="10.75"/>
    <x v="0"/>
    <x v="0"/>
    <s v="Apex Wholesale"/>
    <n v="63.69"/>
    <n v="125.5"/>
    <n v="318.45"/>
    <n v="398.50000000000006"/>
    <n v="0.54761577573175768"/>
    <x v="22"/>
    <x v="1"/>
    <x v="0"/>
  </r>
  <r>
    <s v="ORD-100564"/>
    <d v="2025-03-16T00:00:00"/>
    <d v="2025-03-21T00:00:00"/>
    <x v="3"/>
    <s v="Manchester"/>
    <s v="Corporate"/>
    <s v="B2B Sales"/>
    <s v="P-009"/>
    <n v="2"/>
    <n v="0"/>
    <n v="230.59"/>
    <n v="4.2"/>
    <x v="0"/>
    <x v="0"/>
    <s v="Apex Wholesale"/>
    <n v="63.69"/>
    <n v="125.5"/>
    <n v="127.38"/>
    <n v="99.01"/>
    <n v="0.42937681599375516"/>
    <x v="2"/>
    <x v="1"/>
    <x v="0"/>
  </r>
  <r>
    <s v="ORD-100565"/>
    <d v="2025-12-02T00:00:00"/>
    <d v="2025-12-06T00:00:00"/>
    <x v="3"/>
    <s v="Newcastle"/>
    <s v="Corporate"/>
    <s v="Retail Store"/>
    <s v="P-011"/>
    <n v="13"/>
    <n v="0"/>
    <n v="272.36"/>
    <n v="6.21"/>
    <x v="9"/>
    <x v="2"/>
    <s v="Orbit Supply Co."/>
    <n v="7.93"/>
    <n v="14.78"/>
    <n v="103.09"/>
    <n v="163.06"/>
    <n v="0.59869290644734907"/>
    <x v="13"/>
    <x v="1"/>
    <x v="0"/>
  </r>
  <r>
    <s v="ORD-100566"/>
    <d v="2025-07-19T00:00:00"/>
    <d v="2025-07-22T00:00:00"/>
    <x v="2"/>
    <s v="Bristol"/>
    <s v="Corporate"/>
    <s v="Retail Store"/>
    <s v="P-010"/>
    <n v="5"/>
    <n v="0"/>
    <n v="26.64"/>
    <n v="6.75"/>
    <x v="4"/>
    <x v="2"/>
    <s v="Orbit Supply Co."/>
    <n v="3.62"/>
    <n v="6.03"/>
    <n v="18.100000000000001"/>
    <n v="1.7899999999999991"/>
    <n v="6.7192192192192163E-2"/>
    <x v="4"/>
    <x v="1"/>
    <x v="0"/>
  </r>
  <r>
    <s v="ORD-100567"/>
    <d v="2024-10-22T00:00:00"/>
    <d v="2024-10-28T00:00:00"/>
    <x v="2"/>
    <s v="Brighton"/>
    <s v="Small Business"/>
    <s v="Retail Store"/>
    <s v="P-014"/>
    <n v="8"/>
    <n v="0"/>
    <n v="269"/>
    <n v="8.1"/>
    <x v="3"/>
    <x v="2"/>
    <s v="Orbit Supply Co."/>
    <n v="16.760000000000002"/>
    <n v="27.71"/>
    <n v="134.08000000000001"/>
    <n v="126.82"/>
    <n v="0.47144981412639403"/>
    <x v="3"/>
    <x v="1"/>
    <x v="1"/>
  </r>
  <r>
    <s v="ORD-100568"/>
    <d v="2024-08-13T00:00:00"/>
    <d v="2024-08-16T00:00:00"/>
    <x v="0"/>
    <s v="Birmingham"/>
    <s v="Home Office"/>
    <s v="Online"/>
    <s v="P-008"/>
    <n v="1"/>
    <n v="0.15"/>
    <n v="158.19"/>
    <n v="3.45"/>
    <x v="6"/>
    <x v="0"/>
    <s v="Vertex Trade"/>
    <n v="112.09"/>
    <n v="192.47"/>
    <n v="112.09"/>
    <n v="42.649999999999991"/>
    <n v="0.26961249130792081"/>
    <x v="7"/>
    <x v="2"/>
    <x v="1"/>
  </r>
  <r>
    <s v="ORD-100569"/>
    <d v="2025-06-23T00:00:00"/>
    <d v="2025-06-26T00:00:00"/>
    <x v="0"/>
    <s v="Liverpool"/>
    <s v="Corporate"/>
    <s v="Online"/>
    <s v="P-013"/>
    <n v="10"/>
    <n v="0.25"/>
    <n v="100.11"/>
    <n v="9"/>
    <x v="11"/>
    <x v="2"/>
    <s v="Apex Wholesale"/>
    <n v="6.33"/>
    <n v="12.16"/>
    <n v="63.3"/>
    <n v="27.810000000000002"/>
    <n v="0.27779442613125566"/>
    <x v="0"/>
    <x v="3"/>
    <x v="0"/>
  </r>
  <r>
    <s v="ORD-100570"/>
    <d v="2024-07-27T00:00:00"/>
    <d v="2024-08-02T00:00:00"/>
    <x v="1"/>
    <s v="Norwich"/>
    <s v="Corporate"/>
    <s v="Retail Store"/>
    <s v="P-002"/>
    <n v="1"/>
    <n v="0.15"/>
    <n v="158.94"/>
    <n v="4.08"/>
    <x v="2"/>
    <x v="1"/>
    <s v="Vertex Trade"/>
    <n v="119.02"/>
    <n v="205.39"/>
    <n v="119.02"/>
    <n v="35.840000000000003"/>
    <n v="0.22549389706807602"/>
    <x v="16"/>
    <x v="2"/>
    <x v="1"/>
  </r>
  <r>
    <s v="ORD-100571"/>
    <d v="2025-05-27T00:00:00"/>
    <d v="2025-05-29T00:00:00"/>
    <x v="0"/>
    <s v="Liverpool"/>
    <s v="Small Business"/>
    <s v="Retail Store"/>
    <s v="P-013"/>
    <n v="14"/>
    <n v="0.15"/>
    <n v="151.26"/>
    <n v="10.8"/>
    <x v="11"/>
    <x v="2"/>
    <s v="Apex Wholesale"/>
    <n v="6.33"/>
    <n v="12.16"/>
    <n v="88.62"/>
    <n v="51.839999999999989"/>
    <n v="0.34272114240380797"/>
    <x v="1"/>
    <x v="2"/>
    <x v="0"/>
  </r>
  <r>
    <s v="ORD-100572"/>
    <d v="2025-12-18T00:00:00"/>
    <d v="2025-12-19T00:00:00"/>
    <x v="2"/>
    <s v="Brighton"/>
    <s v="Home Office"/>
    <s v="Online"/>
    <s v="P-002"/>
    <n v="2"/>
    <n v="0"/>
    <n v="580.1"/>
    <n v="5.46"/>
    <x v="2"/>
    <x v="1"/>
    <s v="Vertex Trade"/>
    <n v="119.02"/>
    <n v="205.39"/>
    <n v="238.04"/>
    <n v="336.60000000000008"/>
    <n v="0.58024478538183089"/>
    <x v="13"/>
    <x v="1"/>
    <x v="0"/>
  </r>
  <r>
    <s v="ORD-100573"/>
    <d v="2024-02-06T00:00:00"/>
    <d v="2024-02-09T00:00:00"/>
    <x v="3"/>
    <s v="Newcastle"/>
    <s v="Small Business"/>
    <s v="Online"/>
    <s v="P-004"/>
    <n v="1"/>
    <n v="0"/>
    <n v="95.14"/>
    <n v="6.8"/>
    <x v="5"/>
    <x v="1"/>
    <s v="Cedar Distribution"/>
    <n v="63.6"/>
    <n v="107.94"/>
    <n v="63.6"/>
    <n v="24.74"/>
    <n v="0.26003783897414334"/>
    <x v="12"/>
    <x v="1"/>
    <x v="1"/>
  </r>
  <r>
    <s v="ORD-100574"/>
    <d v="2025-12-15T00:00:00"/>
    <d v="2025-12-19T00:00:00"/>
    <x v="0"/>
    <s v="Liverpool"/>
    <s v="Home Office"/>
    <s v="B2B Sales"/>
    <s v="P-005"/>
    <n v="2"/>
    <n v="0"/>
    <n v="154.46"/>
    <n v="7"/>
    <x v="13"/>
    <x v="0"/>
    <s v="Apex Wholesale"/>
    <n v="25.33"/>
    <n v="51.56"/>
    <n v="50.66"/>
    <n v="96.800000000000011"/>
    <n v="0.62669946911821839"/>
    <x v="13"/>
    <x v="1"/>
    <x v="0"/>
  </r>
  <r>
    <s v="ORD-100575"/>
    <d v="2024-09-15T00:00:00"/>
    <d v="2024-09-20T00:00:00"/>
    <x v="0"/>
    <s v="Cardiff"/>
    <s v="Small Business"/>
    <s v="B2B Sales"/>
    <s v="P-007"/>
    <n v="7"/>
    <n v="0.25"/>
    <n v="321.29000000000002"/>
    <n v="7.95"/>
    <x v="7"/>
    <x v="0"/>
    <s v="Luma Imports"/>
    <n v="31.34"/>
    <n v="56.49"/>
    <n v="219.38"/>
    <n v="93.960000000000022"/>
    <n v="0.29244607675308915"/>
    <x v="23"/>
    <x v="3"/>
    <x v="1"/>
  </r>
  <r>
    <s v="ORD-100576"/>
    <d v="2024-11-06T00:00:00"/>
    <d v="2024-11-11T00:00:00"/>
    <x v="0"/>
    <s v="Cardiff"/>
    <s v="Corporate"/>
    <s v="Retail Store"/>
    <s v="P-013"/>
    <n v="13"/>
    <n v="0.05"/>
    <n v="191.19"/>
    <n v="6.21"/>
    <x v="11"/>
    <x v="2"/>
    <s v="Apex Wholesale"/>
    <n v="6.33"/>
    <n v="12.16"/>
    <n v="82.29"/>
    <n v="102.69"/>
    <n v="0.53710968146869609"/>
    <x v="14"/>
    <x v="0"/>
    <x v="1"/>
  </r>
  <r>
    <s v="ORD-100577"/>
    <d v="2025-03-14T00:00:00"/>
    <d v="2025-03-18T00:00:00"/>
    <x v="2"/>
    <s v="Bristol"/>
    <s v="Corporate"/>
    <s v="Retail Store"/>
    <s v="P-015"/>
    <n v="5"/>
    <n v="0"/>
    <n v="29.57"/>
    <n v="6.75"/>
    <x v="8"/>
    <x v="2"/>
    <s v="Luma Imports"/>
    <n v="3.3"/>
    <n v="6.13"/>
    <n v="16.5"/>
    <n v="6.32"/>
    <n v="0.2137301318904295"/>
    <x v="2"/>
    <x v="1"/>
    <x v="0"/>
  </r>
  <r>
    <s v="ORD-100578"/>
    <d v="2025-09-22T00:00:00"/>
    <d v="2025-09-26T00:00:00"/>
    <x v="2"/>
    <s v="Brighton"/>
    <s v="Home Office"/>
    <s v="B2B Sales"/>
    <s v="P-007"/>
    <n v="3"/>
    <n v="0"/>
    <n v="183.09"/>
    <n v="8.25"/>
    <x v="7"/>
    <x v="0"/>
    <s v="Luma Imports"/>
    <n v="31.34"/>
    <n v="56.49"/>
    <n v="94.02"/>
    <n v="80.820000000000007"/>
    <n v="0.44142225135179425"/>
    <x v="11"/>
    <x v="1"/>
    <x v="0"/>
  </r>
  <r>
    <s v="ORD-100579"/>
    <d v="2025-02-25T00:00:00"/>
    <d v="2025-03-01T00:00:00"/>
    <x v="0"/>
    <s v="Liverpool"/>
    <s v="Small Business"/>
    <s v="Online"/>
    <s v="P-012"/>
    <n v="13"/>
    <n v="0"/>
    <n v="91.92"/>
    <n v="6.21"/>
    <x v="14"/>
    <x v="2"/>
    <s v="Luma Imports"/>
    <n v="4.5"/>
    <n v="8.2899999999999991"/>
    <n v="58.5"/>
    <n v="27.21"/>
    <n v="0.29601827676240211"/>
    <x v="5"/>
    <x v="1"/>
    <x v="0"/>
  </r>
  <r>
    <s v="ORD-100580"/>
    <d v="2025-02-23T00:00:00"/>
    <d v="2025-02-26T00:00:00"/>
    <x v="2"/>
    <s v="Brighton"/>
    <s v="Small Business"/>
    <s v="Online"/>
    <s v="P-003"/>
    <n v="3"/>
    <n v="0"/>
    <n v="317.26"/>
    <n v="11.4"/>
    <x v="1"/>
    <x v="1"/>
    <s v="Orbit Supply Co."/>
    <n v="71.489999999999995"/>
    <n v="112.88"/>
    <n v="214.46999999999997"/>
    <n v="91.390000000000015"/>
    <n v="0.28806026602786361"/>
    <x v="5"/>
    <x v="1"/>
    <x v="0"/>
  </r>
  <r>
    <s v="ORD-100581"/>
    <d v="2025-09-22T00:00:00"/>
    <d v="2025-09-25T00:00:00"/>
    <x v="3"/>
    <s v="Newcastle"/>
    <s v="Home Office"/>
    <s v="Online"/>
    <s v="P-004"/>
    <n v="2"/>
    <n v="0"/>
    <n v="235.73"/>
    <n v="5.46"/>
    <x v="5"/>
    <x v="1"/>
    <s v="Cedar Distribution"/>
    <n v="63.6"/>
    <n v="107.94"/>
    <n v="127.2"/>
    <n v="103.07"/>
    <n v="0.43723751749883338"/>
    <x v="11"/>
    <x v="1"/>
    <x v="0"/>
  </r>
  <r>
    <s v="ORD-100582"/>
    <d v="2025-07-01T00:00:00"/>
    <d v="2025-07-07T00:00:00"/>
    <x v="1"/>
    <s v="Peterborough"/>
    <s v="Small Business"/>
    <s v="B2B Sales"/>
    <s v="P-003"/>
    <n v="2"/>
    <n v="0.05"/>
    <n v="202.46"/>
    <n v="5.46"/>
    <x v="1"/>
    <x v="1"/>
    <s v="Orbit Supply Co."/>
    <n v="71.489999999999995"/>
    <n v="112.88"/>
    <n v="142.97999999999999"/>
    <n v="54.020000000000017"/>
    <n v="0.26681813691593409"/>
    <x v="4"/>
    <x v="0"/>
    <x v="0"/>
  </r>
  <r>
    <s v="ORD-100583"/>
    <d v="2024-10-13T00:00:00"/>
    <d v="2024-10-15T00:00:00"/>
    <x v="1"/>
    <s v="Peterborough"/>
    <s v="Home Office"/>
    <s v="Online"/>
    <s v="P-005"/>
    <n v="4"/>
    <n v="0"/>
    <n v="228.35"/>
    <n v="9.5"/>
    <x v="13"/>
    <x v="0"/>
    <s v="Apex Wholesale"/>
    <n v="25.33"/>
    <n v="51.56"/>
    <n v="101.32"/>
    <n v="117.53"/>
    <n v="0.51469235822202763"/>
    <x v="3"/>
    <x v="1"/>
    <x v="1"/>
  </r>
  <r>
    <s v="ORD-100584"/>
    <d v="2025-03-02T00:00:00"/>
    <d v="2025-03-06T00:00:00"/>
    <x v="1"/>
    <s v="Norwich"/>
    <s v="Small Business"/>
    <s v="B2B Sales"/>
    <s v="P-001"/>
    <n v="3"/>
    <n v="0"/>
    <n v="808.55"/>
    <n v="11.4"/>
    <x v="12"/>
    <x v="1"/>
    <s v="Luma Imports"/>
    <n v="173.56"/>
    <n v="286.14999999999998"/>
    <n v="520.68000000000006"/>
    <n v="276.46999999999991"/>
    <n v="0.34193309009956085"/>
    <x v="2"/>
    <x v="1"/>
    <x v="0"/>
  </r>
  <r>
    <s v="ORD-100585"/>
    <d v="2024-12-15T00:00:00"/>
    <d v="2024-12-17T00:00:00"/>
    <x v="0"/>
    <s v="Liverpool"/>
    <s v="Corporate"/>
    <s v="B2B Sales"/>
    <s v="P-006"/>
    <n v="2"/>
    <n v="0.15"/>
    <n v="278.27999999999997"/>
    <n v="4.2"/>
    <x v="10"/>
    <x v="0"/>
    <s v="Apex Wholesale"/>
    <n v="54.95"/>
    <n v="112.56"/>
    <n v="109.9"/>
    <n v="164.17999999999998"/>
    <n v="0.58998131378467733"/>
    <x v="9"/>
    <x v="2"/>
    <x v="1"/>
  </r>
  <r>
    <s v="ORD-100586"/>
    <d v="2024-11-23T00:00:00"/>
    <d v="2024-11-26T00:00:00"/>
    <x v="1"/>
    <s v="Cambridge"/>
    <s v="Home Office"/>
    <s v="Retail Store"/>
    <s v="P-005"/>
    <n v="3"/>
    <n v="0.15"/>
    <n v="186.25"/>
    <n v="4.95"/>
    <x v="13"/>
    <x v="0"/>
    <s v="Apex Wholesale"/>
    <n v="25.33"/>
    <n v="51.56"/>
    <n v="75.989999999999995"/>
    <n v="105.31"/>
    <n v="0.56542281879194634"/>
    <x v="14"/>
    <x v="2"/>
    <x v="1"/>
  </r>
  <r>
    <s v="ORD-100587"/>
    <d v="2024-09-21T00:00:00"/>
    <d v="2024-09-26T00:00:00"/>
    <x v="2"/>
    <s v="London"/>
    <s v="Corporate"/>
    <s v="Retail Store"/>
    <s v="P-003"/>
    <n v="4"/>
    <n v="0"/>
    <n v="501.71"/>
    <n v="8.2200000000000006"/>
    <x v="1"/>
    <x v="1"/>
    <s v="Orbit Supply Co."/>
    <n v="71.489999999999995"/>
    <n v="112.88"/>
    <n v="285.95999999999998"/>
    <n v="207.53"/>
    <n v="0.41364533296127248"/>
    <x v="23"/>
    <x v="1"/>
    <x v="1"/>
  </r>
  <r>
    <s v="ORD-100588"/>
    <d v="2024-04-24T00:00:00"/>
    <d v="2024-04-29T00:00:00"/>
    <x v="3"/>
    <s v="Leeds"/>
    <s v="Small Business"/>
    <s v="B2B Sales"/>
    <s v="P-013"/>
    <n v="7"/>
    <n v="0"/>
    <n v="78.88"/>
    <n v="7.65"/>
    <x v="11"/>
    <x v="2"/>
    <s v="Apex Wholesale"/>
    <n v="6.33"/>
    <n v="12.16"/>
    <n v="44.31"/>
    <n v="26.919999999999995"/>
    <n v="0.3412778904665314"/>
    <x v="21"/>
    <x v="1"/>
    <x v="1"/>
  </r>
  <r>
    <s v="ORD-100589"/>
    <d v="2024-10-19T00:00:00"/>
    <d v="2024-10-21T00:00:00"/>
    <x v="2"/>
    <s v="Brighton"/>
    <s v="Corporate"/>
    <s v="B2B Sales"/>
    <s v="P-015"/>
    <n v="6"/>
    <n v="0.15"/>
    <n v="35.78"/>
    <n v="4.32"/>
    <x v="8"/>
    <x v="2"/>
    <s v="Luma Imports"/>
    <n v="3.3"/>
    <n v="6.13"/>
    <n v="19.799999999999997"/>
    <n v="11.660000000000004"/>
    <n v="0.32588038010061499"/>
    <x v="3"/>
    <x v="2"/>
    <x v="1"/>
  </r>
  <r>
    <s v="ORD-100590"/>
    <d v="2024-06-27T00:00:00"/>
    <d v="2024-07-01T00:00:00"/>
    <x v="0"/>
    <s v="Liverpool"/>
    <s v="Corporate"/>
    <s v="Retail Store"/>
    <s v="P-014"/>
    <n v="11"/>
    <n v="0"/>
    <n v="318.98"/>
    <n v="5.67"/>
    <x v="3"/>
    <x v="2"/>
    <s v="Orbit Supply Co."/>
    <n v="16.760000000000002"/>
    <n v="27.71"/>
    <n v="184.36"/>
    <n v="128.95000000000002"/>
    <n v="0.40425732020816357"/>
    <x v="17"/>
    <x v="1"/>
    <x v="1"/>
  </r>
  <r>
    <s v="ORD-100591"/>
    <d v="2025-05-13T00:00:00"/>
    <d v="2025-05-17T00:00:00"/>
    <x v="2"/>
    <s v="London"/>
    <s v="Small Business"/>
    <s v="Retail Store"/>
    <s v="P-004"/>
    <n v="2"/>
    <n v="0"/>
    <n v="221.15"/>
    <n v="5.46"/>
    <x v="5"/>
    <x v="1"/>
    <s v="Cedar Distribution"/>
    <n v="63.6"/>
    <n v="107.94"/>
    <n v="127.2"/>
    <n v="88.490000000000009"/>
    <n v="0.40013565453312233"/>
    <x v="1"/>
    <x v="1"/>
    <x v="0"/>
  </r>
  <r>
    <s v="ORD-100592"/>
    <d v="2025-03-07T00:00:00"/>
    <d v="2025-03-12T00:00:00"/>
    <x v="0"/>
    <s v="Birmingham"/>
    <s v="Home Office"/>
    <s v="B2B Sales"/>
    <s v="P-003"/>
    <n v="1"/>
    <n v="0.25"/>
    <n v="81.75"/>
    <n v="6.8"/>
    <x v="1"/>
    <x v="1"/>
    <s v="Orbit Supply Co."/>
    <n v="71.489999999999995"/>
    <n v="112.88"/>
    <n v="71.489999999999995"/>
    <n v="3.4600000000000053"/>
    <n v="4.2324159021406793E-2"/>
    <x v="2"/>
    <x v="3"/>
    <x v="0"/>
  </r>
  <r>
    <s v="ORD-100593"/>
    <d v="2025-06-28T00:00:00"/>
    <d v="2025-07-03T00:00:00"/>
    <x v="2"/>
    <s v="Brighton"/>
    <s v="Small Business"/>
    <s v="Online"/>
    <s v="P-011"/>
    <n v="6"/>
    <n v="0"/>
    <n v="96.54"/>
    <n v="7.2"/>
    <x v="9"/>
    <x v="2"/>
    <s v="Orbit Supply Co."/>
    <n v="7.93"/>
    <n v="14.78"/>
    <n v="47.58"/>
    <n v="41.760000000000005"/>
    <n v="0.43256681168427596"/>
    <x v="0"/>
    <x v="1"/>
    <x v="0"/>
  </r>
  <r>
    <s v="ORD-100594"/>
    <d v="2025-07-08T00:00:00"/>
    <d v="2025-07-14T00:00:00"/>
    <x v="3"/>
    <s v="Leeds"/>
    <s v="Corporate"/>
    <s v="Online"/>
    <s v="P-013"/>
    <n v="5"/>
    <n v="0.25"/>
    <n v="43.06"/>
    <n v="6.75"/>
    <x v="11"/>
    <x v="2"/>
    <s v="Apex Wholesale"/>
    <n v="6.33"/>
    <n v="12.16"/>
    <n v="31.65"/>
    <n v="4.6600000000000037"/>
    <n v="0.10822108685555047"/>
    <x v="4"/>
    <x v="3"/>
    <x v="0"/>
  </r>
  <r>
    <s v="ORD-100595"/>
    <d v="2024-08-14T00:00:00"/>
    <d v="2024-08-17T00:00:00"/>
    <x v="2"/>
    <s v="Brighton"/>
    <s v="Home Office"/>
    <s v="B2B Sales"/>
    <s v="P-011"/>
    <n v="7"/>
    <n v="0"/>
    <n v="95.21"/>
    <n v="4.59"/>
    <x v="9"/>
    <x v="2"/>
    <s v="Orbit Supply Co."/>
    <n v="7.93"/>
    <n v="14.78"/>
    <n v="55.51"/>
    <n v="35.11"/>
    <n v="0.36876378531666842"/>
    <x v="7"/>
    <x v="1"/>
    <x v="1"/>
  </r>
  <r>
    <s v="ORD-100596"/>
    <d v="2024-10-24T00:00:00"/>
    <d v="2024-10-25T00:00:00"/>
    <x v="2"/>
    <s v="Brighton"/>
    <s v="Small Business"/>
    <s v="Online"/>
    <s v="P-015"/>
    <n v="13"/>
    <n v="0.2"/>
    <n v="74.12"/>
    <n v="6.21"/>
    <x v="8"/>
    <x v="2"/>
    <s v="Luma Imports"/>
    <n v="3.3"/>
    <n v="6.13"/>
    <n v="42.9"/>
    <n v="25.010000000000005"/>
    <n v="0.33742579600647604"/>
    <x v="3"/>
    <x v="2"/>
    <x v="1"/>
  </r>
  <r>
    <s v="ORD-100597"/>
    <d v="2024-12-18T00:00:00"/>
    <d v="2024-12-19T00:00:00"/>
    <x v="0"/>
    <s v="Liverpool"/>
    <s v="Small Business"/>
    <s v="Online"/>
    <s v="P-006"/>
    <n v="1"/>
    <n v="0.05"/>
    <n v="147.86000000000001"/>
    <n v="3.45"/>
    <x v="10"/>
    <x v="0"/>
    <s v="Apex Wholesale"/>
    <n v="54.95"/>
    <n v="112.56"/>
    <n v="54.95"/>
    <n v="89.460000000000008"/>
    <n v="0.6050317868253754"/>
    <x v="9"/>
    <x v="0"/>
    <x v="1"/>
  </r>
  <r>
    <s v="ORD-100598"/>
    <d v="2024-06-25T00:00:00"/>
    <d v="2024-06-28T00:00:00"/>
    <x v="0"/>
    <s v="Cardiff"/>
    <s v="Corporate"/>
    <s v="Online"/>
    <s v="P-008"/>
    <n v="3"/>
    <n v="0.2"/>
    <n v="485.75"/>
    <n v="8.25"/>
    <x v="6"/>
    <x v="0"/>
    <s v="Vertex Trade"/>
    <n v="112.09"/>
    <n v="192.47"/>
    <n v="336.27"/>
    <n v="141.23000000000002"/>
    <n v="0.29074626865671643"/>
    <x v="17"/>
    <x v="2"/>
    <x v="1"/>
  </r>
  <r>
    <s v="ORD-100599"/>
    <d v="2024-05-05T00:00:00"/>
    <d v="2024-05-06T00:00:00"/>
    <x v="2"/>
    <s v="London"/>
    <s v="Corporate"/>
    <s v="Online"/>
    <s v="P-015"/>
    <n v="7"/>
    <n v="0.2"/>
    <n v="34.020000000000003"/>
    <n v="4.59"/>
    <x v="8"/>
    <x v="2"/>
    <s v="Luma Imports"/>
    <n v="3.3"/>
    <n v="6.13"/>
    <n v="23.099999999999998"/>
    <n v="6.3300000000000054"/>
    <n v="0.18606701940035286"/>
    <x v="8"/>
    <x v="2"/>
    <x v="1"/>
  </r>
  <r>
    <s v="ORD-100600"/>
    <d v="2025-09-03T00:00:00"/>
    <d v="2025-09-05T00:00:00"/>
    <x v="1"/>
    <s v="Cambridge"/>
    <s v="Home Office"/>
    <s v="Online"/>
    <s v="P-007"/>
    <n v="4"/>
    <n v="0"/>
    <n v="240.48"/>
    <n v="5.7"/>
    <x v="7"/>
    <x v="0"/>
    <s v="Luma Imports"/>
    <n v="31.34"/>
    <n v="56.49"/>
    <n v="125.36"/>
    <n v="109.41999999999999"/>
    <n v="0.45500665335994672"/>
    <x v="11"/>
    <x v="1"/>
    <x v="0"/>
  </r>
  <r>
    <s v="ORD-100601"/>
    <d v="2025-05-04T00:00:00"/>
    <d v="2025-05-07T00:00:00"/>
    <x v="3"/>
    <s v="Newcastle"/>
    <s v="Home Office"/>
    <s v="Online"/>
    <s v="P-013"/>
    <n v="7"/>
    <n v="0.25"/>
    <n v="61.58"/>
    <n v="4.59"/>
    <x v="11"/>
    <x v="2"/>
    <s v="Apex Wholesale"/>
    <n v="6.33"/>
    <n v="12.16"/>
    <n v="44.31"/>
    <n v="12.679999999999996"/>
    <n v="0.20591101006820389"/>
    <x v="1"/>
    <x v="3"/>
    <x v="0"/>
  </r>
  <r>
    <s v="ORD-100602"/>
    <d v="2025-04-04T00:00:00"/>
    <d v="2025-04-09T00:00:00"/>
    <x v="1"/>
    <s v="Cambridge"/>
    <s v="Small Business"/>
    <s v="Retail Store"/>
    <s v="P-007"/>
    <n v="4"/>
    <n v="0.1"/>
    <n v="208.9"/>
    <n v="9.5"/>
    <x v="7"/>
    <x v="0"/>
    <s v="Luma Imports"/>
    <n v="31.34"/>
    <n v="56.49"/>
    <n v="125.36"/>
    <n v="74.040000000000006"/>
    <n v="0.35442795595978938"/>
    <x v="15"/>
    <x v="0"/>
    <x v="0"/>
  </r>
  <r>
    <s v="ORD-100603"/>
    <d v="2025-09-11T00:00:00"/>
    <d v="2025-09-16T00:00:00"/>
    <x v="3"/>
    <s v="Leeds"/>
    <s v="Corporate"/>
    <s v="Online"/>
    <s v="P-004"/>
    <n v="2"/>
    <n v="0"/>
    <n v="235.3"/>
    <n v="9.1"/>
    <x v="5"/>
    <x v="1"/>
    <s v="Cedar Distribution"/>
    <n v="63.6"/>
    <n v="107.94"/>
    <n v="127.2"/>
    <n v="99.000000000000014"/>
    <n v="0.4207394815129622"/>
    <x v="11"/>
    <x v="1"/>
    <x v="0"/>
  </r>
  <r>
    <s v="ORD-100604"/>
    <d v="2024-10-17T00:00:00"/>
    <d v="2024-10-21T00:00:00"/>
    <x v="1"/>
    <s v="Peterborough"/>
    <s v="Small Business"/>
    <s v="Retail Store"/>
    <s v="P-009"/>
    <n v="4"/>
    <n v="0.1"/>
    <n v="514.55999999999995"/>
    <n v="5.7"/>
    <x v="0"/>
    <x v="0"/>
    <s v="Apex Wholesale"/>
    <n v="63.69"/>
    <n v="125.5"/>
    <n v="254.76"/>
    <n v="254.09999999999997"/>
    <n v="0.49381996268656714"/>
    <x v="3"/>
    <x v="0"/>
    <x v="1"/>
  </r>
  <r>
    <s v="ORD-100605"/>
    <d v="2025-11-27T00:00:00"/>
    <d v="2025-12-03T00:00:00"/>
    <x v="2"/>
    <s v="London"/>
    <s v="Small Business"/>
    <s v="B2B Sales"/>
    <s v="P-007"/>
    <n v="1"/>
    <n v="0"/>
    <n v="74.41"/>
    <n v="3.45"/>
    <x v="7"/>
    <x v="0"/>
    <s v="Luma Imports"/>
    <n v="31.34"/>
    <n v="56.49"/>
    <n v="31.34"/>
    <n v="39.61999999999999"/>
    <n v="0.53245531514581368"/>
    <x v="19"/>
    <x v="1"/>
    <x v="0"/>
  </r>
  <r>
    <s v="ORD-100606"/>
    <d v="2025-05-21T00:00:00"/>
    <d v="2025-05-27T00:00:00"/>
    <x v="1"/>
    <s v="Norwich"/>
    <s v="Small Business"/>
    <s v="Retail Store"/>
    <s v="P-008"/>
    <n v="5"/>
    <n v="0.25"/>
    <n v="723.31"/>
    <n v="6.45"/>
    <x v="6"/>
    <x v="0"/>
    <s v="Vertex Trade"/>
    <n v="112.09"/>
    <n v="192.47"/>
    <n v="560.45000000000005"/>
    <n v="156.40999999999991"/>
    <n v="0.21624199858981616"/>
    <x v="1"/>
    <x v="3"/>
    <x v="0"/>
  </r>
  <r>
    <s v="ORD-100607"/>
    <d v="2025-12-01T00:00:00"/>
    <d v="2025-12-04T00:00:00"/>
    <x v="1"/>
    <s v="Norwich"/>
    <s v="Small Business"/>
    <s v="Retail Store"/>
    <s v="P-010"/>
    <n v="6"/>
    <n v="0.15"/>
    <n v="42.49"/>
    <n v="7.2"/>
    <x v="4"/>
    <x v="2"/>
    <s v="Orbit Supply Co."/>
    <n v="3.62"/>
    <n v="6.03"/>
    <n v="21.72"/>
    <n v="13.570000000000004"/>
    <n v="0.31936926335608384"/>
    <x v="13"/>
    <x v="2"/>
    <x v="0"/>
  </r>
  <r>
    <s v="ORD-100608"/>
    <d v="2024-12-08T00:00:00"/>
    <d v="2024-12-09T00:00:00"/>
    <x v="2"/>
    <s v="London"/>
    <s v="Small Business"/>
    <s v="Retail Store"/>
    <s v="P-012"/>
    <n v="4"/>
    <n v="0"/>
    <n v="47.36"/>
    <n v="3.78"/>
    <x v="14"/>
    <x v="2"/>
    <s v="Luma Imports"/>
    <n v="4.5"/>
    <n v="8.2899999999999991"/>
    <n v="18"/>
    <n v="25.58"/>
    <n v="0.5401182432432432"/>
    <x v="9"/>
    <x v="1"/>
    <x v="1"/>
  </r>
  <r>
    <s v="ORD-100609"/>
    <d v="2025-01-23T00:00:00"/>
    <d v="2025-01-28T00:00:00"/>
    <x v="3"/>
    <s v="Manchester"/>
    <s v="Corporate"/>
    <s v="Online"/>
    <s v="P-005"/>
    <n v="2"/>
    <n v="0"/>
    <n v="87.13"/>
    <n v="4.2"/>
    <x v="13"/>
    <x v="0"/>
    <s v="Apex Wholesale"/>
    <n v="25.33"/>
    <n v="51.56"/>
    <n v="50.66"/>
    <n v="32.269999999999996"/>
    <n v="0.37036611959141508"/>
    <x v="20"/>
    <x v="1"/>
    <x v="0"/>
  </r>
  <r>
    <s v="ORD-100610"/>
    <d v="2024-01-10T00:00:00"/>
    <d v="2024-01-11T00:00:00"/>
    <x v="2"/>
    <s v="London"/>
    <s v="Home Office"/>
    <s v="Retail Store"/>
    <s v="P-013"/>
    <n v="5"/>
    <n v="0"/>
    <n v="56.03"/>
    <n v="4.05"/>
    <x v="11"/>
    <x v="2"/>
    <s v="Apex Wholesale"/>
    <n v="6.33"/>
    <n v="12.16"/>
    <n v="31.65"/>
    <n v="20.330000000000002"/>
    <n v="0.36284133499910765"/>
    <x v="18"/>
    <x v="1"/>
    <x v="1"/>
  </r>
  <r>
    <s v="ORD-100611"/>
    <d v="2025-10-12T00:00:00"/>
    <d v="2025-10-14T00:00:00"/>
    <x v="3"/>
    <s v="Manchester"/>
    <s v="Home Office"/>
    <s v="Retail Store"/>
    <s v="P-010"/>
    <n v="14"/>
    <n v="0"/>
    <n v="100.06"/>
    <n v="10.8"/>
    <x v="4"/>
    <x v="2"/>
    <s v="Orbit Supply Co."/>
    <n v="3.62"/>
    <n v="6.03"/>
    <n v="50.68"/>
    <n v="38.58"/>
    <n v="0.38556865880471713"/>
    <x v="22"/>
    <x v="1"/>
    <x v="0"/>
  </r>
  <r>
    <s v="ORD-100612"/>
    <d v="2024-12-06T00:00:00"/>
    <d v="2024-12-09T00:00:00"/>
    <x v="1"/>
    <s v="Norwich"/>
    <s v="Small Business"/>
    <s v="Retail Store"/>
    <s v="P-009"/>
    <n v="3"/>
    <n v="0.25"/>
    <n v="404.69"/>
    <n v="8.25"/>
    <x v="0"/>
    <x v="0"/>
    <s v="Apex Wholesale"/>
    <n v="63.69"/>
    <n v="125.5"/>
    <n v="191.07"/>
    <n v="205.37"/>
    <n v="0.50747485729817887"/>
    <x v="9"/>
    <x v="3"/>
    <x v="1"/>
  </r>
  <r>
    <s v="ORD-100613"/>
    <d v="2024-10-11T00:00:00"/>
    <d v="2024-10-12T00:00:00"/>
    <x v="0"/>
    <s v="Cardiff"/>
    <s v="Corporate"/>
    <s v="Retail Store"/>
    <s v="P-002"/>
    <n v="7"/>
    <n v="0"/>
    <n v="1648.94"/>
    <n v="12.36"/>
    <x v="2"/>
    <x v="1"/>
    <s v="Vertex Trade"/>
    <n v="119.02"/>
    <n v="205.39"/>
    <n v="833.14"/>
    <n v="803.44"/>
    <n v="0.48724635220202073"/>
    <x v="3"/>
    <x v="1"/>
    <x v="1"/>
  </r>
  <r>
    <s v="ORD-100614"/>
    <d v="2024-01-31T00:00:00"/>
    <d v="2024-02-04T00:00:00"/>
    <x v="0"/>
    <s v="Birmingham"/>
    <s v="Corporate"/>
    <s v="B2B Sales"/>
    <s v="P-002"/>
    <n v="2"/>
    <n v="0.2"/>
    <n v="297.14"/>
    <n v="5.46"/>
    <x v="2"/>
    <x v="1"/>
    <s v="Vertex Trade"/>
    <n v="119.02"/>
    <n v="205.39"/>
    <n v="238.04"/>
    <n v="53.639999999999993"/>
    <n v="0.18052096654775526"/>
    <x v="18"/>
    <x v="2"/>
    <x v="1"/>
  </r>
  <r>
    <s v="ORD-100615"/>
    <d v="2025-04-19T00:00:00"/>
    <d v="2025-04-23T00:00:00"/>
    <x v="3"/>
    <s v="Manchester"/>
    <s v="Small Business"/>
    <s v="Retail Store"/>
    <s v="P-005"/>
    <n v="3"/>
    <n v="0.15"/>
    <n v="132.31"/>
    <n v="4.95"/>
    <x v="13"/>
    <x v="0"/>
    <s v="Apex Wholesale"/>
    <n v="25.33"/>
    <n v="51.56"/>
    <n v="75.989999999999995"/>
    <n v="51.370000000000005"/>
    <n v="0.38825485601995319"/>
    <x v="15"/>
    <x v="2"/>
    <x v="0"/>
  </r>
  <r>
    <s v="ORD-100616"/>
    <d v="2025-01-12T00:00:00"/>
    <d v="2025-01-18T00:00:00"/>
    <x v="1"/>
    <s v="Peterborough"/>
    <s v="Home Office"/>
    <s v="Online"/>
    <s v="P-013"/>
    <n v="3"/>
    <n v="0.2"/>
    <n v="25.32"/>
    <n v="5.85"/>
    <x v="11"/>
    <x v="2"/>
    <s v="Apex Wholesale"/>
    <n v="6.33"/>
    <n v="12.16"/>
    <n v="18.990000000000002"/>
    <n v="0.47999999999999865"/>
    <n v="1.8957345971563927E-2"/>
    <x v="20"/>
    <x v="2"/>
    <x v="0"/>
  </r>
  <r>
    <s v="ORD-100617"/>
    <d v="2025-03-31T00:00:00"/>
    <d v="2025-04-05T00:00:00"/>
    <x v="1"/>
    <s v="Peterborough"/>
    <s v="Corporate"/>
    <s v="B2B Sales"/>
    <s v="P-008"/>
    <n v="2"/>
    <n v="0.1"/>
    <n v="327.04000000000002"/>
    <n v="7"/>
    <x v="6"/>
    <x v="0"/>
    <s v="Vertex Trade"/>
    <n v="112.09"/>
    <n v="192.47"/>
    <n v="224.18"/>
    <n v="95.860000000000014"/>
    <n v="0.29311399217221135"/>
    <x v="2"/>
    <x v="0"/>
    <x v="0"/>
  </r>
  <r>
    <s v="ORD-100618"/>
    <d v="2025-01-12T00:00:00"/>
    <d v="2025-01-15T00:00:00"/>
    <x v="3"/>
    <s v="Newcastle"/>
    <s v="Small Business"/>
    <s v="B2B Sales"/>
    <s v="P-008"/>
    <n v="2"/>
    <n v="0.25"/>
    <n v="256.58"/>
    <n v="4.2"/>
    <x v="6"/>
    <x v="0"/>
    <s v="Vertex Trade"/>
    <n v="112.09"/>
    <n v="192.47"/>
    <n v="224.18"/>
    <n v="28.199999999999978"/>
    <n v="0.10990724140618903"/>
    <x v="20"/>
    <x v="3"/>
    <x v="0"/>
  </r>
  <r>
    <s v="ORD-100619"/>
    <d v="2025-11-08T00:00:00"/>
    <d v="2025-11-14T00:00:00"/>
    <x v="0"/>
    <s v="Birmingham"/>
    <s v="Small Business"/>
    <s v="B2B Sales"/>
    <s v="P-001"/>
    <n v="3"/>
    <n v="0"/>
    <n v="1221.1400000000001"/>
    <n v="11.4"/>
    <x v="12"/>
    <x v="1"/>
    <s v="Luma Imports"/>
    <n v="173.56"/>
    <n v="286.14999999999998"/>
    <n v="520.68000000000006"/>
    <n v="689.06000000000006"/>
    <n v="0.56427600438934111"/>
    <x v="19"/>
    <x v="1"/>
    <x v="0"/>
  </r>
  <r>
    <s v="ORD-100620"/>
    <d v="2025-05-21T00:00:00"/>
    <d v="2025-05-25T00:00:00"/>
    <x v="0"/>
    <s v="Birmingham"/>
    <s v="Corporate"/>
    <s v="Online"/>
    <s v="P-004"/>
    <n v="4"/>
    <n v="0.2"/>
    <n v="336.15"/>
    <n v="8.2200000000000006"/>
    <x v="5"/>
    <x v="1"/>
    <s v="Cedar Distribution"/>
    <n v="63.6"/>
    <n v="107.94"/>
    <n v="254.4"/>
    <n v="73.529999999999973"/>
    <n v="0.21874163319946446"/>
    <x v="1"/>
    <x v="2"/>
    <x v="0"/>
  </r>
  <r>
    <s v="ORD-100621"/>
    <d v="2024-08-20T00:00:00"/>
    <d v="2024-08-26T00:00:00"/>
    <x v="3"/>
    <s v="Leeds"/>
    <s v="Corporate"/>
    <s v="B2B Sales"/>
    <s v="P-013"/>
    <n v="6"/>
    <n v="0.25"/>
    <n v="53.12"/>
    <n v="4.32"/>
    <x v="11"/>
    <x v="2"/>
    <s v="Apex Wholesale"/>
    <n v="6.33"/>
    <n v="12.16"/>
    <n v="37.980000000000004"/>
    <n v="10.819999999999993"/>
    <n v="0.20368975903614445"/>
    <x v="7"/>
    <x v="3"/>
    <x v="1"/>
  </r>
  <r>
    <s v="ORD-100622"/>
    <d v="2025-03-11T00:00:00"/>
    <d v="2025-03-16T00:00:00"/>
    <x v="3"/>
    <s v="Manchester"/>
    <s v="Small Business"/>
    <s v="B2B Sales"/>
    <s v="P-015"/>
    <n v="6"/>
    <n v="0.05"/>
    <n v="31.61"/>
    <n v="4.32"/>
    <x v="8"/>
    <x v="2"/>
    <s v="Luma Imports"/>
    <n v="3.3"/>
    <n v="6.13"/>
    <n v="19.799999999999997"/>
    <n v="7.490000000000002"/>
    <n v="0.23695033217336292"/>
    <x v="2"/>
    <x v="0"/>
    <x v="0"/>
  </r>
  <r>
    <s v="ORD-100623"/>
    <d v="2025-11-18T00:00:00"/>
    <d v="2025-11-21T00:00:00"/>
    <x v="3"/>
    <s v="Manchester"/>
    <s v="Corporate"/>
    <s v="Retail Store"/>
    <s v="P-008"/>
    <n v="2"/>
    <n v="0.25"/>
    <n v="397.72"/>
    <n v="7"/>
    <x v="6"/>
    <x v="0"/>
    <s v="Vertex Trade"/>
    <n v="112.09"/>
    <n v="192.47"/>
    <n v="224.18"/>
    <n v="166.54000000000002"/>
    <n v="0.41873679975862416"/>
    <x v="19"/>
    <x v="3"/>
    <x v="0"/>
  </r>
  <r>
    <s v="ORD-100624"/>
    <d v="2025-08-22T00:00:00"/>
    <d v="2025-08-25T00:00:00"/>
    <x v="2"/>
    <s v="London"/>
    <s v="Corporate"/>
    <s v="B2B Sales"/>
    <s v="P-011"/>
    <n v="7"/>
    <n v="0"/>
    <n v="92.67"/>
    <n v="7.65"/>
    <x v="9"/>
    <x v="2"/>
    <s v="Orbit Supply Co."/>
    <n v="7.93"/>
    <n v="14.78"/>
    <n v="55.51"/>
    <n v="29.510000000000005"/>
    <n v="0.3184417826696882"/>
    <x v="6"/>
    <x v="1"/>
    <x v="0"/>
  </r>
  <r>
    <s v="ORD-100625"/>
    <d v="2024-07-05T00:00:00"/>
    <d v="2024-07-09T00:00:00"/>
    <x v="3"/>
    <s v="Leeds"/>
    <s v="Home Office"/>
    <s v="B2B Sales"/>
    <s v="P-006"/>
    <n v="4"/>
    <n v="0.1"/>
    <n v="368.52"/>
    <n v="9.5"/>
    <x v="10"/>
    <x v="0"/>
    <s v="Apex Wholesale"/>
    <n v="54.95"/>
    <n v="112.56"/>
    <n v="219.8"/>
    <n v="139.21999999999997"/>
    <n v="0.37778139585368498"/>
    <x v="16"/>
    <x v="0"/>
    <x v="1"/>
  </r>
  <r>
    <s v="ORD-100626"/>
    <d v="2024-07-22T00:00:00"/>
    <d v="2024-07-24T00:00:00"/>
    <x v="2"/>
    <s v="London"/>
    <s v="Corporate"/>
    <s v="Online"/>
    <s v="P-013"/>
    <n v="3"/>
    <n v="0"/>
    <n v="32.21"/>
    <n v="5.85"/>
    <x v="11"/>
    <x v="2"/>
    <s v="Apex Wholesale"/>
    <n v="6.33"/>
    <n v="12.16"/>
    <n v="18.990000000000002"/>
    <n v="7.3699999999999992"/>
    <n v="0.22881092828314184"/>
    <x v="16"/>
    <x v="1"/>
    <x v="1"/>
  </r>
  <r>
    <s v="ORD-100627"/>
    <d v="2024-08-29T00:00:00"/>
    <d v="2024-09-03T00:00:00"/>
    <x v="1"/>
    <s v="Norwich"/>
    <s v="Home Office"/>
    <s v="Retail Store"/>
    <s v="P-014"/>
    <n v="14"/>
    <n v="0.1"/>
    <n v="324.54000000000002"/>
    <n v="10.8"/>
    <x v="3"/>
    <x v="2"/>
    <s v="Orbit Supply Co."/>
    <n v="16.760000000000002"/>
    <n v="27.71"/>
    <n v="234.64000000000001"/>
    <n v="79.100000000000009"/>
    <n v="0.24372958649164972"/>
    <x v="7"/>
    <x v="0"/>
    <x v="1"/>
  </r>
  <r>
    <s v="ORD-100628"/>
    <d v="2025-09-12T00:00:00"/>
    <d v="2025-09-15T00:00:00"/>
    <x v="3"/>
    <s v="Manchester"/>
    <s v="Small Business"/>
    <s v="B2B Sales"/>
    <s v="P-008"/>
    <n v="1"/>
    <n v="0"/>
    <n v="206.56"/>
    <n v="3.45"/>
    <x v="6"/>
    <x v="0"/>
    <s v="Vertex Trade"/>
    <n v="112.09"/>
    <n v="192.47"/>
    <n v="112.09"/>
    <n v="91.02"/>
    <n v="0.44064678543764524"/>
    <x v="11"/>
    <x v="1"/>
    <x v="0"/>
  </r>
  <r>
    <s v="ORD-100629"/>
    <d v="2025-10-24T00:00:00"/>
    <d v="2025-10-25T00:00:00"/>
    <x v="3"/>
    <s v="Leeds"/>
    <s v="Home Office"/>
    <s v="B2B Sales"/>
    <s v="P-005"/>
    <n v="4"/>
    <n v="0"/>
    <n v="243.15"/>
    <n v="5.7"/>
    <x v="13"/>
    <x v="0"/>
    <s v="Apex Wholesale"/>
    <n v="25.33"/>
    <n v="51.56"/>
    <n v="101.32"/>
    <n v="136.13000000000002"/>
    <n v="0.55986016862019339"/>
    <x v="22"/>
    <x v="1"/>
    <x v="0"/>
  </r>
  <r>
    <s v="ORD-100630"/>
    <d v="2024-08-11T00:00:00"/>
    <d v="2024-08-17T00:00:00"/>
    <x v="1"/>
    <s v="Cambridge"/>
    <s v="Small Business"/>
    <s v="B2B Sales"/>
    <s v="P-013"/>
    <n v="8"/>
    <n v="0.05"/>
    <n v="93.06"/>
    <n v="4.8600000000000003"/>
    <x v="11"/>
    <x v="2"/>
    <s v="Apex Wholesale"/>
    <n v="6.33"/>
    <n v="12.16"/>
    <n v="50.64"/>
    <n v="37.56"/>
    <n v="0.40361057382333981"/>
    <x v="7"/>
    <x v="0"/>
    <x v="1"/>
  </r>
  <r>
    <s v="ORD-100631"/>
    <d v="2024-01-27T00:00:00"/>
    <d v="2024-01-31T00:00:00"/>
    <x v="1"/>
    <s v="Norwich"/>
    <s v="Small Business"/>
    <s v="Retail Store"/>
    <s v="P-006"/>
    <n v="1"/>
    <n v="0"/>
    <n v="96.96"/>
    <n v="5.75"/>
    <x v="10"/>
    <x v="0"/>
    <s v="Apex Wholesale"/>
    <n v="54.95"/>
    <n v="112.56"/>
    <n v="54.95"/>
    <n v="36.259999999999991"/>
    <n v="0.37396864686468639"/>
    <x v="18"/>
    <x v="1"/>
    <x v="1"/>
  </r>
  <r>
    <s v="ORD-100632"/>
    <d v="2024-03-04T00:00:00"/>
    <d v="2024-03-05T00:00:00"/>
    <x v="3"/>
    <s v="Leeds"/>
    <s v="Home Office"/>
    <s v="Retail Store"/>
    <s v="P-011"/>
    <n v="6"/>
    <n v="0"/>
    <n v="84.93"/>
    <n v="7.2"/>
    <x v="9"/>
    <x v="2"/>
    <s v="Orbit Supply Co."/>
    <n v="7.93"/>
    <n v="14.78"/>
    <n v="47.58"/>
    <n v="30.150000000000009"/>
    <n v="0.35499823383963269"/>
    <x v="10"/>
    <x v="1"/>
    <x v="1"/>
  </r>
  <r>
    <s v="ORD-100633"/>
    <d v="2025-08-19T00:00:00"/>
    <d v="2025-08-21T00:00:00"/>
    <x v="3"/>
    <s v="Manchester"/>
    <s v="Small Business"/>
    <s v="Online"/>
    <s v="P-005"/>
    <n v="1"/>
    <n v="0"/>
    <n v="51.08"/>
    <n v="3.45"/>
    <x v="13"/>
    <x v="0"/>
    <s v="Apex Wholesale"/>
    <n v="25.33"/>
    <n v="51.56"/>
    <n v="25.33"/>
    <n v="22.3"/>
    <n v="0.43657008613938925"/>
    <x v="6"/>
    <x v="1"/>
    <x v="0"/>
  </r>
  <r>
    <s v="ORD-100634"/>
    <d v="2024-11-05T00:00:00"/>
    <d v="2024-11-06T00:00:00"/>
    <x v="0"/>
    <s v="Liverpool"/>
    <s v="Home Office"/>
    <s v="Online"/>
    <s v="P-008"/>
    <n v="2"/>
    <n v="0.15"/>
    <n v="443.73"/>
    <n v="7"/>
    <x v="6"/>
    <x v="0"/>
    <s v="Vertex Trade"/>
    <n v="112.09"/>
    <n v="192.47"/>
    <n v="224.18"/>
    <n v="212.55"/>
    <n v="0.47900750456358598"/>
    <x v="14"/>
    <x v="2"/>
    <x v="1"/>
  </r>
  <r>
    <s v="ORD-100635"/>
    <d v="2024-12-11T00:00:00"/>
    <d v="2024-12-12T00:00:00"/>
    <x v="1"/>
    <s v="Cambridge"/>
    <s v="Small Business"/>
    <s v="Online"/>
    <s v="P-014"/>
    <n v="3"/>
    <n v="0"/>
    <n v="114.06"/>
    <n v="5.85"/>
    <x v="3"/>
    <x v="2"/>
    <s v="Orbit Supply Co."/>
    <n v="16.760000000000002"/>
    <n v="27.71"/>
    <n v="50.28"/>
    <n v="57.93"/>
    <n v="0.50789058390320885"/>
    <x v="9"/>
    <x v="1"/>
    <x v="1"/>
  </r>
  <r>
    <s v="ORD-100636"/>
    <d v="2024-06-23T00:00:00"/>
    <d v="2024-06-28T00:00:00"/>
    <x v="0"/>
    <s v="Liverpool"/>
    <s v="Small Business"/>
    <s v="Retail Store"/>
    <s v="P-004"/>
    <n v="7"/>
    <n v="0"/>
    <n v="829.96"/>
    <n v="12.36"/>
    <x v="5"/>
    <x v="1"/>
    <s v="Cedar Distribution"/>
    <n v="63.6"/>
    <n v="107.94"/>
    <n v="445.2"/>
    <n v="372.40000000000003"/>
    <n v="0.44869632271434773"/>
    <x v="17"/>
    <x v="1"/>
    <x v="1"/>
  </r>
  <r>
    <s v="ORD-100637"/>
    <d v="2024-06-22T00:00:00"/>
    <d v="2024-06-28T00:00:00"/>
    <x v="3"/>
    <s v="Manchester"/>
    <s v="Small Business"/>
    <s v="Retail Store"/>
    <s v="P-011"/>
    <n v="5"/>
    <n v="0.2"/>
    <n v="62.81"/>
    <n v="4.05"/>
    <x v="9"/>
    <x v="2"/>
    <s v="Orbit Supply Co."/>
    <n v="7.93"/>
    <n v="14.78"/>
    <n v="39.65"/>
    <n v="19.110000000000003"/>
    <n v="0.30425091545932181"/>
    <x v="17"/>
    <x v="2"/>
    <x v="1"/>
  </r>
  <r>
    <s v="ORD-100638"/>
    <d v="2025-01-15T00:00:00"/>
    <d v="2025-01-16T00:00:00"/>
    <x v="3"/>
    <s v="Leeds"/>
    <s v="Corporate"/>
    <s v="Retail Store"/>
    <s v="P-012"/>
    <n v="12"/>
    <n v="0"/>
    <n v="83.82"/>
    <n v="5.94"/>
    <x v="14"/>
    <x v="2"/>
    <s v="Luma Imports"/>
    <n v="4.5"/>
    <n v="8.2899999999999991"/>
    <n v="54"/>
    <n v="23.879999999999992"/>
    <n v="0.2848962061560486"/>
    <x v="20"/>
    <x v="1"/>
    <x v="0"/>
  </r>
  <r>
    <s v="ORD-100639"/>
    <d v="2025-07-03T00:00:00"/>
    <d v="2025-07-09T00:00:00"/>
    <x v="3"/>
    <s v="Leeds"/>
    <s v="Corporate"/>
    <s v="B2B Sales"/>
    <s v="P-014"/>
    <n v="6"/>
    <n v="0"/>
    <n v="149"/>
    <n v="7.2"/>
    <x v="3"/>
    <x v="2"/>
    <s v="Orbit Supply Co."/>
    <n v="16.760000000000002"/>
    <n v="27.71"/>
    <n v="100.56"/>
    <n v="41.239999999999995"/>
    <n v="0.27677852348993287"/>
    <x v="4"/>
    <x v="1"/>
    <x v="0"/>
  </r>
  <r>
    <s v="ORD-100640"/>
    <d v="2024-08-28T00:00:00"/>
    <d v="2024-08-30T00:00:00"/>
    <x v="1"/>
    <s v="Cambridge"/>
    <s v="Home Office"/>
    <s v="Retail Store"/>
    <s v="P-014"/>
    <n v="3"/>
    <n v="0.15"/>
    <n v="64.900000000000006"/>
    <n v="5.85"/>
    <x v="3"/>
    <x v="2"/>
    <s v="Orbit Supply Co."/>
    <n v="16.760000000000002"/>
    <n v="27.71"/>
    <n v="50.28"/>
    <n v="8.7700000000000049"/>
    <n v="0.13513097072419114"/>
    <x v="7"/>
    <x v="2"/>
    <x v="1"/>
  </r>
  <r>
    <s v="ORD-100641"/>
    <d v="2025-02-06T00:00:00"/>
    <d v="2025-02-11T00:00:00"/>
    <x v="1"/>
    <s v="Norwich"/>
    <s v="Small Business"/>
    <s v="Online"/>
    <s v="P-001"/>
    <n v="1"/>
    <n v="0.1"/>
    <n v="229.93"/>
    <n v="6.8"/>
    <x v="12"/>
    <x v="1"/>
    <s v="Luma Imports"/>
    <n v="173.56"/>
    <n v="286.14999999999998"/>
    <n v="173.56"/>
    <n v="49.570000000000007"/>
    <n v="0.21558735267255255"/>
    <x v="5"/>
    <x v="0"/>
    <x v="0"/>
  </r>
  <r>
    <s v="ORD-100642"/>
    <d v="2025-02-23T00:00:00"/>
    <d v="2025-02-28T00:00:00"/>
    <x v="3"/>
    <s v="Newcastle"/>
    <s v="Small Business"/>
    <s v="Online"/>
    <s v="P-011"/>
    <n v="8"/>
    <n v="0"/>
    <n v="109.95"/>
    <n v="4.8600000000000003"/>
    <x v="9"/>
    <x v="2"/>
    <s v="Orbit Supply Co."/>
    <n v="7.93"/>
    <n v="14.78"/>
    <n v="63.44"/>
    <n v="41.650000000000006"/>
    <n v="0.37880854934060942"/>
    <x v="5"/>
    <x v="1"/>
    <x v="0"/>
  </r>
  <r>
    <s v="ORD-100643"/>
    <d v="2025-10-18T00:00:00"/>
    <d v="2025-10-22T00:00:00"/>
    <x v="3"/>
    <s v="Leeds"/>
    <s v="Corporate"/>
    <s v="Online"/>
    <s v="P-001"/>
    <n v="4"/>
    <n v="0"/>
    <n v="1312.22"/>
    <n v="8.2200000000000006"/>
    <x v="12"/>
    <x v="1"/>
    <s v="Luma Imports"/>
    <n v="173.56"/>
    <n v="286.14999999999998"/>
    <n v="694.24"/>
    <n v="609.76"/>
    <n v="0.46467817896389324"/>
    <x v="22"/>
    <x v="1"/>
    <x v="0"/>
  </r>
  <r>
    <s v="ORD-100644"/>
    <d v="2024-08-29T00:00:00"/>
    <d v="2024-08-31T00:00:00"/>
    <x v="3"/>
    <s v="Newcastle"/>
    <s v="Home Office"/>
    <s v="Online"/>
    <s v="P-001"/>
    <n v="7"/>
    <n v="0"/>
    <n v="1980.24"/>
    <n v="20.6"/>
    <x v="12"/>
    <x v="1"/>
    <s v="Luma Imports"/>
    <n v="173.56"/>
    <n v="286.14999999999998"/>
    <n v="1214.92"/>
    <n v="744.71999999999991"/>
    <n v="0.3760756271967034"/>
    <x v="7"/>
    <x v="1"/>
    <x v="1"/>
  </r>
  <r>
    <s v="ORD-100645"/>
    <d v="2024-12-22T00:00:00"/>
    <d v="2024-12-23T00:00:00"/>
    <x v="3"/>
    <s v="Leeds"/>
    <s v="Small Business"/>
    <s v="Online"/>
    <s v="P-008"/>
    <n v="3"/>
    <n v="0.15"/>
    <n v="721.78"/>
    <n v="8.25"/>
    <x v="6"/>
    <x v="0"/>
    <s v="Vertex Trade"/>
    <n v="112.09"/>
    <n v="192.47"/>
    <n v="336.27"/>
    <n v="377.26"/>
    <n v="0.52268004100972598"/>
    <x v="9"/>
    <x v="2"/>
    <x v="1"/>
  </r>
  <r>
    <s v="ORD-100646"/>
    <d v="2024-08-12T00:00:00"/>
    <d v="2024-08-15T00:00:00"/>
    <x v="1"/>
    <s v="Peterborough"/>
    <s v="Home Office"/>
    <s v="Online"/>
    <s v="P-007"/>
    <n v="3"/>
    <n v="0.25"/>
    <n v="127.94"/>
    <n v="8.25"/>
    <x v="7"/>
    <x v="0"/>
    <s v="Luma Imports"/>
    <n v="31.34"/>
    <n v="56.49"/>
    <n v="94.02"/>
    <n v="25.67"/>
    <n v="0.20064092543379711"/>
    <x v="7"/>
    <x v="3"/>
    <x v="1"/>
  </r>
  <r>
    <s v="ORD-100647"/>
    <d v="2025-08-29T00:00:00"/>
    <d v="2025-09-01T00:00:00"/>
    <x v="3"/>
    <s v="Manchester"/>
    <s v="Small Business"/>
    <s v="B2B Sales"/>
    <s v="P-012"/>
    <n v="13"/>
    <n v="0"/>
    <n v="104.09"/>
    <n v="6.21"/>
    <x v="14"/>
    <x v="2"/>
    <s v="Luma Imports"/>
    <n v="4.5"/>
    <n v="8.2899999999999991"/>
    <n v="58.5"/>
    <n v="39.380000000000003"/>
    <n v="0.37832644826592371"/>
    <x v="6"/>
    <x v="1"/>
    <x v="0"/>
  </r>
  <r>
    <s v="ORD-100648"/>
    <d v="2025-02-17T00:00:00"/>
    <d v="2025-02-23T00:00:00"/>
    <x v="0"/>
    <s v="Birmingham"/>
    <s v="Corporate"/>
    <s v="Online"/>
    <s v="P-007"/>
    <n v="5"/>
    <n v="0"/>
    <n v="256.26"/>
    <n v="6.45"/>
    <x v="7"/>
    <x v="0"/>
    <s v="Luma Imports"/>
    <n v="31.34"/>
    <n v="56.49"/>
    <n v="156.69999999999999"/>
    <n v="93.11"/>
    <n v="0.36334191836416141"/>
    <x v="5"/>
    <x v="1"/>
    <x v="0"/>
  </r>
  <r>
    <s v="ORD-100649"/>
    <d v="2025-09-20T00:00:00"/>
    <d v="2025-09-23T00:00:00"/>
    <x v="2"/>
    <s v="Bristol"/>
    <s v="Small Business"/>
    <s v="B2B Sales"/>
    <s v="P-010"/>
    <n v="4"/>
    <n v="0.25"/>
    <n v="20.010000000000002"/>
    <n v="3.78"/>
    <x v="4"/>
    <x v="2"/>
    <s v="Orbit Supply Co."/>
    <n v="3.62"/>
    <n v="6.03"/>
    <n v="14.48"/>
    <n v="1.7500000000000013"/>
    <n v="8.7456271864068028E-2"/>
    <x v="11"/>
    <x v="3"/>
    <x v="0"/>
  </r>
  <r>
    <s v="ORD-100650"/>
    <d v="2024-07-31T00:00:00"/>
    <d v="2024-08-01T00:00:00"/>
    <x v="1"/>
    <s v="Norwich"/>
    <s v="Small Business"/>
    <s v="Online"/>
    <s v="P-009"/>
    <n v="4"/>
    <n v="0"/>
    <n v="459"/>
    <n v="5.7"/>
    <x v="0"/>
    <x v="0"/>
    <s v="Apex Wholesale"/>
    <n v="63.69"/>
    <n v="125.5"/>
    <n v="254.76"/>
    <n v="198.54000000000002"/>
    <n v="0.4325490196078432"/>
    <x v="16"/>
    <x v="1"/>
    <x v="1"/>
  </r>
  <r>
    <s v="ORD-100651"/>
    <d v="2025-12-24T00:00:00"/>
    <d v="2025-12-28T00:00:00"/>
    <x v="3"/>
    <s v="Newcastle"/>
    <s v="Corporate"/>
    <s v="Retail Store"/>
    <s v="P-013"/>
    <n v="7"/>
    <n v="0.2"/>
    <n v="92.21"/>
    <n v="7.65"/>
    <x v="11"/>
    <x v="2"/>
    <s v="Apex Wholesale"/>
    <n v="6.33"/>
    <n v="12.16"/>
    <n v="44.31"/>
    <n v="40.249999999999993"/>
    <n v="0.43650363301160389"/>
    <x v="13"/>
    <x v="2"/>
    <x v="0"/>
  </r>
  <r>
    <s v="ORD-100652"/>
    <d v="2025-08-13T00:00:00"/>
    <d v="2025-08-14T00:00:00"/>
    <x v="2"/>
    <s v="London"/>
    <s v="Home Office"/>
    <s v="Retail Store"/>
    <s v="P-008"/>
    <n v="1"/>
    <n v="0.05"/>
    <n v="180.19"/>
    <n v="3.45"/>
    <x v="6"/>
    <x v="0"/>
    <s v="Vertex Trade"/>
    <n v="112.09"/>
    <n v="192.47"/>
    <n v="112.09"/>
    <n v="64.649999999999991"/>
    <n v="0.35878794605693987"/>
    <x v="6"/>
    <x v="0"/>
    <x v="0"/>
  </r>
  <r>
    <s v="ORD-100653"/>
    <d v="2025-06-30T00:00:00"/>
    <d v="2025-07-01T00:00:00"/>
    <x v="1"/>
    <s v="Peterborough"/>
    <s v="Corporate"/>
    <s v="Online"/>
    <s v="P-011"/>
    <n v="8"/>
    <n v="0.1"/>
    <n v="108.55"/>
    <n v="8.1"/>
    <x v="9"/>
    <x v="2"/>
    <s v="Orbit Supply Co."/>
    <n v="7.93"/>
    <n v="14.78"/>
    <n v="63.44"/>
    <n v="37.01"/>
    <n v="0.34094887148779363"/>
    <x v="0"/>
    <x v="0"/>
    <x v="0"/>
  </r>
  <r>
    <s v="ORD-100654"/>
    <d v="2024-11-10T00:00:00"/>
    <d v="2024-11-11T00:00:00"/>
    <x v="2"/>
    <s v="London"/>
    <s v="Small Business"/>
    <s v="B2B Sales"/>
    <s v="P-010"/>
    <n v="9"/>
    <n v="0.15"/>
    <n v="59.91"/>
    <n v="5.13"/>
    <x v="4"/>
    <x v="2"/>
    <s v="Orbit Supply Co."/>
    <n v="3.62"/>
    <n v="6.03"/>
    <n v="32.58"/>
    <n v="22.2"/>
    <n v="0.37055583375062595"/>
    <x v="14"/>
    <x v="2"/>
    <x v="1"/>
  </r>
  <r>
    <s v="ORD-100655"/>
    <d v="2025-06-27T00:00:00"/>
    <d v="2025-06-29T00:00:00"/>
    <x v="1"/>
    <s v="Peterborough"/>
    <s v="Small Business"/>
    <s v="Retail Store"/>
    <s v="P-006"/>
    <n v="2"/>
    <n v="0.05"/>
    <n v="209.09"/>
    <n v="7"/>
    <x v="10"/>
    <x v="0"/>
    <s v="Apex Wholesale"/>
    <n v="54.95"/>
    <n v="112.56"/>
    <n v="109.9"/>
    <n v="92.19"/>
    <n v="0.44091061265483761"/>
    <x v="0"/>
    <x v="0"/>
    <x v="0"/>
  </r>
  <r>
    <s v="ORD-100656"/>
    <d v="2024-02-27T00:00:00"/>
    <d v="2024-03-02T00:00:00"/>
    <x v="3"/>
    <s v="Manchester"/>
    <s v="Corporate"/>
    <s v="Online"/>
    <s v="P-009"/>
    <n v="4"/>
    <n v="0"/>
    <n v="461.89"/>
    <n v="9.5"/>
    <x v="0"/>
    <x v="0"/>
    <s v="Apex Wholesale"/>
    <n v="63.69"/>
    <n v="125.5"/>
    <n v="254.76"/>
    <n v="197.63"/>
    <n v="0.42787243716036288"/>
    <x v="12"/>
    <x v="1"/>
    <x v="1"/>
  </r>
  <r>
    <s v="ORD-100657"/>
    <d v="2024-06-08T00:00:00"/>
    <d v="2024-06-14T00:00:00"/>
    <x v="2"/>
    <s v="Brighton"/>
    <s v="Small Business"/>
    <s v="Online"/>
    <s v="P-004"/>
    <n v="2"/>
    <n v="0.15"/>
    <n v="200.62"/>
    <n v="9.1"/>
    <x v="5"/>
    <x v="1"/>
    <s v="Cedar Distribution"/>
    <n v="63.6"/>
    <n v="107.94"/>
    <n v="127.2"/>
    <n v="64.320000000000007"/>
    <n v="0.32060612102482305"/>
    <x v="17"/>
    <x v="2"/>
    <x v="1"/>
  </r>
  <r>
    <s v="ORD-100658"/>
    <d v="2024-03-06T00:00:00"/>
    <d v="2024-03-07T00:00:00"/>
    <x v="3"/>
    <s v="Newcastle"/>
    <s v="Corporate"/>
    <s v="Online"/>
    <s v="P-012"/>
    <n v="8"/>
    <n v="0.2"/>
    <n v="51.33"/>
    <n v="4.8600000000000003"/>
    <x v="14"/>
    <x v="2"/>
    <s v="Luma Imports"/>
    <n v="4.5"/>
    <n v="8.2899999999999991"/>
    <n v="36"/>
    <n v="10.469999999999999"/>
    <n v="0.20397428404441845"/>
    <x v="10"/>
    <x v="2"/>
    <x v="1"/>
  </r>
  <r>
    <s v="ORD-100659"/>
    <d v="2024-06-20T00:00:00"/>
    <d v="2024-06-21T00:00:00"/>
    <x v="3"/>
    <s v="Newcastle"/>
    <s v="Corporate"/>
    <s v="Retail Store"/>
    <s v="P-004"/>
    <n v="4"/>
    <n v="0.2"/>
    <n v="355.81"/>
    <n v="13.7"/>
    <x v="5"/>
    <x v="1"/>
    <s v="Cedar Distribution"/>
    <n v="63.6"/>
    <n v="107.94"/>
    <n v="254.4"/>
    <n v="87.71"/>
    <n v="0.2465079677355892"/>
    <x v="17"/>
    <x v="2"/>
    <x v="1"/>
  </r>
  <r>
    <s v="ORD-100660"/>
    <d v="2024-08-20T00:00:00"/>
    <d v="2024-08-23T00:00:00"/>
    <x v="1"/>
    <s v="Peterborough"/>
    <s v="Small Business"/>
    <s v="Online"/>
    <s v="P-011"/>
    <n v="18"/>
    <n v="0"/>
    <n v="243.78"/>
    <n v="12.6"/>
    <x v="9"/>
    <x v="2"/>
    <s v="Orbit Supply Co."/>
    <n v="7.93"/>
    <n v="14.78"/>
    <n v="142.74"/>
    <n v="88.44"/>
    <n v="0.36278611863155302"/>
    <x v="7"/>
    <x v="1"/>
    <x v="1"/>
  </r>
  <r>
    <s v="ORD-100661"/>
    <d v="2025-12-09T00:00:00"/>
    <d v="2025-12-14T00:00:00"/>
    <x v="3"/>
    <s v="Leeds"/>
    <s v="Small Business"/>
    <s v="Online"/>
    <s v="P-001"/>
    <n v="4"/>
    <n v="0.2"/>
    <n v="1296.3599999999999"/>
    <n v="13.7"/>
    <x v="12"/>
    <x v="1"/>
    <s v="Luma Imports"/>
    <n v="173.56"/>
    <n v="286.14999999999998"/>
    <n v="694.24"/>
    <n v="588.41999999999985"/>
    <n v="0.45390169397389607"/>
    <x v="13"/>
    <x v="2"/>
    <x v="0"/>
  </r>
  <r>
    <s v="ORD-100662"/>
    <d v="2025-06-04T00:00:00"/>
    <d v="2025-06-10T00:00:00"/>
    <x v="2"/>
    <s v="London"/>
    <s v="Corporate"/>
    <s v="B2B Sales"/>
    <s v="P-013"/>
    <n v="5"/>
    <n v="0"/>
    <n v="64.290000000000006"/>
    <n v="4.05"/>
    <x v="11"/>
    <x v="2"/>
    <s v="Apex Wholesale"/>
    <n v="6.33"/>
    <n v="12.16"/>
    <n v="31.65"/>
    <n v="28.590000000000007"/>
    <n v="0.44470368642090535"/>
    <x v="0"/>
    <x v="1"/>
    <x v="0"/>
  </r>
  <r>
    <s v="ORD-100663"/>
    <d v="2025-03-08T00:00:00"/>
    <d v="2025-03-09T00:00:00"/>
    <x v="1"/>
    <s v="Cambridge"/>
    <s v="Corporate"/>
    <s v="Retail Store"/>
    <s v="P-002"/>
    <n v="4"/>
    <n v="0"/>
    <n v="746.09"/>
    <n v="8.2200000000000006"/>
    <x v="2"/>
    <x v="1"/>
    <s v="Vertex Trade"/>
    <n v="119.02"/>
    <n v="205.39"/>
    <n v="476.08"/>
    <n v="261.79000000000002"/>
    <n v="0.35088260129474996"/>
    <x v="2"/>
    <x v="1"/>
    <x v="0"/>
  </r>
  <r>
    <s v="ORD-100664"/>
    <d v="2024-04-05T00:00:00"/>
    <d v="2024-04-07T00:00:00"/>
    <x v="1"/>
    <s v="Norwich"/>
    <s v="Corporate"/>
    <s v="B2B Sales"/>
    <s v="P-015"/>
    <n v="9"/>
    <n v="0.1"/>
    <n v="49.82"/>
    <n v="8.5500000000000007"/>
    <x v="8"/>
    <x v="2"/>
    <s v="Luma Imports"/>
    <n v="3.3"/>
    <n v="6.13"/>
    <n v="29.7"/>
    <n v="11.57"/>
    <n v="0.23223604977920514"/>
    <x v="21"/>
    <x v="0"/>
    <x v="1"/>
  </r>
  <r>
    <s v="ORD-100665"/>
    <d v="2025-06-04T00:00:00"/>
    <d v="2025-06-05T00:00:00"/>
    <x v="2"/>
    <s v="Brighton"/>
    <s v="Small Business"/>
    <s v="B2B Sales"/>
    <s v="P-007"/>
    <n v="2"/>
    <n v="0"/>
    <n v="114.15"/>
    <n v="7"/>
    <x v="7"/>
    <x v="0"/>
    <s v="Luma Imports"/>
    <n v="31.34"/>
    <n v="56.49"/>
    <n v="62.68"/>
    <n v="44.470000000000006"/>
    <n v="0.38957512045554099"/>
    <x v="0"/>
    <x v="1"/>
    <x v="0"/>
  </r>
  <r>
    <s v="ORD-100666"/>
    <d v="2025-08-03T00:00:00"/>
    <d v="2025-08-04T00:00:00"/>
    <x v="1"/>
    <s v="Peterborough"/>
    <s v="Corporate"/>
    <s v="Retail Store"/>
    <s v="P-004"/>
    <n v="4"/>
    <n v="0"/>
    <n v="416.92"/>
    <n v="8.2200000000000006"/>
    <x v="5"/>
    <x v="1"/>
    <s v="Cedar Distribution"/>
    <n v="63.6"/>
    <n v="107.94"/>
    <n v="254.4"/>
    <n v="154.30000000000001"/>
    <n v="0.37009498225079152"/>
    <x v="6"/>
    <x v="1"/>
    <x v="0"/>
  </r>
  <r>
    <s v="ORD-100667"/>
    <d v="2024-10-09T00:00:00"/>
    <d v="2024-10-14T00:00:00"/>
    <x v="2"/>
    <s v="Bristol"/>
    <s v="Corporate"/>
    <s v="Retail Store"/>
    <s v="P-013"/>
    <n v="13"/>
    <n v="0"/>
    <n v="174.63"/>
    <n v="6.21"/>
    <x v="11"/>
    <x v="2"/>
    <s v="Apex Wholesale"/>
    <n v="6.33"/>
    <n v="12.16"/>
    <n v="82.29"/>
    <n v="86.13"/>
    <n v="0.49321422436007556"/>
    <x v="3"/>
    <x v="1"/>
    <x v="1"/>
  </r>
  <r>
    <s v="ORD-100668"/>
    <d v="2025-04-28T00:00:00"/>
    <d v="2025-05-01T00:00:00"/>
    <x v="3"/>
    <s v="Manchester"/>
    <s v="Home Office"/>
    <s v="B2B Sales"/>
    <s v="P-007"/>
    <n v="4"/>
    <n v="0.15"/>
    <n v="198.35"/>
    <n v="5.7"/>
    <x v="7"/>
    <x v="0"/>
    <s v="Luma Imports"/>
    <n v="31.34"/>
    <n v="56.49"/>
    <n v="125.36"/>
    <n v="67.289999999999992"/>
    <n v="0.33924880262162843"/>
    <x v="15"/>
    <x v="2"/>
    <x v="0"/>
  </r>
  <r>
    <s v="ORD-100669"/>
    <d v="2024-04-25T00:00:00"/>
    <d v="2024-04-28T00:00:00"/>
    <x v="3"/>
    <s v="Manchester"/>
    <s v="Corporate"/>
    <s v="Online"/>
    <s v="P-011"/>
    <n v="10"/>
    <n v="0"/>
    <n v="136.6"/>
    <n v="5.4"/>
    <x v="9"/>
    <x v="2"/>
    <s v="Orbit Supply Co."/>
    <n v="7.93"/>
    <n v="14.78"/>
    <n v="79.3"/>
    <n v="51.9"/>
    <n v="0.37994143484626647"/>
    <x v="21"/>
    <x v="1"/>
    <x v="1"/>
  </r>
  <r>
    <s v="ORD-100670"/>
    <d v="2024-12-18T00:00:00"/>
    <d v="2024-12-21T00:00:00"/>
    <x v="0"/>
    <s v="Liverpool"/>
    <s v="Home Office"/>
    <s v="Retail Store"/>
    <s v="P-010"/>
    <n v="10"/>
    <n v="0.05"/>
    <n v="79.930000000000007"/>
    <n v="9"/>
    <x v="4"/>
    <x v="2"/>
    <s v="Orbit Supply Co."/>
    <n v="3.62"/>
    <n v="6.03"/>
    <n v="36.200000000000003"/>
    <n v="34.730000000000004"/>
    <n v="0.43450519204303767"/>
    <x v="9"/>
    <x v="0"/>
    <x v="1"/>
  </r>
  <r>
    <s v="ORD-100671"/>
    <d v="2024-05-04T00:00:00"/>
    <d v="2024-05-07T00:00:00"/>
    <x v="1"/>
    <s v="Cambridge"/>
    <s v="Corporate"/>
    <s v="B2B Sales"/>
    <s v="P-007"/>
    <n v="4"/>
    <n v="0.2"/>
    <n v="186.24"/>
    <n v="5.7"/>
    <x v="7"/>
    <x v="0"/>
    <s v="Luma Imports"/>
    <n v="31.34"/>
    <n v="56.49"/>
    <n v="125.36"/>
    <n v="55.180000000000007"/>
    <n v="0.29628436426116839"/>
    <x v="8"/>
    <x v="2"/>
    <x v="1"/>
  </r>
  <r>
    <s v="ORD-100672"/>
    <d v="2025-07-28T00:00:00"/>
    <d v="2025-08-02T00:00:00"/>
    <x v="3"/>
    <s v="Newcastle"/>
    <s v="Small Business"/>
    <s v="Online"/>
    <s v="P-011"/>
    <n v="8"/>
    <n v="0.05"/>
    <n v="104.04"/>
    <n v="8.1"/>
    <x v="9"/>
    <x v="2"/>
    <s v="Orbit Supply Co."/>
    <n v="7.93"/>
    <n v="14.78"/>
    <n v="63.44"/>
    <n v="32.500000000000007"/>
    <n v="0.31237985390234529"/>
    <x v="4"/>
    <x v="0"/>
    <x v="0"/>
  </r>
  <r>
    <s v="ORD-100673"/>
    <d v="2024-02-07T00:00:00"/>
    <d v="2024-02-12T00:00:00"/>
    <x v="3"/>
    <s v="Manchester"/>
    <s v="Home Office"/>
    <s v="Online"/>
    <s v="P-005"/>
    <n v="3"/>
    <n v="0.05"/>
    <n v="138.27000000000001"/>
    <n v="4.95"/>
    <x v="13"/>
    <x v="0"/>
    <s v="Apex Wholesale"/>
    <n v="25.33"/>
    <n v="51.56"/>
    <n v="75.989999999999995"/>
    <n v="57.330000000000013"/>
    <n v="0.41462356259492306"/>
    <x v="12"/>
    <x v="0"/>
    <x v="1"/>
  </r>
  <r>
    <s v="ORD-100674"/>
    <d v="2025-11-10T00:00:00"/>
    <d v="2025-11-15T00:00:00"/>
    <x v="1"/>
    <s v="Peterborough"/>
    <s v="Corporate"/>
    <s v="B2B Sales"/>
    <s v="P-009"/>
    <n v="4"/>
    <n v="0"/>
    <n v="713.61"/>
    <n v="5.7"/>
    <x v="0"/>
    <x v="0"/>
    <s v="Apex Wholesale"/>
    <n v="63.69"/>
    <n v="125.5"/>
    <n v="254.76"/>
    <n v="453.15000000000003"/>
    <n v="0.6350107201412537"/>
    <x v="19"/>
    <x v="1"/>
    <x v="0"/>
  </r>
  <r>
    <s v="ORD-100675"/>
    <d v="2024-08-26T00:00:00"/>
    <d v="2024-09-01T00:00:00"/>
    <x v="2"/>
    <s v="London"/>
    <s v="Small Business"/>
    <s v="Retail Store"/>
    <s v="P-003"/>
    <n v="3"/>
    <n v="0"/>
    <n v="304.38"/>
    <n v="11.4"/>
    <x v="1"/>
    <x v="1"/>
    <s v="Orbit Supply Co."/>
    <n v="71.489999999999995"/>
    <n v="112.88"/>
    <n v="214.46999999999997"/>
    <n v="78.510000000000019"/>
    <n v="0.2579341612458112"/>
    <x v="7"/>
    <x v="1"/>
    <x v="1"/>
  </r>
  <r>
    <s v="ORD-100676"/>
    <d v="2025-05-12T00:00:00"/>
    <d v="2025-05-15T00:00:00"/>
    <x v="1"/>
    <s v="Cambridge"/>
    <s v="Small Business"/>
    <s v="Online"/>
    <s v="P-012"/>
    <n v="10"/>
    <n v="0"/>
    <n v="83.64"/>
    <n v="9"/>
    <x v="14"/>
    <x v="2"/>
    <s v="Luma Imports"/>
    <n v="4.5"/>
    <n v="8.2899999999999991"/>
    <n v="45"/>
    <n v="29.64"/>
    <n v="0.35437589670014347"/>
    <x v="1"/>
    <x v="1"/>
    <x v="0"/>
  </r>
  <r>
    <s v="ORD-100677"/>
    <d v="2025-08-08T00:00:00"/>
    <d v="2025-08-09T00:00:00"/>
    <x v="0"/>
    <s v="Liverpool"/>
    <s v="Home Office"/>
    <s v="Online"/>
    <s v="P-010"/>
    <n v="13"/>
    <n v="0"/>
    <n v="73.14"/>
    <n v="10.35"/>
    <x v="4"/>
    <x v="2"/>
    <s v="Orbit Supply Co."/>
    <n v="3.62"/>
    <n v="6.03"/>
    <n v="47.06"/>
    <n v="15.729999999999999"/>
    <n v="0.21506699480448452"/>
    <x v="6"/>
    <x v="1"/>
    <x v="0"/>
  </r>
  <r>
    <s v="ORD-100678"/>
    <d v="2025-05-09T00:00:00"/>
    <d v="2025-05-11T00:00:00"/>
    <x v="3"/>
    <s v="Manchester"/>
    <s v="Home Office"/>
    <s v="Online"/>
    <s v="P-004"/>
    <n v="1"/>
    <n v="0"/>
    <n v="110.1"/>
    <n v="6.8"/>
    <x v="5"/>
    <x v="1"/>
    <s v="Cedar Distribution"/>
    <n v="63.6"/>
    <n v="107.94"/>
    <n v="63.6"/>
    <n v="39.699999999999996"/>
    <n v="0.36058128973660308"/>
    <x v="1"/>
    <x v="1"/>
    <x v="0"/>
  </r>
  <r>
    <s v="ORD-100679"/>
    <d v="2025-08-23T00:00:00"/>
    <d v="2025-08-24T00:00:00"/>
    <x v="1"/>
    <s v="Norwich"/>
    <s v="Home Office"/>
    <s v="Retail Store"/>
    <s v="P-011"/>
    <n v="5"/>
    <n v="0.1"/>
    <n v="66.67"/>
    <n v="4.05"/>
    <x v="9"/>
    <x v="2"/>
    <s v="Orbit Supply Co."/>
    <n v="7.93"/>
    <n v="14.78"/>
    <n v="39.65"/>
    <n v="22.970000000000002"/>
    <n v="0.34453277336133198"/>
    <x v="6"/>
    <x v="0"/>
    <x v="0"/>
  </r>
  <r>
    <s v="ORD-100680"/>
    <d v="2025-04-11T00:00:00"/>
    <d v="2025-04-15T00:00:00"/>
    <x v="3"/>
    <s v="Leeds"/>
    <s v="Small Business"/>
    <s v="B2B Sales"/>
    <s v="P-007"/>
    <n v="1"/>
    <n v="0.05"/>
    <n v="52.62"/>
    <n v="3.45"/>
    <x v="7"/>
    <x v="0"/>
    <s v="Luma Imports"/>
    <n v="31.34"/>
    <n v="56.49"/>
    <n v="31.34"/>
    <n v="17.829999999999998"/>
    <n v="0.338844545800076"/>
    <x v="15"/>
    <x v="0"/>
    <x v="0"/>
  </r>
  <r>
    <s v="ORD-100681"/>
    <d v="2025-08-10T00:00:00"/>
    <d v="2025-08-12T00:00:00"/>
    <x v="0"/>
    <s v="Cardiff"/>
    <s v="Small Business"/>
    <s v="Online"/>
    <s v="P-004"/>
    <n v="4"/>
    <n v="0"/>
    <n v="398.85"/>
    <n v="13.7"/>
    <x v="5"/>
    <x v="1"/>
    <s v="Cedar Distribution"/>
    <n v="63.6"/>
    <n v="107.94"/>
    <n v="254.4"/>
    <n v="130.75000000000003"/>
    <n v="0.32781747524131882"/>
    <x v="6"/>
    <x v="1"/>
    <x v="0"/>
  </r>
  <r>
    <s v="ORD-100682"/>
    <d v="2024-04-24T00:00:00"/>
    <d v="2024-04-25T00:00:00"/>
    <x v="0"/>
    <s v="Cardiff"/>
    <s v="Corporate"/>
    <s v="Online"/>
    <s v="P-014"/>
    <n v="4"/>
    <n v="0.15"/>
    <n v="90.35"/>
    <n v="3.78"/>
    <x v="3"/>
    <x v="2"/>
    <s v="Orbit Supply Co."/>
    <n v="16.760000000000002"/>
    <n v="27.71"/>
    <n v="67.040000000000006"/>
    <n v="19.529999999999987"/>
    <n v="0.21615938018815703"/>
    <x v="21"/>
    <x v="2"/>
    <x v="1"/>
  </r>
  <r>
    <s v="ORD-100683"/>
    <d v="2024-07-21T00:00:00"/>
    <d v="2024-07-23T00:00:00"/>
    <x v="0"/>
    <s v="Liverpool"/>
    <s v="Corporate"/>
    <s v="Retail Store"/>
    <s v="P-011"/>
    <n v="13"/>
    <n v="0"/>
    <n v="173.31"/>
    <n v="6.21"/>
    <x v="9"/>
    <x v="2"/>
    <s v="Orbit Supply Co."/>
    <n v="7.93"/>
    <n v="14.78"/>
    <n v="103.09"/>
    <n v="64.010000000000005"/>
    <n v="0.36933818013963421"/>
    <x v="16"/>
    <x v="1"/>
    <x v="1"/>
  </r>
  <r>
    <s v="ORD-100684"/>
    <d v="2025-07-16T00:00:00"/>
    <d v="2025-07-18T00:00:00"/>
    <x v="1"/>
    <s v="Norwich"/>
    <s v="Small Business"/>
    <s v="Retail Store"/>
    <s v="P-010"/>
    <n v="13"/>
    <n v="0"/>
    <n v="70.489999999999995"/>
    <n v="6.21"/>
    <x v="4"/>
    <x v="2"/>
    <s v="Orbit Supply Co."/>
    <n v="3.62"/>
    <n v="6.03"/>
    <n v="47.06"/>
    <n v="17.219999999999992"/>
    <n v="0.24428997020854012"/>
    <x v="4"/>
    <x v="1"/>
    <x v="0"/>
  </r>
  <r>
    <s v="ORD-100685"/>
    <d v="2024-11-22T00:00:00"/>
    <d v="2024-11-25T00:00:00"/>
    <x v="2"/>
    <s v="London"/>
    <s v="Corporate"/>
    <s v="Retail Store"/>
    <s v="P-004"/>
    <n v="2"/>
    <n v="0"/>
    <n v="292.83999999999997"/>
    <n v="5.46"/>
    <x v="5"/>
    <x v="1"/>
    <s v="Cedar Distribution"/>
    <n v="63.6"/>
    <n v="107.94"/>
    <n v="127.2"/>
    <n v="160.17999999999998"/>
    <n v="0.54698811637754408"/>
    <x v="14"/>
    <x v="1"/>
    <x v="1"/>
  </r>
  <r>
    <s v="ORD-100686"/>
    <d v="2024-03-05T00:00:00"/>
    <d v="2024-03-10T00:00:00"/>
    <x v="3"/>
    <s v="Manchester"/>
    <s v="Home Office"/>
    <s v="Retail Store"/>
    <s v="P-009"/>
    <n v="4"/>
    <n v="0.1"/>
    <n v="424.33"/>
    <n v="5.7"/>
    <x v="0"/>
    <x v="0"/>
    <s v="Apex Wholesale"/>
    <n v="63.69"/>
    <n v="125.5"/>
    <n v="254.76"/>
    <n v="163.87"/>
    <n v="0.38618528032427596"/>
    <x v="10"/>
    <x v="0"/>
    <x v="1"/>
  </r>
  <r>
    <s v="ORD-100687"/>
    <d v="2025-08-06T00:00:00"/>
    <d v="2025-08-12T00:00:00"/>
    <x v="0"/>
    <s v="Birmingham"/>
    <s v="Corporate"/>
    <s v="B2B Sales"/>
    <s v="P-008"/>
    <n v="2"/>
    <n v="0.15"/>
    <n v="295.94"/>
    <n v="4.2"/>
    <x v="6"/>
    <x v="0"/>
    <s v="Vertex Trade"/>
    <n v="112.09"/>
    <n v="192.47"/>
    <n v="224.18"/>
    <n v="67.559999999999988"/>
    <n v="0.22828951814557"/>
    <x v="6"/>
    <x v="2"/>
    <x v="0"/>
  </r>
  <r>
    <s v="ORD-100688"/>
    <d v="2024-02-06T00:00:00"/>
    <d v="2024-02-12T00:00:00"/>
    <x v="3"/>
    <s v="Newcastle"/>
    <s v="Corporate"/>
    <s v="Retail Store"/>
    <s v="P-009"/>
    <n v="4"/>
    <n v="0.15"/>
    <n v="403.87"/>
    <n v="9.5"/>
    <x v="0"/>
    <x v="0"/>
    <s v="Apex Wholesale"/>
    <n v="63.69"/>
    <n v="125.5"/>
    <n v="254.76"/>
    <n v="139.61000000000001"/>
    <n v="0.34568054076806898"/>
    <x v="12"/>
    <x v="2"/>
    <x v="1"/>
  </r>
  <r>
    <s v="ORD-100689"/>
    <d v="2024-05-21T00:00:00"/>
    <d v="2024-05-26T00:00:00"/>
    <x v="2"/>
    <s v="London"/>
    <s v="Home Office"/>
    <s v="Retail Store"/>
    <s v="P-015"/>
    <n v="10"/>
    <n v="0"/>
    <n v="61.08"/>
    <n v="9"/>
    <x v="8"/>
    <x v="2"/>
    <s v="Luma Imports"/>
    <n v="3.3"/>
    <n v="6.13"/>
    <n v="33"/>
    <n v="19.079999999999998"/>
    <n v="0.31237721021610998"/>
    <x v="8"/>
    <x v="1"/>
    <x v="1"/>
  </r>
  <r>
    <s v="ORD-100690"/>
    <d v="2024-09-13T00:00:00"/>
    <d v="2024-09-14T00:00:00"/>
    <x v="1"/>
    <s v="Cambridge"/>
    <s v="Home Office"/>
    <s v="Online"/>
    <s v="P-009"/>
    <n v="1"/>
    <n v="0.1"/>
    <n v="118.67"/>
    <n v="3.45"/>
    <x v="0"/>
    <x v="0"/>
    <s v="Apex Wholesale"/>
    <n v="63.69"/>
    <n v="125.5"/>
    <n v="63.69"/>
    <n v="51.53"/>
    <n v="0.43422937557933766"/>
    <x v="23"/>
    <x v="0"/>
    <x v="1"/>
  </r>
  <r>
    <s v="ORD-100691"/>
    <d v="2024-10-02T00:00:00"/>
    <d v="2024-10-03T00:00:00"/>
    <x v="3"/>
    <s v="Manchester"/>
    <s v="Corporate"/>
    <s v="Online"/>
    <s v="P-012"/>
    <n v="14"/>
    <n v="0"/>
    <n v="133.18"/>
    <n v="6.48"/>
    <x v="14"/>
    <x v="2"/>
    <s v="Luma Imports"/>
    <n v="4.5"/>
    <n v="8.2899999999999991"/>
    <n v="63"/>
    <n v="63.7"/>
    <n v="0.47830004505180956"/>
    <x v="3"/>
    <x v="1"/>
    <x v="1"/>
  </r>
  <r>
    <s v="ORD-100692"/>
    <d v="2024-04-21T00:00:00"/>
    <d v="2024-04-22T00:00:00"/>
    <x v="2"/>
    <s v="Brighton"/>
    <s v="Home Office"/>
    <s v="Online"/>
    <s v="P-005"/>
    <n v="3"/>
    <n v="0.05"/>
    <n v="137.59"/>
    <n v="8.25"/>
    <x v="13"/>
    <x v="0"/>
    <s v="Apex Wholesale"/>
    <n v="25.33"/>
    <n v="51.56"/>
    <n v="75.989999999999995"/>
    <n v="53.350000000000009"/>
    <n v="0.38774620248564579"/>
    <x v="21"/>
    <x v="0"/>
    <x v="1"/>
  </r>
  <r>
    <s v="ORD-100693"/>
    <d v="2025-03-24T00:00:00"/>
    <d v="2025-03-27T00:00:00"/>
    <x v="1"/>
    <s v="Cambridge"/>
    <s v="Corporate"/>
    <s v="B2B Sales"/>
    <s v="P-012"/>
    <n v="10"/>
    <n v="0"/>
    <n v="74.48"/>
    <n v="5.4"/>
    <x v="14"/>
    <x v="2"/>
    <s v="Luma Imports"/>
    <n v="4.5"/>
    <n v="8.2899999999999991"/>
    <n v="45"/>
    <n v="24.080000000000005"/>
    <n v="0.32330827067669177"/>
    <x v="2"/>
    <x v="1"/>
    <x v="0"/>
  </r>
  <r>
    <s v="ORD-100694"/>
    <d v="2025-04-11T00:00:00"/>
    <d v="2025-04-16T00:00:00"/>
    <x v="0"/>
    <s v="Cardiff"/>
    <s v="Small Business"/>
    <s v="Retail Store"/>
    <s v="P-001"/>
    <n v="1"/>
    <n v="0"/>
    <n v="288.8"/>
    <n v="6.8"/>
    <x v="12"/>
    <x v="1"/>
    <s v="Luma Imports"/>
    <n v="173.56"/>
    <n v="286.14999999999998"/>
    <n v="173.56"/>
    <n v="108.44000000000001"/>
    <n v="0.37548476454293633"/>
    <x v="15"/>
    <x v="1"/>
    <x v="0"/>
  </r>
  <r>
    <s v="ORD-100695"/>
    <d v="2024-05-11T00:00:00"/>
    <d v="2024-05-12T00:00:00"/>
    <x v="3"/>
    <s v="Newcastle"/>
    <s v="Corporate"/>
    <s v="Retail Store"/>
    <s v="P-001"/>
    <n v="1"/>
    <n v="0.05"/>
    <n v="261.89999999999998"/>
    <n v="4.08"/>
    <x v="12"/>
    <x v="1"/>
    <s v="Luma Imports"/>
    <n v="173.56"/>
    <n v="286.14999999999998"/>
    <n v="173.56"/>
    <n v="84.259999999999977"/>
    <n v="0.32172584956090106"/>
    <x v="8"/>
    <x v="0"/>
    <x v="1"/>
  </r>
  <r>
    <s v="ORD-100696"/>
    <d v="2024-11-05T00:00:00"/>
    <d v="2024-11-06T00:00:00"/>
    <x v="1"/>
    <s v="Peterborough"/>
    <s v="Small Business"/>
    <s v="Retail Store"/>
    <s v="P-013"/>
    <n v="3"/>
    <n v="0.15"/>
    <n v="40.33"/>
    <n v="3.51"/>
    <x v="11"/>
    <x v="2"/>
    <s v="Apex Wholesale"/>
    <n v="6.33"/>
    <n v="12.16"/>
    <n v="18.990000000000002"/>
    <n v="17.829999999999998"/>
    <n v="0.44210265311182739"/>
    <x v="14"/>
    <x v="2"/>
    <x v="1"/>
  </r>
  <r>
    <s v="ORD-100697"/>
    <d v="2025-08-05T00:00:00"/>
    <d v="2025-08-06T00:00:00"/>
    <x v="3"/>
    <s v="Leeds"/>
    <s v="Corporate"/>
    <s v="Online"/>
    <s v="P-015"/>
    <n v="9"/>
    <n v="0"/>
    <n v="50.11"/>
    <n v="5.13"/>
    <x v="8"/>
    <x v="2"/>
    <s v="Luma Imports"/>
    <n v="3.3"/>
    <n v="6.13"/>
    <n v="29.7"/>
    <n v="15.280000000000001"/>
    <n v="0.30492915585711439"/>
    <x v="6"/>
    <x v="1"/>
    <x v="0"/>
  </r>
  <r>
    <s v="ORD-100698"/>
    <d v="2024-05-01T00:00:00"/>
    <d v="2024-05-05T00:00:00"/>
    <x v="2"/>
    <s v="Brighton"/>
    <s v="Corporate"/>
    <s v="B2B Sales"/>
    <s v="P-007"/>
    <n v="2"/>
    <n v="0"/>
    <n v="116.58"/>
    <n v="4.2"/>
    <x v="7"/>
    <x v="0"/>
    <s v="Luma Imports"/>
    <n v="31.34"/>
    <n v="56.49"/>
    <n v="62.68"/>
    <n v="49.699999999999996"/>
    <n v="0.42631669240006859"/>
    <x v="8"/>
    <x v="1"/>
    <x v="1"/>
  </r>
  <r>
    <s v="ORD-100699"/>
    <d v="2025-01-06T00:00:00"/>
    <d v="2025-01-08T00:00:00"/>
    <x v="1"/>
    <s v="Peterborough"/>
    <s v="Small Business"/>
    <s v="Online"/>
    <s v="P-009"/>
    <n v="1"/>
    <n v="0"/>
    <n v="113.77"/>
    <n v="3.45"/>
    <x v="0"/>
    <x v="0"/>
    <s v="Apex Wholesale"/>
    <n v="63.69"/>
    <n v="125.5"/>
    <n v="63.69"/>
    <n v="46.629999999999995"/>
    <n v="0.40986200228531244"/>
    <x v="20"/>
    <x v="1"/>
    <x v="0"/>
  </r>
  <r>
    <s v="ORD-100700"/>
    <d v="2025-03-27T00:00:00"/>
    <d v="2025-03-29T00:00:00"/>
    <x v="3"/>
    <s v="Manchester"/>
    <s v="Corporate"/>
    <s v="Retail Store"/>
    <s v="P-007"/>
    <n v="3"/>
    <n v="0"/>
    <n v="165.84"/>
    <n v="8.25"/>
    <x v="7"/>
    <x v="0"/>
    <s v="Luma Imports"/>
    <n v="31.34"/>
    <n v="56.49"/>
    <n v="94.02"/>
    <n v="63.570000000000007"/>
    <n v="0.38332127351664258"/>
    <x v="2"/>
    <x v="1"/>
    <x v="0"/>
  </r>
  <r>
    <s v="ORD-100701"/>
    <d v="2024-08-14T00:00:00"/>
    <d v="2024-08-15T00:00:00"/>
    <x v="2"/>
    <s v="London"/>
    <s v="Small Business"/>
    <s v="Online"/>
    <s v="P-005"/>
    <n v="4"/>
    <n v="0.15"/>
    <n v="164.85"/>
    <n v="9.5"/>
    <x v="13"/>
    <x v="0"/>
    <s v="Apex Wholesale"/>
    <n v="25.33"/>
    <n v="51.56"/>
    <n v="101.32"/>
    <n v="54.03"/>
    <n v="0.3277525022747953"/>
    <x v="7"/>
    <x v="2"/>
    <x v="1"/>
  </r>
  <r>
    <s v="ORD-100702"/>
    <d v="2024-02-19T00:00:00"/>
    <d v="2024-02-23T00:00:00"/>
    <x v="3"/>
    <s v="Manchester"/>
    <s v="Home Office"/>
    <s v="Retail Store"/>
    <s v="P-010"/>
    <n v="8"/>
    <n v="0.1"/>
    <n v="39.81"/>
    <n v="4.8600000000000003"/>
    <x v="4"/>
    <x v="2"/>
    <s v="Orbit Supply Co."/>
    <n v="3.62"/>
    <n v="6.03"/>
    <n v="28.96"/>
    <n v="5.9900000000000011"/>
    <n v="0.15046470735995982"/>
    <x v="12"/>
    <x v="0"/>
    <x v="1"/>
  </r>
  <r>
    <s v="ORD-100703"/>
    <d v="2025-12-25T00:00:00"/>
    <d v="2025-12-30T00:00:00"/>
    <x v="2"/>
    <s v="Brighton"/>
    <s v="Corporate"/>
    <s v="Retail Store"/>
    <s v="P-003"/>
    <n v="4"/>
    <n v="0"/>
    <n v="619.28"/>
    <n v="13.7"/>
    <x v="1"/>
    <x v="1"/>
    <s v="Orbit Supply Co."/>
    <n v="71.489999999999995"/>
    <n v="112.88"/>
    <n v="285.95999999999998"/>
    <n v="319.62"/>
    <n v="0.51611548895491544"/>
    <x v="13"/>
    <x v="1"/>
    <x v="0"/>
  </r>
  <r>
    <s v="ORD-100704"/>
    <d v="2025-03-11T00:00:00"/>
    <d v="2025-03-12T00:00:00"/>
    <x v="1"/>
    <s v="Cambridge"/>
    <s v="Corporate"/>
    <s v="Online"/>
    <s v="P-004"/>
    <n v="3"/>
    <n v="0"/>
    <n v="310.10000000000002"/>
    <n v="11.4"/>
    <x v="5"/>
    <x v="1"/>
    <s v="Cedar Distribution"/>
    <n v="63.6"/>
    <n v="107.94"/>
    <n v="190.8"/>
    <n v="107.9"/>
    <n v="0.34795227346017416"/>
    <x v="2"/>
    <x v="1"/>
    <x v="0"/>
  </r>
  <r>
    <s v="ORD-100705"/>
    <d v="2024-05-17T00:00:00"/>
    <d v="2024-05-19T00:00:00"/>
    <x v="1"/>
    <s v="Peterborough"/>
    <s v="Home Office"/>
    <s v="B2B Sales"/>
    <s v="P-012"/>
    <n v="10"/>
    <n v="0.2"/>
    <n v="70.819999999999993"/>
    <n v="9"/>
    <x v="14"/>
    <x v="2"/>
    <s v="Luma Imports"/>
    <n v="4.5"/>
    <n v="8.2899999999999991"/>
    <n v="45"/>
    <n v="16.819999999999993"/>
    <n v="0.23750353007624958"/>
    <x v="8"/>
    <x v="2"/>
    <x v="1"/>
  </r>
  <r>
    <s v="ORD-100706"/>
    <d v="2025-06-20T00:00:00"/>
    <d v="2025-06-26T00:00:00"/>
    <x v="2"/>
    <s v="Brighton"/>
    <s v="Corporate"/>
    <s v="Retail Store"/>
    <s v="P-010"/>
    <n v="14"/>
    <n v="0.25"/>
    <n v="67.489999999999995"/>
    <n v="10.8"/>
    <x v="4"/>
    <x v="2"/>
    <s v="Orbit Supply Co."/>
    <n v="3.62"/>
    <n v="6.03"/>
    <n v="50.68"/>
    <n v="6.0099999999999945"/>
    <n v="8.9050229663653793E-2"/>
    <x v="0"/>
    <x v="3"/>
    <x v="0"/>
  </r>
  <r>
    <s v="ORD-100707"/>
    <d v="2025-06-04T00:00:00"/>
    <d v="2025-06-08T00:00:00"/>
    <x v="1"/>
    <s v="Peterborough"/>
    <s v="Small Business"/>
    <s v="Online"/>
    <s v="P-014"/>
    <n v="8"/>
    <n v="0"/>
    <n v="238.04"/>
    <n v="8.1"/>
    <x v="3"/>
    <x v="2"/>
    <s v="Orbit Supply Co."/>
    <n v="16.760000000000002"/>
    <n v="27.71"/>
    <n v="134.08000000000001"/>
    <n v="95.859999999999985"/>
    <n v="0.40270542765921691"/>
    <x v="0"/>
    <x v="1"/>
    <x v="0"/>
  </r>
  <r>
    <s v="ORD-100708"/>
    <d v="2025-01-08T00:00:00"/>
    <d v="2025-01-12T00:00:00"/>
    <x v="3"/>
    <s v="Newcastle"/>
    <s v="Small Business"/>
    <s v="Retail Store"/>
    <s v="P-008"/>
    <n v="1"/>
    <n v="0"/>
    <n v="163.78"/>
    <n v="5.75"/>
    <x v="6"/>
    <x v="0"/>
    <s v="Vertex Trade"/>
    <n v="112.09"/>
    <n v="192.47"/>
    <n v="112.09"/>
    <n v="45.94"/>
    <n v="0.28049822933203078"/>
    <x v="20"/>
    <x v="1"/>
    <x v="0"/>
  </r>
  <r>
    <s v="ORD-100709"/>
    <d v="2024-06-10T00:00:00"/>
    <d v="2024-06-13T00:00:00"/>
    <x v="3"/>
    <s v="Newcastle"/>
    <s v="Small Business"/>
    <s v="B2B Sales"/>
    <s v="P-006"/>
    <n v="2"/>
    <n v="0"/>
    <n v="246.98"/>
    <n v="4.2"/>
    <x v="10"/>
    <x v="0"/>
    <s v="Apex Wholesale"/>
    <n v="54.95"/>
    <n v="112.56"/>
    <n v="109.9"/>
    <n v="132.88"/>
    <n v="0.53801927281561257"/>
    <x v="17"/>
    <x v="1"/>
    <x v="1"/>
  </r>
  <r>
    <s v="ORD-100710"/>
    <d v="2025-11-26T00:00:00"/>
    <d v="2025-11-29T00:00:00"/>
    <x v="0"/>
    <s v="Liverpool"/>
    <s v="Small Business"/>
    <s v="B2B Sales"/>
    <s v="P-002"/>
    <n v="1"/>
    <n v="0"/>
    <n v="284.32"/>
    <n v="6.8"/>
    <x v="2"/>
    <x v="1"/>
    <s v="Vertex Trade"/>
    <n v="119.02"/>
    <n v="205.39"/>
    <n v="119.02"/>
    <n v="158.5"/>
    <n v="0.55747045582442323"/>
    <x v="19"/>
    <x v="1"/>
    <x v="0"/>
  </r>
  <r>
    <s v="ORD-100711"/>
    <d v="2025-08-25T00:00:00"/>
    <d v="2025-08-31T00:00:00"/>
    <x v="2"/>
    <s v="Brighton"/>
    <s v="Small Business"/>
    <s v="Online"/>
    <s v="P-009"/>
    <n v="3"/>
    <n v="0"/>
    <n v="355.75"/>
    <n v="8.25"/>
    <x v="0"/>
    <x v="0"/>
    <s v="Apex Wholesale"/>
    <n v="63.69"/>
    <n v="125.5"/>
    <n v="191.07"/>
    <n v="156.43"/>
    <n v="0.43971890372452566"/>
    <x v="6"/>
    <x v="1"/>
    <x v="0"/>
  </r>
  <r>
    <s v="ORD-100712"/>
    <d v="2024-09-04T00:00:00"/>
    <d v="2024-09-07T00:00:00"/>
    <x v="3"/>
    <s v="Manchester"/>
    <s v="Corporate"/>
    <s v="Retail Store"/>
    <s v="P-010"/>
    <n v="9"/>
    <n v="0"/>
    <n v="58.37"/>
    <n v="5.13"/>
    <x v="4"/>
    <x v="2"/>
    <s v="Orbit Supply Co."/>
    <n v="3.62"/>
    <n v="6.03"/>
    <n v="32.58"/>
    <n v="20.66"/>
    <n v="0.35394894637656332"/>
    <x v="23"/>
    <x v="1"/>
    <x v="1"/>
  </r>
  <r>
    <s v="ORD-100713"/>
    <d v="2024-02-25T00:00:00"/>
    <d v="2024-02-27T00:00:00"/>
    <x v="2"/>
    <s v="Brighton"/>
    <s v="Home Office"/>
    <s v="B2B Sales"/>
    <s v="P-003"/>
    <n v="3"/>
    <n v="0"/>
    <n v="322.5"/>
    <n v="6.84"/>
    <x v="1"/>
    <x v="1"/>
    <s v="Orbit Supply Co."/>
    <n v="71.489999999999995"/>
    <n v="112.88"/>
    <n v="214.46999999999997"/>
    <n v="101.19000000000003"/>
    <n v="0.31376744186046518"/>
    <x v="12"/>
    <x v="1"/>
    <x v="1"/>
  </r>
  <r>
    <s v="ORD-100714"/>
    <d v="2025-01-01T00:00:00"/>
    <d v="2025-01-04T00:00:00"/>
    <x v="3"/>
    <s v="Newcastle"/>
    <s v="Small Business"/>
    <s v="Online"/>
    <s v="P-004"/>
    <n v="3"/>
    <n v="0"/>
    <n v="273.39"/>
    <n v="11.4"/>
    <x v="5"/>
    <x v="1"/>
    <s v="Cedar Distribution"/>
    <n v="63.6"/>
    <n v="107.94"/>
    <n v="190.8"/>
    <n v="71.189999999999969"/>
    <n v="0.26039723471963122"/>
    <x v="20"/>
    <x v="1"/>
    <x v="0"/>
  </r>
  <r>
    <s v="ORD-100715"/>
    <d v="2025-01-06T00:00:00"/>
    <d v="2025-01-07T00:00:00"/>
    <x v="1"/>
    <s v="Cambridge"/>
    <s v="Corporate"/>
    <s v="Online"/>
    <s v="P-011"/>
    <n v="8"/>
    <n v="0.15"/>
    <n v="83.92"/>
    <n v="4.8600000000000003"/>
    <x v="9"/>
    <x v="2"/>
    <s v="Orbit Supply Co."/>
    <n v="7.93"/>
    <n v="14.78"/>
    <n v="63.44"/>
    <n v="15.620000000000005"/>
    <n v="0.18612964728312684"/>
    <x v="20"/>
    <x v="2"/>
    <x v="0"/>
  </r>
  <r>
    <s v="ORD-100716"/>
    <d v="2024-02-26T00:00:00"/>
    <d v="2024-02-29T00:00:00"/>
    <x v="3"/>
    <s v="Newcastle"/>
    <s v="Home Office"/>
    <s v="Retail Store"/>
    <s v="P-009"/>
    <n v="3"/>
    <n v="0.05"/>
    <n v="314.85000000000002"/>
    <n v="8.25"/>
    <x v="0"/>
    <x v="0"/>
    <s v="Apex Wholesale"/>
    <n v="63.69"/>
    <n v="125.5"/>
    <n v="191.07"/>
    <n v="115.53000000000003"/>
    <n v="0.36693663649356845"/>
    <x v="12"/>
    <x v="0"/>
    <x v="1"/>
  </r>
  <r>
    <s v="ORD-100717"/>
    <d v="2025-12-19T00:00:00"/>
    <d v="2025-12-21T00:00:00"/>
    <x v="0"/>
    <s v="Cardiff"/>
    <s v="Corporate"/>
    <s v="Online"/>
    <s v="P-006"/>
    <n v="2"/>
    <n v="0"/>
    <n v="332.31"/>
    <n v="7"/>
    <x v="10"/>
    <x v="0"/>
    <s v="Apex Wholesale"/>
    <n v="54.95"/>
    <n v="112.56"/>
    <n v="109.9"/>
    <n v="215.41"/>
    <n v="0.64822003550901264"/>
    <x v="13"/>
    <x v="1"/>
    <x v="0"/>
  </r>
  <r>
    <s v="ORD-100718"/>
    <d v="2025-01-20T00:00:00"/>
    <d v="2025-01-22T00:00:00"/>
    <x v="1"/>
    <s v="Peterborough"/>
    <s v="Corporate"/>
    <s v="Online"/>
    <s v="P-004"/>
    <n v="4"/>
    <n v="0"/>
    <n v="382.36"/>
    <n v="13.7"/>
    <x v="5"/>
    <x v="1"/>
    <s v="Cedar Distribution"/>
    <n v="63.6"/>
    <n v="107.94"/>
    <n v="254.4"/>
    <n v="114.26"/>
    <n v="0.29882832932315095"/>
    <x v="20"/>
    <x v="1"/>
    <x v="0"/>
  </r>
  <r>
    <s v="ORD-100719"/>
    <d v="2025-07-27T00:00:00"/>
    <d v="2025-07-28T00:00:00"/>
    <x v="2"/>
    <s v="London"/>
    <s v="Corporate"/>
    <s v="B2B Sales"/>
    <s v="P-007"/>
    <n v="1"/>
    <n v="0"/>
    <n v="51.32"/>
    <n v="3.45"/>
    <x v="7"/>
    <x v="0"/>
    <s v="Luma Imports"/>
    <n v="31.34"/>
    <n v="56.49"/>
    <n v="31.34"/>
    <n v="16.53"/>
    <n v="0.3220966484801247"/>
    <x v="4"/>
    <x v="1"/>
    <x v="0"/>
  </r>
  <r>
    <s v="ORD-100720"/>
    <d v="2024-05-04T00:00:00"/>
    <d v="2024-05-06T00:00:00"/>
    <x v="2"/>
    <s v="London"/>
    <s v="Small Business"/>
    <s v="Online"/>
    <s v="P-005"/>
    <n v="2"/>
    <n v="0"/>
    <n v="103.07"/>
    <n v="7"/>
    <x v="13"/>
    <x v="0"/>
    <s v="Apex Wholesale"/>
    <n v="25.33"/>
    <n v="51.56"/>
    <n v="50.66"/>
    <n v="45.41"/>
    <n v="0.44057436693509267"/>
    <x v="8"/>
    <x v="1"/>
    <x v="1"/>
  </r>
  <r>
    <s v="ORD-100721"/>
    <d v="2025-01-13T00:00:00"/>
    <d v="2025-01-14T00:00:00"/>
    <x v="2"/>
    <s v="London"/>
    <s v="Corporate"/>
    <s v="Retail Store"/>
    <s v="P-015"/>
    <n v="13"/>
    <n v="0"/>
    <n v="67.05"/>
    <n v="10.35"/>
    <x v="8"/>
    <x v="2"/>
    <s v="Luma Imports"/>
    <n v="3.3"/>
    <n v="6.13"/>
    <n v="42.9"/>
    <n v="13.799999999999999"/>
    <n v="0.2058165548098434"/>
    <x v="20"/>
    <x v="1"/>
    <x v="0"/>
  </r>
  <r>
    <s v="ORD-100722"/>
    <d v="2025-05-09T00:00:00"/>
    <d v="2025-05-11T00:00:00"/>
    <x v="2"/>
    <s v="Brighton"/>
    <s v="Corporate"/>
    <s v="Retail Store"/>
    <s v="P-015"/>
    <n v="8"/>
    <n v="0"/>
    <n v="49.8"/>
    <n v="4.8600000000000003"/>
    <x v="8"/>
    <x v="2"/>
    <s v="Luma Imports"/>
    <n v="3.3"/>
    <n v="6.13"/>
    <n v="26.4"/>
    <n v="18.54"/>
    <n v="0.37228915662650602"/>
    <x v="1"/>
    <x v="1"/>
    <x v="0"/>
  </r>
  <r>
    <s v="ORD-100723"/>
    <d v="2025-10-03T00:00:00"/>
    <d v="2025-10-09T00:00:00"/>
    <x v="2"/>
    <s v="London"/>
    <s v="Home Office"/>
    <s v="Retail Store"/>
    <s v="P-009"/>
    <n v="4"/>
    <n v="0"/>
    <n v="561.29999999999995"/>
    <n v="5.7"/>
    <x v="0"/>
    <x v="0"/>
    <s v="Apex Wholesale"/>
    <n v="63.69"/>
    <n v="125.5"/>
    <n v="254.76"/>
    <n v="300.83999999999997"/>
    <n v="0.53597006948156067"/>
    <x v="22"/>
    <x v="1"/>
    <x v="0"/>
  </r>
  <r>
    <s v="ORD-100724"/>
    <d v="2025-08-18T00:00:00"/>
    <d v="2025-08-22T00:00:00"/>
    <x v="1"/>
    <s v="Peterborough"/>
    <s v="Small Business"/>
    <s v="Retail Store"/>
    <s v="P-006"/>
    <n v="5"/>
    <n v="0.15"/>
    <n v="435.24"/>
    <n v="6.45"/>
    <x v="10"/>
    <x v="0"/>
    <s v="Apex Wholesale"/>
    <n v="54.95"/>
    <n v="112.56"/>
    <n v="274.75"/>
    <n v="154.04000000000002"/>
    <n v="0.35391967650032169"/>
    <x v="6"/>
    <x v="2"/>
    <x v="0"/>
  </r>
  <r>
    <s v="ORD-100725"/>
    <d v="2025-05-23T00:00:00"/>
    <d v="2025-05-28T00:00:00"/>
    <x v="2"/>
    <s v="Brighton"/>
    <s v="Corporate"/>
    <s v="Retail Store"/>
    <s v="P-007"/>
    <n v="4"/>
    <n v="0.05"/>
    <n v="226.78"/>
    <n v="9.5"/>
    <x v="7"/>
    <x v="0"/>
    <s v="Luma Imports"/>
    <n v="31.34"/>
    <n v="56.49"/>
    <n v="125.36"/>
    <n v="91.92"/>
    <n v="0.40532674839051064"/>
    <x v="1"/>
    <x v="0"/>
    <x v="0"/>
  </r>
  <r>
    <s v="ORD-100726"/>
    <d v="2024-05-03T00:00:00"/>
    <d v="2024-05-04T00:00:00"/>
    <x v="3"/>
    <s v="Manchester"/>
    <s v="Small Business"/>
    <s v="B2B Sales"/>
    <s v="P-009"/>
    <n v="3"/>
    <n v="0"/>
    <n v="383.24"/>
    <n v="4.95"/>
    <x v="0"/>
    <x v="0"/>
    <s v="Apex Wholesale"/>
    <n v="63.69"/>
    <n v="125.5"/>
    <n v="191.07"/>
    <n v="187.22000000000003"/>
    <n v="0.4885189437428244"/>
    <x v="8"/>
    <x v="1"/>
    <x v="1"/>
  </r>
  <r>
    <s v="ORD-100727"/>
    <d v="2024-07-20T00:00:00"/>
    <d v="2024-07-25T00:00:00"/>
    <x v="1"/>
    <s v="Cambridge"/>
    <s v="Small Business"/>
    <s v="Retail Store"/>
    <s v="P-007"/>
    <n v="4"/>
    <n v="0"/>
    <n v="217.46"/>
    <n v="5.7"/>
    <x v="7"/>
    <x v="0"/>
    <s v="Luma Imports"/>
    <n v="31.34"/>
    <n v="56.49"/>
    <n v="125.36"/>
    <n v="86.4"/>
    <n v="0.3973144486342316"/>
    <x v="16"/>
    <x v="1"/>
    <x v="1"/>
  </r>
  <r>
    <s v="ORD-100728"/>
    <d v="2025-04-06T00:00:00"/>
    <d v="2025-04-11T00:00:00"/>
    <x v="2"/>
    <s v="Brighton"/>
    <s v="Home Office"/>
    <s v="Retail Store"/>
    <s v="P-013"/>
    <n v="14"/>
    <n v="0.1"/>
    <n v="158.44999999999999"/>
    <n v="10.8"/>
    <x v="11"/>
    <x v="2"/>
    <s v="Apex Wholesale"/>
    <n v="6.33"/>
    <n v="12.16"/>
    <n v="88.62"/>
    <n v="59.029999999999987"/>
    <n v="0.37254654465130949"/>
    <x v="15"/>
    <x v="0"/>
    <x v="0"/>
  </r>
  <r>
    <s v="ORD-100729"/>
    <d v="2025-09-08T00:00:00"/>
    <d v="2025-09-14T00:00:00"/>
    <x v="1"/>
    <s v="Cambridge"/>
    <s v="Corporate"/>
    <s v="Retail Store"/>
    <s v="P-004"/>
    <n v="2"/>
    <n v="0"/>
    <n v="244.9"/>
    <n v="5.46"/>
    <x v="5"/>
    <x v="1"/>
    <s v="Cedar Distribution"/>
    <n v="63.6"/>
    <n v="107.94"/>
    <n v="127.2"/>
    <n v="112.24000000000001"/>
    <n v="0.45830951408738263"/>
    <x v="11"/>
    <x v="1"/>
    <x v="0"/>
  </r>
  <r>
    <s v="ORD-100730"/>
    <d v="2025-07-25T00:00:00"/>
    <d v="2025-07-26T00:00:00"/>
    <x v="3"/>
    <s v="Manchester"/>
    <s v="Home Office"/>
    <s v="Online"/>
    <s v="P-013"/>
    <n v="13"/>
    <n v="0.1"/>
    <n v="138"/>
    <n v="10.35"/>
    <x v="11"/>
    <x v="2"/>
    <s v="Apex Wholesale"/>
    <n v="6.33"/>
    <n v="12.16"/>
    <n v="82.29"/>
    <n v="45.359999999999992"/>
    <n v="0.328695652173913"/>
    <x v="4"/>
    <x v="0"/>
    <x v="0"/>
  </r>
  <r>
    <s v="ORD-100731"/>
    <d v="2024-08-19T00:00:00"/>
    <d v="2024-08-20T00:00:00"/>
    <x v="3"/>
    <s v="Leeds"/>
    <s v="Home Office"/>
    <s v="B2B Sales"/>
    <s v="P-005"/>
    <n v="4"/>
    <n v="0"/>
    <n v="189.13"/>
    <n v="5.7"/>
    <x v="13"/>
    <x v="0"/>
    <s v="Apex Wholesale"/>
    <n v="25.33"/>
    <n v="51.56"/>
    <n v="101.32"/>
    <n v="82.11"/>
    <n v="0.43414582562258763"/>
    <x v="7"/>
    <x v="1"/>
    <x v="1"/>
  </r>
  <r>
    <s v="ORD-100732"/>
    <d v="2025-11-14T00:00:00"/>
    <d v="2025-11-19T00:00:00"/>
    <x v="1"/>
    <s v="Cambridge"/>
    <s v="Small Business"/>
    <s v="Online"/>
    <s v="P-004"/>
    <n v="4"/>
    <n v="0.05"/>
    <n v="571.58000000000004"/>
    <n v="8.2200000000000006"/>
    <x v="5"/>
    <x v="1"/>
    <s v="Cedar Distribution"/>
    <n v="63.6"/>
    <n v="107.94"/>
    <n v="254.4"/>
    <n v="308.96000000000004"/>
    <n v="0.54053675775919385"/>
    <x v="19"/>
    <x v="0"/>
    <x v="0"/>
  </r>
  <r>
    <s v="ORD-100733"/>
    <d v="2025-02-25T00:00:00"/>
    <d v="2025-02-26T00:00:00"/>
    <x v="0"/>
    <s v="Liverpool"/>
    <s v="Corporate"/>
    <s v="Retail Store"/>
    <s v="P-010"/>
    <n v="10"/>
    <n v="0"/>
    <n v="53.37"/>
    <n v="5.4"/>
    <x v="4"/>
    <x v="2"/>
    <s v="Orbit Supply Co."/>
    <n v="3.62"/>
    <n v="6.03"/>
    <n v="36.200000000000003"/>
    <n v="11.769999999999994"/>
    <n v="0.22053588158141268"/>
    <x v="5"/>
    <x v="1"/>
    <x v="0"/>
  </r>
  <r>
    <s v="ORD-100734"/>
    <d v="2024-03-26T00:00:00"/>
    <d v="2024-03-27T00:00:00"/>
    <x v="1"/>
    <s v="Cambridge"/>
    <s v="Small Business"/>
    <s v="Retail Store"/>
    <s v="P-012"/>
    <n v="10"/>
    <n v="0"/>
    <n v="76.78"/>
    <n v="9"/>
    <x v="14"/>
    <x v="2"/>
    <s v="Luma Imports"/>
    <n v="4.5"/>
    <n v="8.2899999999999991"/>
    <n v="45"/>
    <n v="22.78"/>
    <n v="0.29669184683511335"/>
    <x v="10"/>
    <x v="1"/>
    <x v="1"/>
  </r>
  <r>
    <s v="ORD-100735"/>
    <d v="2024-11-25T00:00:00"/>
    <d v="2024-11-27T00:00:00"/>
    <x v="2"/>
    <s v="London"/>
    <s v="Small Business"/>
    <s v="B2B Sales"/>
    <s v="P-011"/>
    <n v="7"/>
    <n v="0.05"/>
    <n v="135.1"/>
    <n v="7.65"/>
    <x v="9"/>
    <x v="2"/>
    <s v="Orbit Supply Co."/>
    <n v="7.93"/>
    <n v="14.78"/>
    <n v="55.51"/>
    <n v="71.94"/>
    <n v="0.53249444855662476"/>
    <x v="14"/>
    <x v="0"/>
    <x v="1"/>
  </r>
  <r>
    <s v="ORD-100736"/>
    <d v="2025-06-15T00:00:00"/>
    <d v="2025-06-17T00:00:00"/>
    <x v="0"/>
    <s v="Liverpool"/>
    <s v="Corporate"/>
    <s v="B2B Sales"/>
    <s v="P-007"/>
    <n v="4"/>
    <n v="0.25"/>
    <n v="177.16"/>
    <n v="5.7"/>
    <x v="7"/>
    <x v="0"/>
    <s v="Luma Imports"/>
    <n v="31.34"/>
    <n v="56.49"/>
    <n v="125.36"/>
    <n v="46.099999999999994"/>
    <n v="0.26021675321743054"/>
    <x v="0"/>
    <x v="3"/>
    <x v="0"/>
  </r>
  <r>
    <s v="ORD-100737"/>
    <d v="2024-03-04T00:00:00"/>
    <d v="2024-03-10T00:00:00"/>
    <x v="2"/>
    <s v="Bristol"/>
    <s v="Small Business"/>
    <s v="Retail Store"/>
    <s v="P-003"/>
    <n v="2"/>
    <n v="0"/>
    <n v="219.06"/>
    <n v="5.46"/>
    <x v="1"/>
    <x v="1"/>
    <s v="Orbit Supply Co."/>
    <n v="71.489999999999995"/>
    <n v="112.88"/>
    <n v="142.97999999999999"/>
    <n v="70.620000000000019"/>
    <n v="0.32237743084086562"/>
    <x v="10"/>
    <x v="1"/>
    <x v="1"/>
  </r>
  <r>
    <s v="ORD-100738"/>
    <d v="2025-06-25T00:00:00"/>
    <d v="2025-06-27T00:00:00"/>
    <x v="2"/>
    <s v="London"/>
    <s v="Corporate"/>
    <s v="Online"/>
    <s v="P-012"/>
    <n v="3"/>
    <n v="0"/>
    <n v="26.49"/>
    <n v="3.51"/>
    <x v="14"/>
    <x v="2"/>
    <s v="Luma Imports"/>
    <n v="4.5"/>
    <n v="8.2899999999999991"/>
    <n v="13.5"/>
    <n v="9.4799999999999986"/>
    <n v="0.35787089467723665"/>
    <x v="0"/>
    <x v="1"/>
    <x v="0"/>
  </r>
  <r>
    <s v="ORD-100739"/>
    <d v="2024-11-13T00:00:00"/>
    <d v="2024-11-19T00:00:00"/>
    <x v="1"/>
    <s v="Norwich"/>
    <s v="Corporate"/>
    <s v="Online"/>
    <s v="P-005"/>
    <n v="4"/>
    <n v="0"/>
    <n v="283.85000000000002"/>
    <n v="5.7"/>
    <x v="13"/>
    <x v="0"/>
    <s v="Apex Wholesale"/>
    <n v="25.33"/>
    <n v="51.56"/>
    <n v="101.32"/>
    <n v="176.83000000000004"/>
    <n v="0.62296987845693153"/>
    <x v="14"/>
    <x v="1"/>
    <x v="1"/>
  </r>
  <r>
    <s v="ORD-100740"/>
    <d v="2025-02-19T00:00:00"/>
    <d v="2025-02-20T00:00:00"/>
    <x v="0"/>
    <s v="Cardiff"/>
    <s v="Home Office"/>
    <s v="Retail Store"/>
    <s v="P-005"/>
    <n v="2"/>
    <n v="0.25"/>
    <n v="72.62"/>
    <n v="7"/>
    <x v="13"/>
    <x v="0"/>
    <s v="Apex Wholesale"/>
    <n v="25.33"/>
    <n v="51.56"/>
    <n v="50.66"/>
    <n v="14.960000000000008"/>
    <n v="0.20600385568713864"/>
    <x v="5"/>
    <x v="3"/>
    <x v="0"/>
  </r>
  <r>
    <s v="ORD-100741"/>
    <d v="2024-07-18T00:00:00"/>
    <d v="2024-07-21T00:00:00"/>
    <x v="3"/>
    <s v="Newcastle"/>
    <s v="Small Business"/>
    <s v="Online"/>
    <s v="P-015"/>
    <n v="4"/>
    <n v="0"/>
    <n v="22.76"/>
    <n v="3.78"/>
    <x v="8"/>
    <x v="2"/>
    <s v="Luma Imports"/>
    <n v="3.3"/>
    <n v="6.13"/>
    <n v="13.2"/>
    <n v="5.7800000000000029"/>
    <n v="0.25395430579964862"/>
    <x v="16"/>
    <x v="1"/>
    <x v="1"/>
  </r>
  <r>
    <s v="ORD-100742"/>
    <d v="2025-06-15T00:00:00"/>
    <d v="2025-06-16T00:00:00"/>
    <x v="1"/>
    <s v="Peterborough"/>
    <s v="Corporate"/>
    <s v="Online"/>
    <s v="P-003"/>
    <n v="4"/>
    <n v="0"/>
    <n v="459.71"/>
    <n v="8.2200000000000006"/>
    <x v="1"/>
    <x v="1"/>
    <s v="Orbit Supply Co."/>
    <n v="71.489999999999995"/>
    <n v="112.88"/>
    <n v="285.95999999999998"/>
    <n v="165.53"/>
    <n v="0.3600748297839943"/>
    <x v="0"/>
    <x v="1"/>
    <x v="0"/>
  </r>
  <r>
    <s v="ORD-100743"/>
    <d v="2025-12-07T00:00:00"/>
    <d v="2025-12-13T00:00:00"/>
    <x v="3"/>
    <s v="Newcastle"/>
    <s v="Corporate"/>
    <s v="Retail Store"/>
    <s v="P-011"/>
    <n v="4"/>
    <n v="0"/>
    <n v="80.010000000000005"/>
    <n v="3.78"/>
    <x v="9"/>
    <x v="2"/>
    <s v="Orbit Supply Co."/>
    <n v="7.93"/>
    <n v="14.78"/>
    <n v="31.72"/>
    <n v="44.510000000000005"/>
    <n v="0.55630546181727292"/>
    <x v="13"/>
    <x v="1"/>
    <x v="0"/>
  </r>
  <r>
    <s v="ORD-100744"/>
    <d v="2024-12-20T00:00:00"/>
    <d v="2024-12-23T00:00:00"/>
    <x v="2"/>
    <s v="Bristol"/>
    <s v="Home Office"/>
    <s v="Online"/>
    <s v="P-009"/>
    <n v="1"/>
    <n v="0.25"/>
    <n v="140.85"/>
    <n v="5.75"/>
    <x v="0"/>
    <x v="0"/>
    <s v="Apex Wholesale"/>
    <n v="63.69"/>
    <n v="125.5"/>
    <n v="63.69"/>
    <n v="71.41"/>
    <n v="0.50699325523606675"/>
    <x v="9"/>
    <x v="3"/>
    <x v="1"/>
  </r>
  <r>
    <s v="ORD-100745"/>
    <d v="2024-10-06T00:00:00"/>
    <d v="2024-10-09T00:00:00"/>
    <x v="2"/>
    <s v="London"/>
    <s v="Home Office"/>
    <s v="Retail Store"/>
    <s v="P-010"/>
    <n v="20"/>
    <n v="0.15"/>
    <n v="112.86"/>
    <n v="8.1"/>
    <x v="4"/>
    <x v="2"/>
    <s v="Orbit Supply Co."/>
    <n v="3.62"/>
    <n v="6.03"/>
    <n v="72.400000000000006"/>
    <n v="32.359999999999992"/>
    <n v="0.28672691830586561"/>
    <x v="3"/>
    <x v="2"/>
    <x v="1"/>
  </r>
  <r>
    <s v="ORD-100746"/>
    <d v="2025-08-01T00:00:00"/>
    <d v="2025-08-05T00:00:00"/>
    <x v="3"/>
    <s v="Leeds"/>
    <s v="Home Office"/>
    <s v="Retail Store"/>
    <s v="P-010"/>
    <n v="14"/>
    <n v="0.05"/>
    <n v="72.040000000000006"/>
    <n v="6.48"/>
    <x v="4"/>
    <x v="2"/>
    <s v="Orbit Supply Co."/>
    <n v="3.62"/>
    <n v="6.03"/>
    <n v="50.68"/>
    <n v="14.880000000000006"/>
    <n v="0.20655191560244315"/>
    <x v="6"/>
    <x v="0"/>
    <x v="0"/>
  </r>
  <r>
    <s v="ORD-100747"/>
    <d v="2025-09-19T00:00:00"/>
    <d v="2025-09-25T00:00:00"/>
    <x v="2"/>
    <s v="London"/>
    <s v="Corporate"/>
    <s v="Online"/>
    <s v="P-007"/>
    <n v="3"/>
    <n v="0"/>
    <n v="190.62"/>
    <n v="4.95"/>
    <x v="7"/>
    <x v="0"/>
    <s v="Luma Imports"/>
    <n v="31.34"/>
    <n v="56.49"/>
    <n v="94.02"/>
    <n v="91.65"/>
    <n v="0.48079949638023295"/>
    <x v="11"/>
    <x v="1"/>
    <x v="0"/>
  </r>
  <r>
    <s v="ORD-100748"/>
    <d v="2024-04-12T00:00:00"/>
    <d v="2024-04-17T00:00:00"/>
    <x v="3"/>
    <s v="Leeds"/>
    <s v="Small Business"/>
    <s v="Retail Store"/>
    <s v="P-009"/>
    <n v="1"/>
    <n v="0.2"/>
    <n v="99.98"/>
    <n v="3.45"/>
    <x v="0"/>
    <x v="0"/>
    <s v="Apex Wholesale"/>
    <n v="63.69"/>
    <n v="125.5"/>
    <n v="63.69"/>
    <n v="32.840000000000003"/>
    <n v="0.32846569313862772"/>
    <x v="21"/>
    <x v="2"/>
    <x v="1"/>
  </r>
  <r>
    <s v="ORD-100749"/>
    <d v="2024-10-17T00:00:00"/>
    <d v="2024-10-18T00:00:00"/>
    <x v="2"/>
    <s v="London"/>
    <s v="Corporate"/>
    <s v="Retail Store"/>
    <s v="P-011"/>
    <n v="4"/>
    <n v="0.15"/>
    <n v="57.79"/>
    <n v="3.78"/>
    <x v="9"/>
    <x v="2"/>
    <s v="Orbit Supply Co."/>
    <n v="7.93"/>
    <n v="14.78"/>
    <n v="31.72"/>
    <n v="22.29"/>
    <n v="0.38570686970064022"/>
    <x v="3"/>
    <x v="2"/>
    <x v="1"/>
  </r>
  <r>
    <s v="ORD-100750"/>
    <d v="2025-09-09T00:00:00"/>
    <d v="2025-09-11T00:00:00"/>
    <x v="3"/>
    <s v="Manchester"/>
    <s v="Small Business"/>
    <s v="Retail Store"/>
    <s v="P-010"/>
    <n v="5"/>
    <n v="0"/>
    <n v="32.26"/>
    <n v="4.05"/>
    <x v="4"/>
    <x v="2"/>
    <s v="Orbit Supply Co."/>
    <n v="3.62"/>
    <n v="6.03"/>
    <n v="18.100000000000001"/>
    <n v="10.109999999999996"/>
    <n v="0.31339119652820818"/>
    <x v="11"/>
    <x v="1"/>
    <x v="0"/>
  </r>
  <r>
    <s v="ORD-100751"/>
    <d v="2025-12-06T00:00:00"/>
    <d v="2025-12-11T00:00:00"/>
    <x v="0"/>
    <s v="Cardiff"/>
    <s v="Home Office"/>
    <s v="Retail Store"/>
    <s v="P-007"/>
    <n v="3"/>
    <n v="0"/>
    <n v="230.32"/>
    <n v="8.25"/>
    <x v="7"/>
    <x v="0"/>
    <s v="Luma Imports"/>
    <n v="31.34"/>
    <n v="56.49"/>
    <n v="94.02"/>
    <n v="128.05000000000001"/>
    <n v="0.5559656130600904"/>
    <x v="13"/>
    <x v="1"/>
    <x v="0"/>
  </r>
  <r>
    <s v="ORD-100752"/>
    <d v="2024-11-18T00:00:00"/>
    <d v="2024-11-20T00:00:00"/>
    <x v="0"/>
    <s v="Liverpool"/>
    <s v="Small Business"/>
    <s v="Online"/>
    <s v="P-010"/>
    <n v="25"/>
    <n v="0"/>
    <n v="200.11"/>
    <n v="9.4499999999999993"/>
    <x v="4"/>
    <x v="2"/>
    <s v="Orbit Supply Co."/>
    <n v="3.62"/>
    <n v="6.03"/>
    <n v="90.5"/>
    <n v="100.16000000000001"/>
    <n v="0.50052471140872523"/>
    <x v="14"/>
    <x v="1"/>
    <x v="1"/>
  </r>
  <r>
    <s v="ORD-100753"/>
    <d v="2025-02-11T00:00:00"/>
    <d v="2025-02-13T00:00:00"/>
    <x v="1"/>
    <s v="Norwich"/>
    <s v="Small Business"/>
    <s v="Retail Store"/>
    <s v="P-013"/>
    <n v="14"/>
    <n v="0"/>
    <n v="155.04"/>
    <n v="6.48"/>
    <x v="11"/>
    <x v="2"/>
    <s v="Apex Wholesale"/>
    <n v="6.33"/>
    <n v="12.16"/>
    <n v="88.62"/>
    <n v="59.939999999999984"/>
    <n v="0.38660990712074295"/>
    <x v="5"/>
    <x v="1"/>
    <x v="0"/>
  </r>
  <r>
    <s v="ORD-100754"/>
    <d v="2024-11-13T00:00:00"/>
    <d v="2024-11-17T00:00:00"/>
    <x v="2"/>
    <s v="London"/>
    <s v="Small Business"/>
    <s v="B2B Sales"/>
    <s v="P-009"/>
    <n v="1"/>
    <n v="0.2"/>
    <n v="132.72"/>
    <n v="5.75"/>
    <x v="0"/>
    <x v="0"/>
    <s v="Apex Wholesale"/>
    <n v="63.69"/>
    <n v="125.5"/>
    <n v="63.69"/>
    <n v="63.28"/>
    <n v="0.47679324894514769"/>
    <x v="14"/>
    <x v="2"/>
    <x v="1"/>
  </r>
  <r>
    <s v="ORD-100755"/>
    <d v="2024-07-13T00:00:00"/>
    <d v="2024-07-16T00:00:00"/>
    <x v="1"/>
    <s v="Norwich"/>
    <s v="Home Office"/>
    <s v="Retail Store"/>
    <s v="P-007"/>
    <n v="3"/>
    <n v="0"/>
    <n v="150.75"/>
    <n v="8.25"/>
    <x v="7"/>
    <x v="0"/>
    <s v="Luma Imports"/>
    <n v="31.34"/>
    <n v="56.49"/>
    <n v="94.02"/>
    <n v="48.480000000000004"/>
    <n v="0.32159203980099504"/>
    <x v="16"/>
    <x v="1"/>
    <x v="1"/>
  </r>
  <r>
    <s v="ORD-100756"/>
    <d v="2024-05-04T00:00:00"/>
    <d v="2024-05-09T00:00:00"/>
    <x v="0"/>
    <s v="Birmingham"/>
    <s v="Small Business"/>
    <s v="B2B Sales"/>
    <s v="P-005"/>
    <n v="2"/>
    <n v="0"/>
    <n v="99.2"/>
    <n v="4.2"/>
    <x v="13"/>
    <x v="0"/>
    <s v="Apex Wholesale"/>
    <n v="25.33"/>
    <n v="51.56"/>
    <n v="50.66"/>
    <n v="44.34"/>
    <n v="0.44697580645161294"/>
    <x v="8"/>
    <x v="1"/>
    <x v="1"/>
  </r>
  <r>
    <s v="ORD-100757"/>
    <d v="2025-03-20T00:00:00"/>
    <d v="2025-03-24T00:00:00"/>
    <x v="1"/>
    <s v="Norwich"/>
    <s v="Home Office"/>
    <s v="B2B Sales"/>
    <s v="P-005"/>
    <n v="4"/>
    <n v="0.2"/>
    <n v="151.16"/>
    <n v="5.7"/>
    <x v="13"/>
    <x v="0"/>
    <s v="Apex Wholesale"/>
    <n v="25.33"/>
    <n v="51.56"/>
    <n v="101.32"/>
    <n v="44.14"/>
    <n v="0.29200846784863721"/>
    <x v="2"/>
    <x v="2"/>
    <x v="0"/>
  </r>
  <r>
    <s v="ORD-100758"/>
    <d v="2025-02-12T00:00:00"/>
    <d v="2025-02-17T00:00:00"/>
    <x v="1"/>
    <s v="Norwich"/>
    <s v="Small Business"/>
    <s v="Retail Store"/>
    <s v="P-008"/>
    <n v="1"/>
    <n v="0"/>
    <n v="167.94"/>
    <n v="5.75"/>
    <x v="6"/>
    <x v="0"/>
    <s v="Vertex Trade"/>
    <n v="112.09"/>
    <n v="192.47"/>
    <n v="112.09"/>
    <n v="50.099999999999994"/>
    <n v="0.29832082886745265"/>
    <x v="5"/>
    <x v="1"/>
    <x v="0"/>
  </r>
  <r>
    <s v="ORD-100759"/>
    <d v="2025-10-13T00:00:00"/>
    <d v="2025-10-18T00:00:00"/>
    <x v="2"/>
    <s v="Brighton"/>
    <s v="Home Office"/>
    <s v="B2B Sales"/>
    <s v="P-003"/>
    <n v="4"/>
    <n v="0"/>
    <n v="519.29999999999995"/>
    <n v="13.7"/>
    <x v="1"/>
    <x v="1"/>
    <s v="Orbit Supply Co."/>
    <n v="71.489999999999995"/>
    <n v="112.88"/>
    <n v="285.95999999999998"/>
    <n v="219.64"/>
    <n v="0.42295397650683614"/>
    <x v="22"/>
    <x v="1"/>
    <x v="0"/>
  </r>
  <r>
    <s v="ORD-100760"/>
    <d v="2025-12-12T00:00:00"/>
    <d v="2025-12-14T00:00:00"/>
    <x v="0"/>
    <s v="Liverpool"/>
    <s v="Corporate"/>
    <s v="B2B Sales"/>
    <s v="P-011"/>
    <n v="13"/>
    <n v="0.2"/>
    <n v="221.86"/>
    <n v="10.35"/>
    <x v="9"/>
    <x v="2"/>
    <s v="Orbit Supply Co."/>
    <n v="7.93"/>
    <n v="14.78"/>
    <n v="103.09"/>
    <n v="108.42000000000002"/>
    <n v="0.48868655909131892"/>
    <x v="13"/>
    <x v="2"/>
    <x v="0"/>
  </r>
  <r>
    <s v="ORD-100761"/>
    <d v="2025-10-04T00:00:00"/>
    <d v="2025-10-05T00:00:00"/>
    <x v="3"/>
    <s v="Newcastle"/>
    <s v="Small Business"/>
    <s v="Online"/>
    <s v="P-014"/>
    <n v="5"/>
    <n v="0.25"/>
    <n v="123.93"/>
    <n v="6.75"/>
    <x v="3"/>
    <x v="2"/>
    <s v="Orbit Supply Co."/>
    <n v="16.760000000000002"/>
    <n v="27.71"/>
    <n v="83.800000000000011"/>
    <n v="33.379999999999995"/>
    <n v="0.26934559832163313"/>
    <x v="22"/>
    <x v="3"/>
    <x v="0"/>
  </r>
  <r>
    <s v="ORD-100762"/>
    <d v="2024-10-25T00:00:00"/>
    <d v="2024-10-26T00:00:00"/>
    <x v="1"/>
    <s v="Peterborough"/>
    <s v="Home Office"/>
    <s v="Online"/>
    <s v="P-006"/>
    <n v="3"/>
    <n v="0"/>
    <n v="400.14"/>
    <n v="8.25"/>
    <x v="10"/>
    <x v="0"/>
    <s v="Apex Wholesale"/>
    <n v="54.95"/>
    <n v="112.56"/>
    <n v="164.85000000000002"/>
    <n v="227.03999999999996"/>
    <n v="0.56740140950667262"/>
    <x v="3"/>
    <x v="1"/>
    <x v="1"/>
  </r>
  <r>
    <s v="ORD-100763"/>
    <d v="2025-02-17T00:00:00"/>
    <d v="2025-02-23T00:00:00"/>
    <x v="2"/>
    <s v="London"/>
    <s v="Small Business"/>
    <s v="B2B Sales"/>
    <s v="P-008"/>
    <n v="2"/>
    <n v="0"/>
    <n v="336.97"/>
    <n v="4.2"/>
    <x v="6"/>
    <x v="0"/>
    <s v="Vertex Trade"/>
    <n v="112.09"/>
    <n v="192.47"/>
    <n v="224.18"/>
    <n v="108.59000000000002"/>
    <n v="0.32225420660592935"/>
    <x v="5"/>
    <x v="1"/>
    <x v="0"/>
  </r>
  <r>
    <s v="ORD-100764"/>
    <d v="2024-08-02T00:00:00"/>
    <d v="2024-08-07T00:00:00"/>
    <x v="0"/>
    <s v="Birmingham"/>
    <s v="Home Office"/>
    <s v="Retail Store"/>
    <s v="P-012"/>
    <n v="10"/>
    <n v="0.1"/>
    <n v="74.55"/>
    <n v="9"/>
    <x v="14"/>
    <x v="2"/>
    <s v="Luma Imports"/>
    <n v="4.5"/>
    <n v="8.2899999999999991"/>
    <n v="45"/>
    <n v="20.549999999999997"/>
    <n v="0.27565392354124746"/>
    <x v="7"/>
    <x v="0"/>
    <x v="1"/>
  </r>
  <r>
    <s v="ORD-100765"/>
    <d v="2024-07-22T00:00:00"/>
    <d v="2024-07-25T00:00:00"/>
    <x v="1"/>
    <s v="Norwich"/>
    <s v="Small Business"/>
    <s v="B2B Sales"/>
    <s v="P-011"/>
    <n v="5"/>
    <n v="0"/>
    <n v="71.790000000000006"/>
    <n v="6.75"/>
    <x v="9"/>
    <x v="2"/>
    <s v="Orbit Supply Co."/>
    <n v="7.93"/>
    <n v="14.78"/>
    <n v="39.65"/>
    <n v="25.390000000000008"/>
    <n v="0.35367042763616108"/>
    <x v="16"/>
    <x v="1"/>
    <x v="1"/>
  </r>
  <r>
    <s v="ORD-100766"/>
    <d v="2025-09-10T00:00:00"/>
    <d v="2025-09-16T00:00:00"/>
    <x v="1"/>
    <s v="Peterborough"/>
    <s v="Home Office"/>
    <s v="Online"/>
    <s v="P-013"/>
    <n v="9"/>
    <n v="0"/>
    <n v="118.35"/>
    <n v="8.5500000000000007"/>
    <x v="11"/>
    <x v="2"/>
    <s v="Apex Wholesale"/>
    <n v="6.33"/>
    <n v="12.16"/>
    <n v="56.97"/>
    <n v="52.83"/>
    <n v="0.44638783269961979"/>
    <x v="11"/>
    <x v="1"/>
    <x v="0"/>
  </r>
  <r>
    <s v="ORD-100767"/>
    <d v="2024-09-11T00:00:00"/>
    <d v="2024-09-16T00:00:00"/>
    <x v="1"/>
    <s v="Peterborough"/>
    <s v="Small Business"/>
    <s v="Online"/>
    <s v="P-006"/>
    <n v="2"/>
    <n v="0.1"/>
    <n v="211.31"/>
    <n v="7"/>
    <x v="10"/>
    <x v="0"/>
    <s v="Apex Wholesale"/>
    <n v="54.95"/>
    <n v="112.56"/>
    <n v="109.9"/>
    <n v="94.41"/>
    <n v="0.44678434527471483"/>
    <x v="23"/>
    <x v="0"/>
    <x v="1"/>
  </r>
  <r>
    <s v="ORD-100768"/>
    <d v="2024-10-18T00:00:00"/>
    <d v="2024-10-22T00:00:00"/>
    <x v="3"/>
    <s v="Newcastle"/>
    <s v="Home Office"/>
    <s v="Retail Store"/>
    <s v="P-003"/>
    <n v="3"/>
    <n v="0"/>
    <n v="377.34"/>
    <n v="11.4"/>
    <x v="1"/>
    <x v="1"/>
    <s v="Orbit Supply Co."/>
    <n v="71.489999999999995"/>
    <n v="112.88"/>
    <n v="214.46999999999997"/>
    <n v="151.47"/>
    <n v="0.40141516934329785"/>
    <x v="3"/>
    <x v="1"/>
    <x v="1"/>
  </r>
  <r>
    <s v="ORD-100769"/>
    <d v="2024-07-18T00:00:00"/>
    <d v="2024-07-19T00:00:00"/>
    <x v="2"/>
    <s v="Bristol"/>
    <s v="Corporate"/>
    <s v="B2B Sales"/>
    <s v="P-002"/>
    <n v="2"/>
    <n v="0.05"/>
    <n v="352.95"/>
    <n v="5.46"/>
    <x v="2"/>
    <x v="1"/>
    <s v="Vertex Trade"/>
    <n v="119.02"/>
    <n v="205.39"/>
    <n v="238.04"/>
    <n v="109.45"/>
    <n v="0.31010058081881287"/>
    <x v="16"/>
    <x v="0"/>
    <x v="1"/>
  </r>
  <r>
    <s v="ORD-100770"/>
    <d v="2024-04-04T00:00:00"/>
    <d v="2024-04-10T00:00:00"/>
    <x v="0"/>
    <s v="Liverpool"/>
    <s v="Home Office"/>
    <s v="Online"/>
    <s v="P-011"/>
    <n v="6"/>
    <n v="0"/>
    <n v="86.34"/>
    <n v="4.32"/>
    <x v="9"/>
    <x v="2"/>
    <s v="Orbit Supply Co."/>
    <n v="7.93"/>
    <n v="14.78"/>
    <n v="47.58"/>
    <n v="34.440000000000005"/>
    <n v="0.39888811674774155"/>
    <x v="21"/>
    <x v="1"/>
    <x v="1"/>
  </r>
  <r>
    <s v="ORD-100771"/>
    <d v="2025-06-23T00:00:00"/>
    <d v="2025-06-26T00:00:00"/>
    <x v="0"/>
    <s v="Birmingham"/>
    <s v="Corporate"/>
    <s v="Online"/>
    <s v="P-015"/>
    <n v="12"/>
    <n v="0.05"/>
    <n v="69.81"/>
    <n v="9.9"/>
    <x v="8"/>
    <x v="2"/>
    <s v="Luma Imports"/>
    <n v="3.3"/>
    <n v="6.13"/>
    <n v="39.599999999999994"/>
    <n v="20.310000000000009"/>
    <n v="0.29093253115599499"/>
    <x v="0"/>
    <x v="0"/>
    <x v="0"/>
  </r>
  <r>
    <s v="ORD-100772"/>
    <d v="2024-03-21T00:00:00"/>
    <d v="2024-03-24T00:00:00"/>
    <x v="2"/>
    <s v="London"/>
    <s v="Small Business"/>
    <s v="B2B Sales"/>
    <s v="P-012"/>
    <n v="3"/>
    <n v="0"/>
    <n v="24.12"/>
    <n v="5.85"/>
    <x v="14"/>
    <x v="2"/>
    <s v="Luma Imports"/>
    <n v="4.5"/>
    <n v="8.2899999999999991"/>
    <n v="13.5"/>
    <n v="4.7700000000000014"/>
    <n v="0.19776119402985079"/>
    <x v="10"/>
    <x v="1"/>
    <x v="1"/>
  </r>
  <r>
    <s v="ORD-100773"/>
    <d v="2024-08-29T00:00:00"/>
    <d v="2024-09-01T00:00:00"/>
    <x v="0"/>
    <s v="Birmingham"/>
    <s v="Small Business"/>
    <s v="Retail Store"/>
    <s v="P-004"/>
    <n v="2"/>
    <n v="0.2"/>
    <n v="173.36"/>
    <n v="9.1"/>
    <x v="5"/>
    <x v="1"/>
    <s v="Cedar Distribution"/>
    <n v="63.6"/>
    <n v="107.94"/>
    <n v="127.2"/>
    <n v="37.060000000000009"/>
    <n v="0.21377480387632675"/>
    <x v="7"/>
    <x v="2"/>
    <x v="1"/>
  </r>
  <r>
    <s v="ORD-100774"/>
    <d v="2024-06-18T00:00:00"/>
    <d v="2024-06-21T00:00:00"/>
    <x v="1"/>
    <s v="Peterborough"/>
    <s v="Home Office"/>
    <s v="Online"/>
    <s v="P-001"/>
    <n v="4"/>
    <n v="0"/>
    <n v="1207.95"/>
    <n v="8.2200000000000006"/>
    <x v="12"/>
    <x v="1"/>
    <s v="Luma Imports"/>
    <n v="173.56"/>
    <n v="286.14999999999998"/>
    <n v="694.24"/>
    <n v="505.49"/>
    <n v="0.41846930750444966"/>
    <x v="17"/>
    <x v="1"/>
    <x v="1"/>
  </r>
  <r>
    <s v="ORD-100775"/>
    <d v="2025-08-13T00:00:00"/>
    <d v="2025-08-19T00:00:00"/>
    <x v="0"/>
    <s v="Liverpool"/>
    <s v="Corporate"/>
    <s v="B2B Sales"/>
    <s v="P-005"/>
    <n v="2"/>
    <n v="0"/>
    <n v="103.35"/>
    <n v="7"/>
    <x v="13"/>
    <x v="0"/>
    <s v="Apex Wholesale"/>
    <n v="25.33"/>
    <n v="51.56"/>
    <n v="50.66"/>
    <n v="45.69"/>
    <n v="0.44208998548621192"/>
    <x v="6"/>
    <x v="1"/>
    <x v="0"/>
  </r>
  <r>
    <s v="ORD-100776"/>
    <d v="2024-02-01T00:00:00"/>
    <d v="2024-02-05T00:00:00"/>
    <x v="1"/>
    <s v="Peterborough"/>
    <s v="Home Office"/>
    <s v="B2B Sales"/>
    <s v="P-014"/>
    <n v="13"/>
    <n v="0"/>
    <n v="337.99"/>
    <n v="6.21"/>
    <x v="3"/>
    <x v="2"/>
    <s v="Orbit Supply Co."/>
    <n v="16.760000000000002"/>
    <n v="27.71"/>
    <n v="217.88000000000002"/>
    <n v="113.89999999999999"/>
    <n v="0.33699221870469537"/>
    <x v="12"/>
    <x v="1"/>
    <x v="1"/>
  </r>
  <r>
    <s v="ORD-100777"/>
    <d v="2024-12-28T00:00:00"/>
    <d v="2025-01-03T00:00:00"/>
    <x v="2"/>
    <s v="Brighton"/>
    <s v="Home Office"/>
    <s v="Retail Store"/>
    <s v="P-001"/>
    <n v="1"/>
    <n v="0.05"/>
    <n v="376.71"/>
    <n v="6.8"/>
    <x v="12"/>
    <x v="1"/>
    <s v="Luma Imports"/>
    <n v="173.56"/>
    <n v="286.14999999999998"/>
    <n v="173.56"/>
    <n v="196.34999999999997"/>
    <n v="0.52122322210719119"/>
    <x v="9"/>
    <x v="0"/>
    <x v="1"/>
  </r>
  <r>
    <s v="ORD-100778"/>
    <d v="2025-03-16T00:00:00"/>
    <d v="2025-03-19T00:00:00"/>
    <x v="0"/>
    <s v="Liverpool"/>
    <s v="Corporate"/>
    <s v="B2B Sales"/>
    <s v="P-009"/>
    <n v="2"/>
    <n v="0"/>
    <n v="247.56"/>
    <n v="7"/>
    <x v="0"/>
    <x v="0"/>
    <s v="Apex Wholesale"/>
    <n v="63.69"/>
    <n v="125.5"/>
    <n v="127.38"/>
    <n v="113.18"/>
    <n v="0.45718209726934889"/>
    <x v="2"/>
    <x v="1"/>
    <x v="0"/>
  </r>
  <r>
    <s v="ORD-100779"/>
    <d v="2024-09-19T00:00:00"/>
    <d v="2024-09-20T00:00:00"/>
    <x v="2"/>
    <s v="Bristol"/>
    <s v="Small Business"/>
    <s v="Retail Store"/>
    <s v="P-014"/>
    <n v="13"/>
    <n v="0"/>
    <n v="387.08"/>
    <n v="6.21"/>
    <x v="3"/>
    <x v="2"/>
    <s v="Orbit Supply Co."/>
    <n v="16.760000000000002"/>
    <n v="27.71"/>
    <n v="217.88000000000002"/>
    <n v="162.98999999999995"/>
    <n v="0.42107574661568659"/>
    <x v="23"/>
    <x v="1"/>
    <x v="1"/>
  </r>
  <r>
    <s v="ORD-100780"/>
    <d v="2024-09-09T00:00:00"/>
    <d v="2024-09-13T00:00:00"/>
    <x v="1"/>
    <s v="Norwich"/>
    <s v="Small Business"/>
    <s v="B2B Sales"/>
    <s v="P-008"/>
    <n v="1"/>
    <n v="0.25"/>
    <n v="163.61000000000001"/>
    <n v="5.75"/>
    <x v="6"/>
    <x v="0"/>
    <s v="Vertex Trade"/>
    <n v="112.09"/>
    <n v="192.47"/>
    <n v="112.09"/>
    <n v="45.77000000000001"/>
    <n v="0.27975062648982341"/>
    <x v="23"/>
    <x v="3"/>
    <x v="1"/>
  </r>
  <r>
    <s v="ORD-100781"/>
    <d v="2025-05-01T00:00:00"/>
    <d v="2025-05-03T00:00:00"/>
    <x v="3"/>
    <s v="Leeds"/>
    <s v="Corporate"/>
    <s v="Online"/>
    <s v="P-009"/>
    <n v="2"/>
    <n v="0"/>
    <n v="250.13"/>
    <n v="4.2"/>
    <x v="0"/>
    <x v="0"/>
    <s v="Apex Wholesale"/>
    <n v="63.69"/>
    <n v="125.5"/>
    <n v="127.38"/>
    <n v="118.55"/>
    <n v="0.47395354415703833"/>
    <x v="1"/>
    <x v="1"/>
    <x v="0"/>
  </r>
  <r>
    <s v="ORD-100782"/>
    <d v="2025-12-18T00:00:00"/>
    <d v="2025-12-24T00:00:00"/>
    <x v="0"/>
    <s v="Cardiff"/>
    <s v="Small Business"/>
    <s v="Online"/>
    <s v="P-014"/>
    <n v="14"/>
    <n v="0.15"/>
    <n v="484.61"/>
    <n v="6.48"/>
    <x v="3"/>
    <x v="2"/>
    <s v="Orbit Supply Co."/>
    <n v="16.760000000000002"/>
    <n v="27.71"/>
    <n v="234.64000000000001"/>
    <n v="243.49"/>
    <n v="0.50244526526485211"/>
    <x v="13"/>
    <x v="2"/>
    <x v="0"/>
  </r>
  <r>
    <s v="ORD-100783"/>
    <d v="2025-09-25T00:00:00"/>
    <d v="2025-10-01T00:00:00"/>
    <x v="1"/>
    <s v="Norwich"/>
    <s v="Small Business"/>
    <s v="Retail Store"/>
    <s v="P-003"/>
    <n v="1"/>
    <n v="0.1"/>
    <n v="109.64"/>
    <n v="4.08"/>
    <x v="1"/>
    <x v="1"/>
    <s v="Orbit Supply Co."/>
    <n v="71.489999999999995"/>
    <n v="112.88"/>
    <n v="71.489999999999995"/>
    <n v="34.070000000000007"/>
    <n v="0.31074425392192639"/>
    <x v="11"/>
    <x v="0"/>
    <x v="0"/>
  </r>
  <r>
    <s v="ORD-100784"/>
    <d v="2024-12-31T00:00:00"/>
    <d v="2025-01-01T00:00:00"/>
    <x v="3"/>
    <s v="Leeds"/>
    <s v="Small Business"/>
    <s v="Online"/>
    <s v="P-009"/>
    <n v="1"/>
    <n v="0"/>
    <n v="168.87"/>
    <n v="5.75"/>
    <x v="0"/>
    <x v="0"/>
    <s v="Apex Wholesale"/>
    <n v="63.69"/>
    <n v="125.5"/>
    <n v="63.69"/>
    <n v="99.43"/>
    <n v="0.58879611535500687"/>
    <x v="9"/>
    <x v="1"/>
    <x v="1"/>
  </r>
  <r>
    <s v="ORD-100785"/>
    <d v="2025-02-28T00:00:00"/>
    <d v="2025-03-01T00:00:00"/>
    <x v="3"/>
    <s v="Newcastle"/>
    <s v="Small Business"/>
    <s v="Retail Store"/>
    <s v="P-002"/>
    <n v="3"/>
    <n v="0"/>
    <n v="544.79999999999995"/>
    <n v="11.4"/>
    <x v="2"/>
    <x v="1"/>
    <s v="Vertex Trade"/>
    <n v="119.02"/>
    <n v="205.39"/>
    <n v="357.06"/>
    <n v="176.33999999999995"/>
    <n v="0.32367841409691622"/>
    <x v="5"/>
    <x v="1"/>
    <x v="0"/>
  </r>
  <r>
    <s v="ORD-100786"/>
    <d v="2025-02-20T00:00:00"/>
    <d v="2025-02-22T00:00:00"/>
    <x v="0"/>
    <s v="Cardiff"/>
    <s v="Small Business"/>
    <s v="Retail Store"/>
    <s v="P-005"/>
    <n v="4"/>
    <n v="0.1"/>
    <n v="158.87"/>
    <n v="9.5"/>
    <x v="13"/>
    <x v="0"/>
    <s v="Apex Wholesale"/>
    <n v="25.33"/>
    <n v="51.56"/>
    <n v="101.32"/>
    <n v="48.050000000000011"/>
    <n v="0.30244854283376349"/>
    <x v="5"/>
    <x v="0"/>
    <x v="0"/>
  </r>
  <r>
    <s v="ORD-100787"/>
    <d v="2024-06-11T00:00:00"/>
    <d v="2024-06-16T00:00:00"/>
    <x v="2"/>
    <s v="Brighton"/>
    <s v="Small Business"/>
    <s v="Retail Store"/>
    <s v="P-007"/>
    <n v="3"/>
    <n v="0"/>
    <n v="182.01"/>
    <n v="4.95"/>
    <x v="7"/>
    <x v="0"/>
    <s v="Luma Imports"/>
    <n v="31.34"/>
    <n v="56.49"/>
    <n v="94.02"/>
    <n v="83.039999999999992"/>
    <n v="0.45623866820504366"/>
    <x v="17"/>
    <x v="1"/>
    <x v="1"/>
  </r>
  <r>
    <s v="ORD-100788"/>
    <d v="2024-11-13T00:00:00"/>
    <d v="2024-11-17T00:00:00"/>
    <x v="0"/>
    <s v="Liverpool"/>
    <s v="Corporate"/>
    <s v="Retail Store"/>
    <s v="P-003"/>
    <n v="3"/>
    <n v="0"/>
    <n v="469.74"/>
    <n v="6.84"/>
    <x v="1"/>
    <x v="1"/>
    <s v="Orbit Supply Co."/>
    <n v="71.489999999999995"/>
    <n v="112.88"/>
    <n v="214.46999999999997"/>
    <n v="248.43000000000004"/>
    <n v="0.52886703282667014"/>
    <x v="14"/>
    <x v="1"/>
    <x v="1"/>
  </r>
  <r>
    <s v="ORD-100789"/>
    <d v="2025-04-06T00:00:00"/>
    <d v="2025-04-08T00:00:00"/>
    <x v="2"/>
    <s v="Brighton"/>
    <s v="Corporate"/>
    <s v="Online"/>
    <s v="P-009"/>
    <n v="1"/>
    <n v="0"/>
    <n v="126.42"/>
    <n v="5.75"/>
    <x v="0"/>
    <x v="0"/>
    <s v="Apex Wholesale"/>
    <n v="63.69"/>
    <n v="125.5"/>
    <n v="63.69"/>
    <n v="56.980000000000004"/>
    <n v="0.45071982281284612"/>
    <x v="15"/>
    <x v="1"/>
    <x v="0"/>
  </r>
  <r>
    <s v="ORD-100790"/>
    <d v="2025-03-19T00:00:00"/>
    <d v="2025-03-22T00:00:00"/>
    <x v="2"/>
    <s v="Brighton"/>
    <s v="Corporate"/>
    <s v="Online"/>
    <s v="P-007"/>
    <n v="2"/>
    <n v="0.25"/>
    <n v="78.98"/>
    <n v="7"/>
    <x v="7"/>
    <x v="0"/>
    <s v="Luma Imports"/>
    <n v="31.34"/>
    <n v="56.49"/>
    <n v="62.68"/>
    <n v="9.3000000000000043"/>
    <n v="0.11775132945049384"/>
    <x v="2"/>
    <x v="3"/>
    <x v="0"/>
  </r>
  <r>
    <s v="ORD-100791"/>
    <d v="2025-11-14T00:00:00"/>
    <d v="2025-11-15T00:00:00"/>
    <x v="0"/>
    <s v="Cardiff"/>
    <s v="Home Office"/>
    <s v="Online"/>
    <s v="P-012"/>
    <n v="14"/>
    <n v="0.2"/>
    <n v="119.67"/>
    <n v="10.8"/>
    <x v="14"/>
    <x v="2"/>
    <s v="Luma Imports"/>
    <n v="4.5"/>
    <n v="8.2899999999999991"/>
    <n v="63"/>
    <n v="45.870000000000005"/>
    <n v="0.38330408623715218"/>
    <x v="19"/>
    <x v="2"/>
    <x v="0"/>
  </r>
  <r>
    <s v="ORD-100792"/>
    <d v="2025-06-13T00:00:00"/>
    <d v="2025-06-18T00:00:00"/>
    <x v="1"/>
    <s v="Cambridge"/>
    <s v="Small Business"/>
    <s v="B2B Sales"/>
    <s v="P-015"/>
    <n v="7"/>
    <n v="0.1"/>
    <n v="39.01"/>
    <n v="4.59"/>
    <x v="8"/>
    <x v="2"/>
    <s v="Luma Imports"/>
    <n v="3.3"/>
    <n v="6.13"/>
    <n v="23.099999999999998"/>
    <n v="11.32"/>
    <n v="0.29018200461420152"/>
    <x v="0"/>
    <x v="0"/>
    <x v="0"/>
  </r>
  <r>
    <s v="ORD-100793"/>
    <d v="2024-08-24T00:00:00"/>
    <d v="2024-08-30T00:00:00"/>
    <x v="2"/>
    <s v="Bristol"/>
    <s v="Corporate"/>
    <s v="B2B Sales"/>
    <s v="P-012"/>
    <n v="5"/>
    <n v="0"/>
    <n v="39.35"/>
    <n v="6.75"/>
    <x v="14"/>
    <x v="2"/>
    <s v="Luma Imports"/>
    <n v="4.5"/>
    <n v="8.2899999999999991"/>
    <n v="22.5"/>
    <n v="10.100000000000001"/>
    <n v="0.25667090216010169"/>
    <x v="7"/>
    <x v="1"/>
    <x v="1"/>
  </r>
  <r>
    <s v="ORD-100794"/>
    <d v="2024-10-14T00:00:00"/>
    <d v="2024-10-20T00:00:00"/>
    <x v="3"/>
    <s v="Newcastle"/>
    <s v="Small Business"/>
    <s v="Retail Store"/>
    <s v="P-001"/>
    <n v="2"/>
    <n v="0.25"/>
    <n v="506.82"/>
    <n v="5.46"/>
    <x v="12"/>
    <x v="1"/>
    <s v="Luma Imports"/>
    <n v="173.56"/>
    <n v="286.14999999999998"/>
    <n v="347.12"/>
    <n v="154.23999999999998"/>
    <n v="0.30432895307998892"/>
    <x v="3"/>
    <x v="3"/>
    <x v="1"/>
  </r>
  <r>
    <s v="ORD-100795"/>
    <d v="2025-04-09T00:00:00"/>
    <d v="2025-04-11T00:00:00"/>
    <x v="1"/>
    <s v="Peterborough"/>
    <s v="Home Office"/>
    <s v="B2B Sales"/>
    <s v="P-002"/>
    <n v="2"/>
    <n v="0"/>
    <n v="409.41"/>
    <n v="9.1"/>
    <x v="2"/>
    <x v="1"/>
    <s v="Vertex Trade"/>
    <n v="119.02"/>
    <n v="205.39"/>
    <n v="238.04"/>
    <n v="162.27000000000004"/>
    <n v="0.39635084633985496"/>
    <x v="15"/>
    <x v="1"/>
    <x v="0"/>
  </r>
  <r>
    <s v="ORD-100796"/>
    <d v="2024-02-07T00:00:00"/>
    <d v="2024-02-09T00:00:00"/>
    <x v="1"/>
    <s v="Norwich"/>
    <s v="Home Office"/>
    <s v="Online"/>
    <s v="P-013"/>
    <n v="11"/>
    <n v="0"/>
    <n v="117"/>
    <n v="5.67"/>
    <x v="11"/>
    <x v="2"/>
    <s v="Apex Wholesale"/>
    <n v="6.33"/>
    <n v="12.16"/>
    <n v="69.63"/>
    <n v="41.7"/>
    <n v="0.35641025641025642"/>
    <x v="12"/>
    <x v="1"/>
    <x v="1"/>
  </r>
  <r>
    <s v="ORD-100797"/>
    <d v="2024-02-17T00:00:00"/>
    <d v="2024-02-22T00:00:00"/>
    <x v="2"/>
    <s v="London"/>
    <s v="Small Business"/>
    <s v="B2B Sales"/>
    <s v="P-002"/>
    <n v="3"/>
    <n v="0"/>
    <n v="560.16999999999996"/>
    <n v="6.84"/>
    <x v="2"/>
    <x v="1"/>
    <s v="Vertex Trade"/>
    <n v="119.02"/>
    <n v="205.39"/>
    <n v="357.06"/>
    <n v="196.26999999999995"/>
    <n v="0.35037577878144127"/>
    <x v="12"/>
    <x v="1"/>
    <x v="1"/>
  </r>
  <r>
    <s v="ORD-100798"/>
    <d v="2025-09-28T00:00:00"/>
    <d v="2025-09-30T00:00:00"/>
    <x v="3"/>
    <s v="Newcastle"/>
    <s v="Small Business"/>
    <s v="Retail Store"/>
    <s v="P-015"/>
    <n v="11"/>
    <n v="0.2"/>
    <n v="59.73"/>
    <n v="5.67"/>
    <x v="8"/>
    <x v="2"/>
    <s v="Luma Imports"/>
    <n v="3.3"/>
    <n v="6.13"/>
    <n v="36.299999999999997"/>
    <n v="17.759999999999998"/>
    <n v="0.29733802109492713"/>
    <x v="11"/>
    <x v="2"/>
    <x v="0"/>
  </r>
  <r>
    <s v="ORD-100799"/>
    <d v="2024-03-21T00:00:00"/>
    <d v="2024-03-27T00:00:00"/>
    <x v="1"/>
    <s v="Peterborough"/>
    <s v="Home Office"/>
    <s v="Retail Store"/>
    <s v="P-015"/>
    <n v="7"/>
    <n v="0"/>
    <n v="41.02"/>
    <n v="7.65"/>
    <x v="8"/>
    <x v="2"/>
    <s v="Luma Imports"/>
    <n v="3.3"/>
    <n v="6.13"/>
    <n v="23.099999999999998"/>
    <n v="10.270000000000005"/>
    <n v="0.25036567528035114"/>
    <x v="10"/>
    <x v="1"/>
    <x v="1"/>
  </r>
  <r>
    <s v="ORD-100800"/>
    <d v="2025-04-30T00:00:00"/>
    <d v="2025-05-01T00:00:00"/>
    <x v="3"/>
    <s v="Leeds"/>
    <s v="Corporate"/>
    <s v="Online"/>
    <s v="P-006"/>
    <n v="4"/>
    <n v="0"/>
    <n v="462.5"/>
    <n v="5.7"/>
    <x v="10"/>
    <x v="0"/>
    <s v="Apex Wholesale"/>
    <n v="54.95"/>
    <n v="112.56"/>
    <n v="219.8"/>
    <n v="237"/>
    <n v="0.51243243243243242"/>
    <x v="15"/>
    <x v="1"/>
    <x v="0"/>
  </r>
  <r>
    <s v="ORD-100801"/>
    <d v="2024-06-24T00:00:00"/>
    <d v="2024-06-29T00:00:00"/>
    <x v="1"/>
    <s v="Cambridge"/>
    <s v="Corporate"/>
    <s v="B2B Sales"/>
    <s v="P-008"/>
    <n v="1"/>
    <n v="0"/>
    <n v="199.77"/>
    <n v="3.45"/>
    <x v="6"/>
    <x v="0"/>
    <s v="Vertex Trade"/>
    <n v="112.09"/>
    <n v="192.47"/>
    <n v="112.09"/>
    <n v="84.23"/>
    <n v="0.42163488011212896"/>
    <x v="17"/>
    <x v="1"/>
    <x v="1"/>
  </r>
  <r>
    <s v="ORD-100802"/>
    <d v="2024-04-05T00:00:00"/>
    <d v="2024-04-07T00:00:00"/>
    <x v="3"/>
    <s v="Newcastle"/>
    <s v="Home Office"/>
    <s v="Online"/>
    <s v="P-002"/>
    <n v="2"/>
    <n v="0.1"/>
    <n v="352.02"/>
    <n v="5.46"/>
    <x v="2"/>
    <x v="1"/>
    <s v="Vertex Trade"/>
    <n v="119.02"/>
    <n v="205.39"/>
    <n v="238.04"/>
    <n v="108.52"/>
    <n v="0.30827793875347992"/>
    <x v="21"/>
    <x v="0"/>
    <x v="1"/>
  </r>
  <r>
    <s v="ORD-100803"/>
    <d v="2024-06-18T00:00:00"/>
    <d v="2024-06-21T00:00:00"/>
    <x v="3"/>
    <s v="Leeds"/>
    <s v="Home Office"/>
    <s v="B2B Sales"/>
    <s v="P-014"/>
    <n v="9"/>
    <n v="0"/>
    <n v="254.55"/>
    <n v="5.13"/>
    <x v="3"/>
    <x v="2"/>
    <s v="Orbit Supply Co."/>
    <n v="16.760000000000002"/>
    <n v="27.71"/>
    <n v="150.84"/>
    <n v="98.580000000000013"/>
    <n v="0.38727165586328821"/>
    <x v="17"/>
    <x v="1"/>
    <x v="1"/>
  </r>
  <r>
    <s v="ORD-100804"/>
    <d v="2025-06-28T00:00:00"/>
    <d v="2025-06-29T00:00:00"/>
    <x v="3"/>
    <s v="Leeds"/>
    <s v="Small Business"/>
    <s v="B2B Sales"/>
    <s v="P-009"/>
    <n v="2"/>
    <n v="0.15"/>
    <n v="230.9"/>
    <n v="4.2"/>
    <x v="0"/>
    <x v="0"/>
    <s v="Apex Wholesale"/>
    <n v="63.69"/>
    <n v="125.5"/>
    <n v="127.38"/>
    <n v="99.320000000000007"/>
    <n v="0.43014291901255958"/>
    <x v="0"/>
    <x v="2"/>
    <x v="0"/>
  </r>
  <r>
    <s v="ORD-100805"/>
    <d v="2024-05-04T00:00:00"/>
    <d v="2024-05-09T00:00:00"/>
    <x v="3"/>
    <s v="Leeds"/>
    <s v="Small Business"/>
    <s v="Retail Store"/>
    <s v="P-012"/>
    <n v="13"/>
    <n v="0"/>
    <n v="112.24"/>
    <n v="6.21"/>
    <x v="14"/>
    <x v="2"/>
    <s v="Luma Imports"/>
    <n v="4.5"/>
    <n v="8.2899999999999991"/>
    <n v="58.5"/>
    <n v="47.529999999999994"/>
    <n v="0.42346756949394154"/>
    <x v="8"/>
    <x v="1"/>
    <x v="1"/>
  </r>
  <r>
    <s v="ORD-100806"/>
    <d v="2025-08-15T00:00:00"/>
    <d v="2025-08-20T00:00:00"/>
    <x v="1"/>
    <s v="Cambridge"/>
    <s v="Home Office"/>
    <s v="Retail Store"/>
    <s v="P-006"/>
    <n v="1"/>
    <n v="0.1"/>
    <n v="91.53"/>
    <n v="5.75"/>
    <x v="10"/>
    <x v="0"/>
    <s v="Apex Wholesale"/>
    <n v="54.95"/>
    <n v="112.56"/>
    <n v="54.95"/>
    <n v="30.83"/>
    <n v="0.33682945482355509"/>
    <x v="6"/>
    <x v="0"/>
    <x v="0"/>
  </r>
  <r>
    <s v="ORD-100807"/>
    <d v="2024-06-21T00:00:00"/>
    <d v="2024-06-26T00:00:00"/>
    <x v="1"/>
    <s v="Cambridge"/>
    <s v="Home Office"/>
    <s v="Online"/>
    <s v="P-003"/>
    <n v="2"/>
    <n v="0.1"/>
    <n v="221.23"/>
    <n v="9.1"/>
    <x v="1"/>
    <x v="1"/>
    <s v="Orbit Supply Co."/>
    <n v="71.489999999999995"/>
    <n v="112.88"/>
    <n v="142.97999999999999"/>
    <n v="69.150000000000006"/>
    <n v="0.31257062785336531"/>
    <x v="17"/>
    <x v="0"/>
    <x v="1"/>
  </r>
  <r>
    <s v="ORD-100808"/>
    <d v="2025-11-05T00:00:00"/>
    <d v="2025-11-08T00:00:00"/>
    <x v="2"/>
    <s v="London"/>
    <s v="Corporate"/>
    <s v="Online"/>
    <s v="P-005"/>
    <n v="5"/>
    <n v="0.25"/>
    <n v="263.39999999999998"/>
    <n v="6.45"/>
    <x v="13"/>
    <x v="0"/>
    <s v="Apex Wholesale"/>
    <n v="25.33"/>
    <n v="51.56"/>
    <n v="126.64999999999999"/>
    <n v="130.30000000000001"/>
    <n v="0.49468488990129089"/>
    <x v="19"/>
    <x v="3"/>
    <x v="0"/>
  </r>
  <r>
    <s v="ORD-100809"/>
    <d v="2025-09-08T00:00:00"/>
    <d v="2025-09-14T00:00:00"/>
    <x v="3"/>
    <s v="Manchester"/>
    <s v="Small Business"/>
    <s v="B2B Sales"/>
    <s v="P-002"/>
    <n v="1"/>
    <n v="0.25"/>
    <n v="159.36000000000001"/>
    <n v="4.08"/>
    <x v="2"/>
    <x v="1"/>
    <s v="Vertex Trade"/>
    <n v="119.02"/>
    <n v="205.39"/>
    <n v="119.02"/>
    <n v="36.260000000000019"/>
    <n v="0.22753514056224911"/>
    <x v="11"/>
    <x v="3"/>
    <x v="0"/>
  </r>
  <r>
    <s v="ORD-100810"/>
    <d v="2025-11-17T00:00:00"/>
    <d v="2025-11-21T00:00:00"/>
    <x v="1"/>
    <s v="Cambridge"/>
    <s v="Home Office"/>
    <s v="Online"/>
    <s v="P-001"/>
    <n v="2"/>
    <n v="0.05"/>
    <n v="771.48"/>
    <n v="9.1"/>
    <x v="12"/>
    <x v="1"/>
    <s v="Luma Imports"/>
    <n v="173.56"/>
    <n v="286.14999999999998"/>
    <n v="347.12"/>
    <n v="415.26"/>
    <n v="0.53826411572561828"/>
    <x v="19"/>
    <x v="0"/>
    <x v="0"/>
  </r>
  <r>
    <s v="ORD-100811"/>
    <d v="2024-01-04T00:00:00"/>
    <d v="2024-01-07T00:00:00"/>
    <x v="0"/>
    <s v="Birmingham"/>
    <s v="Corporate"/>
    <s v="B2B Sales"/>
    <s v="P-014"/>
    <n v="9"/>
    <n v="0"/>
    <n v="214.54"/>
    <n v="8.5500000000000007"/>
    <x v="3"/>
    <x v="2"/>
    <s v="Orbit Supply Co."/>
    <n v="16.760000000000002"/>
    <n v="27.71"/>
    <n v="150.84"/>
    <n v="55.149999999999991"/>
    <n v="0.25706162021068329"/>
    <x v="18"/>
    <x v="1"/>
    <x v="1"/>
  </r>
  <r>
    <s v="ORD-100812"/>
    <d v="2024-01-28T00:00:00"/>
    <d v="2024-02-01T00:00:00"/>
    <x v="1"/>
    <s v="Cambridge"/>
    <s v="Home Office"/>
    <s v="Online"/>
    <s v="P-004"/>
    <n v="3"/>
    <n v="0"/>
    <n v="284.43"/>
    <n v="6.84"/>
    <x v="5"/>
    <x v="1"/>
    <s v="Cedar Distribution"/>
    <n v="63.6"/>
    <n v="107.94"/>
    <n v="190.8"/>
    <n v="86.789999999999992"/>
    <n v="0.30513658896740847"/>
    <x v="18"/>
    <x v="1"/>
    <x v="1"/>
  </r>
  <r>
    <s v="ORD-100813"/>
    <d v="2025-09-26T00:00:00"/>
    <d v="2025-09-30T00:00:00"/>
    <x v="2"/>
    <s v="Bristol"/>
    <s v="Home Office"/>
    <s v="Online"/>
    <s v="P-013"/>
    <n v="13"/>
    <n v="0.15"/>
    <n v="141.59"/>
    <n v="10.35"/>
    <x v="11"/>
    <x v="2"/>
    <s v="Apex Wholesale"/>
    <n v="6.33"/>
    <n v="12.16"/>
    <n v="82.29"/>
    <n v="48.949999999999996"/>
    <n v="0.34571650540292392"/>
    <x v="11"/>
    <x v="2"/>
    <x v="0"/>
  </r>
  <r>
    <s v="ORD-100814"/>
    <d v="2025-09-17T00:00:00"/>
    <d v="2025-09-21T00:00:00"/>
    <x v="0"/>
    <s v="Birmingham"/>
    <s v="Small Business"/>
    <s v="B2B Sales"/>
    <s v="P-013"/>
    <n v="12"/>
    <n v="0.1"/>
    <n v="134.38999999999999"/>
    <n v="5.94"/>
    <x v="11"/>
    <x v="2"/>
    <s v="Apex Wholesale"/>
    <n v="6.33"/>
    <n v="12.16"/>
    <n v="75.960000000000008"/>
    <n v="52.489999999999981"/>
    <n v="0.39057965622442137"/>
    <x v="11"/>
    <x v="0"/>
    <x v="0"/>
  </r>
  <r>
    <s v="ORD-100815"/>
    <d v="2025-03-17T00:00:00"/>
    <d v="2025-03-21T00:00:00"/>
    <x v="1"/>
    <s v="Norwich"/>
    <s v="Corporate"/>
    <s v="Retail Store"/>
    <s v="P-005"/>
    <n v="2"/>
    <n v="0.2"/>
    <n v="79.459999999999994"/>
    <n v="7"/>
    <x v="13"/>
    <x v="0"/>
    <s v="Apex Wholesale"/>
    <n v="25.33"/>
    <n v="51.56"/>
    <n v="50.66"/>
    <n v="21.799999999999997"/>
    <n v="0.27435187515731185"/>
    <x v="2"/>
    <x v="2"/>
    <x v="0"/>
  </r>
  <r>
    <s v="ORD-100816"/>
    <d v="2024-04-07T00:00:00"/>
    <d v="2024-04-08T00:00:00"/>
    <x v="0"/>
    <s v="Birmingham"/>
    <s v="Small Business"/>
    <s v="Retail Store"/>
    <s v="P-001"/>
    <n v="4"/>
    <n v="0.15"/>
    <n v="965.54"/>
    <n v="8.2200000000000006"/>
    <x v="12"/>
    <x v="1"/>
    <s v="Luma Imports"/>
    <n v="173.56"/>
    <n v="286.14999999999998"/>
    <n v="694.24"/>
    <n v="263.07999999999993"/>
    <n v="0.27246929179526475"/>
    <x v="21"/>
    <x v="2"/>
    <x v="1"/>
  </r>
  <r>
    <s v="ORD-100817"/>
    <d v="2024-10-26T00:00:00"/>
    <d v="2024-10-27T00:00:00"/>
    <x v="0"/>
    <s v="Liverpool"/>
    <s v="Home Office"/>
    <s v="Retail Store"/>
    <s v="P-013"/>
    <n v="3"/>
    <n v="0"/>
    <n v="44.23"/>
    <n v="5.85"/>
    <x v="11"/>
    <x v="2"/>
    <s v="Apex Wholesale"/>
    <n v="6.33"/>
    <n v="12.16"/>
    <n v="18.990000000000002"/>
    <n v="19.389999999999993"/>
    <n v="0.43839023287361506"/>
    <x v="3"/>
    <x v="1"/>
    <x v="1"/>
  </r>
  <r>
    <s v="ORD-100818"/>
    <d v="2025-10-01T00:00:00"/>
    <d v="2025-10-03T00:00:00"/>
    <x v="2"/>
    <s v="London"/>
    <s v="Corporate"/>
    <s v="Online"/>
    <s v="P-013"/>
    <n v="25"/>
    <n v="0"/>
    <n v="341.81"/>
    <n v="9.4499999999999993"/>
    <x v="11"/>
    <x v="2"/>
    <s v="Apex Wholesale"/>
    <n v="6.33"/>
    <n v="12.16"/>
    <n v="158.25"/>
    <n v="174.11"/>
    <n v="0.50937655422603201"/>
    <x v="22"/>
    <x v="1"/>
    <x v="0"/>
  </r>
  <r>
    <s v="ORD-100819"/>
    <d v="2025-07-21T00:00:00"/>
    <d v="2025-07-23T00:00:00"/>
    <x v="2"/>
    <s v="Bristol"/>
    <s v="Small Business"/>
    <s v="Retail Store"/>
    <s v="P-015"/>
    <n v="7"/>
    <n v="0"/>
    <n v="37.33"/>
    <n v="4.59"/>
    <x v="8"/>
    <x v="2"/>
    <s v="Luma Imports"/>
    <n v="3.3"/>
    <n v="6.13"/>
    <n v="23.099999999999998"/>
    <n v="9.64"/>
    <n v="0.2582373426198768"/>
    <x v="4"/>
    <x v="1"/>
    <x v="0"/>
  </r>
  <r>
    <s v="ORD-100820"/>
    <d v="2024-12-20T00:00:00"/>
    <d v="2024-12-21T00:00:00"/>
    <x v="1"/>
    <s v="Cambridge"/>
    <s v="Small Business"/>
    <s v="Online"/>
    <s v="P-008"/>
    <n v="3"/>
    <n v="0"/>
    <n v="867.86"/>
    <n v="4.95"/>
    <x v="6"/>
    <x v="0"/>
    <s v="Vertex Trade"/>
    <n v="112.09"/>
    <n v="192.47"/>
    <n v="336.27"/>
    <n v="526.64"/>
    <n v="0.60682598575807156"/>
    <x v="9"/>
    <x v="1"/>
    <x v="1"/>
  </r>
  <r>
    <s v="ORD-100821"/>
    <d v="2024-01-05T00:00:00"/>
    <d v="2024-01-10T00:00:00"/>
    <x v="3"/>
    <s v="Leeds"/>
    <s v="Small Business"/>
    <s v="B2B Sales"/>
    <s v="P-008"/>
    <n v="1"/>
    <n v="0"/>
    <n v="163.80000000000001"/>
    <n v="3.45"/>
    <x v="6"/>
    <x v="0"/>
    <s v="Vertex Trade"/>
    <n v="112.09"/>
    <n v="192.47"/>
    <n v="112.09"/>
    <n v="48.260000000000005"/>
    <n v="0.29462759462759464"/>
    <x v="18"/>
    <x v="1"/>
    <x v="1"/>
  </r>
  <r>
    <s v="ORD-100822"/>
    <d v="2025-07-25T00:00:00"/>
    <d v="2025-07-27T00:00:00"/>
    <x v="1"/>
    <s v="Cambridge"/>
    <s v="Small Business"/>
    <s v="Online"/>
    <s v="P-011"/>
    <n v="4"/>
    <n v="0.15"/>
    <n v="45.44"/>
    <n v="6.3"/>
    <x v="9"/>
    <x v="2"/>
    <s v="Orbit Supply Co."/>
    <n v="7.93"/>
    <n v="14.78"/>
    <n v="31.72"/>
    <n v="7.419999999999999"/>
    <n v="0.16329225352112675"/>
    <x v="4"/>
    <x v="2"/>
    <x v="0"/>
  </r>
  <r>
    <s v="ORD-100823"/>
    <d v="2025-03-14T00:00:00"/>
    <d v="2025-03-19T00:00:00"/>
    <x v="1"/>
    <s v="Peterborough"/>
    <s v="Small Business"/>
    <s v="Online"/>
    <s v="P-006"/>
    <n v="4"/>
    <n v="0.2"/>
    <n v="336.21"/>
    <n v="9.5"/>
    <x v="10"/>
    <x v="0"/>
    <s v="Apex Wholesale"/>
    <n v="54.95"/>
    <n v="112.56"/>
    <n v="219.8"/>
    <n v="106.90999999999997"/>
    <n v="0.31798578269533917"/>
    <x v="2"/>
    <x v="2"/>
    <x v="0"/>
  </r>
  <r>
    <s v="ORD-100824"/>
    <d v="2024-10-31T00:00:00"/>
    <d v="2024-11-01T00:00:00"/>
    <x v="0"/>
    <s v="Cardiff"/>
    <s v="Corporate"/>
    <s v="B2B Sales"/>
    <s v="P-007"/>
    <n v="4"/>
    <n v="0"/>
    <n v="261.81"/>
    <n v="9.5"/>
    <x v="7"/>
    <x v="0"/>
    <s v="Luma Imports"/>
    <n v="31.34"/>
    <n v="56.49"/>
    <n v="125.36"/>
    <n v="126.94999999999999"/>
    <n v="0.48489362514800805"/>
    <x v="3"/>
    <x v="1"/>
    <x v="1"/>
  </r>
  <r>
    <s v="ORD-100825"/>
    <d v="2025-02-01T00:00:00"/>
    <d v="2025-02-06T00:00:00"/>
    <x v="3"/>
    <s v="Leeds"/>
    <s v="Home Office"/>
    <s v="Online"/>
    <s v="P-013"/>
    <n v="9"/>
    <n v="0"/>
    <n v="103.75"/>
    <n v="5.13"/>
    <x v="11"/>
    <x v="2"/>
    <s v="Apex Wholesale"/>
    <n v="6.33"/>
    <n v="12.16"/>
    <n v="56.97"/>
    <n v="41.65"/>
    <n v="0.4014457831325301"/>
    <x v="5"/>
    <x v="1"/>
    <x v="0"/>
  </r>
  <r>
    <s v="ORD-100826"/>
    <d v="2024-08-17T00:00:00"/>
    <d v="2024-08-18T00:00:00"/>
    <x v="2"/>
    <s v="Bristol"/>
    <s v="Home Office"/>
    <s v="Retail Store"/>
    <s v="P-007"/>
    <n v="2"/>
    <n v="0"/>
    <n v="105.71"/>
    <n v="7"/>
    <x v="7"/>
    <x v="0"/>
    <s v="Luma Imports"/>
    <n v="31.34"/>
    <n v="56.49"/>
    <n v="62.68"/>
    <n v="36.029999999999994"/>
    <n v="0.34083814208684132"/>
    <x v="7"/>
    <x v="1"/>
    <x v="1"/>
  </r>
  <r>
    <s v="ORD-100827"/>
    <d v="2024-09-24T00:00:00"/>
    <d v="2024-09-27T00:00:00"/>
    <x v="3"/>
    <s v="Newcastle"/>
    <s v="Home Office"/>
    <s v="B2B Sales"/>
    <s v="P-007"/>
    <n v="7"/>
    <n v="0"/>
    <n v="410.66"/>
    <n v="7.95"/>
    <x v="7"/>
    <x v="0"/>
    <s v="Luma Imports"/>
    <n v="31.34"/>
    <n v="56.49"/>
    <n v="219.38"/>
    <n v="183.33000000000004"/>
    <n v="0.44642770174840507"/>
    <x v="23"/>
    <x v="1"/>
    <x v="1"/>
  </r>
  <r>
    <s v="ORD-100828"/>
    <d v="2025-10-28T00:00:00"/>
    <d v="2025-11-01T00:00:00"/>
    <x v="3"/>
    <s v="Manchester"/>
    <s v="Small Business"/>
    <s v="B2B Sales"/>
    <s v="P-001"/>
    <n v="7"/>
    <n v="0"/>
    <n v="2278.6"/>
    <n v="12.36"/>
    <x v="12"/>
    <x v="1"/>
    <s v="Luma Imports"/>
    <n v="173.56"/>
    <n v="286.14999999999998"/>
    <n v="1214.92"/>
    <n v="1051.32"/>
    <n v="0.46138857193013255"/>
    <x v="22"/>
    <x v="1"/>
    <x v="0"/>
  </r>
  <r>
    <s v="ORD-100829"/>
    <d v="2025-09-23T00:00:00"/>
    <d v="2025-09-25T00:00:00"/>
    <x v="3"/>
    <s v="Manchester"/>
    <s v="Home Office"/>
    <s v="Retail Store"/>
    <s v="P-011"/>
    <n v="3"/>
    <n v="0"/>
    <n v="45.44"/>
    <n v="3.51"/>
    <x v="9"/>
    <x v="2"/>
    <s v="Orbit Supply Co."/>
    <n v="7.93"/>
    <n v="14.78"/>
    <n v="23.79"/>
    <n v="18.14"/>
    <n v="0.39920774647887325"/>
    <x v="11"/>
    <x v="1"/>
    <x v="0"/>
  </r>
  <r>
    <s v="ORD-100830"/>
    <d v="2024-02-04T00:00:00"/>
    <d v="2024-02-09T00:00:00"/>
    <x v="1"/>
    <s v="Cambridge"/>
    <s v="Corporate"/>
    <s v="B2B Sales"/>
    <s v="P-005"/>
    <n v="4"/>
    <n v="0.15"/>
    <n v="151.18"/>
    <n v="9.5"/>
    <x v="13"/>
    <x v="0"/>
    <s v="Apex Wholesale"/>
    <n v="25.33"/>
    <n v="51.56"/>
    <n v="101.32"/>
    <n v="40.360000000000014"/>
    <n v="0.26696652996428105"/>
    <x v="12"/>
    <x v="2"/>
    <x v="1"/>
  </r>
  <r>
    <s v="ORD-100831"/>
    <d v="2024-08-29T00:00:00"/>
    <d v="2024-09-01T00:00:00"/>
    <x v="1"/>
    <s v="Cambridge"/>
    <s v="Home Office"/>
    <s v="Retail Store"/>
    <s v="P-011"/>
    <n v="4"/>
    <n v="0"/>
    <n v="54.59"/>
    <n v="6.3"/>
    <x v="9"/>
    <x v="2"/>
    <s v="Orbit Supply Co."/>
    <n v="7.93"/>
    <n v="14.78"/>
    <n v="31.72"/>
    <n v="16.570000000000004"/>
    <n v="0.30353544605239058"/>
    <x v="7"/>
    <x v="1"/>
    <x v="1"/>
  </r>
  <r>
    <s v="ORD-100832"/>
    <d v="2025-01-02T00:00:00"/>
    <d v="2025-01-08T00:00:00"/>
    <x v="2"/>
    <s v="London"/>
    <s v="Home Office"/>
    <s v="Online"/>
    <s v="P-014"/>
    <n v="8"/>
    <n v="0"/>
    <n v="193.43"/>
    <n v="8.1"/>
    <x v="3"/>
    <x v="2"/>
    <s v="Orbit Supply Co."/>
    <n v="16.760000000000002"/>
    <n v="27.71"/>
    <n v="134.08000000000001"/>
    <n v="51.249999999999993"/>
    <n v="0.26495373003153588"/>
    <x v="20"/>
    <x v="1"/>
    <x v="0"/>
  </r>
  <r>
    <s v="ORD-100833"/>
    <d v="2024-07-18T00:00:00"/>
    <d v="2024-07-20T00:00:00"/>
    <x v="1"/>
    <s v="Cambridge"/>
    <s v="Small Business"/>
    <s v="Online"/>
    <s v="P-005"/>
    <n v="1"/>
    <n v="0.2"/>
    <n v="36.24"/>
    <n v="3.45"/>
    <x v="13"/>
    <x v="0"/>
    <s v="Apex Wholesale"/>
    <n v="25.33"/>
    <n v="51.56"/>
    <n v="25.33"/>
    <n v="7.4600000000000035"/>
    <n v="0.20584988962472414"/>
    <x v="16"/>
    <x v="2"/>
    <x v="1"/>
  </r>
  <r>
    <s v="ORD-100834"/>
    <d v="2025-02-04T00:00:00"/>
    <d v="2025-02-07T00:00:00"/>
    <x v="1"/>
    <s v="Cambridge"/>
    <s v="Home Office"/>
    <s v="Retail Store"/>
    <s v="P-010"/>
    <n v="16"/>
    <n v="0"/>
    <n v="90.53"/>
    <n v="11.7"/>
    <x v="4"/>
    <x v="2"/>
    <s v="Orbit Supply Co."/>
    <n v="3.62"/>
    <n v="6.03"/>
    <n v="57.92"/>
    <n v="20.91"/>
    <n v="0.23097315806914834"/>
    <x v="5"/>
    <x v="1"/>
    <x v="0"/>
  </r>
  <r>
    <s v="ORD-100835"/>
    <d v="2024-11-20T00:00:00"/>
    <d v="2024-11-22T00:00:00"/>
    <x v="2"/>
    <s v="London"/>
    <s v="Small Business"/>
    <s v="Retail Store"/>
    <s v="P-006"/>
    <n v="4"/>
    <n v="0.15"/>
    <n v="533.4"/>
    <n v="9.5"/>
    <x v="10"/>
    <x v="0"/>
    <s v="Apex Wholesale"/>
    <n v="54.95"/>
    <n v="112.56"/>
    <n v="219.8"/>
    <n v="304.09999999999997"/>
    <n v="0.57011623547056611"/>
    <x v="14"/>
    <x v="2"/>
    <x v="1"/>
  </r>
  <r>
    <s v="ORD-100836"/>
    <d v="2025-08-12T00:00:00"/>
    <d v="2025-08-13T00:00:00"/>
    <x v="1"/>
    <s v="Peterborough"/>
    <s v="Home Office"/>
    <s v="Retail Store"/>
    <s v="P-005"/>
    <n v="7"/>
    <n v="0.2"/>
    <n v="271.35000000000002"/>
    <n v="7.95"/>
    <x v="13"/>
    <x v="0"/>
    <s v="Apex Wholesale"/>
    <n v="25.33"/>
    <n v="51.56"/>
    <n v="177.31"/>
    <n v="86.090000000000018"/>
    <n v="0.31726552423069843"/>
    <x v="6"/>
    <x v="2"/>
    <x v="0"/>
  </r>
  <r>
    <s v="ORD-100837"/>
    <d v="2024-05-27T00:00:00"/>
    <d v="2024-06-02T00:00:00"/>
    <x v="3"/>
    <s v="Manchester"/>
    <s v="Small Business"/>
    <s v="Online"/>
    <s v="P-008"/>
    <n v="2"/>
    <n v="0"/>
    <n v="384.91"/>
    <n v="4.2"/>
    <x v="6"/>
    <x v="0"/>
    <s v="Vertex Trade"/>
    <n v="112.09"/>
    <n v="192.47"/>
    <n v="224.18"/>
    <n v="156.53000000000003"/>
    <n v="0.40666649346600509"/>
    <x v="8"/>
    <x v="1"/>
    <x v="1"/>
  </r>
  <r>
    <s v="ORD-100838"/>
    <d v="2024-10-26T00:00:00"/>
    <d v="2024-11-01T00:00:00"/>
    <x v="2"/>
    <s v="Bristol"/>
    <s v="Small Business"/>
    <s v="B2B Sales"/>
    <s v="P-006"/>
    <n v="3"/>
    <n v="0"/>
    <n v="405.34"/>
    <n v="8.25"/>
    <x v="10"/>
    <x v="0"/>
    <s v="Apex Wholesale"/>
    <n v="54.95"/>
    <n v="112.56"/>
    <n v="164.85000000000002"/>
    <n v="232.23999999999995"/>
    <n v="0.57295110277791472"/>
    <x v="3"/>
    <x v="1"/>
    <x v="1"/>
  </r>
  <r>
    <s v="ORD-100839"/>
    <d v="2024-01-02T00:00:00"/>
    <d v="2024-01-04T00:00:00"/>
    <x v="1"/>
    <s v="Peterborough"/>
    <s v="Corporate"/>
    <s v="Retail Store"/>
    <s v="P-013"/>
    <n v="14"/>
    <n v="0.05"/>
    <n v="139.03"/>
    <n v="6.48"/>
    <x v="11"/>
    <x v="2"/>
    <s v="Apex Wholesale"/>
    <n v="6.33"/>
    <n v="12.16"/>
    <n v="88.62"/>
    <n v="43.929999999999993"/>
    <n v="0.31597496943105802"/>
    <x v="18"/>
    <x v="0"/>
    <x v="1"/>
  </r>
  <r>
    <s v="ORD-100840"/>
    <d v="2025-02-12T00:00:00"/>
    <d v="2025-02-13T00:00:00"/>
    <x v="0"/>
    <s v="Birmingham"/>
    <s v="Small Business"/>
    <s v="Online"/>
    <s v="P-010"/>
    <n v="5"/>
    <n v="0.25"/>
    <n v="21.46"/>
    <n v="6.75"/>
    <x v="4"/>
    <x v="2"/>
    <s v="Orbit Supply Co."/>
    <n v="3.62"/>
    <n v="6.03"/>
    <n v="18.100000000000001"/>
    <n v="-3.3900000000000006"/>
    <n v="-0.15796831314072696"/>
    <x v="5"/>
    <x v="3"/>
    <x v="0"/>
  </r>
  <r>
    <s v="ORD-100841"/>
    <d v="2024-03-24T00:00:00"/>
    <d v="2024-03-30T00:00:00"/>
    <x v="3"/>
    <s v="Newcastle"/>
    <s v="Corporate"/>
    <s v="B2B Sales"/>
    <s v="P-001"/>
    <n v="3"/>
    <n v="0"/>
    <n v="791.41"/>
    <n v="11.4"/>
    <x v="12"/>
    <x v="1"/>
    <s v="Luma Imports"/>
    <n v="173.56"/>
    <n v="286.14999999999998"/>
    <n v="520.68000000000006"/>
    <n v="259.32999999999993"/>
    <n v="0.32768097446329958"/>
    <x v="10"/>
    <x v="1"/>
    <x v="1"/>
  </r>
  <r>
    <s v="ORD-100842"/>
    <d v="2024-06-04T00:00:00"/>
    <d v="2024-06-09T00:00:00"/>
    <x v="0"/>
    <s v="Liverpool"/>
    <s v="Home Office"/>
    <s v="Online"/>
    <s v="P-001"/>
    <n v="1"/>
    <n v="0.05"/>
    <n v="292.39999999999998"/>
    <n v="6.8"/>
    <x v="12"/>
    <x v="1"/>
    <s v="Luma Imports"/>
    <n v="173.56"/>
    <n v="286.14999999999998"/>
    <n v="173.56"/>
    <n v="112.03999999999998"/>
    <n v="0.38317373461012305"/>
    <x v="17"/>
    <x v="0"/>
    <x v="1"/>
  </r>
  <r>
    <s v="ORD-100843"/>
    <d v="2025-10-24T00:00:00"/>
    <d v="2025-10-29T00:00:00"/>
    <x v="1"/>
    <s v="Cambridge"/>
    <s v="Home Office"/>
    <s v="B2B Sales"/>
    <s v="P-010"/>
    <n v="9"/>
    <n v="0"/>
    <n v="59.56"/>
    <n v="5.13"/>
    <x v="4"/>
    <x v="2"/>
    <s v="Orbit Supply Co."/>
    <n v="3.62"/>
    <n v="6.03"/>
    <n v="32.58"/>
    <n v="21.850000000000005"/>
    <n v="0.36685695097380799"/>
    <x v="22"/>
    <x v="1"/>
    <x v="0"/>
  </r>
  <r>
    <s v="ORD-100844"/>
    <d v="2025-07-01T00:00:00"/>
    <d v="2025-07-03T00:00:00"/>
    <x v="2"/>
    <s v="Bristol"/>
    <s v="Small Business"/>
    <s v="B2B Sales"/>
    <s v="P-009"/>
    <n v="4"/>
    <n v="0"/>
    <n v="460.28"/>
    <n v="9.5"/>
    <x v="0"/>
    <x v="0"/>
    <s v="Apex Wholesale"/>
    <n v="63.69"/>
    <n v="125.5"/>
    <n v="254.76"/>
    <n v="196.01999999999998"/>
    <n v="0.42587120882940815"/>
    <x v="4"/>
    <x v="1"/>
    <x v="0"/>
  </r>
  <r>
    <s v="ORD-100845"/>
    <d v="2025-09-07T00:00:00"/>
    <d v="2025-09-09T00:00:00"/>
    <x v="3"/>
    <s v="Manchester"/>
    <s v="Small Business"/>
    <s v="B2B Sales"/>
    <s v="P-002"/>
    <n v="4"/>
    <n v="0"/>
    <n v="852.81"/>
    <n v="8.2200000000000006"/>
    <x v="2"/>
    <x v="1"/>
    <s v="Vertex Trade"/>
    <n v="119.02"/>
    <n v="205.39"/>
    <n v="476.08"/>
    <n v="368.50999999999993"/>
    <n v="0.43211266284400973"/>
    <x v="11"/>
    <x v="1"/>
    <x v="0"/>
  </r>
  <r>
    <s v="ORD-100846"/>
    <d v="2024-12-14T00:00:00"/>
    <d v="2024-12-15T00:00:00"/>
    <x v="1"/>
    <s v="Norwich"/>
    <s v="Corporate"/>
    <s v="B2B Sales"/>
    <s v="P-005"/>
    <n v="2"/>
    <n v="0.1"/>
    <n v="132.27000000000001"/>
    <n v="4.2"/>
    <x v="13"/>
    <x v="0"/>
    <s v="Apex Wholesale"/>
    <n v="25.33"/>
    <n v="51.56"/>
    <n v="50.66"/>
    <n v="77.410000000000011"/>
    <n v="0.58524230740152716"/>
    <x v="9"/>
    <x v="0"/>
    <x v="1"/>
  </r>
  <r>
    <s v="ORD-100847"/>
    <d v="2025-11-28T00:00:00"/>
    <d v="2025-11-29T00:00:00"/>
    <x v="0"/>
    <s v="Birmingham"/>
    <s v="Small Business"/>
    <s v="B2B Sales"/>
    <s v="P-003"/>
    <n v="1"/>
    <n v="0.15"/>
    <n v="127.68"/>
    <n v="4.08"/>
    <x v="1"/>
    <x v="1"/>
    <s v="Orbit Supply Co."/>
    <n v="71.489999999999995"/>
    <n v="112.88"/>
    <n v="71.489999999999995"/>
    <n v="52.110000000000014"/>
    <n v="0.40812969924812037"/>
    <x v="19"/>
    <x v="2"/>
    <x v="0"/>
  </r>
  <r>
    <s v="ORD-100848"/>
    <d v="2024-07-07T00:00:00"/>
    <d v="2024-07-13T00:00:00"/>
    <x v="3"/>
    <s v="Manchester"/>
    <s v="Small Business"/>
    <s v="B2B Sales"/>
    <s v="P-004"/>
    <n v="1"/>
    <n v="0"/>
    <n v="96.9"/>
    <n v="4.08"/>
    <x v="5"/>
    <x v="1"/>
    <s v="Cedar Distribution"/>
    <n v="63.6"/>
    <n v="107.94"/>
    <n v="63.6"/>
    <n v="29.220000000000006"/>
    <n v="0.30154798761609913"/>
    <x v="16"/>
    <x v="1"/>
    <x v="1"/>
  </r>
  <r>
    <s v="ORD-100849"/>
    <d v="2024-04-08T00:00:00"/>
    <d v="2024-04-09T00:00:00"/>
    <x v="0"/>
    <s v="Liverpool"/>
    <s v="Small Business"/>
    <s v="Retail Store"/>
    <s v="P-007"/>
    <n v="3"/>
    <n v="0.25"/>
    <n v="118.16"/>
    <n v="4.95"/>
    <x v="7"/>
    <x v="0"/>
    <s v="Luma Imports"/>
    <n v="31.34"/>
    <n v="56.49"/>
    <n v="94.02"/>
    <n v="19.190000000000001"/>
    <n v="0.16240690589031823"/>
    <x v="21"/>
    <x v="3"/>
    <x v="1"/>
  </r>
  <r>
    <s v="ORD-100850"/>
    <d v="2025-06-18T00:00:00"/>
    <d v="2025-06-24T00:00:00"/>
    <x v="3"/>
    <s v="Manchester"/>
    <s v="Small Business"/>
    <s v="Online"/>
    <s v="P-014"/>
    <n v="20"/>
    <n v="0"/>
    <n v="597.44000000000005"/>
    <n v="13.5"/>
    <x v="3"/>
    <x v="2"/>
    <s v="Orbit Supply Co."/>
    <n v="16.760000000000002"/>
    <n v="27.71"/>
    <n v="335.20000000000005"/>
    <n v="248.74"/>
    <n v="0.41634306373861807"/>
    <x v="0"/>
    <x v="1"/>
    <x v="0"/>
  </r>
  <r>
    <s v="ORD-100851"/>
    <d v="2024-08-18T00:00:00"/>
    <d v="2024-08-22T00:00:00"/>
    <x v="3"/>
    <s v="Leeds"/>
    <s v="Corporate"/>
    <s v="Retail Store"/>
    <s v="P-012"/>
    <n v="5"/>
    <n v="0.05"/>
    <n v="37.700000000000003"/>
    <n v="6.75"/>
    <x v="14"/>
    <x v="2"/>
    <s v="Luma Imports"/>
    <n v="4.5"/>
    <n v="8.2899999999999991"/>
    <n v="22.5"/>
    <n v="8.4500000000000028"/>
    <n v="0.22413793103448282"/>
    <x v="7"/>
    <x v="0"/>
    <x v="1"/>
  </r>
  <r>
    <s v="ORD-100852"/>
    <d v="2024-04-15T00:00:00"/>
    <d v="2024-04-18T00:00:00"/>
    <x v="0"/>
    <s v="Birmingham"/>
    <s v="Home Office"/>
    <s v="Online"/>
    <s v="P-012"/>
    <n v="3"/>
    <n v="0"/>
    <n v="23.74"/>
    <n v="3.51"/>
    <x v="14"/>
    <x v="2"/>
    <s v="Luma Imports"/>
    <n v="4.5"/>
    <n v="8.2899999999999991"/>
    <n v="13.5"/>
    <n v="6.7299999999999986"/>
    <n v="0.2834877843302443"/>
    <x v="21"/>
    <x v="1"/>
    <x v="1"/>
  </r>
  <r>
    <s v="ORD-100853"/>
    <d v="2025-08-22T00:00:00"/>
    <d v="2025-08-24T00:00:00"/>
    <x v="1"/>
    <s v="Peterborough"/>
    <s v="Home Office"/>
    <s v="Retail Store"/>
    <s v="P-004"/>
    <n v="4"/>
    <n v="0.25"/>
    <n v="298.95999999999998"/>
    <n v="13.7"/>
    <x v="5"/>
    <x v="1"/>
    <s v="Cedar Distribution"/>
    <n v="63.6"/>
    <n v="107.94"/>
    <n v="254.4"/>
    <n v="30.859999999999975"/>
    <n v="0.10322451164035315"/>
    <x v="6"/>
    <x v="3"/>
    <x v="0"/>
  </r>
  <r>
    <s v="ORD-100854"/>
    <d v="2024-10-17T00:00:00"/>
    <d v="2024-10-21T00:00:00"/>
    <x v="1"/>
    <s v="Cambridge"/>
    <s v="Home Office"/>
    <s v="Retail Store"/>
    <s v="P-002"/>
    <n v="3"/>
    <n v="0"/>
    <n v="732.75"/>
    <n v="6.84"/>
    <x v="2"/>
    <x v="1"/>
    <s v="Vertex Trade"/>
    <n v="119.02"/>
    <n v="205.39"/>
    <n v="357.06"/>
    <n v="368.85"/>
    <n v="0.50337768679631523"/>
    <x v="3"/>
    <x v="1"/>
    <x v="1"/>
  </r>
  <r>
    <s v="ORD-100855"/>
    <d v="2025-05-01T00:00:00"/>
    <d v="2025-05-07T00:00:00"/>
    <x v="2"/>
    <s v="London"/>
    <s v="Corporate"/>
    <s v="Retail Store"/>
    <s v="P-012"/>
    <n v="8"/>
    <n v="0"/>
    <n v="68.44"/>
    <n v="4.8600000000000003"/>
    <x v="14"/>
    <x v="2"/>
    <s v="Luma Imports"/>
    <n v="4.5"/>
    <n v="8.2899999999999991"/>
    <n v="36"/>
    <n v="27.58"/>
    <n v="0.40298071303331384"/>
    <x v="1"/>
    <x v="1"/>
    <x v="0"/>
  </r>
  <r>
    <s v="ORD-100856"/>
    <d v="2024-10-25T00:00:00"/>
    <d v="2024-10-27T00:00:00"/>
    <x v="3"/>
    <s v="Newcastle"/>
    <s v="Home Office"/>
    <s v="Online"/>
    <s v="P-012"/>
    <n v="8"/>
    <n v="0.2"/>
    <n v="64.069999999999993"/>
    <n v="8.1"/>
    <x v="14"/>
    <x v="2"/>
    <s v="Luma Imports"/>
    <n v="4.5"/>
    <n v="8.2899999999999991"/>
    <n v="36"/>
    <n v="19.969999999999992"/>
    <n v="0.31169033869205548"/>
    <x v="3"/>
    <x v="2"/>
    <x v="1"/>
  </r>
  <r>
    <s v="ORD-100857"/>
    <d v="2025-01-07T00:00:00"/>
    <d v="2025-01-12T00:00:00"/>
    <x v="2"/>
    <s v="Brighton"/>
    <s v="Home Office"/>
    <s v="B2B Sales"/>
    <s v="P-014"/>
    <n v="23"/>
    <n v="0.05"/>
    <n v="510.04"/>
    <n v="8.91"/>
    <x v="3"/>
    <x v="2"/>
    <s v="Orbit Supply Co."/>
    <n v="16.760000000000002"/>
    <n v="27.71"/>
    <n v="385.48"/>
    <n v="115.65"/>
    <n v="0.22674692181005413"/>
    <x v="20"/>
    <x v="0"/>
    <x v="0"/>
  </r>
  <r>
    <s v="ORD-100858"/>
    <d v="2025-07-25T00:00:00"/>
    <d v="2025-07-27T00:00:00"/>
    <x v="3"/>
    <s v="Newcastle"/>
    <s v="Small Business"/>
    <s v="B2B Sales"/>
    <s v="P-010"/>
    <n v="3"/>
    <n v="0.05"/>
    <n v="15.03"/>
    <n v="3.51"/>
    <x v="4"/>
    <x v="2"/>
    <s v="Orbit Supply Co."/>
    <n v="3.62"/>
    <n v="6.03"/>
    <n v="10.86"/>
    <n v="0.66000000000000014"/>
    <n v="4.3912175648702603E-2"/>
    <x v="4"/>
    <x v="0"/>
    <x v="0"/>
  </r>
  <r>
    <s v="ORD-100859"/>
    <d v="2024-10-21T00:00:00"/>
    <d v="2024-10-27T00:00:00"/>
    <x v="0"/>
    <s v="Cardiff"/>
    <s v="Small Business"/>
    <s v="Online"/>
    <s v="P-013"/>
    <n v="10"/>
    <n v="0.05"/>
    <n v="131"/>
    <n v="9"/>
    <x v="11"/>
    <x v="2"/>
    <s v="Apex Wholesale"/>
    <n v="6.33"/>
    <n v="12.16"/>
    <n v="63.3"/>
    <n v="58.7"/>
    <n v="0.44809160305343515"/>
    <x v="3"/>
    <x v="0"/>
    <x v="1"/>
  </r>
  <r>
    <s v="ORD-100860"/>
    <d v="2024-08-27T00:00:00"/>
    <d v="2024-08-29T00:00:00"/>
    <x v="2"/>
    <s v="Brighton"/>
    <s v="Corporate"/>
    <s v="B2B Sales"/>
    <s v="P-012"/>
    <n v="9"/>
    <n v="0.1"/>
    <n v="66.010000000000005"/>
    <n v="8.5500000000000007"/>
    <x v="14"/>
    <x v="2"/>
    <s v="Luma Imports"/>
    <n v="4.5"/>
    <n v="8.2899999999999991"/>
    <n v="40.5"/>
    <n v="16.960000000000004"/>
    <n v="0.25693076806544468"/>
    <x v="7"/>
    <x v="0"/>
    <x v="1"/>
  </r>
  <r>
    <s v="ORD-100861"/>
    <d v="2025-02-24T00:00:00"/>
    <d v="2025-02-26T00:00:00"/>
    <x v="2"/>
    <s v="Bristol"/>
    <s v="Corporate"/>
    <s v="B2B Sales"/>
    <s v="P-015"/>
    <n v="7"/>
    <n v="0.1"/>
    <n v="33.29"/>
    <n v="4.59"/>
    <x v="8"/>
    <x v="2"/>
    <s v="Luma Imports"/>
    <n v="3.3"/>
    <n v="6.13"/>
    <n v="23.099999999999998"/>
    <n v="5.6000000000000014"/>
    <n v="0.16821868428957651"/>
    <x v="5"/>
    <x v="0"/>
    <x v="0"/>
  </r>
  <r>
    <s v="ORD-100862"/>
    <d v="2024-05-05T00:00:00"/>
    <d v="2024-05-11T00:00:00"/>
    <x v="0"/>
    <s v="Liverpool"/>
    <s v="Small Business"/>
    <s v="B2B Sales"/>
    <s v="P-015"/>
    <n v="13"/>
    <n v="0"/>
    <n v="81.23"/>
    <n v="6.21"/>
    <x v="8"/>
    <x v="2"/>
    <s v="Luma Imports"/>
    <n v="3.3"/>
    <n v="6.13"/>
    <n v="42.9"/>
    <n v="32.120000000000005"/>
    <n v="0.3954204111781362"/>
    <x v="8"/>
    <x v="1"/>
    <x v="1"/>
  </r>
  <r>
    <s v="ORD-100863"/>
    <d v="2025-01-07T00:00:00"/>
    <d v="2025-01-13T00:00:00"/>
    <x v="2"/>
    <s v="Brighton"/>
    <s v="Home Office"/>
    <s v="Online"/>
    <s v="P-015"/>
    <n v="7"/>
    <n v="0"/>
    <n v="38.29"/>
    <n v="4.59"/>
    <x v="8"/>
    <x v="2"/>
    <s v="Luma Imports"/>
    <n v="3.3"/>
    <n v="6.13"/>
    <n v="23.099999999999998"/>
    <n v="10.600000000000001"/>
    <n v="0.27683468268477412"/>
    <x v="20"/>
    <x v="1"/>
    <x v="0"/>
  </r>
  <r>
    <s v="ORD-100864"/>
    <d v="2024-08-20T00:00:00"/>
    <d v="2024-08-23T00:00:00"/>
    <x v="1"/>
    <s v="Norwich"/>
    <s v="Corporate"/>
    <s v="B2B Sales"/>
    <s v="P-015"/>
    <n v="8"/>
    <n v="0"/>
    <n v="44.89"/>
    <n v="8.1"/>
    <x v="8"/>
    <x v="2"/>
    <s v="Luma Imports"/>
    <n v="3.3"/>
    <n v="6.13"/>
    <n v="26.4"/>
    <n v="10.390000000000002"/>
    <n v="0.23145466696368908"/>
    <x v="7"/>
    <x v="1"/>
    <x v="1"/>
  </r>
  <r>
    <s v="ORD-100865"/>
    <d v="2025-04-04T00:00:00"/>
    <d v="2025-04-09T00:00:00"/>
    <x v="1"/>
    <s v="Cambridge"/>
    <s v="Corporate"/>
    <s v="Online"/>
    <s v="P-002"/>
    <n v="2"/>
    <n v="0"/>
    <n v="405.6"/>
    <n v="5.46"/>
    <x v="2"/>
    <x v="1"/>
    <s v="Vertex Trade"/>
    <n v="119.02"/>
    <n v="205.39"/>
    <n v="238.04"/>
    <n v="162.10000000000002"/>
    <n v="0.39965483234714005"/>
    <x v="15"/>
    <x v="1"/>
    <x v="0"/>
  </r>
  <r>
    <s v="ORD-100866"/>
    <d v="2024-11-13T00:00:00"/>
    <d v="2024-11-19T00:00:00"/>
    <x v="0"/>
    <s v="Cardiff"/>
    <s v="Home Office"/>
    <s v="Online"/>
    <s v="P-005"/>
    <n v="1"/>
    <n v="0.2"/>
    <n v="53.54"/>
    <n v="3.45"/>
    <x v="13"/>
    <x v="0"/>
    <s v="Apex Wholesale"/>
    <n v="25.33"/>
    <n v="51.56"/>
    <n v="25.33"/>
    <n v="24.76"/>
    <n v="0.46245797534553607"/>
    <x v="14"/>
    <x v="2"/>
    <x v="1"/>
  </r>
  <r>
    <s v="ORD-100867"/>
    <d v="2024-05-23T00:00:00"/>
    <d v="2024-05-24T00:00:00"/>
    <x v="0"/>
    <s v="Liverpool"/>
    <s v="Corporate"/>
    <s v="Online"/>
    <s v="P-001"/>
    <n v="2"/>
    <n v="0"/>
    <n v="584.29999999999995"/>
    <n v="5.46"/>
    <x v="12"/>
    <x v="1"/>
    <s v="Luma Imports"/>
    <n v="173.56"/>
    <n v="286.14999999999998"/>
    <n v="347.12"/>
    <n v="231.71999999999994"/>
    <n v="0.39657710080438124"/>
    <x v="8"/>
    <x v="1"/>
    <x v="1"/>
  </r>
  <r>
    <s v="ORD-100868"/>
    <d v="2025-11-25T00:00:00"/>
    <d v="2025-11-30T00:00:00"/>
    <x v="1"/>
    <s v="Cambridge"/>
    <s v="Small Business"/>
    <s v="Retail Store"/>
    <s v="P-003"/>
    <n v="4"/>
    <n v="0"/>
    <n v="592.16999999999996"/>
    <n v="8.2200000000000006"/>
    <x v="1"/>
    <x v="1"/>
    <s v="Orbit Supply Co."/>
    <n v="71.489999999999995"/>
    <n v="112.88"/>
    <n v="285.95999999999998"/>
    <n v="297.98999999999995"/>
    <n v="0.50321698161001061"/>
    <x v="19"/>
    <x v="1"/>
    <x v="0"/>
  </r>
  <r>
    <s v="ORD-100869"/>
    <d v="2024-02-29T00:00:00"/>
    <d v="2024-03-01T00:00:00"/>
    <x v="2"/>
    <s v="London"/>
    <s v="Corporate"/>
    <s v="Online"/>
    <s v="P-012"/>
    <n v="13"/>
    <n v="0"/>
    <n v="95.93"/>
    <n v="6.21"/>
    <x v="14"/>
    <x v="2"/>
    <s v="Luma Imports"/>
    <n v="4.5"/>
    <n v="8.2899999999999991"/>
    <n v="58.5"/>
    <n v="31.220000000000006"/>
    <n v="0.32544563744396959"/>
    <x v="12"/>
    <x v="1"/>
    <x v="1"/>
  </r>
  <r>
    <s v="ORD-100870"/>
    <d v="2024-06-27T00:00:00"/>
    <d v="2024-06-30T00:00:00"/>
    <x v="3"/>
    <s v="Leeds"/>
    <s v="Small Business"/>
    <s v="Online"/>
    <s v="P-004"/>
    <n v="2"/>
    <n v="0"/>
    <n v="224.17"/>
    <n v="9.1"/>
    <x v="5"/>
    <x v="1"/>
    <s v="Cedar Distribution"/>
    <n v="63.6"/>
    <n v="107.94"/>
    <n v="127.2"/>
    <n v="87.86999999999999"/>
    <n v="0.39197930142302717"/>
    <x v="17"/>
    <x v="1"/>
    <x v="1"/>
  </r>
  <r>
    <s v="ORD-100871"/>
    <d v="2024-09-24T00:00:00"/>
    <d v="2024-09-28T00:00:00"/>
    <x v="0"/>
    <s v="Birmingham"/>
    <s v="Small Business"/>
    <s v="Online"/>
    <s v="P-001"/>
    <n v="4"/>
    <n v="0"/>
    <n v="1285.58"/>
    <n v="13.7"/>
    <x v="12"/>
    <x v="1"/>
    <s v="Luma Imports"/>
    <n v="173.56"/>
    <n v="286.14999999999998"/>
    <n v="694.24"/>
    <n v="577.63999999999987"/>
    <n v="0.44932248479285608"/>
    <x v="23"/>
    <x v="1"/>
    <x v="1"/>
  </r>
  <r>
    <s v="ORD-100872"/>
    <d v="2024-07-03T00:00:00"/>
    <d v="2024-07-04T00:00:00"/>
    <x v="3"/>
    <s v="Newcastle"/>
    <s v="Corporate"/>
    <s v="Retail Store"/>
    <s v="P-010"/>
    <n v="5"/>
    <n v="0"/>
    <n v="28.46"/>
    <n v="4.05"/>
    <x v="4"/>
    <x v="2"/>
    <s v="Orbit Supply Co."/>
    <n v="3.62"/>
    <n v="6.03"/>
    <n v="18.100000000000001"/>
    <n v="6.31"/>
    <n v="0.22171468728039351"/>
    <x v="16"/>
    <x v="1"/>
    <x v="1"/>
  </r>
  <r>
    <s v="ORD-100873"/>
    <d v="2025-06-15T00:00:00"/>
    <d v="2025-06-18T00:00:00"/>
    <x v="1"/>
    <s v="Cambridge"/>
    <s v="Home Office"/>
    <s v="B2B Sales"/>
    <s v="P-015"/>
    <n v="11"/>
    <n v="0.1"/>
    <n v="62.45"/>
    <n v="5.67"/>
    <x v="8"/>
    <x v="2"/>
    <s v="Luma Imports"/>
    <n v="3.3"/>
    <n v="6.13"/>
    <n v="36.299999999999997"/>
    <n v="20.480000000000004"/>
    <n v="0.32794235388310655"/>
    <x v="0"/>
    <x v="0"/>
    <x v="0"/>
  </r>
  <r>
    <s v="ORD-100874"/>
    <d v="2024-10-03T00:00:00"/>
    <d v="2024-10-04T00:00:00"/>
    <x v="3"/>
    <s v="Newcastle"/>
    <s v="Corporate"/>
    <s v="B2B Sales"/>
    <s v="P-002"/>
    <n v="2"/>
    <n v="0.25"/>
    <n v="342.52"/>
    <n v="9.1"/>
    <x v="2"/>
    <x v="1"/>
    <s v="Vertex Trade"/>
    <n v="119.02"/>
    <n v="205.39"/>
    <n v="238.04"/>
    <n v="95.38"/>
    <n v="0.2784654910662151"/>
    <x v="3"/>
    <x v="3"/>
    <x v="1"/>
  </r>
  <r>
    <s v="ORD-100875"/>
    <d v="2025-04-27T00:00:00"/>
    <d v="2025-05-01T00:00:00"/>
    <x v="1"/>
    <s v="Peterborough"/>
    <s v="Small Business"/>
    <s v="Retail Store"/>
    <s v="P-011"/>
    <n v="4"/>
    <n v="0"/>
    <n v="56.31"/>
    <n v="6.3"/>
    <x v="9"/>
    <x v="2"/>
    <s v="Orbit Supply Co."/>
    <n v="7.93"/>
    <n v="14.78"/>
    <n v="31.72"/>
    <n v="18.290000000000003"/>
    <n v="0.32480909252353052"/>
    <x v="15"/>
    <x v="1"/>
    <x v="0"/>
  </r>
  <r>
    <s v="ORD-100876"/>
    <d v="2024-01-06T00:00:00"/>
    <d v="2024-01-07T00:00:00"/>
    <x v="3"/>
    <s v="Leeds"/>
    <s v="Corporate"/>
    <s v="B2B Sales"/>
    <s v="P-006"/>
    <n v="4"/>
    <n v="0"/>
    <n v="412.87"/>
    <n v="9.5"/>
    <x v="10"/>
    <x v="0"/>
    <s v="Apex Wholesale"/>
    <n v="54.95"/>
    <n v="112.56"/>
    <n v="219.8"/>
    <n v="183.57"/>
    <n v="0.44461937171506766"/>
    <x v="18"/>
    <x v="1"/>
    <x v="1"/>
  </r>
  <r>
    <s v="ORD-100877"/>
    <d v="2024-10-21T00:00:00"/>
    <d v="2024-10-22T00:00:00"/>
    <x v="0"/>
    <s v="Liverpool"/>
    <s v="Home Office"/>
    <s v="Retail Store"/>
    <s v="P-006"/>
    <n v="4"/>
    <n v="0"/>
    <n v="534.05999999999995"/>
    <n v="5.7"/>
    <x v="10"/>
    <x v="0"/>
    <s v="Apex Wholesale"/>
    <n v="54.95"/>
    <n v="112.56"/>
    <n v="219.8"/>
    <n v="308.55999999999995"/>
    <n v="0.57776279818746956"/>
    <x v="3"/>
    <x v="1"/>
    <x v="1"/>
  </r>
  <r>
    <s v="ORD-100878"/>
    <d v="2024-12-17T00:00:00"/>
    <d v="2024-12-23T00:00:00"/>
    <x v="3"/>
    <s v="Manchester"/>
    <s v="Small Business"/>
    <s v="Online"/>
    <s v="P-004"/>
    <n v="4"/>
    <n v="0.2"/>
    <n v="467.04"/>
    <n v="8.2200000000000006"/>
    <x v="5"/>
    <x v="1"/>
    <s v="Cedar Distribution"/>
    <n v="63.6"/>
    <n v="107.94"/>
    <n v="254.4"/>
    <n v="204.42000000000002"/>
    <n v="0.4376927029804728"/>
    <x v="9"/>
    <x v="2"/>
    <x v="1"/>
  </r>
  <r>
    <s v="ORD-100879"/>
    <d v="2024-08-09T00:00:00"/>
    <d v="2024-08-12T00:00:00"/>
    <x v="0"/>
    <s v="Cardiff"/>
    <s v="Small Business"/>
    <s v="B2B Sales"/>
    <s v="P-001"/>
    <n v="3"/>
    <n v="0.05"/>
    <n v="771.08"/>
    <n v="11.4"/>
    <x v="12"/>
    <x v="1"/>
    <s v="Luma Imports"/>
    <n v="173.56"/>
    <n v="286.14999999999998"/>
    <n v="520.68000000000006"/>
    <n v="238.99999999999997"/>
    <n v="0.30995486849613524"/>
    <x v="7"/>
    <x v="0"/>
    <x v="1"/>
  </r>
  <r>
    <s v="ORD-100880"/>
    <d v="2025-08-18T00:00:00"/>
    <d v="2025-08-23T00:00:00"/>
    <x v="1"/>
    <s v="Cambridge"/>
    <s v="Corporate"/>
    <s v="Retail Store"/>
    <s v="P-007"/>
    <n v="5"/>
    <n v="0"/>
    <n v="278.72000000000003"/>
    <n v="6.45"/>
    <x v="7"/>
    <x v="0"/>
    <s v="Luma Imports"/>
    <n v="31.34"/>
    <n v="56.49"/>
    <n v="156.69999999999999"/>
    <n v="115.57000000000004"/>
    <n v="0.4146455223880598"/>
    <x v="6"/>
    <x v="1"/>
    <x v="0"/>
  </r>
  <r>
    <s v="ORD-100881"/>
    <d v="2024-10-21T00:00:00"/>
    <d v="2024-10-23T00:00:00"/>
    <x v="3"/>
    <s v="Manchester"/>
    <s v="Corporate"/>
    <s v="Online"/>
    <s v="P-013"/>
    <n v="11"/>
    <n v="0.05"/>
    <n v="146.04"/>
    <n v="9.4499999999999993"/>
    <x v="11"/>
    <x v="2"/>
    <s v="Apex Wholesale"/>
    <n v="6.33"/>
    <n v="12.16"/>
    <n v="69.63"/>
    <n v="66.959999999999994"/>
    <n v="0.45850451930977815"/>
    <x v="3"/>
    <x v="0"/>
    <x v="1"/>
  </r>
  <r>
    <s v="ORD-100882"/>
    <d v="2025-07-26T00:00:00"/>
    <d v="2025-07-27T00:00:00"/>
    <x v="0"/>
    <s v="Cardiff"/>
    <s v="Small Business"/>
    <s v="Retail Store"/>
    <s v="P-010"/>
    <n v="7"/>
    <n v="0"/>
    <n v="39.83"/>
    <n v="4.59"/>
    <x v="4"/>
    <x v="2"/>
    <s v="Orbit Supply Co."/>
    <n v="3.62"/>
    <n v="6.03"/>
    <n v="25.34"/>
    <n v="9.8999999999999986"/>
    <n v="0.24855636454933464"/>
    <x v="4"/>
    <x v="1"/>
    <x v="0"/>
  </r>
  <r>
    <s v="ORD-100883"/>
    <d v="2024-08-02T00:00:00"/>
    <d v="2024-08-06T00:00:00"/>
    <x v="2"/>
    <s v="Bristol"/>
    <s v="Home Office"/>
    <s v="Online"/>
    <s v="P-010"/>
    <n v="11"/>
    <n v="0.2"/>
    <n v="50.77"/>
    <n v="9.4499999999999993"/>
    <x v="4"/>
    <x v="2"/>
    <s v="Orbit Supply Co."/>
    <n v="3.62"/>
    <n v="6.03"/>
    <n v="39.82"/>
    <n v="1.5000000000000036"/>
    <n v="2.9545006893835012E-2"/>
    <x v="7"/>
    <x v="2"/>
    <x v="1"/>
  </r>
  <r>
    <s v="ORD-100884"/>
    <d v="2025-08-12T00:00:00"/>
    <d v="2025-08-17T00:00:00"/>
    <x v="1"/>
    <s v="Norwich"/>
    <s v="Small Business"/>
    <s v="Online"/>
    <s v="P-012"/>
    <n v="5"/>
    <n v="0"/>
    <n v="37.659999999999997"/>
    <n v="6.75"/>
    <x v="14"/>
    <x v="2"/>
    <s v="Luma Imports"/>
    <n v="4.5"/>
    <n v="8.2899999999999991"/>
    <n v="22.5"/>
    <n v="8.4099999999999966"/>
    <n v="0.2233138608603292"/>
    <x v="6"/>
    <x v="1"/>
    <x v="0"/>
  </r>
  <r>
    <s v="ORD-100885"/>
    <d v="2025-12-17T00:00:00"/>
    <d v="2025-12-22T00:00:00"/>
    <x v="2"/>
    <s v="London"/>
    <s v="Corporate"/>
    <s v="Retail Store"/>
    <s v="P-008"/>
    <n v="2"/>
    <n v="0"/>
    <n v="541.87"/>
    <n v="7"/>
    <x v="6"/>
    <x v="0"/>
    <s v="Vertex Trade"/>
    <n v="112.09"/>
    <n v="192.47"/>
    <n v="224.18"/>
    <n v="310.69"/>
    <n v="0.57336630557144697"/>
    <x v="13"/>
    <x v="1"/>
    <x v="0"/>
  </r>
  <r>
    <s v="ORD-100886"/>
    <d v="2024-10-04T00:00:00"/>
    <d v="2024-10-10T00:00:00"/>
    <x v="1"/>
    <s v="Peterborough"/>
    <s v="Home Office"/>
    <s v="Retail Store"/>
    <s v="P-011"/>
    <n v="14"/>
    <n v="0.1"/>
    <n v="227.31"/>
    <n v="10.8"/>
    <x v="9"/>
    <x v="2"/>
    <s v="Orbit Supply Co."/>
    <n v="7.93"/>
    <n v="14.78"/>
    <n v="111.02"/>
    <n v="105.49000000000001"/>
    <n v="0.46407989089789276"/>
    <x v="3"/>
    <x v="0"/>
    <x v="1"/>
  </r>
  <r>
    <s v="ORD-100887"/>
    <d v="2024-02-02T00:00:00"/>
    <d v="2024-02-05T00:00:00"/>
    <x v="3"/>
    <s v="Newcastle"/>
    <s v="Corporate"/>
    <s v="Retail Store"/>
    <s v="P-004"/>
    <n v="1"/>
    <n v="0.25"/>
    <n v="72.83"/>
    <n v="6.8"/>
    <x v="5"/>
    <x v="1"/>
    <s v="Cedar Distribution"/>
    <n v="63.6"/>
    <n v="107.94"/>
    <n v="63.6"/>
    <n v="2.4299999999999971"/>
    <n v="3.336537141287927E-2"/>
    <x v="12"/>
    <x v="3"/>
    <x v="1"/>
  </r>
  <r>
    <s v="ORD-100888"/>
    <d v="2025-11-01T00:00:00"/>
    <d v="2025-11-05T00:00:00"/>
    <x v="0"/>
    <s v="Cardiff"/>
    <s v="Home Office"/>
    <s v="Retail Store"/>
    <s v="P-001"/>
    <n v="2"/>
    <n v="0.05"/>
    <n v="744.04"/>
    <n v="9.1"/>
    <x v="12"/>
    <x v="1"/>
    <s v="Luma Imports"/>
    <n v="173.56"/>
    <n v="286.14999999999998"/>
    <n v="347.12"/>
    <n v="387.81999999999994"/>
    <n v="0.52123541745067459"/>
    <x v="19"/>
    <x v="0"/>
    <x v="0"/>
  </r>
  <r>
    <s v="ORD-100889"/>
    <d v="2024-08-29T00:00:00"/>
    <d v="2024-09-03T00:00:00"/>
    <x v="0"/>
    <s v="Liverpool"/>
    <s v="Home Office"/>
    <s v="Online"/>
    <s v="P-012"/>
    <n v="3"/>
    <n v="0.25"/>
    <n v="17.18"/>
    <n v="3.51"/>
    <x v="14"/>
    <x v="2"/>
    <s v="Luma Imports"/>
    <n v="4.5"/>
    <n v="8.2899999999999991"/>
    <n v="13.5"/>
    <n v="0.16999999999999993"/>
    <n v="9.895227008149007E-3"/>
    <x v="7"/>
    <x v="3"/>
    <x v="1"/>
  </r>
  <r>
    <s v="ORD-100890"/>
    <d v="2025-04-26T00:00:00"/>
    <d v="2025-04-28T00:00:00"/>
    <x v="0"/>
    <s v="Birmingham"/>
    <s v="Small Business"/>
    <s v="Online"/>
    <s v="P-015"/>
    <n v="20"/>
    <n v="0"/>
    <n v="123.74"/>
    <n v="8.1"/>
    <x v="8"/>
    <x v="2"/>
    <s v="Luma Imports"/>
    <n v="3.3"/>
    <n v="6.13"/>
    <n v="66"/>
    <n v="49.639999999999993"/>
    <n v="0.40116373040245673"/>
    <x v="15"/>
    <x v="1"/>
    <x v="0"/>
  </r>
  <r>
    <s v="ORD-100891"/>
    <d v="2024-09-27T00:00:00"/>
    <d v="2024-10-02T00:00:00"/>
    <x v="1"/>
    <s v="Peterborough"/>
    <s v="Corporate"/>
    <s v="Retail Store"/>
    <s v="P-011"/>
    <n v="5"/>
    <n v="0.05"/>
    <n v="79.89"/>
    <n v="6.75"/>
    <x v="9"/>
    <x v="2"/>
    <s v="Orbit Supply Co."/>
    <n v="7.93"/>
    <n v="14.78"/>
    <n v="39.65"/>
    <n v="33.49"/>
    <n v="0.41920140192765054"/>
    <x v="23"/>
    <x v="0"/>
    <x v="1"/>
  </r>
  <r>
    <s v="ORD-100892"/>
    <d v="2025-10-01T00:00:00"/>
    <d v="2025-10-04T00:00:00"/>
    <x v="1"/>
    <s v="Norwich"/>
    <s v="Home Office"/>
    <s v="B2B Sales"/>
    <s v="P-013"/>
    <n v="3"/>
    <n v="0.1"/>
    <n v="36.83"/>
    <n v="5.85"/>
    <x v="11"/>
    <x v="2"/>
    <s v="Apex Wholesale"/>
    <n v="6.33"/>
    <n v="12.16"/>
    <n v="18.990000000000002"/>
    <n v="11.989999999999997"/>
    <n v="0.32554982351344003"/>
    <x v="22"/>
    <x v="0"/>
    <x v="0"/>
  </r>
  <r>
    <s v="ORD-100893"/>
    <d v="2025-02-12T00:00:00"/>
    <d v="2025-02-17T00:00:00"/>
    <x v="3"/>
    <s v="Leeds"/>
    <s v="Home Office"/>
    <s v="B2B Sales"/>
    <s v="P-010"/>
    <n v="13"/>
    <n v="0"/>
    <n v="67.66"/>
    <n v="6.21"/>
    <x v="4"/>
    <x v="2"/>
    <s v="Orbit Supply Co."/>
    <n v="3.62"/>
    <n v="6.03"/>
    <n v="47.06"/>
    <n v="14.389999999999993"/>
    <n v="0.21268105232042558"/>
    <x v="5"/>
    <x v="1"/>
    <x v="0"/>
  </r>
  <r>
    <s v="ORD-100894"/>
    <d v="2024-02-27T00:00:00"/>
    <d v="2024-03-04T00:00:00"/>
    <x v="2"/>
    <s v="Bristol"/>
    <s v="Home Office"/>
    <s v="B2B Sales"/>
    <s v="P-002"/>
    <n v="4"/>
    <n v="0"/>
    <n v="709.23"/>
    <n v="8.2200000000000006"/>
    <x v="2"/>
    <x v="1"/>
    <s v="Vertex Trade"/>
    <n v="119.02"/>
    <n v="205.39"/>
    <n v="476.08"/>
    <n v="224.93000000000004"/>
    <n v="0.31714676480126336"/>
    <x v="12"/>
    <x v="1"/>
    <x v="1"/>
  </r>
  <r>
    <s v="ORD-100895"/>
    <d v="2025-01-18T00:00:00"/>
    <d v="2025-01-20T00:00:00"/>
    <x v="2"/>
    <s v="Bristol"/>
    <s v="Home Office"/>
    <s v="Online"/>
    <s v="P-014"/>
    <n v="4"/>
    <n v="0"/>
    <n v="91.87"/>
    <n v="3.78"/>
    <x v="3"/>
    <x v="2"/>
    <s v="Orbit Supply Co."/>
    <n v="16.760000000000002"/>
    <n v="27.71"/>
    <n v="67.040000000000006"/>
    <n v="21.049999999999997"/>
    <n v="0.22912811581582668"/>
    <x v="20"/>
    <x v="1"/>
    <x v="0"/>
  </r>
  <r>
    <s v="ORD-100896"/>
    <d v="2024-08-14T00:00:00"/>
    <d v="2024-08-15T00:00:00"/>
    <x v="2"/>
    <s v="Brighton"/>
    <s v="Small Business"/>
    <s v="Retail Store"/>
    <s v="P-015"/>
    <n v="6"/>
    <n v="0"/>
    <n v="33.64"/>
    <n v="4.32"/>
    <x v="8"/>
    <x v="2"/>
    <s v="Luma Imports"/>
    <n v="3.3"/>
    <n v="6.13"/>
    <n v="19.799999999999997"/>
    <n v="9.5200000000000031"/>
    <n v="0.2829964328180738"/>
    <x v="7"/>
    <x v="1"/>
    <x v="1"/>
  </r>
  <r>
    <s v="ORD-100897"/>
    <d v="2024-06-15T00:00:00"/>
    <d v="2024-06-20T00:00:00"/>
    <x v="3"/>
    <s v="Newcastle"/>
    <s v="Corporate"/>
    <s v="Online"/>
    <s v="P-015"/>
    <n v="5"/>
    <n v="0.15"/>
    <n v="27.74"/>
    <n v="4.05"/>
    <x v="8"/>
    <x v="2"/>
    <s v="Luma Imports"/>
    <n v="3.3"/>
    <n v="6.13"/>
    <n v="16.5"/>
    <n v="7.1899999999999986"/>
    <n v="0.25919250180245129"/>
    <x v="17"/>
    <x v="2"/>
    <x v="1"/>
  </r>
  <r>
    <s v="ORD-100898"/>
    <d v="2024-05-15T00:00:00"/>
    <d v="2024-05-17T00:00:00"/>
    <x v="3"/>
    <s v="Leeds"/>
    <s v="Home Office"/>
    <s v="Online"/>
    <s v="P-010"/>
    <n v="9"/>
    <n v="0"/>
    <n v="52.05"/>
    <n v="8.5500000000000007"/>
    <x v="4"/>
    <x v="2"/>
    <s v="Orbit Supply Co."/>
    <n v="3.62"/>
    <n v="6.03"/>
    <n v="32.58"/>
    <n v="10.919999999999998"/>
    <n v="0.20979827089337175"/>
    <x v="8"/>
    <x v="1"/>
    <x v="1"/>
  </r>
  <r>
    <s v="ORD-100899"/>
    <d v="2025-08-31T00:00:00"/>
    <d v="2025-09-05T00:00:00"/>
    <x v="0"/>
    <s v="Cardiff"/>
    <s v="Corporate"/>
    <s v="Retail Store"/>
    <s v="P-010"/>
    <n v="7"/>
    <n v="0"/>
    <n v="38.9"/>
    <n v="4.59"/>
    <x v="4"/>
    <x v="2"/>
    <s v="Orbit Supply Co."/>
    <n v="3.62"/>
    <n v="6.03"/>
    <n v="25.34"/>
    <n v="8.9699999999999989"/>
    <n v="0.2305912596401028"/>
    <x v="6"/>
    <x v="1"/>
    <x v="0"/>
  </r>
  <r>
    <s v="ORD-100900"/>
    <d v="2025-02-19T00:00:00"/>
    <d v="2025-02-25T00:00:00"/>
    <x v="3"/>
    <s v="Leeds"/>
    <s v="Home Office"/>
    <s v="Retail Store"/>
    <s v="P-003"/>
    <n v="2"/>
    <n v="0.05"/>
    <n v="196.53"/>
    <n v="9.1"/>
    <x v="1"/>
    <x v="1"/>
    <s v="Orbit Supply Co."/>
    <n v="71.489999999999995"/>
    <n v="112.88"/>
    <n v="142.97999999999999"/>
    <n v="44.45000000000001"/>
    <n v="0.22617412099933856"/>
    <x v="5"/>
    <x v="0"/>
    <x v="0"/>
  </r>
  <r>
    <s v="ORD-100901"/>
    <d v="2024-08-19T00:00:00"/>
    <d v="2024-08-22T00:00:00"/>
    <x v="2"/>
    <s v="Brighton"/>
    <s v="Small Business"/>
    <s v="Online"/>
    <s v="P-006"/>
    <n v="2"/>
    <n v="0.05"/>
    <n v="198.6"/>
    <n v="4.2"/>
    <x v="10"/>
    <x v="0"/>
    <s v="Apex Wholesale"/>
    <n v="54.95"/>
    <n v="112.56"/>
    <n v="109.9"/>
    <n v="84.499999999999986"/>
    <n v="0.42547834843907345"/>
    <x v="7"/>
    <x v="0"/>
    <x v="1"/>
  </r>
  <r>
    <s v="ORD-100902"/>
    <d v="2025-04-08T00:00:00"/>
    <d v="2025-04-14T00:00:00"/>
    <x v="3"/>
    <s v="Newcastle"/>
    <s v="Corporate"/>
    <s v="Retail Store"/>
    <s v="P-010"/>
    <n v="7"/>
    <n v="0"/>
    <n v="41.48"/>
    <n v="4.59"/>
    <x v="4"/>
    <x v="2"/>
    <s v="Orbit Supply Co."/>
    <n v="3.62"/>
    <n v="6.03"/>
    <n v="25.34"/>
    <n v="11.549999999999997"/>
    <n v="0.27844744455159109"/>
    <x v="15"/>
    <x v="1"/>
    <x v="0"/>
  </r>
  <r>
    <s v="ORD-100903"/>
    <d v="2024-02-07T00:00:00"/>
    <d v="2024-02-09T00:00:00"/>
    <x v="3"/>
    <s v="Leeds"/>
    <s v="Corporate"/>
    <s v="B2B Sales"/>
    <s v="P-014"/>
    <n v="4"/>
    <n v="0"/>
    <n v="101.67"/>
    <n v="3.78"/>
    <x v="3"/>
    <x v="2"/>
    <s v="Orbit Supply Co."/>
    <n v="16.760000000000002"/>
    <n v="27.71"/>
    <n v="67.040000000000006"/>
    <n v="30.849999999999994"/>
    <n v="0.3034326743385462"/>
    <x v="12"/>
    <x v="1"/>
    <x v="1"/>
  </r>
  <r>
    <s v="ORD-100904"/>
    <d v="2024-05-31T00:00:00"/>
    <d v="2024-06-02T00:00:00"/>
    <x v="2"/>
    <s v="Brighton"/>
    <s v="Home Office"/>
    <s v="Online"/>
    <s v="P-002"/>
    <n v="3"/>
    <n v="0.05"/>
    <n v="569.28"/>
    <n v="6.84"/>
    <x v="2"/>
    <x v="1"/>
    <s v="Vertex Trade"/>
    <n v="119.02"/>
    <n v="205.39"/>
    <n v="357.06"/>
    <n v="205.37999999999997"/>
    <n v="0.36077150084317028"/>
    <x v="8"/>
    <x v="0"/>
    <x v="1"/>
  </r>
  <r>
    <s v="ORD-100905"/>
    <d v="2024-05-13T00:00:00"/>
    <d v="2024-05-17T00:00:00"/>
    <x v="2"/>
    <s v="London"/>
    <s v="Home Office"/>
    <s v="Retail Store"/>
    <s v="P-005"/>
    <n v="2"/>
    <n v="0.1"/>
    <n v="94.91"/>
    <n v="4.2"/>
    <x v="13"/>
    <x v="0"/>
    <s v="Apex Wholesale"/>
    <n v="25.33"/>
    <n v="51.56"/>
    <n v="50.66"/>
    <n v="40.049999999999997"/>
    <n v="0.42197871667895898"/>
    <x v="8"/>
    <x v="0"/>
    <x v="1"/>
  </r>
  <r>
    <s v="ORD-100906"/>
    <d v="2024-03-01T00:00:00"/>
    <d v="2024-03-07T00:00:00"/>
    <x v="3"/>
    <s v="Manchester"/>
    <s v="Corporate"/>
    <s v="Retail Store"/>
    <s v="P-009"/>
    <n v="4"/>
    <n v="0.15"/>
    <n v="423.34"/>
    <n v="9.5"/>
    <x v="0"/>
    <x v="0"/>
    <s v="Apex Wholesale"/>
    <n v="63.69"/>
    <n v="125.5"/>
    <n v="254.76"/>
    <n v="159.07999999999998"/>
    <n v="0.37577360986441155"/>
    <x v="10"/>
    <x v="2"/>
    <x v="1"/>
  </r>
  <r>
    <s v="ORD-100907"/>
    <d v="2025-09-01T00:00:00"/>
    <d v="2025-09-05T00:00:00"/>
    <x v="3"/>
    <s v="Newcastle"/>
    <s v="Small Business"/>
    <s v="Online"/>
    <s v="P-004"/>
    <n v="3"/>
    <n v="0"/>
    <n v="345.82"/>
    <n v="6.84"/>
    <x v="5"/>
    <x v="1"/>
    <s v="Cedar Distribution"/>
    <n v="63.6"/>
    <n v="107.94"/>
    <n v="190.8"/>
    <n v="148.17999999999998"/>
    <n v="0.42848880920710192"/>
    <x v="11"/>
    <x v="1"/>
    <x v="0"/>
  </r>
  <r>
    <s v="ORD-100908"/>
    <d v="2025-10-22T00:00:00"/>
    <d v="2025-10-25T00:00:00"/>
    <x v="2"/>
    <s v="London"/>
    <s v="Home Office"/>
    <s v="Retail Store"/>
    <s v="P-010"/>
    <n v="12"/>
    <n v="0"/>
    <n v="82.91"/>
    <n v="5.94"/>
    <x v="4"/>
    <x v="2"/>
    <s v="Orbit Supply Co."/>
    <n v="3.62"/>
    <n v="6.03"/>
    <n v="43.44"/>
    <n v="33.53"/>
    <n v="0.40441442528042459"/>
    <x v="22"/>
    <x v="1"/>
    <x v="0"/>
  </r>
  <r>
    <s v="ORD-100909"/>
    <d v="2024-11-17T00:00:00"/>
    <d v="2024-11-18T00:00:00"/>
    <x v="3"/>
    <s v="Manchester"/>
    <s v="Corporate"/>
    <s v="Retail Store"/>
    <s v="P-005"/>
    <n v="4"/>
    <n v="0"/>
    <n v="289.35000000000002"/>
    <n v="9.5"/>
    <x v="13"/>
    <x v="0"/>
    <s v="Apex Wholesale"/>
    <n v="25.33"/>
    <n v="51.56"/>
    <n v="101.32"/>
    <n v="178.53000000000003"/>
    <n v="0.61700362882322457"/>
    <x v="14"/>
    <x v="1"/>
    <x v="1"/>
  </r>
  <r>
    <s v="ORD-100910"/>
    <d v="2024-02-26T00:00:00"/>
    <d v="2024-03-03T00:00:00"/>
    <x v="3"/>
    <s v="Leeds"/>
    <s v="Home Office"/>
    <s v="Retail Store"/>
    <s v="P-009"/>
    <n v="2"/>
    <n v="0"/>
    <n v="215.6"/>
    <n v="4.2"/>
    <x v="0"/>
    <x v="0"/>
    <s v="Apex Wholesale"/>
    <n v="63.69"/>
    <n v="125.5"/>
    <n v="127.38"/>
    <n v="84.02"/>
    <n v="0.38970315398886829"/>
    <x v="12"/>
    <x v="1"/>
    <x v="1"/>
  </r>
  <r>
    <s v="ORD-100911"/>
    <d v="2025-07-11T00:00:00"/>
    <d v="2025-07-17T00:00:00"/>
    <x v="1"/>
    <s v="Peterborough"/>
    <s v="Corporate"/>
    <s v="Online"/>
    <s v="P-004"/>
    <n v="3"/>
    <n v="0.05"/>
    <n v="284.76"/>
    <n v="11.4"/>
    <x v="5"/>
    <x v="1"/>
    <s v="Cedar Distribution"/>
    <n v="63.6"/>
    <n v="107.94"/>
    <n v="190.8"/>
    <n v="82.559999999999974"/>
    <n v="0.28992836072482081"/>
    <x v="4"/>
    <x v="0"/>
    <x v="0"/>
  </r>
  <r>
    <s v="ORD-100912"/>
    <d v="2025-07-22T00:00:00"/>
    <d v="2025-07-27T00:00:00"/>
    <x v="1"/>
    <s v="Peterborough"/>
    <s v="Home Office"/>
    <s v="Online"/>
    <s v="P-011"/>
    <n v="5"/>
    <n v="0.2"/>
    <n v="57.15"/>
    <n v="4.05"/>
    <x v="9"/>
    <x v="2"/>
    <s v="Orbit Supply Co."/>
    <n v="7.93"/>
    <n v="14.78"/>
    <n v="39.65"/>
    <n v="13.45"/>
    <n v="0.23534558180227472"/>
    <x v="4"/>
    <x v="2"/>
    <x v="0"/>
  </r>
  <r>
    <s v="ORD-100913"/>
    <d v="2025-07-22T00:00:00"/>
    <d v="2025-07-24T00:00:00"/>
    <x v="0"/>
    <s v="Birmingham"/>
    <s v="Small Business"/>
    <s v="Retail Store"/>
    <s v="P-013"/>
    <n v="8"/>
    <n v="0"/>
    <n v="90.6"/>
    <n v="8.1"/>
    <x v="11"/>
    <x v="2"/>
    <s v="Apex Wholesale"/>
    <n v="6.33"/>
    <n v="12.16"/>
    <n v="50.64"/>
    <n v="31.859999999999992"/>
    <n v="0.35165562913907278"/>
    <x v="4"/>
    <x v="1"/>
    <x v="0"/>
  </r>
  <r>
    <s v="ORD-100914"/>
    <d v="2024-10-14T00:00:00"/>
    <d v="2024-10-20T00:00:00"/>
    <x v="1"/>
    <s v="Cambridge"/>
    <s v="Small Business"/>
    <s v="Retail Store"/>
    <s v="P-002"/>
    <n v="3"/>
    <n v="0"/>
    <n v="736.26"/>
    <n v="6.84"/>
    <x v="2"/>
    <x v="1"/>
    <s v="Vertex Trade"/>
    <n v="119.02"/>
    <n v="205.39"/>
    <n v="357.06"/>
    <n v="372.36"/>
    <n v="0.50574525303561246"/>
    <x v="3"/>
    <x v="1"/>
    <x v="1"/>
  </r>
  <r>
    <s v="ORD-100915"/>
    <d v="2024-01-12T00:00:00"/>
    <d v="2024-01-15T00:00:00"/>
    <x v="1"/>
    <s v="Norwich"/>
    <s v="Corporate"/>
    <s v="Retail Store"/>
    <s v="P-010"/>
    <n v="5"/>
    <n v="0.25"/>
    <n v="21.06"/>
    <n v="6.75"/>
    <x v="4"/>
    <x v="2"/>
    <s v="Orbit Supply Co."/>
    <n v="3.62"/>
    <n v="6.03"/>
    <n v="18.100000000000001"/>
    <n v="-3.7900000000000027"/>
    <n v="-0.17996201329534678"/>
    <x v="18"/>
    <x v="3"/>
    <x v="1"/>
  </r>
  <r>
    <s v="ORD-100916"/>
    <d v="2025-06-10T00:00:00"/>
    <d v="2025-06-12T00:00:00"/>
    <x v="2"/>
    <s v="London"/>
    <s v="Small Business"/>
    <s v="Online"/>
    <s v="P-008"/>
    <n v="3"/>
    <n v="0.1"/>
    <n v="557.72"/>
    <n v="4.95"/>
    <x v="6"/>
    <x v="0"/>
    <s v="Vertex Trade"/>
    <n v="112.09"/>
    <n v="192.47"/>
    <n v="336.27"/>
    <n v="216.50000000000006"/>
    <n v="0.38818762102847315"/>
    <x v="0"/>
    <x v="0"/>
    <x v="0"/>
  </r>
  <r>
    <s v="ORD-100917"/>
    <d v="2025-02-24T00:00:00"/>
    <d v="2025-02-28T00:00:00"/>
    <x v="1"/>
    <s v="Cambridge"/>
    <s v="Home Office"/>
    <s v="Online"/>
    <s v="P-011"/>
    <n v="4"/>
    <n v="0.15"/>
    <n v="44.16"/>
    <n v="6.3"/>
    <x v="9"/>
    <x v="2"/>
    <s v="Orbit Supply Co."/>
    <n v="7.93"/>
    <n v="14.78"/>
    <n v="31.72"/>
    <n v="6.1399999999999979"/>
    <n v="0.13903985507246372"/>
    <x v="5"/>
    <x v="2"/>
    <x v="0"/>
  </r>
  <r>
    <s v="ORD-100918"/>
    <d v="2025-05-11T00:00:00"/>
    <d v="2025-05-16T00:00:00"/>
    <x v="1"/>
    <s v="Cambridge"/>
    <s v="Home Office"/>
    <s v="Retail Store"/>
    <s v="P-015"/>
    <n v="11"/>
    <n v="0.15"/>
    <n v="56.58"/>
    <n v="5.67"/>
    <x v="8"/>
    <x v="2"/>
    <s v="Luma Imports"/>
    <n v="3.3"/>
    <n v="6.13"/>
    <n v="36.299999999999997"/>
    <n v="14.610000000000001"/>
    <n v="0.2582184517497349"/>
    <x v="1"/>
    <x v="2"/>
    <x v="0"/>
  </r>
  <r>
    <s v="ORD-100919"/>
    <d v="2025-02-23T00:00:00"/>
    <d v="2025-02-28T00:00:00"/>
    <x v="1"/>
    <s v="Peterborough"/>
    <s v="Small Business"/>
    <s v="Retail Store"/>
    <s v="P-004"/>
    <n v="3"/>
    <n v="0.25"/>
    <n v="220.52"/>
    <n v="11.4"/>
    <x v="5"/>
    <x v="1"/>
    <s v="Cedar Distribution"/>
    <n v="63.6"/>
    <n v="107.94"/>
    <n v="190.8"/>
    <n v="18.32"/>
    <n v="8.307636495555959E-2"/>
    <x v="5"/>
    <x v="3"/>
    <x v="0"/>
  </r>
  <r>
    <s v="ORD-100920"/>
    <d v="2024-06-30T00:00:00"/>
    <d v="2024-07-04T00:00:00"/>
    <x v="3"/>
    <s v="Newcastle"/>
    <s v="Corporate"/>
    <s v="Online"/>
    <s v="P-010"/>
    <n v="12"/>
    <n v="0.05"/>
    <n v="70.540000000000006"/>
    <n v="9.9"/>
    <x v="4"/>
    <x v="2"/>
    <s v="Orbit Supply Co."/>
    <n v="3.62"/>
    <n v="6.03"/>
    <n v="43.44"/>
    <n v="17.20000000000001"/>
    <n v="0.24383328607882065"/>
    <x v="17"/>
    <x v="0"/>
    <x v="1"/>
  </r>
  <r>
    <s v="ORD-100921"/>
    <d v="2025-12-14T00:00:00"/>
    <d v="2025-12-15T00:00:00"/>
    <x v="1"/>
    <s v="Norwich"/>
    <s v="Small Business"/>
    <s v="Online"/>
    <s v="P-013"/>
    <n v="14"/>
    <n v="0"/>
    <n v="229.05"/>
    <n v="10.8"/>
    <x v="11"/>
    <x v="2"/>
    <s v="Apex Wholesale"/>
    <n v="6.33"/>
    <n v="12.16"/>
    <n v="88.62"/>
    <n v="129.63"/>
    <n v="0.56594629993451206"/>
    <x v="13"/>
    <x v="1"/>
    <x v="0"/>
  </r>
  <r>
    <s v="ORD-100922"/>
    <d v="2024-12-11T00:00:00"/>
    <d v="2024-12-15T00:00:00"/>
    <x v="3"/>
    <s v="Leeds"/>
    <s v="Corporate"/>
    <s v="Online"/>
    <s v="P-013"/>
    <n v="4"/>
    <n v="0.25"/>
    <n v="53.54"/>
    <n v="3.78"/>
    <x v="11"/>
    <x v="2"/>
    <s v="Apex Wholesale"/>
    <n v="6.33"/>
    <n v="12.16"/>
    <n v="25.32"/>
    <n v="24.439999999999998"/>
    <n v="0.45648113559955172"/>
    <x v="9"/>
    <x v="3"/>
    <x v="1"/>
  </r>
  <r>
    <s v="ORD-100923"/>
    <d v="2024-01-25T00:00:00"/>
    <d v="2024-01-30T00:00:00"/>
    <x v="0"/>
    <s v="Liverpool"/>
    <s v="Corporate"/>
    <s v="Online"/>
    <s v="P-007"/>
    <n v="2"/>
    <n v="0"/>
    <n v="97.67"/>
    <n v="7"/>
    <x v="7"/>
    <x v="0"/>
    <s v="Luma Imports"/>
    <n v="31.34"/>
    <n v="56.49"/>
    <n v="62.68"/>
    <n v="27.990000000000002"/>
    <n v="0.28657724992321082"/>
    <x v="18"/>
    <x v="1"/>
    <x v="1"/>
  </r>
  <r>
    <s v="ORD-100924"/>
    <d v="2024-10-14T00:00:00"/>
    <d v="2024-10-15T00:00:00"/>
    <x v="1"/>
    <s v="Peterborough"/>
    <s v="Corporate"/>
    <s v="Retail Store"/>
    <s v="P-007"/>
    <n v="1"/>
    <n v="0"/>
    <n v="62.73"/>
    <n v="3.45"/>
    <x v="7"/>
    <x v="0"/>
    <s v="Luma Imports"/>
    <n v="31.34"/>
    <n v="56.49"/>
    <n v="31.34"/>
    <n v="27.939999999999998"/>
    <n v="0.44540092459748126"/>
    <x v="3"/>
    <x v="1"/>
    <x v="1"/>
  </r>
  <r>
    <s v="ORD-100925"/>
    <d v="2025-10-14T00:00:00"/>
    <d v="2025-10-15T00:00:00"/>
    <x v="1"/>
    <s v="Cambridge"/>
    <s v="Small Business"/>
    <s v="Retail Store"/>
    <s v="P-014"/>
    <n v="10"/>
    <n v="0.2"/>
    <n v="260.36"/>
    <n v="5.4"/>
    <x v="3"/>
    <x v="2"/>
    <s v="Orbit Supply Co."/>
    <n v="16.760000000000002"/>
    <n v="27.71"/>
    <n v="167.60000000000002"/>
    <n v="87.359999999999985"/>
    <n v="0.33553541250576119"/>
    <x v="22"/>
    <x v="2"/>
    <x v="0"/>
  </r>
  <r>
    <s v="ORD-100926"/>
    <d v="2024-05-29T00:00:00"/>
    <d v="2024-06-02T00:00:00"/>
    <x v="0"/>
    <s v="Cardiff"/>
    <s v="Small Business"/>
    <s v="B2B Sales"/>
    <s v="P-002"/>
    <n v="2"/>
    <n v="0"/>
    <n v="394.63"/>
    <n v="5.46"/>
    <x v="2"/>
    <x v="1"/>
    <s v="Vertex Trade"/>
    <n v="119.02"/>
    <n v="205.39"/>
    <n v="238.04"/>
    <n v="151.13"/>
    <n v="0.38296632288472748"/>
    <x v="8"/>
    <x v="1"/>
    <x v="1"/>
  </r>
  <r>
    <s v="ORD-100927"/>
    <d v="2025-02-25T00:00:00"/>
    <d v="2025-03-01T00:00:00"/>
    <x v="2"/>
    <s v="Bristol"/>
    <s v="Corporate"/>
    <s v="Retail Store"/>
    <s v="P-004"/>
    <n v="2"/>
    <n v="0.25"/>
    <n v="142.35"/>
    <n v="9.1"/>
    <x v="5"/>
    <x v="1"/>
    <s v="Cedar Distribution"/>
    <n v="63.6"/>
    <n v="107.94"/>
    <n v="127.2"/>
    <n v="6.0499999999999918"/>
    <n v="4.2500878117316419E-2"/>
    <x v="5"/>
    <x v="3"/>
    <x v="0"/>
  </r>
  <r>
    <s v="ORD-100928"/>
    <d v="2024-11-03T00:00:00"/>
    <d v="2024-11-04T00:00:00"/>
    <x v="1"/>
    <s v="Norwich"/>
    <s v="Home Office"/>
    <s v="Retail Store"/>
    <s v="P-003"/>
    <n v="4"/>
    <n v="0"/>
    <n v="627.15"/>
    <n v="13.7"/>
    <x v="1"/>
    <x v="1"/>
    <s v="Orbit Supply Co."/>
    <n v="71.489999999999995"/>
    <n v="112.88"/>
    <n v="285.95999999999998"/>
    <n v="327.49"/>
    <n v="0.52218767440006386"/>
    <x v="14"/>
    <x v="1"/>
    <x v="1"/>
  </r>
  <r>
    <s v="ORD-100929"/>
    <d v="2025-10-06T00:00:00"/>
    <d v="2025-10-08T00:00:00"/>
    <x v="0"/>
    <s v="Liverpool"/>
    <s v="Home Office"/>
    <s v="Online"/>
    <s v="P-014"/>
    <n v="3"/>
    <n v="0"/>
    <n v="100.04"/>
    <n v="3.51"/>
    <x v="3"/>
    <x v="2"/>
    <s v="Orbit Supply Co."/>
    <n v="16.760000000000002"/>
    <n v="27.71"/>
    <n v="50.28"/>
    <n v="46.250000000000007"/>
    <n v="0.46231507397041188"/>
    <x v="22"/>
    <x v="1"/>
    <x v="0"/>
  </r>
  <r>
    <s v="ORD-100930"/>
    <d v="2025-10-08T00:00:00"/>
    <d v="2025-10-09T00:00:00"/>
    <x v="2"/>
    <s v="Bristol"/>
    <s v="Home Office"/>
    <s v="Retail Store"/>
    <s v="P-006"/>
    <n v="4"/>
    <n v="0.15"/>
    <n v="433.71"/>
    <n v="5.7"/>
    <x v="10"/>
    <x v="0"/>
    <s v="Apex Wholesale"/>
    <n v="54.95"/>
    <n v="112.56"/>
    <n v="219.8"/>
    <n v="208.20999999999998"/>
    <n v="0.48006732609347258"/>
    <x v="22"/>
    <x v="2"/>
    <x v="0"/>
  </r>
  <r>
    <s v="ORD-100931"/>
    <d v="2025-01-14T00:00:00"/>
    <d v="2025-01-19T00:00:00"/>
    <x v="2"/>
    <s v="Bristol"/>
    <s v="Home Office"/>
    <s v="Online"/>
    <s v="P-009"/>
    <n v="4"/>
    <n v="0.1"/>
    <n v="382.14"/>
    <n v="9.5"/>
    <x v="0"/>
    <x v="0"/>
    <s v="Apex Wholesale"/>
    <n v="63.69"/>
    <n v="125.5"/>
    <n v="254.76"/>
    <n v="117.88"/>
    <n v="0.30847333438007013"/>
    <x v="20"/>
    <x v="0"/>
    <x v="0"/>
  </r>
  <r>
    <s v="ORD-100932"/>
    <d v="2024-02-20T00:00:00"/>
    <d v="2024-02-23T00:00:00"/>
    <x v="1"/>
    <s v="Cambridge"/>
    <s v="Home Office"/>
    <s v="Online"/>
    <s v="P-006"/>
    <n v="2"/>
    <n v="0"/>
    <n v="209.91"/>
    <n v="7"/>
    <x v="10"/>
    <x v="0"/>
    <s v="Apex Wholesale"/>
    <n v="54.95"/>
    <n v="112.56"/>
    <n v="109.9"/>
    <n v="93.009999999999991"/>
    <n v="0.4430946596160259"/>
    <x v="12"/>
    <x v="1"/>
    <x v="1"/>
  </r>
  <r>
    <s v="ORD-100933"/>
    <d v="2024-11-29T00:00:00"/>
    <d v="2024-12-02T00:00:00"/>
    <x v="1"/>
    <s v="Cambridge"/>
    <s v="Corporate"/>
    <s v="B2B Sales"/>
    <s v="P-006"/>
    <n v="4"/>
    <n v="0.2"/>
    <n v="459.99"/>
    <n v="5.7"/>
    <x v="10"/>
    <x v="0"/>
    <s v="Apex Wholesale"/>
    <n v="54.95"/>
    <n v="112.56"/>
    <n v="219.8"/>
    <n v="234.49"/>
    <n v="0.50977195156416444"/>
    <x v="14"/>
    <x v="2"/>
    <x v="1"/>
  </r>
  <r>
    <s v="ORD-100934"/>
    <d v="2024-05-13T00:00:00"/>
    <d v="2024-05-18T00:00:00"/>
    <x v="2"/>
    <s v="London"/>
    <s v="Corporate"/>
    <s v="B2B Sales"/>
    <s v="P-001"/>
    <n v="4"/>
    <n v="0.05"/>
    <n v="1081.71"/>
    <n v="8.2200000000000006"/>
    <x v="12"/>
    <x v="1"/>
    <s v="Luma Imports"/>
    <n v="173.56"/>
    <n v="286.14999999999998"/>
    <n v="694.24"/>
    <n v="379.25"/>
    <n v="0.35060228711946823"/>
    <x v="8"/>
    <x v="0"/>
    <x v="1"/>
  </r>
  <r>
    <s v="ORD-100935"/>
    <d v="2025-11-01T00:00:00"/>
    <d v="2025-11-04T00:00:00"/>
    <x v="0"/>
    <s v="Cardiff"/>
    <s v="Corporate"/>
    <s v="B2B Sales"/>
    <s v="P-002"/>
    <n v="2"/>
    <n v="0.05"/>
    <n v="518.54999999999995"/>
    <n v="9.1"/>
    <x v="2"/>
    <x v="1"/>
    <s v="Vertex Trade"/>
    <n v="119.02"/>
    <n v="205.39"/>
    <n v="238.04"/>
    <n v="271.40999999999997"/>
    <n v="0.52340179346253979"/>
    <x v="19"/>
    <x v="0"/>
    <x v="0"/>
  </r>
  <r>
    <s v="ORD-100936"/>
    <d v="2024-04-12T00:00:00"/>
    <d v="2024-04-15T00:00:00"/>
    <x v="1"/>
    <s v="Cambridge"/>
    <s v="Small Business"/>
    <s v="Retail Store"/>
    <s v="P-005"/>
    <n v="2"/>
    <n v="0"/>
    <n v="102.2"/>
    <n v="4.2"/>
    <x v="13"/>
    <x v="0"/>
    <s v="Apex Wholesale"/>
    <n v="25.33"/>
    <n v="51.56"/>
    <n v="50.66"/>
    <n v="47.34"/>
    <n v="0.46320939334637967"/>
    <x v="21"/>
    <x v="1"/>
    <x v="1"/>
  </r>
  <r>
    <s v="ORD-100937"/>
    <d v="2025-12-17T00:00:00"/>
    <d v="2025-12-23T00:00:00"/>
    <x v="3"/>
    <s v="Manchester"/>
    <s v="Corporate"/>
    <s v="B2B Sales"/>
    <s v="P-009"/>
    <n v="7"/>
    <n v="0"/>
    <n v="1238.3399999999999"/>
    <n v="13.25"/>
    <x v="0"/>
    <x v="0"/>
    <s v="Apex Wholesale"/>
    <n v="63.69"/>
    <n v="125.5"/>
    <n v="445.83"/>
    <n v="779.26"/>
    <n v="0.62927790429122865"/>
    <x v="13"/>
    <x v="1"/>
    <x v="0"/>
  </r>
  <r>
    <s v="ORD-100938"/>
    <d v="2024-01-06T00:00:00"/>
    <d v="2024-01-08T00:00:00"/>
    <x v="1"/>
    <s v="Cambridge"/>
    <s v="Home Office"/>
    <s v="Online"/>
    <s v="P-004"/>
    <n v="4"/>
    <n v="0"/>
    <n v="381.77"/>
    <n v="13.7"/>
    <x v="5"/>
    <x v="1"/>
    <s v="Cedar Distribution"/>
    <n v="63.6"/>
    <n v="107.94"/>
    <n v="254.4"/>
    <n v="113.66999999999997"/>
    <n v="0.29774471540456288"/>
    <x v="18"/>
    <x v="1"/>
    <x v="1"/>
  </r>
  <r>
    <s v="ORD-100939"/>
    <d v="2024-02-14T00:00:00"/>
    <d v="2024-02-18T00:00:00"/>
    <x v="3"/>
    <s v="Manchester"/>
    <s v="Corporate"/>
    <s v="Online"/>
    <s v="P-012"/>
    <n v="12"/>
    <n v="0"/>
    <n v="92.86"/>
    <n v="5.94"/>
    <x v="14"/>
    <x v="2"/>
    <s v="Luma Imports"/>
    <n v="4.5"/>
    <n v="8.2899999999999991"/>
    <n v="54"/>
    <n v="32.92"/>
    <n v="0.3545121688563429"/>
    <x v="12"/>
    <x v="1"/>
    <x v="1"/>
  </r>
  <r>
    <s v="ORD-100940"/>
    <d v="2024-09-17T00:00:00"/>
    <d v="2024-09-21T00:00:00"/>
    <x v="3"/>
    <s v="Leeds"/>
    <s v="Home Office"/>
    <s v="Online"/>
    <s v="P-010"/>
    <n v="13"/>
    <n v="0"/>
    <n v="83.06"/>
    <n v="6.21"/>
    <x v="4"/>
    <x v="2"/>
    <s v="Orbit Supply Co."/>
    <n v="3.62"/>
    <n v="6.03"/>
    <n v="47.06"/>
    <n v="29.79"/>
    <n v="0.35865639296893809"/>
    <x v="23"/>
    <x v="1"/>
    <x v="1"/>
  </r>
  <r>
    <s v="ORD-100941"/>
    <d v="2024-10-28T00:00:00"/>
    <d v="2024-11-01T00:00:00"/>
    <x v="1"/>
    <s v="Norwich"/>
    <s v="Home Office"/>
    <s v="B2B Sales"/>
    <s v="P-008"/>
    <n v="4"/>
    <n v="0"/>
    <n v="896.93"/>
    <n v="9.5"/>
    <x v="6"/>
    <x v="0"/>
    <s v="Vertex Trade"/>
    <n v="112.09"/>
    <n v="192.47"/>
    <n v="448.36"/>
    <n v="439.06999999999994"/>
    <n v="0.48952538102193033"/>
    <x v="3"/>
    <x v="1"/>
    <x v="1"/>
  </r>
  <r>
    <s v="ORD-100942"/>
    <d v="2024-05-26T00:00:00"/>
    <d v="2024-05-31T00:00:00"/>
    <x v="1"/>
    <s v="Peterborough"/>
    <s v="Small Business"/>
    <s v="B2B Sales"/>
    <s v="P-003"/>
    <n v="4"/>
    <n v="0.2"/>
    <n v="364.7"/>
    <n v="8.2200000000000006"/>
    <x v="1"/>
    <x v="1"/>
    <s v="Orbit Supply Co."/>
    <n v="71.489999999999995"/>
    <n v="112.88"/>
    <n v="285.95999999999998"/>
    <n v="70.52000000000001"/>
    <n v="0.19336440910337266"/>
    <x v="8"/>
    <x v="2"/>
    <x v="1"/>
  </r>
  <r>
    <s v="ORD-100943"/>
    <d v="2025-11-03T00:00:00"/>
    <d v="2025-11-05T00:00:00"/>
    <x v="0"/>
    <s v="Birmingham"/>
    <s v="Home Office"/>
    <s v="B2B Sales"/>
    <s v="P-011"/>
    <n v="12"/>
    <n v="0"/>
    <n v="243.28"/>
    <n v="5.94"/>
    <x v="9"/>
    <x v="2"/>
    <s v="Orbit Supply Co."/>
    <n v="7.93"/>
    <n v="14.78"/>
    <n v="95.16"/>
    <n v="142.18"/>
    <n v="0.58442946399210793"/>
    <x v="19"/>
    <x v="1"/>
    <x v="0"/>
  </r>
  <r>
    <s v="ORD-100944"/>
    <d v="2024-12-30T00:00:00"/>
    <d v="2025-01-02T00:00:00"/>
    <x v="3"/>
    <s v="Manchester"/>
    <s v="Small Business"/>
    <s v="Online"/>
    <s v="P-004"/>
    <n v="2"/>
    <n v="0"/>
    <n v="313.54000000000002"/>
    <n v="5.46"/>
    <x v="5"/>
    <x v="1"/>
    <s v="Cedar Distribution"/>
    <n v="63.6"/>
    <n v="107.94"/>
    <n v="127.2"/>
    <n v="180.88000000000002"/>
    <n v="0.57689608981310203"/>
    <x v="9"/>
    <x v="1"/>
    <x v="1"/>
  </r>
  <r>
    <s v="ORD-100945"/>
    <d v="2025-08-08T00:00:00"/>
    <d v="2025-08-10T00:00:00"/>
    <x v="0"/>
    <s v="Birmingham"/>
    <s v="Home Office"/>
    <s v="Online"/>
    <s v="P-009"/>
    <n v="7"/>
    <n v="0"/>
    <n v="829.69"/>
    <n v="7.95"/>
    <x v="0"/>
    <x v="0"/>
    <s v="Apex Wholesale"/>
    <n v="63.69"/>
    <n v="125.5"/>
    <n v="445.83"/>
    <n v="375.91000000000008"/>
    <n v="0.45307283443213736"/>
    <x v="6"/>
    <x v="1"/>
    <x v="0"/>
  </r>
  <r>
    <s v="ORD-100946"/>
    <d v="2024-05-25T00:00:00"/>
    <d v="2024-05-28T00:00:00"/>
    <x v="0"/>
    <s v="Cardiff"/>
    <s v="Corporate"/>
    <s v="B2B Sales"/>
    <s v="P-002"/>
    <n v="2"/>
    <n v="0.2"/>
    <n v="320.39"/>
    <n v="5.46"/>
    <x v="2"/>
    <x v="1"/>
    <s v="Vertex Trade"/>
    <n v="119.02"/>
    <n v="205.39"/>
    <n v="238.04"/>
    <n v="76.89"/>
    <n v="0.23998876369424765"/>
    <x v="8"/>
    <x v="2"/>
    <x v="1"/>
  </r>
  <r>
    <s v="ORD-100947"/>
    <d v="2024-09-21T00:00:00"/>
    <d v="2024-09-27T00:00:00"/>
    <x v="1"/>
    <s v="Cambridge"/>
    <s v="Home Office"/>
    <s v="Online"/>
    <s v="P-014"/>
    <n v="5"/>
    <n v="0"/>
    <n v="152.15"/>
    <n v="4.05"/>
    <x v="3"/>
    <x v="2"/>
    <s v="Orbit Supply Co."/>
    <n v="16.760000000000002"/>
    <n v="27.71"/>
    <n v="83.800000000000011"/>
    <n v="64.3"/>
    <n v="0.42260926717055536"/>
    <x v="23"/>
    <x v="1"/>
    <x v="1"/>
  </r>
  <r>
    <s v="ORD-100948"/>
    <d v="2025-12-20T00:00:00"/>
    <d v="2025-12-21T00:00:00"/>
    <x v="1"/>
    <s v="Peterborough"/>
    <s v="Home Office"/>
    <s v="B2B Sales"/>
    <s v="P-011"/>
    <n v="11"/>
    <n v="0"/>
    <n v="238.37"/>
    <n v="5.67"/>
    <x v="9"/>
    <x v="2"/>
    <s v="Orbit Supply Co."/>
    <n v="7.93"/>
    <n v="14.78"/>
    <n v="87.22999999999999"/>
    <n v="145.47000000000003"/>
    <n v="0.61026974870998874"/>
    <x v="13"/>
    <x v="1"/>
    <x v="0"/>
  </r>
  <r>
    <s v="ORD-100949"/>
    <d v="2025-10-29T00:00:00"/>
    <d v="2025-11-03T00:00:00"/>
    <x v="2"/>
    <s v="Brighton"/>
    <s v="Home Office"/>
    <s v="Retail Store"/>
    <s v="P-013"/>
    <n v="5"/>
    <n v="0"/>
    <n v="69.94"/>
    <n v="6.75"/>
    <x v="11"/>
    <x v="2"/>
    <s v="Apex Wholesale"/>
    <n v="6.33"/>
    <n v="12.16"/>
    <n v="31.65"/>
    <n v="31.54"/>
    <n v="0.45095796396911642"/>
    <x v="22"/>
    <x v="1"/>
    <x v="0"/>
  </r>
  <r>
    <s v="ORD-100950"/>
    <d v="2024-03-25T00:00:00"/>
    <d v="2024-03-31T00:00:00"/>
    <x v="3"/>
    <s v="Newcastle"/>
    <s v="Corporate"/>
    <s v="B2B Sales"/>
    <s v="P-004"/>
    <n v="1"/>
    <n v="0"/>
    <n v="101.59"/>
    <n v="6.8"/>
    <x v="5"/>
    <x v="1"/>
    <s v="Cedar Distribution"/>
    <n v="63.6"/>
    <n v="107.94"/>
    <n v="63.6"/>
    <n v="31.19"/>
    <n v="0.30701840732355545"/>
    <x v="10"/>
    <x v="1"/>
    <x v="1"/>
  </r>
  <r>
    <s v="ORD-100951"/>
    <d v="2025-06-19T00:00:00"/>
    <d v="2025-06-22T00:00:00"/>
    <x v="1"/>
    <s v="Norwich"/>
    <s v="Home Office"/>
    <s v="Online"/>
    <s v="P-009"/>
    <n v="4"/>
    <n v="0"/>
    <n v="537.66"/>
    <n v="5.7"/>
    <x v="0"/>
    <x v="0"/>
    <s v="Apex Wholesale"/>
    <n v="63.69"/>
    <n v="125.5"/>
    <n v="254.76"/>
    <n v="277.2"/>
    <n v="0.51556745898895218"/>
    <x v="0"/>
    <x v="1"/>
    <x v="0"/>
  </r>
  <r>
    <s v="ORD-100952"/>
    <d v="2024-11-25T00:00:00"/>
    <d v="2024-12-01T00:00:00"/>
    <x v="3"/>
    <s v="Manchester"/>
    <s v="Corporate"/>
    <s v="B2B Sales"/>
    <s v="P-004"/>
    <n v="3"/>
    <n v="0"/>
    <n v="437.03"/>
    <n v="11.4"/>
    <x v="5"/>
    <x v="1"/>
    <s v="Cedar Distribution"/>
    <n v="63.6"/>
    <n v="107.94"/>
    <n v="190.8"/>
    <n v="234.82999999999996"/>
    <n v="0.5373315333043498"/>
    <x v="14"/>
    <x v="1"/>
    <x v="1"/>
  </r>
  <r>
    <s v="ORD-100953"/>
    <d v="2025-04-16T00:00:00"/>
    <d v="2025-04-20T00:00:00"/>
    <x v="3"/>
    <s v="Manchester"/>
    <s v="Home Office"/>
    <s v="Retail Store"/>
    <s v="P-002"/>
    <n v="7"/>
    <n v="0"/>
    <n v="1379.56"/>
    <n v="12.36"/>
    <x v="2"/>
    <x v="1"/>
    <s v="Vertex Trade"/>
    <n v="119.02"/>
    <n v="205.39"/>
    <n v="833.14"/>
    <n v="534.05999999999995"/>
    <n v="0.38712343065905069"/>
    <x v="15"/>
    <x v="1"/>
    <x v="0"/>
  </r>
  <r>
    <s v="ORD-100954"/>
    <d v="2025-03-15T00:00:00"/>
    <d v="2025-03-16T00:00:00"/>
    <x v="1"/>
    <s v="Peterborough"/>
    <s v="Home Office"/>
    <s v="B2B Sales"/>
    <s v="P-013"/>
    <n v="11"/>
    <n v="0.2"/>
    <n v="102.55"/>
    <n v="5.67"/>
    <x v="11"/>
    <x v="2"/>
    <s v="Apex Wholesale"/>
    <n v="6.33"/>
    <n v="12.16"/>
    <n v="69.63"/>
    <n v="27.25"/>
    <n v="0.26572403705509506"/>
    <x v="2"/>
    <x v="2"/>
    <x v="0"/>
  </r>
  <r>
    <s v="ORD-100955"/>
    <d v="2025-05-22T00:00:00"/>
    <d v="2025-05-24T00:00:00"/>
    <x v="0"/>
    <s v="Cardiff"/>
    <s v="Small Business"/>
    <s v="Retail Store"/>
    <s v="P-013"/>
    <n v="8"/>
    <n v="0.2"/>
    <n v="82.9"/>
    <n v="8.1"/>
    <x v="11"/>
    <x v="2"/>
    <s v="Apex Wholesale"/>
    <n v="6.33"/>
    <n v="12.16"/>
    <n v="50.64"/>
    <n v="24.160000000000004"/>
    <n v="0.29143546441495782"/>
    <x v="1"/>
    <x v="2"/>
    <x v="0"/>
  </r>
  <r>
    <s v="ORD-100956"/>
    <d v="2024-12-22T00:00:00"/>
    <d v="2024-12-26T00:00:00"/>
    <x v="3"/>
    <s v="Manchester"/>
    <s v="Small Business"/>
    <s v="Retail Store"/>
    <s v="P-011"/>
    <n v="9"/>
    <n v="0"/>
    <n v="193.93"/>
    <n v="5.13"/>
    <x v="9"/>
    <x v="2"/>
    <s v="Orbit Supply Co."/>
    <n v="7.93"/>
    <n v="14.78"/>
    <n v="71.37"/>
    <n v="117.43"/>
    <n v="0.6055277677512505"/>
    <x v="9"/>
    <x v="1"/>
    <x v="1"/>
  </r>
  <r>
    <s v="ORD-100957"/>
    <d v="2025-03-30T00:00:00"/>
    <d v="2025-04-03T00:00:00"/>
    <x v="1"/>
    <s v="Norwich"/>
    <s v="Home Office"/>
    <s v="Online"/>
    <s v="P-003"/>
    <n v="3"/>
    <n v="0.15"/>
    <n v="265.08"/>
    <n v="6.84"/>
    <x v="1"/>
    <x v="1"/>
    <s v="Orbit Supply Co."/>
    <n v="71.489999999999995"/>
    <n v="112.88"/>
    <n v="214.46999999999997"/>
    <n v="43.77000000000001"/>
    <n v="0.16511996378451793"/>
    <x v="2"/>
    <x v="2"/>
    <x v="0"/>
  </r>
  <r>
    <s v="ORD-100958"/>
    <d v="2024-09-18T00:00:00"/>
    <d v="2024-09-20T00:00:00"/>
    <x v="3"/>
    <s v="Leeds"/>
    <s v="Small Business"/>
    <s v="Retail Store"/>
    <s v="P-014"/>
    <n v="3"/>
    <n v="0.2"/>
    <n v="72.67"/>
    <n v="5.85"/>
    <x v="3"/>
    <x v="2"/>
    <s v="Orbit Supply Co."/>
    <n v="16.760000000000002"/>
    <n v="27.71"/>
    <n v="50.28"/>
    <n v="16.54"/>
    <n v="0.22760423833769092"/>
    <x v="23"/>
    <x v="2"/>
    <x v="1"/>
  </r>
  <r>
    <s v="ORD-100959"/>
    <d v="2025-10-29T00:00:00"/>
    <d v="2025-11-04T00:00:00"/>
    <x v="1"/>
    <s v="Cambridge"/>
    <s v="Small Business"/>
    <s v="Retail Store"/>
    <s v="P-001"/>
    <n v="2"/>
    <n v="0"/>
    <n v="678.67"/>
    <n v="5.46"/>
    <x v="12"/>
    <x v="1"/>
    <s v="Luma Imports"/>
    <n v="173.56"/>
    <n v="286.14999999999998"/>
    <n v="347.12"/>
    <n v="326.08999999999997"/>
    <n v="0.48048388760369548"/>
    <x v="22"/>
    <x v="1"/>
    <x v="0"/>
  </r>
  <r>
    <s v="ORD-100960"/>
    <d v="2024-05-21T00:00:00"/>
    <d v="2024-05-22T00:00:00"/>
    <x v="2"/>
    <s v="London"/>
    <s v="Small Business"/>
    <s v="Online"/>
    <s v="P-001"/>
    <n v="3"/>
    <n v="0"/>
    <n v="905.64"/>
    <n v="11.4"/>
    <x v="12"/>
    <x v="1"/>
    <s v="Luma Imports"/>
    <n v="173.56"/>
    <n v="286.14999999999998"/>
    <n v="520.68000000000006"/>
    <n v="373.55999999999995"/>
    <n v="0.41248178084006887"/>
    <x v="8"/>
    <x v="1"/>
    <x v="1"/>
  </r>
  <r>
    <s v="ORD-100961"/>
    <d v="2024-08-17T00:00:00"/>
    <d v="2024-08-19T00:00:00"/>
    <x v="0"/>
    <s v="Cardiff"/>
    <s v="Home Office"/>
    <s v="Retail Store"/>
    <s v="P-006"/>
    <n v="1"/>
    <n v="0"/>
    <n v="104.13"/>
    <n v="3.45"/>
    <x v="10"/>
    <x v="0"/>
    <s v="Apex Wholesale"/>
    <n v="54.95"/>
    <n v="112.56"/>
    <n v="54.95"/>
    <n v="45.72999999999999"/>
    <n v="0.4391625852300009"/>
    <x v="7"/>
    <x v="1"/>
    <x v="1"/>
  </r>
  <r>
    <s v="ORD-100962"/>
    <d v="2025-11-08T00:00:00"/>
    <d v="2025-11-11T00:00:00"/>
    <x v="3"/>
    <s v="Manchester"/>
    <s v="Small Business"/>
    <s v="Online"/>
    <s v="P-015"/>
    <n v="10"/>
    <n v="0"/>
    <n v="85.27"/>
    <n v="5.4"/>
    <x v="8"/>
    <x v="2"/>
    <s v="Luma Imports"/>
    <n v="3.3"/>
    <n v="6.13"/>
    <n v="33"/>
    <n v="46.87"/>
    <n v="0.54966576756186236"/>
    <x v="19"/>
    <x v="1"/>
    <x v="0"/>
  </r>
  <r>
    <s v="ORD-100963"/>
    <d v="2025-08-13T00:00:00"/>
    <d v="2025-08-14T00:00:00"/>
    <x v="1"/>
    <s v="Norwich"/>
    <s v="Home Office"/>
    <s v="Retail Store"/>
    <s v="P-005"/>
    <n v="2"/>
    <n v="0"/>
    <n v="100.2"/>
    <n v="7"/>
    <x v="13"/>
    <x v="0"/>
    <s v="Apex Wholesale"/>
    <n v="25.33"/>
    <n v="51.56"/>
    <n v="50.66"/>
    <n v="42.540000000000006"/>
    <n v="0.42455089820359287"/>
    <x v="6"/>
    <x v="1"/>
    <x v="0"/>
  </r>
  <r>
    <s v="ORD-100964"/>
    <d v="2024-08-04T00:00:00"/>
    <d v="2024-08-06T00:00:00"/>
    <x v="1"/>
    <s v="Peterborough"/>
    <s v="Small Business"/>
    <s v="Retail Store"/>
    <s v="P-003"/>
    <n v="4"/>
    <n v="0"/>
    <n v="425.3"/>
    <n v="13.7"/>
    <x v="1"/>
    <x v="1"/>
    <s v="Orbit Supply Co."/>
    <n v="71.489999999999995"/>
    <n v="112.88"/>
    <n v="285.95999999999998"/>
    <n v="125.64000000000003"/>
    <n v="0.29541500117564079"/>
    <x v="7"/>
    <x v="1"/>
    <x v="1"/>
  </r>
  <r>
    <s v="ORD-100965"/>
    <d v="2025-11-30T00:00:00"/>
    <d v="2025-12-05T00:00:00"/>
    <x v="0"/>
    <s v="Birmingham"/>
    <s v="Home Office"/>
    <s v="Online"/>
    <s v="P-005"/>
    <n v="1"/>
    <n v="0.15"/>
    <n v="59.82"/>
    <n v="3.45"/>
    <x v="13"/>
    <x v="0"/>
    <s v="Apex Wholesale"/>
    <n v="25.33"/>
    <n v="51.56"/>
    <n v="25.33"/>
    <n v="31.040000000000003"/>
    <n v="0.51889000334336344"/>
    <x v="19"/>
    <x v="2"/>
    <x v="0"/>
  </r>
  <r>
    <s v="ORD-100966"/>
    <d v="2024-09-27T00:00:00"/>
    <d v="2024-10-03T00:00:00"/>
    <x v="2"/>
    <s v="Bristol"/>
    <s v="Small Business"/>
    <s v="Retail Store"/>
    <s v="P-005"/>
    <n v="3"/>
    <n v="0.15"/>
    <n v="136.68"/>
    <n v="4.95"/>
    <x v="13"/>
    <x v="0"/>
    <s v="Apex Wholesale"/>
    <n v="25.33"/>
    <n v="51.56"/>
    <n v="75.989999999999995"/>
    <n v="55.740000000000009"/>
    <n v="0.40781387181738371"/>
    <x v="23"/>
    <x v="2"/>
    <x v="1"/>
  </r>
  <r>
    <s v="ORD-100967"/>
    <d v="2025-06-24T00:00:00"/>
    <d v="2025-06-25T00:00:00"/>
    <x v="3"/>
    <s v="Manchester"/>
    <s v="Home Office"/>
    <s v="Retail Store"/>
    <s v="P-003"/>
    <n v="3"/>
    <n v="0"/>
    <n v="363.75"/>
    <n v="11.4"/>
    <x v="1"/>
    <x v="1"/>
    <s v="Orbit Supply Co."/>
    <n v="71.489999999999995"/>
    <n v="112.88"/>
    <n v="214.46999999999997"/>
    <n v="137.88000000000002"/>
    <n v="0.37905154639175265"/>
    <x v="0"/>
    <x v="1"/>
    <x v="0"/>
  </r>
  <r>
    <s v="ORD-100968"/>
    <d v="2024-08-18T00:00:00"/>
    <d v="2024-08-21T00:00:00"/>
    <x v="0"/>
    <s v="Cardiff"/>
    <s v="Corporate"/>
    <s v="Retail Store"/>
    <s v="P-011"/>
    <n v="3"/>
    <n v="0"/>
    <n v="43.92"/>
    <n v="5.85"/>
    <x v="9"/>
    <x v="2"/>
    <s v="Orbit Supply Co."/>
    <n v="7.93"/>
    <n v="14.78"/>
    <n v="23.79"/>
    <n v="14.280000000000003"/>
    <n v="0.32513661202185795"/>
    <x v="7"/>
    <x v="1"/>
    <x v="1"/>
  </r>
  <r>
    <s v="ORD-100969"/>
    <d v="2024-10-04T00:00:00"/>
    <d v="2024-10-05T00:00:00"/>
    <x v="0"/>
    <s v="Cardiff"/>
    <s v="Home Office"/>
    <s v="Retail Store"/>
    <s v="P-002"/>
    <n v="2"/>
    <n v="0"/>
    <n v="486.85"/>
    <n v="9.1"/>
    <x v="2"/>
    <x v="1"/>
    <s v="Vertex Trade"/>
    <n v="119.02"/>
    <n v="205.39"/>
    <n v="238.04"/>
    <n v="239.71000000000004"/>
    <n v="0.49236931293006064"/>
    <x v="3"/>
    <x v="1"/>
    <x v="1"/>
  </r>
  <r>
    <s v="ORD-100970"/>
    <d v="2024-12-26T00:00:00"/>
    <d v="2024-12-30T00:00:00"/>
    <x v="1"/>
    <s v="Peterborough"/>
    <s v="Home Office"/>
    <s v="B2B Sales"/>
    <s v="P-003"/>
    <n v="4"/>
    <n v="0"/>
    <n v="639.38"/>
    <n v="8.2200000000000006"/>
    <x v="1"/>
    <x v="1"/>
    <s v="Orbit Supply Co."/>
    <n v="71.489999999999995"/>
    <n v="112.88"/>
    <n v="285.95999999999998"/>
    <n v="345.2"/>
    <n v="0.53989802621289373"/>
    <x v="9"/>
    <x v="1"/>
    <x v="1"/>
  </r>
  <r>
    <s v="ORD-100971"/>
    <d v="2024-06-16T00:00:00"/>
    <d v="2024-06-18T00:00:00"/>
    <x v="2"/>
    <s v="Bristol"/>
    <s v="Small Business"/>
    <s v="B2B Sales"/>
    <s v="P-010"/>
    <n v="8"/>
    <n v="0"/>
    <n v="50.07"/>
    <n v="4.8600000000000003"/>
    <x v="4"/>
    <x v="2"/>
    <s v="Orbit Supply Co."/>
    <n v="3.62"/>
    <n v="6.03"/>
    <n v="28.96"/>
    <n v="16.25"/>
    <n v="0.32454563610944676"/>
    <x v="17"/>
    <x v="1"/>
    <x v="1"/>
  </r>
  <r>
    <s v="ORD-100972"/>
    <d v="2025-01-18T00:00:00"/>
    <d v="2025-01-21T00:00:00"/>
    <x v="2"/>
    <s v="Brighton"/>
    <s v="Corporate"/>
    <s v="B2B Sales"/>
    <s v="P-012"/>
    <n v="9"/>
    <n v="0"/>
    <n v="68"/>
    <n v="8.5500000000000007"/>
    <x v="14"/>
    <x v="2"/>
    <s v="Luma Imports"/>
    <n v="4.5"/>
    <n v="8.2899999999999991"/>
    <n v="40.5"/>
    <n v="18.95"/>
    <n v="0.2786764705882353"/>
    <x v="20"/>
    <x v="1"/>
    <x v="0"/>
  </r>
  <r>
    <s v="ORD-100973"/>
    <d v="2025-11-16T00:00:00"/>
    <d v="2025-11-22T00:00:00"/>
    <x v="0"/>
    <s v="Liverpool"/>
    <s v="Home Office"/>
    <s v="Online"/>
    <s v="P-008"/>
    <n v="4"/>
    <n v="0"/>
    <n v="1038.8499999999999"/>
    <n v="5.7"/>
    <x v="6"/>
    <x v="0"/>
    <s v="Vertex Trade"/>
    <n v="112.09"/>
    <n v="192.47"/>
    <n v="448.36"/>
    <n v="584.78999999999985"/>
    <n v="0.56292053713240597"/>
    <x v="19"/>
    <x v="1"/>
    <x v="0"/>
  </r>
  <r>
    <s v="ORD-100974"/>
    <d v="2024-09-16T00:00:00"/>
    <d v="2024-09-22T00:00:00"/>
    <x v="2"/>
    <s v="Brighton"/>
    <s v="Small Business"/>
    <s v="Online"/>
    <s v="P-007"/>
    <n v="2"/>
    <n v="0.2"/>
    <n v="96.02"/>
    <n v="4.2"/>
    <x v="7"/>
    <x v="0"/>
    <s v="Luma Imports"/>
    <n v="31.34"/>
    <n v="56.49"/>
    <n v="62.68"/>
    <n v="29.139999999999997"/>
    <n v="0.30347844199125179"/>
    <x v="23"/>
    <x v="2"/>
    <x v="1"/>
  </r>
  <r>
    <s v="ORD-100975"/>
    <d v="2025-08-02T00:00:00"/>
    <d v="2025-08-06T00:00:00"/>
    <x v="1"/>
    <s v="Peterborough"/>
    <s v="Corporate"/>
    <s v="Online"/>
    <s v="P-003"/>
    <n v="4"/>
    <n v="0.25"/>
    <n v="330.53"/>
    <n v="13.7"/>
    <x v="1"/>
    <x v="1"/>
    <s v="Orbit Supply Co."/>
    <n v="71.489999999999995"/>
    <n v="112.88"/>
    <n v="285.95999999999998"/>
    <n v="30.869999999999994"/>
    <n v="9.3395455783136169E-2"/>
    <x v="6"/>
    <x v="3"/>
    <x v="0"/>
  </r>
  <r>
    <s v="ORD-100976"/>
    <d v="2025-03-01T00:00:00"/>
    <d v="2025-03-05T00:00:00"/>
    <x v="3"/>
    <s v="Manchester"/>
    <s v="Corporate"/>
    <s v="B2B Sales"/>
    <s v="P-014"/>
    <n v="10"/>
    <n v="0"/>
    <n v="249.91"/>
    <n v="9"/>
    <x v="3"/>
    <x v="2"/>
    <s v="Orbit Supply Co."/>
    <n v="16.760000000000002"/>
    <n v="27.71"/>
    <n v="167.60000000000002"/>
    <n v="73.309999999999974"/>
    <n v="0.29334560441759022"/>
    <x v="2"/>
    <x v="1"/>
    <x v="0"/>
  </r>
  <r>
    <s v="ORD-100977"/>
    <d v="2024-03-11T00:00:00"/>
    <d v="2024-03-16T00:00:00"/>
    <x v="3"/>
    <s v="Newcastle"/>
    <s v="Home Office"/>
    <s v="B2B Sales"/>
    <s v="P-006"/>
    <n v="4"/>
    <n v="0"/>
    <n v="431.52"/>
    <n v="9.5"/>
    <x v="10"/>
    <x v="0"/>
    <s v="Apex Wholesale"/>
    <n v="54.95"/>
    <n v="112.56"/>
    <n v="219.8"/>
    <n v="202.21999999999997"/>
    <n v="0.46862254356692618"/>
    <x v="10"/>
    <x v="1"/>
    <x v="1"/>
  </r>
  <r>
    <s v="ORD-100978"/>
    <d v="2024-04-18T00:00:00"/>
    <d v="2024-04-21T00:00:00"/>
    <x v="1"/>
    <s v="Peterborough"/>
    <s v="Home Office"/>
    <s v="B2B Sales"/>
    <s v="P-012"/>
    <n v="5"/>
    <n v="0"/>
    <n v="41.51"/>
    <n v="4.05"/>
    <x v="14"/>
    <x v="2"/>
    <s v="Luma Imports"/>
    <n v="4.5"/>
    <n v="8.2899999999999991"/>
    <n v="22.5"/>
    <n v="14.959999999999997"/>
    <n v="0.36039508552156102"/>
    <x v="21"/>
    <x v="1"/>
    <x v="1"/>
  </r>
  <r>
    <s v="ORD-100979"/>
    <d v="2025-04-30T00:00:00"/>
    <d v="2025-05-04T00:00:00"/>
    <x v="3"/>
    <s v="Manchester"/>
    <s v="Home Office"/>
    <s v="B2B Sales"/>
    <s v="P-006"/>
    <n v="3"/>
    <n v="0.15"/>
    <n v="293.45"/>
    <n v="4.95"/>
    <x v="10"/>
    <x v="0"/>
    <s v="Apex Wholesale"/>
    <n v="54.95"/>
    <n v="112.56"/>
    <n v="164.85000000000002"/>
    <n v="123.64999999999996"/>
    <n v="0.42136650195944786"/>
    <x v="15"/>
    <x v="2"/>
    <x v="0"/>
  </r>
  <r>
    <s v="ORD-100980"/>
    <d v="2024-03-05T00:00:00"/>
    <d v="2024-03-07T00:00:00"/>
    <x v="3"/>
    <s v="Leeds"/>
    <s v="Small Business"/>
    <s v="B2B Sales"/>
    <s v="P-001"/>
    <n v="4"/>
    <n v="0.05"/>
    <n v="1054.1600000000001"/>
    <n v="13.7"/>
    <x v="12"/>
    <x v="1"/>
    <s v="Luma Imports"/>
    <n v="173.56"/>
    <n v="286.14999999999998"/>
    <n v="694.24"/>
    <n v="346.22000000000008"/>
    <n v="0.32843211656674515"/>
    <x v="10"/>
    <x v="0"/>
    <x v="1"/>
  </r>
  <r>
    <s v="ORD-100981"/>
    <d v="2024-02-20T00:00:00"/>
    <d v="2024-02-22T00:00:00"/>
    <x v="3"/>
    <s v="Leeds"/>
    <s v="Small Business"/>
    <s v="Online"/>
    <s v="P-010"/>
    <n v="12"/>
    <n v="0"/>
    <n v="62.24"/>
    <n v="5.94"/>
    <x v="4"/>
    <x v="2"/>
    <s v="Orbit Supply Co."/>
    <n v="3.62"/>
    <n v="6.03"/>
    <n v="43.44"/>
    <n v="12.860000000000003"/>
    <n v="0.2066195372750643"/>
    <x v="12"/>
    <x v="1"/>
    <x v="1"/>
  </r>
  <r>
    <s v="ORD-100982"/>
    <d v="2024-05-03T00:00:00"/>
    <d v="2024-05-07T00:00:00"/>
    <x v="1"/>
    <s v="Norwich"/>
    <s v="Home Office"/>
    <s v="Online"/>
    <s v="P-004"/>
    <n v="1"/>
    <n v="0.2"/>
    <n v="87.27"/>
    <n v="4.08"/>
    <x v="5"/>
    <x v="1"/>
    <s v="Cedar Distribution"/>
    <n v="63.6"/>
    <n v="107.94"/>
    <n v="63.6"/>
    <n v="19.589999999999996"/>
    <n v="0.22447576486765208"/>
    <x v="8"/>
    <x v="2"/>
    <x v="1"/>
  </r>
  <r>
    <s v="ORD-100983"/>
    <d v="2025-08-14T00:00:00"/>
    <d v="2025-08-16T00:00:00"/>
    <x v="2"/>
    <s v="London"/>
    <s v="Small Business"/>
    <s v="Retail Store"/>
    <s v="P-008"/>
    <n v="1"/>
    <n v="0.1"/>
    <n v="155.52000000000001"/>
    <n v="3.45"/>
    <x v="6"/>
    <x v="0"/>
    <s v="Vertex Trade"/>
    <n v="112.09"/>
    <n v="192.47"/>
    <n v="112.09"/>
    <n v="39.980000000000004"/>
    <n v="0.2570730452674897"/>
    <x v="6"/>
    <x v="0"/>
    <x v="0"/>
  </r>
  <r>
    <s v="ORD-100984"/>
    <d v="2025-10-24T00:00:00"/>
    <d v="2025-10-26T00:00:00"/>
    <x v="1"/>
    <s v="Cambridge"/>
    <s v="Corporate"/>
    <s v="Retail Store"/>
    <s v="P-011"/>
    <n v="14"/>
    <n v="0.15"/>
    <n v="214.76"/>
    <n v="6.48"/>
    <x v="9"/>
    <x v="2"/>
    <s v="Orbit Supply Co."/>
    <n v="7.93"/>
    <n v="14.78"/>
    <n v="111.02"/>
    <n v="97.259999999999991"/>
    <n v="0.4528776308437325"/>
    <x v="22"/>
    <x v="2"/>
    <x v="0"/>
  </r>
  <r>
    <s v="ORD-100985"/>
    <d v="2025-04-05T00:00:00"/>
    <d v="2025-04-06T00:00:00"/>
    <x v="2"/>
    <s v="Brighton"/>
    <s v="Corporate"/>
    <s v="B2B Sales"/>
    <s v="P-001"/>
    <n v="5"/>
    <n v="0"/>
    <n v="1473.1"/>
    <n v="16"/>
    <x v="12"/>
    <x v="1"/>
    <s v="Luma Imports"/>
    <n v="173.56"/>
    <n v="286.14999999999998"/>
    <n v="867.8"/>
    <n v="589.29999999999995"/>
    <n v="0.40004073043242144"/>
    <x v="15"/>
    <x v="1"/>
    <x v="0"/>
  </r>
  <r>
    <s v="ORD-100986"/>
    <d v="2024-01-20T00:00:00"/>
    <d v="2024-01-22T00:00:00"/>
    <x v="3"/>
    <s v="Manchester"/>
    <s v="Home Office"/>
    <s v="B2B Sales"/>
    <s v="P-008"/>
    <n v="2"/>
    <n v="0"/>
    <n v="339.89"/>
    <n v="7"/>
    <x v="6"/>
    <x v="0"/>
    <s v="Vertex Trade"/>
    <n v="112.09"/>
    <n v="192.47"/>
    <n v="224.18"/>
    <n v="108.70999999999998"/>
    <n v="0.31983877136720701"/>
    <x v="18"/>
    <x v="1"/>
    <x v="1"/>
  </r>
  <r>
    <s v="ORD-100987"/>
    <d v="2024-09-30T00:00:00"/>
    <d v="2024-10-04T00:00:00"/>
    <x v="1"/>
    <s v="Peterborough"/>
    <s v="Home Office"/>
    <s v="Retail Store"/>
    <s v="P-011"/>
    <n v="22"/>
    <n v="0.2"/>
    <n v="282.86"/>
    <n v="8.64"/>
    <x v="9"/>
    <x v="2"/>
    <s v="Orbit Supply Co."/>
    <n v="7.93"/>
    <n v="14.78"/>
    <n v="174.45999999999998"/>
    <n v="99.760000000000034"/>
    <n v="0.35268330622923011"/>
    <x v="23"/>
    <x v="2"/>
    <x v="1"/>
  </r>
  <r>
    <s v="ORD-100988"/>
    <d v="2024-05-23T00:00:00"/>
    <d v="2024-05-25T00:00:00"/>
    <x v="1"/>
    <s v="Norwich"/>
    <s v="Corporate"/>
    <s v="Retail Store"/>
    <s v="P-010"/>
    <n v="5"/>
    <n v="0"/>
    <n v="28.96"/>
    <n v="4.05"/>
    <x v="4"/>
    <x v="2"/>
    <s v="Orbit Supply Co."/>
    <n v="3.62"/>
    <n v="6.03"/>
    <n v="18.100000000000001"/>
    <n v="6.81"/>
    <n v="0.23515193370165743"/>
    <x v="8"/>
    <x v="1"/>
    <x v="1"/>
  </r>
  <r>
    <s v="ORD-100989"/>
    <d v="2024-08-02T00:00:00"/>
    <d v="2024-08-06T00:00:00"/>
    <x v="2"/>
    <s v="Brighton"/>
    <s v="Home Office"/>
    <s v="B2B Sales"/>
    <s v="P-012"/>
    <n v="12"/>
    <n v="0"/>
    <n v="95.02"/>
    <n v="5.94"/>
    <x v="14"/>
    <x v="2"/>
    <s v="Luma Imports"/>
    <n v="4.5"/>
    <n v="8.2899999999999991"/>
    <n v="54"/>
    <n v="35.08"/>
    <n v="0.36918543464533782"/>
    <x v="7"/>
    <x v="1"/>
    <x v="1"/>
  </r>
  <r>
    <s v="ORD-100990"/>
    <d v="2025-11-05T00:00:00"/>
    <d v="2025-11-09T00:00:00"/>
    <x v="0"/>
    <s v="Liverpool"/>
    <s v="Corporate"/>
    <s v="B2B Sales"/>
    <s v="P-006"/>
    <n v="1"/>
    <n v="0.1"/>
    <n v="142.58000000000001"/>
    <n v="5.75"/>
    <x v="10"/>
    <x v="0"/>
    <s v="Apex Wholesale"/>
    <n v="54.95"/>
    <n v="112.56"/>
    <n v="54.95"/>
    <n v="81.88000000000001"/>
    <n v="0.57427409173797173"/>
    <x v="19"/>
    <x v="0"/>
    <x v="0"/>
  </r>
  <r>
    <s v="ORD-100991"/>
    <d v="2025-01-25T00:00:00"/>
    <d v="2025-01-27T00:00:00"/>
    <x v="2"/>
    <s v="Brighton"/>
    <s v="Small Business"/>
    <s v="B2B Sales"/>
    <s v="P-012"/>
    <n v="3"/>
    <n v="0.2"/>
    <n v="17.62"/>
    <n v="5.85"/>
    <x v="14"/>
    <x v="2"/>
    <s v="Luma Imports"/>
    <n v="4.5"/>
    <n v="8.2899999999999991"/>
    <n v="13.5"/>
    <n v="-1.7299999999999986"/>
    <n v="-9.8183881952326815E-2"/>
    <x v="20"/>
    <x v="2"/>
    <x v="0"/>
  </r>
  <r>
    <s v="ORD-100992"/>
    <d v="2024-03-01T00:00:00"/>
    <d v="2024-03-06T00:00:00"/>
    <x v="2"/>
    <s v="Brighton"/>
    <s v="Home Office"/>
    <s v="Online"/>
    <s v="P-005"/>
    <n v="2"/>
    <n v="0"/>
    <n v="98.89"/>
    <n v="4.2"/>
    <x v="13"/>
    <x v="0"/>
    <s v="Apex Wholesale"/>
    <n v="25.33"/>
    <n v="51.56"/>
    <n v="50.66"/>
    <n v="44.03"/>
    <n v="0.44524218829001921"/>
    <x v="10"/>
    <x v="1"/>
    <x v="1"/>
  </r>
  <r>
    <s v="ORD-100993"/>
    <d v="2025-11-26T00:00:00"/>
    <d v="2025-12-01T00:00:00"/>
    <x v="1"/>
    <s v="Norwich"/>
    <s v="Corporate"/>
    <s v="Online"/>
    <s v="P-002"/>
    <n v="3"/>
    <n v="0.15"/>
    <n v="714.68"/>
    <n v="11.4"/>
    <x v="2"/>
    <x v="1"/>
    <s v="Vertex Trade"/>
    <n v="119.02"/>
    <n v="205.39"/>
    <n v="357.06"/>
    <n v="346.21999999999997"/>
    <n v="0.48444058879498514"/>
    <x v="19"/>
    <x v="2"/>
    <x v="0"/>
  </r>
  <r>
    <s v="ORD-100994"/>
    <d v="2025-02-23T00:00:00"/>
    <d v="2025-02-25T00:00:00"/>
    <x v="2"/>
    <s v="London"/>
    <s v="Corporate"/>
    <s v="Retail Store"/>
    <s v="P-009"/>
    <n v="2"/>
    <n v="0"/>
    <n v="214.86"/>
    <n v="4.2"/>
    <x v="0"/>
    <x v="0"/>
    <s v="Apex Wholesale"/>
    <n v="63.69"/>
    <n v="125.5"/>
    <n v="127.38"/>
    <n v="83.280000000000015"/>
    <n v="0.38760122870706509"/>
    <x v="5"/>
    <x v="1"/>
    <x v="0"/>
  </r>
  <r>
    <s v="ORD-100995"/>
    <d v="2025-09-17T00:00:00"/>
    <d v="2025-09-20T00:00:00"/>
    <x v="3"/>
    <s v="Leeds"/>
    <s v="Home Office"/>
    <s v="Retail Store"/>
    <s v="P-012"/>
    <n v="6"/>
    <n v="0.1"/>
    <n v="48.49"/>
    <n v="4.32"/>
    <x v="14"/>
    <x v="2"/>
    <s v="Luma Imports"/>
    <n v="4.5"/>
    <n v="8.2899999999999991"/>
    <n v="27"/>
    <n v="17.170000000000002"/>
    <n v="0.35409362755207263"/>
    <x v="11"/>
    <x v="0"/>
    <x v="0"/>
  </r>
  <r>
    <s v="ORD-100996"/>
    <d v="2025-06-08T00:00:00"/>
    <d v="2025-06-14T00:00:00"/>
    <x v="2"/>
    <s v="London"/>
    <s v="Corporate"/>
    <s v="Online"/>
    <s v="P-012"/>
    <n v="12"/>
    <n v="0.15"/>
    <n v="87.83"/>
    <n v="5.94"/>
    <x v="14"/>
    <x v="2"/>
    <s v="Luma Imports"/>
    <n v="4.5"/>
    <n v="8.2899999999999991"/>
    <n v="54"/>
    <n v="27.889999999999997"/>
    <n v="0.31754525788454968"/>
    <x v="0"/>
    <x v="2"/>
    <x v="0"/>
  </r>
  <r>
    <s v="ORD-100997"/>
    <d v="2024-04-07T00:00:00"/>
    <d v="2024-04-09T00:00:00"/>
    <x v="2"/>
    <s v="Brighton"/>
    <s v="Corporate"/>
    <s v="Online"/>
    <s v="P-003"/>
    <n v="2"/>
    <n v="0.15"/>
    <n v="192.07"/>
    <n v="5.46"/>
    <x v="1"/>
    <x v="1"/>
    <s v="Orbit Supply Co."/>
    <n v="71.489999999999995"/>
    <n v="112.88"/>
    <n v="142.97999999999999"/>
    <n v="43.63"/>
    <n v="0.22715676576248245"/>
    <x v="21"/>
    <x v="2"/>
    <x v="1"/>
  </r>
  <r>
    <s v="ORD-100998"/>
    <d v="2025-07-09T00:00:00"/>
    <d v="2025-07-12T00:00:00"/>
    <x v="3"/>
    <s v="Leeds"/>
    <s v="Small Business"/>
    <s v="Online"/>
    <s v="P-013"/>
    <n v="8"/>
    <n v="0"/>
    <n v="90.58"/>
    <n v="4.8600000000000003"/>
    <x v="11"/>
    <x v="2"/>
    <s v="Apex Wholesale"/>
    <n v="6.33"/>
    <n v="12.16"/>
    <n v="50.64"/>
    <n v="35.08"/>
    <n v="0.38728196069772575"/>
    <x v="4"/>
    <x v="1"/>
    <x v="0"/>
  </r>
  <r>
    <s v="ORD-100999"/>
    <d v="2024-07-14T00:00:00"/>
    <d v="2024-07-18T00:00:00"/>
    <x v="1"/>
    <s v="Peterborough"/>
    <s v="Small Business"/>
    <s v="Retail Store"/>
    <s v="P-001"/>
    <n v="1"/>
    <n v="0"/>
    <n v="261.88"/>
    <n v="6.8"/>
    <x v="12"/>
    <x v="1"/>
    <s v="Luma Imports"/>
    <n v="173.56"/>
    <n v="286.14999999999998"/>
    <n v="173.56"/>
    <n v="81.52"/>
    <n v="0.31128761264701388"/>
    <x v="16"/>
    <x v="1"/>
    <x v="1"/>
  </r>
  <r>
    <s v="ORD-101000"/>
    <d v="2024-03-07T00:00:00"/>
    <d v="2024-03-11T00:00:00"/>
    <x v="0"/>
    <s v="Cardiff"/>
    <s v="Small Business"/>
    <s v="Online"/>
    <s v="P-005"/>
    <n v="4"/>
    <n v="0.05"/>
    <n v="188.14"/>
    <n v="5.7"/>
    <x v="13"/>
    <x v="0"/>
    <s v="Apex Wholesale"/>
    <n v="25.33"/>
    <n v="51.56"/>
    <n v="101.32"/>
    <n v="81.11999999999999"/>
    <n v="0.43116827894121396"/>
    <x v="10"/>
    <x v="0"/>
    <x v="1"/>
  </r>
  <r>
    <s v="ORD-101001"/>
    <d v="2025-09-26T00:00:00"/>
    <d v="2025-09-28T00:00:00"/>
    <x v="0"/>
    <s v="Liverpool"/>
    <s v="Small Business"/>
    <s v="Retail Store"/>
    <s v="P-002"/>
    <n v="1"/>
    <n v="0.1"/>
    <n v="193.97"/>
    <n v="6.8"/>
    <x v="2"/>
    <x v="1"/>
    <s v="Vertex Trade"/>
    <n v="119.02"/>
    <n v="205.39"/>
    <n v="119.02"/>
    <n v="68.150000000000006"/>
    <n v="0.35134299118420376"/>
    <x v="11"/>
    <x v="0"/>
    <x v="0"/>
  </r>
  <r>
    <s v="ORD-101002"/>
    <d v="2025-01-20T00:00:00"/>
    <d v="2025-01-26T00:00:00"/>
    <x v="1"/>
    <s v="Peterborough"/>
    <s v="Small Business"/>
    <s v="Online"/>
    <s v="P-006"/>
    <n v="1"/>
    <n v="0"/>
    <n v="102.95"/>
    <n v="5.75"/>
    <x v="10"/>
    <x v="0"/>
    <s v="Apex Wholesale"/>
    <n v="54.95"/>
    <n v="112.56"/>
    <n v="54.95"/>
    <n v="42.25"/>
    <n v="0.41039339485186982"/>
    <x v="20"/>
    <x v="1"/>
    <x v="0"/>
  </r>
  <r>
    <s v="ORD-101003"/>
    <d v="2025-12-04T00:00:00"/>
    <d v="2025-12-05T00:00:00"/>
    <x v="2"/>
    <s v="Brighton"/>
    <s v="Corporate"/>
    <s v="Retail Store"/>
    <s v="P-007"/>
    <n v="1"/>
    <n v="0"/>
    <n v="80.83"/>
    <n v="3.45"/>
    <x v="7"/>
    <x v="0"/>
    <s v="Luma Imports"/>
    <n v="31.34"/>
    <n v="56.49"/>
    <n v="31.34"/>
    <n v="46.039999999999992"/>
    <n v="0.56959049857726085"/>
    <x v="13"/>
    <x v="1"/>
    <x v="0"/>
  </r>
  <r>
    <s v="ORD-101004"/>
    <d v="2024-10-19T00:00:00"/>
    <d v="2024-10-24T00:00:00"/>
    <x v="1"/>
    <s v="Norwich"/>
    <s v="Small Business"/>
    <s v="Retail Store"/>
    <s v="P-011"/>
    <n v="3"/>
    <n v="0"/>
    <n v="54.11"/>
    <n v="5.85"/>
    <x v="9"/>
    <x v="2"/>
    <s v="Orbit Supply Co."/>
    <n v="7.93"/>
    <n v="14.78"/>
    <n v="23.79"/>
    <n v="24.47"/>
    <n v="0.45222694511180928"/>
    <x v="3"/>
    <x v="1"/>
    <x v="1"/>
  </r>
  <r>
    <s v="ORD-101005"/>
    <d v="2025-05-22T00:00:00"/>
    <d v="2025-05-23T00:00:00"/>
    <x v="1"/>
    <s v="Cambridge"/>
    <s v="Small Business"/>
    <s v="Retail Store"/>
    <s v="P-011"/>
    <n v="10"/>
    <n v="0.25"/>
    <n v="108.16"/>
    <n v="5.4"/>
    <x v="9"/>
    <x v="2"/>
    <s v="Orbit Supply Co."/>
    <n v="7.93"/>
    <n v="14.78"/>
    <n v="79.3"/>
    <n v="23.46"/>
    <n v="0.2169008875739645"/>
    <x v="1"/>
    <x v="3"/>
    <x v="0"/>
  </r>
  <r>
    <s v="ORD-101006"/>
    <d v="2025-12-22T00:00:00"/>
    <d v="2025-12-23T00:00:00"/>
    <x v="1"/>
    <s v="Norwich"/>
    <s v="Small Business"/>
    <s v="Online"/>
    <s v="P-010"/>
    <n v="13"/>
    <n v="0"/>
    <n v="111.14"/>
    <n v="6.21"/>
    <x v="4"/>
    <x v="2"/>
    <s v="Orbit Supply Co."/>
    <n v="3.62"/>
    <n v="6.03"/>
    <n v="47.06"/>
    <n v="57.87"/>
    <n v="0.52069461939895623"/>
    <x v="13"/>
    <x v="1"/>
    <x v="0"/>
  </r>
  <r>
    <s v="ORD-101007"/>
    <d v="2025-04-28T00:00:00"/>
    <d v="2025-05-04T00:00:00"/>
    <x v="1"/>
    <s v="Cambridge"/>
    <s v="Small Business"/>
    <s v="Retail Store"/>
    <s v="P-015"/>
    <n v="11"/>
    <n v="0"/>
    <n v="66.38"/>
    <n v="5.67"/>
    <x v="8"/>
    <x v="2"/>
    <s v="Luma Imports"/>
    <n v="3.3"/>
    <n v="6.13"/>
    <n v="36.299999999999997"/>
    <n v="24.409999999999997"/>
    <n v="0.36773124435070803"/>
    <x v="15"/>
    <x v="1"/>
    <x v="0"/>
  </r>
  <r>
    <s v="ORD-101008"/>
    <d v="2025-07-02T00:00:00"/>
    <d v="2025-07-03T00:00:00"/>
    <x v="0"/>
    <s v="Liverpool"/>
    <s v="Small Business"/>
    <s v="Retail Store"/>
    <s v="P-014"/>
    <n v="6"/>
    <n v="0"/>
    <n v="145.97999999999999"/>
    <n v="7.2"/>
    <x v="3"/>
    <x v="2"/>
    <s v="Orbit Supply Co."/>
    <n v="16.760000000000002"/>
    <n v="27.71"/>
    <n v="100.56"/>
    <n v="38.219999999999985"/>
    <n v="0.26181668721742696"/>
    <x v="4"/>
    <x v="1"/>
    <x v="0"/>
  </r>
  <r>
    <s v="ORD-101009"/>
    <d v="2025-08-20T00:00:00"/>
    <d v="2025-08-22T00:00:00"/>
    <x v="2"/>
    <s v="Bristol"/>
    <s v="Home Office"/>
    <s v="Online"/>
    <s v="P-002"/>
    <n v="4"/>
    <n v="0.1"/>
    <n v="727.99"/>
    <n v="8.2200000000000006"/>
    <x v="2"/>
    <x v="1"/>
    <s v="Vertex Trade"/>
    <n v="119.02"/>
    <n v="205.39"/>
    <n v="476.08"/>
    <n v="243.69000000000003"/>
    <n v="0.33474360911550988"/>
    <x v="6"/>
    <x v="0"/>
    <x v="0"/>
  </r>
  <r>
    <s v="ORD-101010"/>
    <d v="2025-02-06T00:00:00"/>
    <d v="2025-02-12T00:00:00"/>
    <x v="0"/>
    <s v="Birmingham"/>
    <s v="Home Office"/>
    <s v="B2B Sales"/>
    <s v="P-008"/>
    <n v="1"/>
    <n v="0"/>
    <n v="166.77"/>
    <n v="3.45"/>
    <x v="6"/>
    <x v="0"/>
    <s v="Vertex Trade"/>
    <n v="112.09"/>
    <n v="192.47"/>
    <n v="112.09"/>
    <n v="51.230000000000004"/>
    <n v="0.30718954248366015"/>
    <x v="5"/>
    <x v="1"/>
    <x v="0"/>
  </r>
  <r>
    <s v="ORD-101011"/>
    <d v="2024-09-14T00:00:00"/>
    <d v="2024-09-16T00:00:00"/>
    <x v="3"/>
    <s v="Manchester"/>
    <s v="Corporate"/>
    <s v="Online"/>
    <s v="P-004"/>
    <n v="3"/>
    <n v="0.2"/>
    <n v="291.31"/>
    <n v="6.84"/>
    <x v="5"/>
    <x v="1"/>
    <s v="Cedar Distribution"/>
    <n v="63.6"/>
    <n v="107.94"/>
    <n v="190.8"/>
    <n v="93.669999999999987"/>
    <n v="0.32154749236208846"/>
    <x v="23"/>
    <x v="2"/>
    <x v="1"/>
  </r>
  <r>
    <s v="ORD-101012"/>
    <d v="2024-02-28T00:00:00"/>
    <d v="2024-03-03T00:00:00"/>
    <x v="0"/>
    <s v="Cardiff"/>
    <s v="Small Business"/>
    <s v="Online"/>
    <s v="P-014"/>
    <n v="3"/>
    <n v="0.2"/>
    <n v="56.95"/>
    <n v="3.51"/>
    <x v="3"/>
    <x v="2"/>
    <s v="Orbit Supply Co."/>
    <n v="16.760000000000002"/>
    <n v="27.71"/>
    <n v="50.28"/>
    <n v="3.1600000000000019"/>
    <n v="5.5487269534679577E-2"/>
    <x v="12"/>
    <x v="2"/>
    <x v="1"/>
  </r>
  <r>
    <s v="ORD-101013"/>
    <d v="2024-10-20T00:00:00"/>
    <d v="2024-10-23T00:00:00"/>
    <x v="0"/>
    <s v="Birmingham"/>
    <s v="Corporate"/>
    <s v="B2B Sales"/>
    <s v="P-001"/>
    <n v="2"/>
    <n v="0.05"/>
    <n v="634.96"/>
    <n v="9.1"/>
    <x v="12"/>
    <x v="1"/>
    <s v="Luma Imports"/>
    <n v="173.56"/>
    <n v="286.14999999999998"/>
    <n v="347.12"/>
    <n v="278.74"/>
    <n v="0.43898828272647095"/>
    <x v="3"/>
    <x v="0"/>
    <x v="1"/>
  </r>
  <r>
    <s v="ORD-101014"/>
    <d v="2024-12-13T00:00:00"/>
    <d v="2024-12-15T00:00:00"/>
    <x v="3"/>
    <s v="Leeds"/>
    <s v="Small Business"/>
    <s v="B2B Sales"/>
    <s v="P-008"/>
    <n v="4"/>
    <n v="0"/>
    <n v="1094.69"/>
    <n v="5.7"/>
    <x v="6"/>
    <x v="0"/>
    <s v="Vertex Trade"/>
    <n v="112.09"/>
    <n v="192.47"/>
    <n v="448.36"/>
    <n v="640.63"/>
    <n v="0.58521590587289551"/>
    <x v="9"/>
    <x v="1"/>
    <x v="1"/>
  </r>
  <r>
    <s v="ORD-101015"/>
    <d v="2024-01-01T00:00:00"/>
    <d v="2024-01-04T00:00:00"/>
    <x v="0"/>
    <s v="Birmingham"/>
    <s v="Small Business"/>
    <s v="B2B Sales"/>
    <s v="P-012"/>
    <n v="5"/>
    <n v="0.25"/>
    <n v="26.29"/>
    <n v="4.05"/>
    <x v="14"/>
    <x v="2"/>
    <s v="Luma Imports"/>
    <n v="4.5"/>
    <n v="8.2899999999999991"/>
    <n v="22.5"/>
    <n v="-0.26000000000000068"/>
    <n v="-9.8896918980601253E-3"/>
    <x v="18"/>
    <x v="3"/>
    <x v="1"/>
  </r>
  <r>
    <s v="ORD-101016"/>
    <d v="2025-12-10T00:00:00"/>
    <d v="2025-12-13T00:00:00"/>
    <x v="3"/>
    <s v="Leeds"/>
    <s v="Small Business"/>
    <s v="B2B Sales"/>
    <s v="P-006"/>
    <n v="3"/>
    <n v="0"/>
    <n v="458.93"/>
    <n v="8.25"/>
    <x v="10"/>
    <x v="0"/>
    <s v="Apex Wholesale"/>
    <n v="54.95"/>
    <n v="112.56"/>
    <n v="164.85000000000002"/>
    <n v="285.83"/>
    <n v="0.6228182947290436"/>
    <x v="13"/>
    <x v="1"/>
    <x v="0"/>
  </r>
  <r>
    <s v="ORD-101017"/>
    <d v="2025-02-02T00:00:00"/>
    <d v="2025-02-06T00:00:00"/>
    <x v="1"/>
    <s v="Norwich"/>
    <s v="Small Business"/>
    <s v="B2B Sales"/>
    <s v="P-013"/>
    <n v="14"/>
    <n v="0.05"/>
    <n v="139.07"/>
    <n v="6.48"/>
    <x v="11"/>
    <x v="2"/>
    <s v="Apex Wholesale"/>
    <n v="6.33"/>
    <n v="12.16"/>
    <n v="88.62"/>
    <n v="43.969999999999985"/>
    <n v="0.31617171208743788"/>
    <x v="5"/>
    <x v="0"/>
    <x v="0"/>
  </r>
  <r>
    <s v="ORD-101018"/>
    <d v="2025-08-16T00:00:00"/>
    <d v="2025-08-21T00:00:00"/>
    <x v="0"/>
    <s v="Liverpool"/>
    <s v="Home Office"/>
    <s v="B2B Sales"/>
    <s v="P-004"/>
    <n v="3"/>
    <n v="0.15"/>
    <n v="272.87"/>
    <n v="6.84"/>
    <x v="5"/>
    <x v="1"/>
    <s v="Cedar Distribution"/>
    <n v="63.6"/>
    <n v="107.94"/>
    <n v="190.8"/>
    <n v="75.22999999999999"/>
    <n v="0.27569905083006557"/>
    <x v="6"/>
    <x v="2"/>
    <x v="0"/>
  </r>
  <r>
    <s v="ORD-101019"/>
    <d v="2024-06-16T00:00:00"/>
    <d v="2024-06-21T00:00:00"/>
    <x v="3"/>
    <s v="Leeds"/>
    <s v="Home Office"/>
    <s v="B2B Sales"/>
    <s v="P-004"/>
    <n v="3"/>
    <n v="0"/>
    <n v="353.03"/>
    <n v="11.4"/>
    <x v="5"/>
    <x v="1"/>
    <s v="Cedar Distribution"/>
    <n v="63.6"/>
    <n v="107.94"/>
    <n v="190.8"/>
    <n v="150.82999999999996"/>
    <n v="0.42724414355720469"/>
    <x v="17"/>
    <x v="1"/>
    <x v="1"/>
  </r>
  <r>
    <s v="ORD-101020"/>
    <d v="2024-07-01T00:00:00"/>
    <d v="2024-07-02T00:00:00"/>
    <x v="3"/>
    <s v="Manchester"/>
    <s v="Small Business"/>
    <s v="Online"/>
    <s v="P-005"/>
    <n v="2"/>
    <n v="0.05"/>
    <n v="89.01"/>
    <n v="4.2"/>
    <x v="13"/>
    <x v="0"/>
    <s v="Apex Wholesale"/>
    <n v="25.33"/>
    <n v="51.56"/>
    <n v="50.66"/>
    <n v="34.150000000000006"/>
    <n v="0.38366475676890244"/>
    <x v="16"/>
    <x v="0"/>
    <x v="1"/>
  </r>
  <r>
    <s v="ORD-101021"/>
    <d v="2024-05-24T00:00:00"/>
    <d v="2024-05-27T00:00:00"/>
    <x v="3"/>
    <s v="Leeds"/>
    <s v="Home Office"/>
    <s v="Online"/>
    <s v="P-009"/>
    <n v="2"/>
    <n v="0"/>
    <n v="265.79000000000002"/>
    <n v="7"/>
    <x v="0"/>
    <x v="0"/>
    <s v="Apex Wholesale"/>
    <n v="63.69"/>
    <n v="125.5"/>
    <n v="127.38"/>
    <n v="131.41000000000003"/>
    <n v="0.49441288235072806"/>
    <x v="8"/>
    <x v="1"/>
    <x v="1"/>
  </r>
  <r>
    <s v="ORD-101022"/>
    <d v="2025-07-10T00:00:00"/>
    <d v="2025-07-15T00:00:00"/>
    <x v="0"/>
    <s v="Liverpool"/>
    <s v="Corporate"/>
    <s v="Online"/>
    <s v="P-001"/>
    <n v="1"/>
    <n v="0"/>
    <n v="278.07"/>
    <n v="4.08"/>
    <x v="12"/>
    <x v="1"/>
    <s v="Luma Imports"/>
    <n v="173.56"/>
    <n v="286.14999999999998"/>
    <n v="173.56"/>
    <n v="100.42999999999999"/>
    <n v="0.36116805121012691"/>
    <x v="4"/>
    <x v="1"/>
    <x v="0"/>
  </r>
  <r>
    <s v="ORD-101023"/>
    <d v="2024-05-25T00:00:00"/>
    <d v="2024-05-26T00:00:00"/>
    <x v="3"/>
    <s v="Leeds"/>
    <s v="Small Business"/>
    <s v="Retail Store"/>
    <s v="P-010"/>
    <n v="16"/>
    <n v="0.1"/>
    <n v="84.52"/>
    <n v="7.02"/>
    <x v="4"/>
    <x v="2"/>
    <s v="Orbit Supply Co."/>
    <n v="3.62"/>
    <n v="6.03"/>
    <n v="57.92"/>
    <n v="19.579999999999995"/>
    <n v="0.23166114529105533"/>
    <x v="8"/>
    <x v="0"/>
    <x v="1"/>
  </r>
  <r>
    <s v="ORD-101024"/>
    <d v="2025-12-04T00:00:00"/>
    <d v="2025-12-08T00:00:00"/>
    <x v="3"/>
    <s v="Manchester"/>
    <s v="Corporate"/>
    <s v="B2B Sales"/>
    <s v="P-003"/>
    <n v="4"/>
    <n v="0"/>
    <n v="681.75"/>
    <n v="8.2200000000000006"/>
    <x v="1"/>
    <x v="1"/>
    <s v="Orbit Supply Co."/>
    <n v="71.489999999999995"/>
    <n v="112.88"/>
    <n v="285.95999999999998"/>
    <n v="387.57"/>
    <n v="0.56849284928492849"/>
    <x v="13"/>
    <x v="1"/>
    <x v="0"/>
  </r>
  <r>
    <s v="ORD-101025"/>
    <d v="2024-04-12T00:00:00"/>
    <d v="2024-04-16T00:00:00"/>
    <x v="0"/>
    <s v="Birmingham"/>
    <s v="Corporate"/>
    <s v="B2B Sales"/>
    <s v="P-012"/>
    <n v="5"/>
    <n v="0"/>
    <n v="39.270000000000003"/>
    <n v="4.05"/>
    <x v="14"/>
    <x v="2"/>
    <s v="Luma Imports"/>
    <n v="4.5"/>
    <n v="8.2899999999999991"/>
    <n v="22.5"/>
    <n v="12.720000000000002"/>
    <n v="0.32391138273491216"/>
    <x v="21"/>
    <x v="1"/>
    <x v="1"/>
  </r>
  <r>
    <s v="ORD-101026"/>
    <d v="2025-08-09T00:00:00"/>
    <d v="2025-08-13T00:00:00"/>
    <x v="0"/>
    <s v="Birmingham"/>
    <s v="Small Business"/>
    <s v="Retail Store"/>
    <s v="P-010"/>
    <n v="7"/>
    <n v="0"/>
    <n v="39.17"/>
    <n v="4.59"/>
    <x v="4"/>
    <x v="2"/>
    <s v="Orbit Supply Co."/>
    <n v="3.62"/>
    <n v="6.03"/>
    <n v="25.34"/>
    <n v="9.240000000000002"/>
    <n v="0.23589481746234367"/>
    <x v="6"/>
    <x v="1"/>
    <x v="0"/>
  </r>
  <r>
    <s v="ORD-101027"/>
    <d v="2024-06-01T00:00:00"/>
    <d v="2024-06-02T00:00:00"/>
    <x v="0"/>
    <s v="Cardiff"/>
    <s v="Corporate"/>
    <s v="Retail Store"/>
    <s v="P-001"/>
    <n v="7"/>
    <n v="0.05"/>
    <n v="2025.62"/>
    <n v="12.36"/>
    <x v="12"/>
    <x v="1"/>
    <s v="Luma Imports"/>
    <n v="173.56"/>
    <n v="286.14999999999998"/>
    <n v="1214.92"/>
    <n v="798.3399999999998"/>
    <n v="0.39412130606925277"/>
    <x v="17"/>
    <x v="0"/>
    <x v="1"/>
  </r>
  <r>
    <s v="ORD-101028"/>
    <d v="2024-05-30T00:00:00"/>
    <d v="2024-05-31T00:00:00"/>
    <x v="3"/>
    <s v="Leeds"/>
    <s v="Corporate"/>
    <s v="Online"/>
    <s v="P-012"/>
    <n v="5"/>
    <n v="0"/>
    <n v="40.590000000000003"/>
    <n v="4.05"/>
    <x v="14"/>
    <x v="2"/>
    <s v="Luma Imports"/>
    <n v="4.5"/>
    <n v="8.2899999999999991"/>
    <n v="22.5"/>
    <n v="14.040000000000003"/>
    <n v="0.34589800443458985"/>
    <x v="8"/>
    <x v="1"/>
    <x v="1"/>
  </r>
  <r>
    <s v="ORD-101029"/>
    <d v="2025-07-16T00:00:00"/>
    <d v="2025-07-22T00:00:00"/>
    <x v="3"/>
    <s v="Leeds"/>
    <s v="Home Office"/>
    <s v="Retail Store"/>
    <s v="P-002"/>
    <n v="1"/>
    <n v="0"/>
    <n v="180.4"/>
    <n v="4.08"/>
    <x v="2"/>
    <x v="1"/>
    <s v="Vertex Trade"/>
    <n v="119.02"/>
    <n v="205.39"/>
    <n v="119.02"/>
    <n v="57.300000000000011"/>
    <n v="0.3176274944567628"/>
    <x v="4"/>
    <x v="1"/>
    <x v="0"/>
  </r>
  <r>
    <s v="ORD-101030"/>
    <d v="2024-09-15T00:00:00"/>
    <d v="2024-09-17T00:00:00"/>
    <x v="1"/>
    <s v="Peterborough"/>
    <s v="Corporate"/>
    <s v="Retail Store"/>
    <s v="P-013"/>
    <n v="6"/>
    <n v="0"/>
    <n v="77.5"/>
    <n v="4.32"/>
    <x v="11"/>
    <x v="2"/>
    <s v="Apex Wholesale"/>
    <n v="6.33"/>
    <n v="12.16"/>
    <n v="37.980000000000004"/>
    <n v="35.199999999999996"/>
    <n v="0.45419354838709675"/>
    <x v="23"/>
    <x v="1"/>
    <x v="1"/>
  </r>
  <r>
    <s v="ORD-101031"/>
    <d v="2025-12-11T00:00:00"/>
    <d v="2025-12-14T00:00:00"/>
    <x v="3"/>
    <s v="Manchester"/>
    <s v="Corporate"/>
    <s v="Retail Store"/>
    <s v="P-008"/>
    <n v="2"/>
    <n v="0"/>
    <n v="558.23"/>
    <n v="7"/>
    <x v="6"/>
    <x v="0"/>
    <s v="Vertex Trade"/>
    <n v="112.09"/>
    <n v="192.47"/>
    <n v="224.18"/>
    <n v="327.05"/>
    <n v="0.58586962363183637"/>
    <x v="13"/>
    <x v="1"/>
    <x v="0"/>
  </r>
  <r>
    <s v="ORD-101032"/>
    <d v="2024-09-03T00:00:00"/>
    <d v="2024-09-07T00:00:00"/>
    <x v="2"/>
    <s v="Bristol"/>
    <s v="Home Office"/>
    <s v="Online"/>
    <s v="P-007"/>
    <n v="3"/>
    <n v="0.1"/>
    <n v="160.1"/>
    <n v="4.95"/>
    <x v="7"/>
    <x v="0"/>
    <s v="Luma Imports"/>
    <n v="31.34"/>
    <n v="56.49"/>
    <n v="94.02"/>
    <n v="61.129999999999995"/>
    <n v="0.38182386008744534"/>
    <x v="23"/>
    <x v="0"/>
    <x v="1"/>
  </r>
  <r>
    <s v="ORD-101033"/>
    <d v="2025-02-28T00:00:00"/>
    <d v="2025-03-03T00:00:00"/>
    <x v="2"/>
    <s v="London"/>
    <s v="Small Business"/>
    <s v="Online"/>
    <s v="P-001"/>
    <n v="4"/>
    <n v="0"/>
    <n v="1033.1199999999999"/>
    <n v="8.2200000000000006"/>
    <x v="12"/>
    <x v="1"/>
    <s v="Luma Imports"/>
    <n v="173.56"/>
    <n v="286.14999999999998"/>
    <n v="694.24"/>
    <n v="330.65999999999985"/>
    <n v="0.32005962521294706"/>
    <x v="5"/>
    <x v="1"/>
    <x v="0"/>
  </r>
  <r>
    <s v="ORD-101034"/>
    <d v="2025-08-25T00:00:00"/>
    <d v="2025-08-27T00:00:00"/>
    <x v="1"/>
    <s v="Norwich"/>
    <s v="Corporate"/>
    <s v="Online"/>
    <s v="P-010"/>
    <n v="4"/>
    <n v="0"/>
    <n v="24.08"/>
    <n v="6.3"/>
    <x v="4"/>
    <x v="2"/>
    <s v="Orbit Supply Co."/>
    <n v="3.62"/>
    <n v="6.03"/>
    <n v="14.48"/>
    <n v="3.299999999999998"/>
    <n v="0.13704318936877069"/>
    <x v="6"/>
    <x v="1"/>
    <x v="0"/>
  </r>
  <r>
    <s v="ORD-101035"/>
    <d v="2024-07-21T00:00:00"/>
    <d v="2024-07-26T00:00:00"/>
    <x v="1"/>
    <s v="Peterborough"/>
    <s v="Corporate"/>
    <s v="B2B Sales"/>
    <s v="P-011"/>
    <n v="7"/>
    <n v="0.1"/>
    <n v="81.08"/>
    <n v="4.59"/>
    <x v="9"/>
    <x v="2"/>
    <s v="Orbit Supply Co."/>
    <n v="7.93"/>
    <n v="14.78"/>
    <n v="55.51"/>
    <n v="20.98"/>
    <n v="0.258756783423779"/>
    <x v="16"/>
    <x v="0"/>
    <x v="1"/>
  </r>
  <r>
    <s v="ORD-101036"/>
    <d v="2024-11-10T00:00:00"/>
    <d v="2024-11-16T00:00:00"/>
    <x v="2"/>
    <s v="Bristol"/>
    <s v="Small Business"/>
    <s v="Online"/>
    <s v="P-003"/>
    <n v="4"/>
    <n v="0.15"/>
    <n v="509.08"/>
    <n v="13.7"/>
    <x v="1"/>
    <x v="1"/>
    <s v="Orbit Supply Co."/>
    <n v="71.489999999999995"/>
    <n v="112.88"/>
    <n v="285.95999999999998"/>
    <n v="209.42000000000002"/>
    <n v="0.41136952934705751"/>
    <x v="14"/>
    <x v="2"/>
    <x v="1"/>
  </r>
  <r>
    <s v="ORD-101037"/>
    <d v="2024-05-19T00:00:00"/>
    <d v="2024-05-25T00:00:00"/>
    <x v="3"/>
    <s v="Leeds"/>
    <s v="Corporate"/>
    <s v="Retail Store"/>
    <s v="P-015"/>
    <n v="7"/>
    <n v="0"/>
    <n v="42.03"/>
    <n v="4.59"/>
    <x v="8"/>
    <x v="2"/>
    <s v="Luma Imports"/>
    <n v="3.3"/>
    <n v="6.13"/>
    <n v="23.099999999999998"/>
    <n v="14.340000000000003"/>
    <n v="0.3411848679514633"/>
    <x v="8"/>
    <x v="1"/>
    <x v="1"/>
  </r>
  <r>
    <s v="ORD-101038"/>
    <d v="2024-06-20T00:00:00"/>
    <d v="2024-06-25T00:00:00"/>
    <x v="3"/>
    <s v="Leeds"/>
    <s v="Corporate"/>
    <s v="Online"/>
    <s v="P-008"/>
    <n v="1"/>
    <n v="0"/>
    <n v="203.88"/>
    <n v="3.45"/>
    <x v="6"/>
    <x v="0"/>
    <s v="Vertex Trade"/>
    <n v="112.09"/>
    <n v="192.47"/>
    <n v="112.09"/>
    <n v="88.339999999999989"/>
    <n v="0.43329409456543061"/>
    <x v="17"/>
    <x v="1"/>
    <x v="1"/>
  </r>
  <r>
    <s v="ORD-101039"/>
    <d v="2024-03-15T00:00:00"/>
    <d v="2024-03-19T00:00:00"/>
    <x v="2"/>
    <s v="Bristol"/>
    <s v="Home Office"/>
    <s v="Online"/>
    <s v="P-010"/>
    <n v="14"/>
    <n v="0.05"/>
    <n v="77.75"/>
    <n v="6.48"/>
    <x v="4"/>
    <x v="2"/>
    <s v="Orbit Supply Co."/>
    <n v="3.62"/>
    <n v="6.03"/>
    <n v="50.68"/>
    <n v="20.59"/>
    <n v="0.26482315112540195"/>
    <x v="10"/>
    <x v="0"/>
    <x v="1"/>
  </r>
  <r>
    <s v="ORD-101040"/>
    <d v="2024-10-29T00:00:00"/>
    <d v="2024-11-04T00:00:00"/>
    <x v="1"/>
    <s v="Norwich"/>
    <s v="Small Business"/>
    <s v="Online"/>
    <s v="P-002"/>
    <n v="4"/>
    <n v="0.05"/>
    <n v="853.67"/>
    <n v="8.2200000000000006"/>
    <x v="2"/>
    <x v="1"/>
    <s v="Vertex Trade"/>
    <n v="119.02"/>
    <n v="205.39"/>
    <n v="476.08"/>
    <n v="369.36999999999995"/>
    <n v="0.43268476109035103"/>
    <x v="3"/>
    <x v="0"/>
    <x v="1"/>
  </r>
  <r>
    <s v="ORD-101041"/>
    <d v="2025-09-27T00:00:00"/>
    <d v="2025-10-03T00:00:00"/>
    <x v="2"/>
    <s v="Bristol"/>
    <s v="Home Office"/>
    <s v="Retail Store"/>
    <s v="P-014"/>
    <n v="5"/>
    <n v="0"/>
    <n v="148.13999999999999"/>
    <n v="6.75"/>
    <x v="3"/>
    <x v="2"/>
    <s v="Orbit Supply Co."/>
    <n v="16.760000000000002"/>
    <n v="27.71"/>
    <n v="83.800000000000011"/>
    <n v="57.589999999999975"/>
    <n v="0.38875388146348033"/>
    <x v="11"/>
    <x v="1"/>
    <x v="0"/>
  </r>
  <r>
    <s v="ORD-101042"/>
    <d v="2024-04-03T00:00:00"/>
    <d v="2024-04-06T00:00:00"/>
    <x v="0"/>
    <s v="Liverpool"/>
    <s v="Home Office"/>
    <s v="Online"/>
    <s v="P-001"/>
    <n v="1"/>
    <n v="0"/>
    <n v="285.63"/>
    <n v="4.08"/>
    <x v="12"/>
    <x v="1"/>
    <s v="Luma Imports"/>
    <n v="173.56"/>
    <n v="286.14999999999998"/>
    <n v="173.56"/>
    <n v="107.99"/>
    <n v="0.37807653257711021"/>
    <x v="21"/>
    <x v="1"/>
    <x v="1"/>
  </r>
  <r>
    <s v="ORD-101043"/>
    <d v="2025-03-11T00:00:00"/>
    <d v="2025-03-15T00:00:00"/>
    <x v="0"/>
    <s v="Cardiff"/>
    <s v="Small Business"/>
    <s v="Online"/>
    <s v="P-009"/>
    <n v="1"/>
    <n v="0.05"/>
    <n v="115.9"/>
    <n v="3.45"/>
    <x v="0"/>
    <x v="0"/>
    <s v="Apex Wholesale"/>
    <n v="63.69"/>
    <n v="125.5"/>
    <n v="63.69"/>
    <n v="48.760000000000005"/>
    <n v="0.42070750647109578"/>
    <x v="2"/>
    <x v="0"/>
    <x v="0"/>
  </r>
  <r>
    <s v="ORD-101044"/>
    <d v="2024-09-30T00:00:00"/>
    <d v="2024-10-05T00:00:00"/>
    <x v="0"/>
    <s v="Cardiff"/>
    <s v="Small Business"/>
    <s v="Online"/>
    <s v="P-014"/>
    <n v="6"/>
    <n v="0.1"/>
    <n v="157.62"/>
    <n v="4.32"/>
    <x v="3"/>
    <x v="2"/>
    <s v="Orbit Supply Co."/>
    <n v="16.760000000000002"/>
    <n v="27.71"/>
    <n v="100.56"/>
    <n v="52.74"/>
    <n v="0.33460220784164446"/>
    <x v="23"/>
    <x v="0"/>
    <x v="1"/>
  </r>
  <r>
    <s v="ORD-101045"/>
    <d v="2024-12-09T00:00:00"/>
    <d v="2024-12-13T00:00:00"/>
    <x v="0"/>
    <s v="Cardiff"/>
    <s v="Small Business"/>
    <s v="Online"/>
    <s v="P-015"/>
    <n v="9"/>
    <n v="0"/>
    <n v="82.07"/>
    <n v="5.13"/>
    <x v="8"/>
    <x v="2"/>
    <s v="Luma Imports"/>
    <n v="3.3"/>
    <n v="6.13"/>
    <n v="29.7"/>
    <n v="47.239999999999988"/>
    <n v="0.57560618983794309"/>
    <x v="9"/>
    <x v="1"/>
    <x v="1"/>
  </r>
  <r>
    <s v="ORD-101046"/>
    <d v="2024-07-07T00:00:00"/>
    <d v="2024-07-13T00:00:00"/>
    <x v="1"/>
    <s v="Cambridge"/>
    <s v="Home Office"/>
    <s v="Online"/>
    <s v="P-008"/>
    <n v="1"/>
    <n v="0"/>
    <n v="170.48"/>
    <n v="5.75"/>
    <x v="6"/>
    <x v="0"/>
    <s v="Vertex Trade"/>
    <n v="112.09"/>
    <n v="192.47"/>
    <n v="112.09"/>
    <n v="52.639999999999986"/>
    <n v="0.30877522290004689"/>
    <x v="16"/>
    <x v="1"/>
    <x v="1"/>
  </r>
  <r>
    <s v="ORD-101047"/>
    <d v="2024-10-25T00:00:00"/>
    <d v="2024-10-26T00:00:00"/>
    <x v="0"/>
    <s v="Liverpool"/>
    <s v="Corporate"/>
    <s v="B2B Sales"/>
    <s v="P-006"/>
    <n v="3"/>
    <n v="0"/>
    <n v="372.36"/>
    <n v="4.95"/>
    <x v="10"/>
    <x v="0"/>
    <s v="Apex Wholesale"/>
    <n v="54.95"/>
    <n v="112.56"/>
    <n v="164.85000000000002"/>
    <n v="202.56"/>
    <n v="0.54398968739929099"/>
    <x v="3"/>
    <x v="1"/>
    <x v="1"/>
  </r>
  <r>
    <s v="ORD-101048"/>
    <d v="2025-05-14T00:00:00"/>
    <d v="2025-05-17T00:00:00"/>
    <x v="2"/>
    <s v="Bristol"/>
    <s v="Small Business"/>
    <s v="B2B Sales"/>
    <s v="P-010"/>
    <n v="12"/>
    <n v="0"/>
    <n v="77.290000000000006"/>
    <n v="9.9"/>
    <x v="4"/>
    <x v="2"/>
    <s v="Orbit Supply Co."/>
    <n v="3.62"/>
    <n v="6.03"/>
    <n v="43.44"/>
    <n v="23.95000000000001"/>
    <n v="0.30987191098460354"/>
    <x v="1"/>
    <x v="1"/>
    <x v="0"/>
  </r>
  <r>
    <s v="ORD-101049"/>
    <d v="2024-07-19T00:00:00"/>
    <d v="2024-07-25T00:00:00"/>
    <x v="3"/>
    <s v="Leeds"/>
    <s v="Corporate"/>
    <s v="B2B Sales"/>
    <s v="P-007"/>
    <n v="3"/>
    <n v="0"/>
    <n v="148.21"/>
    <n v="4.95"/>
    <x v="7"/>
    <x v="0"/>
    <s v="Luma Imports"/>
    <n v="31.34"/>
    <n v="56.49"/>
    <n v="94.02"/>
    <n v="49.240000000000009"/>
    <n v="0.33223129343499092"/>
    <x v="16"/>
    <x v="1"/>
    <x v="1"/>
  </r>
  <r>
    <s v="ORD-101050"/>
    <d v="2025-02-22T00:00:00"/>
    <d v="2025-02-24T00:00:00"/>
    <x v="3"/>
    <s v="Manchester"/>
    <s v="Home Office"/>
    <s v="Retail Store"/>
    <s v="P-010"/>
    <n v="3"/>
    <n v="0"/>
    <n v="15.72"/>
    <n v="5.85"/>
    <x v="4"/>
    <x v="2"/>
    <s v="Orbit Supply Co."/>
    <n v="3.62"/>
    <n v="6.03"/>
    <n v="10.86"/>
    <n v="-0.98999999999999844"/>
    <n v="-6.2977099236641118E-2"/>
    <x v="5"/>
    <x v="1"/>
    <x v="0"/>
  </r>
  <r>
    <s v="ORD-101051"/>
    <d v="2025-09-07T00:00:00"/>
    <d v="2025-09-08T00:00:00"/>
    <x v="0"/>
    <s v="Liverpool"/>
    <s v="Home Office"/>
    <s v="Online"/>
    <s v="P-002"/>
    <n v="2"/>
    <n v="0.25"/>
    <n v="339.85"/>
    <n v="5.46"/>
    <x v="2"/>
    <x v="1"/>
    <s v="Vertex Trade"/>
    <n v="119.02"/>
    <n v="205.39"/>
    <n v="238.04"/>
    <n v="96.350000000000037"/>
    <n v="0.28350742974841853"/>
    <x v="11"/>
    <x v="3"/>
    <x v="0"/>
  </r>
  <r>
    <s v="ORD-101052"/>
    <d v="2024-05-14T00:00:00"/>
    <d v="2024-05-17T00:00:00"/>
    <x v="2"/>
    <s v="London"/>
    <s v="Home Office"/>
    <s v="B2B Sales"/>
    <s v="P-001"/>
    <n v="4"/>
    <n v="0"/>
    <n v="1225.6400000000001"/>
    <n v="8.2200000000000006"/>
    <x v="12"/>
    <x v="1"/>
    <s v="Luma Imports"/>
    <n v="173.56"/>
    <n v="286.14999999999998"/>
    <n v="694.24"/>
    <n v="523.18000000000006"/>
    <n v="0.42686270030351492"/>
    <x v="8"/>
    <x v="1"/>
    <x v="1"/>
  </r>
  <r>
    <s v="ORD-101053"/>
    <d v="2025-09-08T00:00:00"/>
    <d v="2025-09-13T00:00:00"/>
    <x v="1"/>
    <s v="Peterborough"/>
    <s v="Corporate"/>
    <s v="Online"/>
    <s v="P-007"/>
    <n v="4"/>
    <n v="0"/>
    <n v="235.55"/>
    <n v="9.5"/>
    <x v="7"/>
    <x v="0"/>
    <s v="Luma Imports"/>
    <n v="31.34"/>
    <n v="56.49"/>
    <n v="125.36"/>
    <n v="100.69000000000001"/>
    <n v="0.42746762895351309"/>
    <x v="11"/>
    <x v="1"/>
    <x v="0"/>
  </r>
  <r>
    <s v="ORD-101054"/>
    <d v="2024-01-19T00:00:00"/>
    <d v="2024-01-20T00:00:00"/>
    <x v="1"/>
    <s v="Peterborough"/>
    <s v="Home Office"/>
    <s v="B2B Sales"/>
    <s v="P-006"/>
    <n v="4"/>
    <n v="0.1"/>
    <n v="362.88"/>
    <n v="5.7"/>
    <x v="10"/>
    <x v="0"/>
    <s v="Apex Wholesale"/>
    <n v="54.95"/>
    <n v="112.56"/>
    <n v="219.8"/>
    <n v="137.38"/>
    <n v="0.37858245149911818"/>
    <x v="18"/>
    <x v="0"/>
    <x v="1"/>
  </r>
  <r>
    <s v="ORD-101055"/>
    <d v="2025-10-09T00:00:00"/>
    <d v="2025-10-10T00:00:00"/>
    <x v="2"/>
    <s v="London"/>
    <s v="Home Office"/>
    <s v="B2B Sales"/>
    <s v="P-010"/>
    <n v="8"/>
    <n v="0"/>
    <n v="59.1"/>
    <n v="4.8600000000000003"/>
    <x v="4"/>
    <x v="2"/>
    <s v="Orbit Supply Co."/>
    <n v="3.62"/>
    <n v="6.03"/>
    <n v="28.96"/>
    <n v="25.28"/>
    <n v="0.42774957698815569"/>
    <x v="22"/>
    <x v="1"/>
    <x v="0"/>
  </r>
  <r>
    <s v="ORD-101056"/>
    <d v="2025-03-27T00:00:00"/>
    <d v="2025-03-30T00:00:00"/>
    <x v="0"/>
    <s v="Cardiff"/>
    <s v="Home Office"/>
    <s v="Retail Store"/>
    <s v="P-014"/>
    <n v="10"/>
    <n v="0"/>
    <n v="253.53"/>
    <n v="5.4"/>
    <x v="3"/>
    <x v="2"/>
    <s v="Orbit Supply Co."/>
    <n v="16.760000000000002"/>
    <n v="27.71"/>
    <n v="167.60000000000002"/>
    <n v="80.529999999999973"/>
    <n v="0.31763499388632499"/>
    <x v="2"/>
    <x v="1"/>
    <x v="0"/>
  </r>
  <r>
    <s v="ORD-101057"/>
    <d v="2024-05-05T00:00:00"/>
    <d v="2024-05-09T00:00:00"/>
    <x v="2"/>
    <s v="London"/>
    <s v="Small Business"/>
    <s v="Online"/>
    <s v="P-001"/>
    <n v="4"/>
    <n v="0.25"/>
    <n v="924.38"/>
    <n v="8.2200000000000006"/>
    <x v="12"/>
    <x v="1"/>
    <s v="Luma Imports"/>
    <n v="173.56"/>
    <n v="286.14999999999998"/>
    <n v="694.24"/>
    <n v="221.92"/>
    <n v="0.24007442826543196"/>
    <x v="8"/>
    <x v="3"/>
    <x v="1"/>
  </r>
  <r>
    <s v="ORD-101058"/>
    <d v="2025-12-02T00:00:00"/>
    <d v="2025-12-06T00:00:00"/>
    <x v="3"/>
    <s v="Manchester"/>
    <s v="Home Office"/>
    <s v="B2B Sales"/>
    <s v="P-015"/>
    <n v="5"/>
    <n v="0.15"/>
    <n v="37.9"/>
    <n v="6.75"/>
    <x v="8"/>
    <x v="2"/>
    <s v="Luma Imports"/>
    <n v="3.3"/>
    <n v="6.13"/>
    <n v="16.5"/>
    <n v="14.649999999999999"/>
    <n v="0.38654353562005273"/>
    <x v="13"/>
    <x v="2"/>
    <x v="0"/>
  </r>
  <r>
    <s v="ORD-101059"/>
    <d v="2024-08-29T00:00:00"/>
    <d v="2024-09-01T00:00:00"/>
    <x v="3"/>
    <s v="Manchester"/>
    <s v="Home Office"/>
    <s v="Retail Store"/>
    <s v="P-006"/>
    <n v="3"/>
    <n v="0"/>
    <n v="306.14"/>
    <n v="4.95"/>
    <x v="10"/>
    <x v="0"/>
    <s v="Apex Wholesale"/>
    <n v="54.95"/>
    <n v="112.56"/>
    <n v="164.85000000000002"/>
    <n v="136.33999999999997"/>
    <n v="0.445351799830143"/>
    <x v="7"/>
    <x v="1"/>
    <x v="1"/>
  </r>
  <r>
    <s v="ORD-101060"/>
    <d v="2025-10-18T00:00:00"/>
    <d v="2025-10-22T00:00:00"/>
    <x v="1"/>
    <s v="Norwich"/>
    <s v="Small Business"/>
    <s v="B2B Sales"/>
    <s v="P-006"/>
    <n v="1"/>
    <n v="0.1"/>
    <n v="118.15"/>
    <n v="5.75"/>
    <x v="10"/>
    <x v="0"/>
    <s v="Apex Wholesale"/>
    <n v="54.95"/>
    <n v="112.56"/>
    <n v="54.95"/>
    <n v="57.45"/>
    <n v="0.48624629707998307"/>
    <x v="22"/>
    <x v="0"/>
    <x v="0"/>
  </r>
  <r>
    <s v="ORD-101061"/>
    <d v="2025-11-15T00:00:00"/>
    <d v="2025-11-21T00:00:00"/>
    <x v="2"/>
    <s v="Brighton"/>
    <s v="Home Office"/>
    <s v="B2B Sales"/>
    <s v="P-014"/>
    <n v="9"/>
    <n v="0"/>
    <n v="349.85"/>
    <n v="8.5500000000000007"/>
    <x v="3"/>
    <x v="2"/>
    <s v="Orbit Supply Co."/>
    <n v="16.760000000000002"/>
    <n v="27.71"/>
    <n v="150.84"/>
    <n v="190.46"/>
    <n v="0.54440474489066737"/>
    <x v="19"/>
    <x v="1"/>
    <x v="0"/>
  </r>
  <r>
    <s v="ORD-101062"/>
    <d v="2025-01-31T00:00:00"/>
    <d v="2025-02-03T00:00:00"/>
    <x v="0"/>
    <s v="Birmingham"/>
    <s v="Corporate"/>
    <s v="Online"/>
    <s v="P-003"/>
    <n v="1"/>
    <n v="0.05"/>
    <n v="98.12"/>
    <n v="4.08"/>
    <x v="1"/>
    <x v="1"/>
    <s v="Orbit Supply Co."/>
    <n v="71.489999999999995"/>
    <n v="112.88"/>
    <n v="71.489999999999995"/>
    <n v="22.550000000000011"/>
    <n v="0.22982062780269069"/>
    <x v="20"/>
    <x v="0"/>
    <x v="0"/>
  </r>
  <r>
    <s v="ORD-101063"/>
    <d v="2024-06-01T00:00:00"/>
    <d v="2024-06-02T00:00:00"/>
    <x v="1"/>
    <s v="Peterborough"/>
    <s v="Corporate"/>
    <s v="Online"/>
    <s v="P-014"/>
    <n v="23"/>
    <n v="0.15"/>
    <n v="558.91"/>
    <n v="14.85"/>
    <x v="3"/>
    <x v="2"/>
    <s v="Orbit Supply Co."/>
    <n v="16.760000000000002"/>
    <n v="27.71"/>
    <n v="385.48"/>
    <n v="158.57999999999996"/>
    <n v="0.28373083322896347"/>
    <x v="17"/>
    <x v="2"/>
    <x v="1"/>
  </r>
  <r>
    <s v="ORD-101064"/>
    <d v="2025-12-20T00:00:00"/>
    <d v="2025-12-22T00:00:00"/>
    <x v="2"/>
    <s v="Bristol"/>
    <s v="Home Office"/>
    <s v="B2B Sales"/>
    <s v="P-003"/>
    <n v="3"/>
    <n v="0.25"/>
    <n v="371.06"/>
    <n v="11.4"/>
    <x v="1"/>
    <x v="1"/>
    <s v="Orbit Supply Co."/>
    <n v="71.489999999999995"/>
    <n v="112.88"/>
    <n v="214.46999999999997"/>
    <n v="145.19000000000003"/>
    <n v="0.39128442839432981"/>
    <x v="13"/>
    <x v="3"/>
    <x v="0"/>
  </r>
  <r>
    <s v="ORD-101065"/>
    <d v="2025-09-02T00:00:00"/>
    <d v="2025-09-08T00:00:00"/>
    <x v="2"/>
    <s v="Brighton"/>
    <s v="Corporate"/>
    <s v="B2B Sales"/>
    <s v="P-003"/>
    <n v="3"/>
    <n v="0.25"/>
    <n v="275.62"/>
    <n v="11.4"/>
    <x v="1"/>
    <x v="1"/>
    <s v="Orbit Supply Co."/>
    <n v="71.489999999999995"/>
    <n v="112.88"/>
    <n v="214.46999999999997"/>
    <n v="49.750000000000036"/>
    <n v="0.18050214062840156"/>
    <x v="11"/>
    <x v="3"/>
    <x v="0"/>
  </r>
  <r>
    <s v="ORD-101066"/>
    <d v="2024-03-09T00:00:00"/>
    <d v="2024-03-10T00:00:00"/>
    <x v="0"/>
    <s v="Liverpool"/>
    <s v="Corporate"/>
    <s v="Retail Store"/>
    <s v="P-012"/>
    <n v="10"/>
    <n v="0.05"/>
    <n v="70.31"/>
    <n v="5.4"/>
    <x v="14"/>
    <x v="2"/>
    <s v="Luma Imports"/>
    <n v="4.5"/>
    <n v="8.2899999999999991"/>
    <n v="45"/>
    <n v="19.910000000000004"/>
    <n v="0.28317451287156881"/>
    <x v="10"/>
    <x v="0"/>
    <x v="1"/>
  </r>
  <r>
    <s v="ORD-101067"/>
    <d v="2024-06-29T00:00:00"/>
    <d v="2024-07-02T00:00:00"/>
    <x v="0"/>
    <s v="Cardiff"/>
    <s v="Small Business"/>
    <s v="Online"/>
    <s v="P-008"/>
    <n v="4"/>
    <n v="0.1"/>
    <n v="742.74"/>
    <n v="5.7"/>
    <x v="6"/>
    <x v="0"/>
    <s v="Vertex Trade"/>
    <n v="112.09"/>
    <n v="192.47"/>
    <n v="448.36"/>
    <n v="288.68"/>
    <n v="0.38866898241645798"/>
    <x v="17"/>
    <x v="0"/>
    <x v="1"/>
  </r>
  <r>
    <s v="ORD-101068"/>
    <d v="2024-04-03T00:00:00"/>
    <d v="2024-04-07T00:00:00"/>
    <x v="0"/>
    <s v="Cardiff"/>
    <s v="Home Office"/>
    <s v="Retail Store"/>
    <s v="P-007"/>
    <n v="2"/>
    <n v="0.1"/>
    <n v="96.48"/>
    <n v="4.2"/>
    <x v="7"/>
    <x v="0"/>
    <s v="Luma Imports"/>
    <n v="31.34"/>
    <n v="56.49"/>
    <n v="62.68"/>
    <n v="29.600000000000005"/>
    <n v="0.30679933665008297"/>
    <x v="21"/>
    <x v="0"/>
    <x v="1"/>
  </r>
  <r>
    <s v="ORD-101069"/>
    <d v="2025-07-02T00:00:00"/>
    <d v="2025-07-04T00:00:00"/>
    <x v="1"/>
    <s v="Norwich"/>
    <s v="Home Office"/>
    <s v="Online"/>
    <s v="P-002"/>
    <n v="2"/>
    <n v="0.15"/>
    <n v="334.02"/>
    <n v="9.1"/>
    <x v="2"/>
    <x v="1"/>
    <s v="Vertex Trade"/>
    <n v="119.02"/>
    <n v="205.39"/>
    <n v="238.04"/>
    <n v="86.88"/>
    <n v="0.26010418537812108"/>
    <x v="4"/>
    <x v="2"/>
    <x v="0"/>
  </r>
  <r>
    <s v="ORD-101070"/>
    <d v="2024-03-12T00:00:00"/>
    <d v="2024-03-13T00:00:00"/>
    <x v="2"/>
    <s v="London"/>
    <s v="Small Business"/>
    <s v="Retail Store"/>
    <s v="P-004"/>
    <n v="4"/>
    <n v="0"/>
    <n v="411.45"/>
    <n v="13.7"/>
    <x v="5"/>
    <x v="1"/>
    <s v="Cedar Distribution"/>
    <n v="63.6"/>
    <n v="107.94"/>
    <n v="254.4"/>
    <n v="143.35"/>
    <n v="0.348401992951756"/>
    <x v="10"/>
    <x v="1"/>
    <x v="1"/>
  </r>
  <r>
    <s v="ORD-101071"/>
    <d v="2024-10-26T00:00:00"/>
    <d v="2024-10-31T00:00:00"/>
    <x v="1"/>
    <s v="Norwich"/>
    <s v="Small Business"/>
    <s v="Retail Store"/>
    <s v="P-004"/>
    <n v="4"/>
    <n v="0"/>
    <n v="499.17"/>
    <n v="8.2200000000000006"/>
    <x v="5"/>
    <x v="1"/>
    <s v="Cedar Distribution"/>
    <n v="63.6"/>
    <n v="107.94"/>
    <n v="254.4"/>
    <n v="236.55"/>
    <n v="0.4738866518420578"/>
    <x v="3"/>
    <x v="1"/>
    <x v="1"/>
  </r>
  <r>
    <s v="ORD-101072"/>
    <d v="2025-11-08T00:00:00"/>
    <d v="2025-11-09T00:00:00"/>
    <x v="2"/>
    <s v="London"/>
    <s v="Small Business"/>
    <s v="Online"/>
    <s v="P-004"/>
    <n v="4"/>
    <n v="0"/>
    <n v="548.89"/>
    <n v="13.7"/>
    <x v="5"/>
    <x v="1"/>
    <s v="Cedar Distribution"/>
    <n v="63.6"/>
    <n v="107.94"/>
    <n v="254.4"/>
    <n v="280.79000000000002"/>
    <n v="0.51155969319900163"/>
    <x v="19"/>
    <x v="1"/>
    <x v="0"/>
  </r>
  <r>
    <s v="ORD-101073"/>
    <d v="2024-08-06T00:00:00"/>
    <d v="2024-08-09T00:00:00"/>
    <x v="3"/>
    <s v="Manchester"/>
    <s v="Small Business"/>
    <s v="B2B Sales"/>
    <s v="P-010"/>
    <n v="5"/>
    <n v="0.15"/>
    <n v="23.98"/>
    <n v="4.05"/>
    <x v="4"/>
    <x v="2"/>
    <s v="Orbit Supply Co."/>
    <n v="3.62"/>
    <n v="6.03"/>
    <n v="18.100000000000001"/>
    <n v="1.8299999999999992"/>
    <n v="7.6313594662218487E-2"/>
    <x v="7"/>
    <x v="2"/>
    <x v="1"/>
  </r>
  <r>
    <s v="ORD-101074"/>
    <d v="2025-04-22T00:00:00"/>
    <d v="2025-04-26T00:00:00"/>
    <x v="1"/>
    <s v="Norwich"/>
    <s v="Corporate"/>
    <s v="Retail Store"/>
    <s v="P-015"/>
    <n v="10"/>
    <n v="0"/>
    <n v="60.68"/>
    <n v="5.4"/>
    <x v="8"/>
    <x v="2"/>
    <s v="Luma Imports"/>
    <n v="3.3"/>
    <n v="6.13"/>
    <n v="33"/>
    <n v="22.28"/>
    <n v="0.36717205009887938"/>
    <x v="15"/>
    <x v="1"/>
    <x v="0"/>
  </r>
  <r>
    <s v="ORD-101075"/>
    <d v="2024-11-17T00:00:00"/>
    <d v="2024-11-23T00:00:00"/>
    <x v="0"/>
    <s v="Cardiff"/>
    <s v="Small Business"/>
    <s v="B2B Sales"/>
    <s v="P-014"/>
    <n v="11"/>
    <n v="0"/>
    <n v="403.42"/>
    <n v="9.4499999999999993"/>
    <x v="3"/>
    <x v="2"/>
    <s v="Orbit Supply Co."/>
    <n v="16.760000000000002"/>
    <n v="27.71"/>
    <n v="184.36"/>
    <n v="209.61"/>
    <n v="0.51958256903475286"/>
    <x v="14"/>
    <x v="1"/>
    <x v="1"/>
  </r>
  <r>
    <s v="ORD-101076"/>
    <d v="2024-09-08T00:00:00"/>
    <d v="2024-09-14T00:00:00"/>
    <x v="1"/>
    <s v="Peterborough"/>
    <s v="Small Business"/>
    <s v="Online"/>
    <s v="P-004"/>
    <n v="2"/>
    <n v="0"/>
    <n v="237.11"/>
    <n v="5.46"/>
    <x v="5"/>
    <x v="1"/>
    <s v="Cedar Distribution"/>
    <n v="63.6"/>
    <n v="107.94"/>
    <n v="127.2"/>
    <n v="104.45000000000002"/>
    <n v="0.44051284214077857"/>
    <x v="23"/>
    <x v="1"/>
    <x v="1"/>
  </r>
  <r>
    <s v="ORD-101077"/>
    <d v="2024-07-27T00:00:00"/>
    <d v="2024-07-29T00:00:00"/>
    <x v="2"/>
    <s v="London"/>
    <s v="Small Business"/>
    <s v="Retail Store"/>
    <s v="P-009"/>
    <n v="5"/>
    <n v="0"/>
    <n v="544.76"/>
    <n v="10.75"/>
    <x v="0"/>
    <x v="0"/>
    <s v="Apex Wholesale"/>
    <n v="63.69"/>
    <n v="125.5"/>
    <n v="318.45"/>
    <n v="215.56"/>
    <n v="0.39569718775240476"/>
    <x v="16"/>
    <x v="1"/>
    <x v="1"/>
  </r>
  <r>
    <s v="ORD-101078"/>
    <d v="2024-02-17T00:00:00"/>
    <d v="2024-02-22T00:00:00"/>
    <x v="0"/>
    <s v="Liverpool"/>
    <s v="Home Office"/>
    <s v="Online"/>
    <s v="P-015"/>
    <n v="16"/>
    <n v="0.15"/>
    <n v="79.33"/>
    <n v="7.02"/>
    <x v="8"/>
    <x v="2"/>
    <s v="Luma Imports"/>
    <n v="3.3"/>
    <n v="6.13"/>
    <n v="52.8"/>
    <n v="19.510000000000002"/>
    <n v="0.24593470313878737"/>
    <x v="12"/>
    <x v="2"/>
    <x v="1"/>
  </r>
  <r>
    <s v="ORD-101079"/>
    <d v="2024-08-12T00:00:00"/>
    <d v="2024-08-17T00:00:00"/>
    <x v="1"/>
    <s v="Norwich"/>
    <s v="Corporate"/>
    <s v="Online"/>
    <s v="P-011"/>
    <n v="6"/>
    <n v="0"/>
    <n v="86.15"/>
    <n v="4.32"/>
    <x v="9"/>
    <x v="2"/>
    <s v="Orbit Supply Co."/>
    <n v="7.93"/>
    <n v="14.78"/>
    <n v="47.58"/>
    <n v="34.250000000000007"/>
    <n v="0.39756239117817765"/>
    <x v="7"/>
    <x v="1"/>
    <x v="1"/>
  </r>
  <r>
    <s v="ORD-101080"/>
    <d v="2025-11-29T00:00:00"/>
    <d v="2025-11-30T00:00:00"/>
    <x v="3"/>
    <s v="Manchester"/>
    <s v="Corporate"/>
    <s v="Online"/>
    <s v="P-002"/>
    <n v="3"/>
    <n v="0"/>
    <n v="877.62"/>
    <n v="6.84"/>
    <x v="2"/>
    <x v="1"/>
    <s v="Vertex Trade"/>
    <n v="119.02"/>
    <n v="205.39"/>
    <n v="357.06"/>
    <n v="513.71999999999991"/>
    <n v="0.58535584877281732"/>
    <x v="19"/>
    <x v="1"/>
    <x v="0"/>
  </r>
  <r>
    <s v="ORD-101081"/>
    <d v="2024-02-07T00:00:00"/>
    <d v="2024-02-13T00:00:00"/>
    <x v="1"/>
    <s v="Cambridge"/>
    <s v="Small Business"/>
    <s v="Online"/>
    <s v="P-002"/>
    <n v="4"/>
    <n v="0.15"/>
    <n v="631.79999999999995"/>
    <n v="8.2200000000000006"/>
    <x v="2"/>
    <x v="1"/>
    <s v="Vertex Trade"/>
    <n v="119.02"/>
    <n v="205.39"/>
    <n v="476.08"/>
    <n v="147.49999999999997"/>
    <n v="0.23345995568217787"/>
    <x v="12"/>
    <x v="2"/>
    <x v="1"/>
  </r>
  <r>
    <s v="ORD-101082"/>
    <d v="2025-04-30T00:00:00"/>
    <d v="2025-05-03T00:00:00"/>
    <x v="2"/>
    <s v="London"/>
    <s v="Corporate"/>
    <s v="B2B Sales"/>
    <s v="P-010"/>
    <n v="9"/>
    <n v="0.25"/>
    <n v="40.299999999999997"/>
    <n v="5.13"/>
    <x v="4"/>
    <x v="2"/>
    <s v="Orbit Supply Co."/>
    <n v="3.62"/>
    <n v="6.03"/>
    <n v="32.58"/>
    <n v="2.589999999999999"/>
    <n v="6.4267990074441672E-2"/>
    <x v="15"/>
    <x v="3"/>
    <x v="0"/>
  </r>
  <r>
    <s v="ORD-101083"/>
    <d v="2024-02-27T00:00:00"/>
    <d v="2024-03-02T00:00:00"/>
    <x v="1"/>
    <s v="Peterborough"/>
    <s v="Small Business"/>
    <s v="Online"/>
    <s v="P-001"/>
    <n v="2"/>
    <n v="0.1"/>
    <n v="435.85"/>
    <n v="5.46"/>
    <x v="12"/>
    <x v="1"/>
    <s v="Luma Imports"/>
    <n v="173.56"/>
    <n v="286.14999999999998"/>
    <n v="347.12"/>
    <n v="83.270000000000024"/>
    <n v="0.19105196741998398"/>
    <x v="12"/>
    <x v="0"/>
    <x v="1"/>
  </r>
  <r>
    <s v="ORD-101084"/>
    <d v="2025-08-01T00:00:00"/>
    <d v="2025-08-04T00:00:00"/>
    <x v="0"/>
    <s v="Cardiff"/>
    <s v="Corporate"/>
    <s v="Online"/>
    <s v="P-013"/>
    <n v="7"/>
    <n v="0"/>
    <n v="77.900000000000006"/>
    <n v="7.65"/>
    <x v="11"/>
    <x v="2"/>
    <s v="Apex Wholesale"/>
    <n v="6.33"/>
    <n v="12.16"/>
    <n v="44.31"/>
    <n v="25.940000000000005"/>
    <n v="0.33299101412066756"/>
    <x v="6"/>
    <x v="1"/>
    <x v="0"/>
  </r>
  <r>
    <s v="ORD-101085"/>
    <d v="2024-09-08T00:00:00"/>
    <d v="2024-09-13T00:00:00"/>
    <x v="2"/>
    <s v="Brighton"/>
    <s v="Home Office"/>
    <s v="B2B Sales"/>
    <s v="P-002"/>
    <n v="1"/>
    <n v="0.05"/>
    <n v="210.61"/>
    <n v="4.08"/>
    <x v="2"/>
    <x v="1"/>
    <s v="Vertex Trade"/>
    <n v="119.02"/>
    <n v="205.39"/>
    <n v="119.02"/>
    <n v="87.510000000000019"/>
    <n v="0.41550733583400606"/>
    <x v="23"/>
    <x v="0"/>
    <x v="1"/>
  </r>
  <r>
    <s v="ORD-101086"/>
    <d v="2024-09-19T00:00:00"/>
    <d v="2024-09-22T00:00:00"/>
    <x v="2"/>
    <s v="Bristol"/>
    <s v="Small Business"/>
    <s v="Online"/>
    <s v="P-013"/>
    <n v="7"/>
    <n v="0"/>
    <n v="92.9"/>
    <n v="7.65"/>
    <x v="11"/>
    <x v="2"/>
    <s v="Apex Wholesale"/>
    <n v="6.33"/>
    <n v="12.16"/>
    <n v="44.31"/>
    <n v="40.940000000000005"/>
    <n v="0.44068891280947259"/>
    <x v="23"/>
    <x v="1"/>
    <x v="1"/>
  </r>
  <r>
    <s v="ORD-101087"/>
    <d v="2025-04-08T00:00:00"/>
    <d v="2025-04-11T00:00:00"/>
    <x v="2"/>
    <s v="Brighton"/>
    <s v="Home Office"/>
    <s v="Online"/>
    <s v="P-012"/>
    <n v="6"/>
    <n v="0.1"/>
    <n v="43.87"/>
    <n v="4.32"/>
    <x v="14"/>
    <x v="2"/>
    <s v="Luma Imports"/>
    <n v="4.5"/>
    <n v="8.2899999999999991"/>
    <n v="27"/>
    <n v="12.549999999999997"/>
    <n v="0.28607248689309317"/>
    <x v="15"/>
    <x v="0"/>
    <x v="0"/>
  </r>
  <r>
    <s v="ORD-101088"/>
    <d v="2025-02-15T00:00:00"/>
    <d v="2025-02-21T00:00:00"/>
    <x v="2"/>
    <s v="Bristol"/>
    <s v="Corporate"/>
    <s v="B2B Sales"/>
    <s v="P-003"/>
    <n v="3"/>
    <n v="0.25"/>
    <n v="229.11"/>
    <n v="11.4"/>
    <x v="1"/>
    <x v="1"/>
    <s v="Orbit Supply Co."/>
    <n v="71.489999999999995"/>
    <n v="112.88"/>
    <n v="214.46999999999997"/>
    <n v="3.2400000000000428"/>
    <n v="1.4141678669634859E-2"/>
    <x v="5"/>
    <x v="3"/>
    <x v="0"/>
  </r>
  <r>
    <s v="ORD-101089"/>
    <d v="2024-06-10T00:00:00"/>
    <d v="2024-06-11T00:00:00"/>
    <x v="2"/>
    <s v="London"/>
    <s v="Small Business"/>
    <s v="B2B Sales"/>
    <s v="P-001"/>
    <n v="5"/>
    <n v="0"/>
    <n v="1515.71"/>
    <n v="16"/>
    <x v="12"/>
    <x v="1"/>
    <s v="Luma Imports"/>
    <n v="173.56"/>
    <n v="286.14999999999998"/>
    <n v="867.8"/>
    <n v="631.91000000000008"/>
    <n v="0.41690692810630003"/>
    <x v="17"/>
    <x v="1"/>
    <x v="1"/>
  </r>
  <r>
    <s v="ORD-101090"/>
    <d v="2025-03-23T00:00:00"/>
    <d v="2025-03-26T00:00:00"/>
    <x v="0"/>
    <s v="Cardiff"/>
    <s v="Small Business"/>
    <s v="Online"/>
    <s v="P-012"/>
    <n v="12"/>
    <n v="0.05"/>
    <n v="84.24"/>
    <n v="9.9"/>
    <x v="14"/>
    <x v="2"/>
    <s v="Luma Imports"/>
    <n v="4.5"/>
    <n v="8.2899999999999991"/>
    <n v="54"/>
    <n v="20.339999999999996"/>
    <n v="0.24145299145299143"/>
    <x v="2"/>
    <x v="0"/>
    <x v="0"/>
  </r>
  <r>
    <s v="ORD-101091"/>
    <d v="2025-05-09T00:00:00"/>
    <d v="2025-05-12T00:00:00"/>
    <x v="2"/>
    <s v="Brighton"/>
    <s v="Home Office"/>
    <s v="Retail Store"/>
    <s v="P-007"/>
    <n v="1"/>
    <n v="0"/>
    <n v="58.6"/>
    <n v="5.75"/>
    <x v="7"/>
    <x v="0"/>
    <s v="Luma Imports"/>
    <n v="31.34"/>
    <n v="56.49"/>
    <n v="31.34"/>
    <n v="21.51"/>
    <n v="0.36706484641638226"/>
    <x v="1"/>
    <x v="1"/>
    <x v="0"/>
  </r>
  <r>
    <s v="ORD-101092"/>
    <d v="2024-12-15T00:00:00"/>
    <d v="2024-12-19T00:00:00"/>
    <x v="1"/>
    <s v="Cambridge"/>
    <s v="Home Office"/>
    <s v="B2B Sales"/>
    <s v="P-015"/>
    <n v="16"/>
    <n v="0"/>
    <n v="146.96"/>
    <n v="11.7"/>
    <x v="8"/>
    <x v="2"/>
    <s v="Luma Imports"/>
    <n v="3.3"/>
    <n v="6.13"/>
    <n v="52.8"/>
    <n v="82.460000000000008"/>
    <n v="0.5611050626020686"/>
    <x v="9"/>
    <x v="1"/>
    <x v="1"/>
  </r>
  <r>
    <s v="ORD-101093"/>
    <d v="2025-05-11T00:00:00"/>
    <d v="2025-05-17T00:00:00"/>
    <x v="1"/>
    <s v="Norwich"/>
    <s v="Corporate"/>
    <s v="B2B Sales"/>
    <s v="P-011"/>
    <n v="10"/>
    <n v="0.2"/>
    <n v="127.78"/>
    <n v="9"/>
    <x v="9"/>
    <x v="2"/>
    <s v="Orbit Supply Co."/>
    <n v="7.93"/>
    <n v="14.78"/>
    <n v="79.3"/>
    <n v="39.480000000000004"/>
    <n v="0.30896853967757087"/>
    <x v="1"/>
    <x v="2"/>
    <x v="0"/>
  </r>
  <r>
    <s v="ORD-101094"/>
    <d v="2024-12-15T00:00:00"/>
    <d v="2024-12-18T00:00:00"/>
    <x v="3"/>
    <s v="Manchester"/>
    <s v="Small Business"/>
    <s v="B2B Sales"/>
    <s v="P-005"/>
    <n v="2"/>
    <n v="0"/>
    <n v="147.27000000000001"/>
    <n v="4.2"/>
    <x v="13"/>
    <x v="0"/>
    <s v="Apex Wholesale"/>
    <n v="25.33"/>
    <n v="51.56"/>
    <n v="50.66"/>
    <n v="92.410000000000011"/>
    <n v="0.62748692877028589"/>
    <x v="9"/>
    <x v="1"/>
    <x v="1"/>
  </r>
  <r>
    <s v="ORD-101095"/>
    <d v="2025-05-02T00:00:00"/>
    <d v="2025-05-06T00:00:00"/>
    <x v="0"/>
    <s v="Cardiff"/>
    <s v="Home Office"/>
    <s v="B2B Sales"/>
    <s v="P-010"/>
    <n v="10"/>
    <n v="0.05"/>
    <n v="60.92"/>
    <n v="9"/>
    <x v="4"/>
    <x v="2"/>
    <s v="Orbit Supply Co."/>
    <n v="3.62"/>
    <n v="6.03"/>
    <n v="36.200000000000003"/>
    <n v="15.719999999999999"/>
    <n v="0.25804333552199604"/>
    <x v="1"/>
    <x v="0"/>
    <x v="0"/>
  </r>
  <r>
    <s v="ORD-101096"/>
    <d v="2025-10-23T00:00:00"/>
    <d v="2025-10-26T00:00:00"/>
    <x v="0"/>
    <s v="Birmingham"/>
    <s v="Home Office"/>
    <s v="Online"/>
    <s v="P-003"/>
    <n v="3"/>
    <n v="0.2"/>
    <n v="327.3"/>
    <n v="11.4"/>
    <x v="1"/>
    <x v="1"/>
    <s v="Orbit Supply Co."/>
    <n v="71.489999999999995"/>
    <n v="112.88"/>
    <n v="214.46999999999997"/>
    <n v="101.43000000000004"/>
    <n v="0.30989917506874437"/>
    <x v="22"/>
    <x v="2"/>
    <x v="0"/>
  </r>
  <r>
    <s v="ORD-101097"/>
    <d v="2025-07-31T00:00:00"/>
    <d v="2025-08-01T00:00:00"/>
    <x v="3"/>
    <s v="Manchester"/>
    <s v="Small Business"/>
    <s v="Retail Store"/>
    <s v="P-004"/>
    <n v="4"/>
    <n v="0"/>
    <n v="414.2"/>
    <n v="8.2200000000000006"/>
    <x v="5"/>
    <x v="1"/>
    <s v="Cedar Distribution"/>
    <n v="63.6"/>
    <n v="107.94"/>
    <n v="254.4"/>
    <n v="151.57999999999998"/>
    <n v="0.365958474167069"/>
    <x v="4"/>
    <x v="1"/>
    <x v="0"/>
  </r>
  <r>
    <s v="ORD-101098"/>
    <d v="2024-08-22T00:00:00"/>
    <d v="2024-08-24T00:00:00"/>
    <x v="1"/>
    <s v="Cambridge"/>
    <s v="Corporate"/>
    <s v="Online"/>
    <s v="P-014"/>
    <n v="14"/>
    <n v="0.05"/>
    <n v="370.93"/>
    <n v="6.48"/>
    <x v="3"/>
    <x v="2"/>
    <s v="Orbit Supply Co."/>
    <n v="16.760000000000002"/>
    <n v="27.71"/>
    <n v="234.64000000000001"/>
    <n v="129.81"/>
    <n v="0.34995821313994552"/>
    <x v="7"/>
    <x v="0"/>
    <x v="1"/>
  </r>
  <r>
    <s v="ORD-101099"/>
    <d v="2024-09-22T00:00:00"/>
    <d v="2024-09-26T00:00:00"/>
    <x v="2"/>
    <s v="Brighton"/>
    <s v="Small Business"/>
    <s v="B2B Sales"/>
    <s v="P-003"/>
    <n v="3"/>
    <n v="0.15"/>
    <n v="307.91000000000003"/>
    <n v="11.4"/>
    <x v="1"/>
    <x v="1"/>
    <s v="Orbit Supply Co."/>
    <n v="71.489999999999995"/>
    <n v="112.88"/>
    <n v="214.46999999999997"/>
    <n v="82.040000000000049"/>
    <n v="0.26644149264395456"/>
    <x v="23"/>
    <x v="2"/>
    <x v="1"/>
  </r>
  <r>
    <s v="ORD-101100"/>
    <d v="2025-01-11T00:00:00"/>
    <d v="2025-01-16T00:00:00"/>
    <x v="2"/>
    <s v="Bristol"/>
    <s v="Home Office"/>
    <s v="Online"/>
    <s v="P-004"/>
    <n v="3"/>
    <n v="0"/>
    <n v="280.24"/>
    <n v="11.4"/>
    <x v="5"/>
    <x v="1"/>
    <s v="Cedar Distribution"/>
    <n v="63.6"/>
    <n v="107.94"/>
    <n v="190.8"/>
    <n v="78.039999999999992"/>
    <n v="0.27847559234941477"/>
    <x v="20"/>
    <x v="1"/>
    <x v="0"/>
  </r>
  <r>
    <s v="ORD-101101"/>
    <d v="2024-08-17T00:00:00"/>
    <d v="2024-08-19T00:00:00"/>
    <x v="0"/>
    <s v="Liverpool"/>
    <s v="Home Office"/>
    <s v="Retail Store"/>
    <s v="P-009"/>
    <n v="7"/>
    <n v="0.05"/>
    <n v="777.47"/>
    <n v="13.25"/>
    <x v="0"/>
    <x v="0"/>
    <s v="Apex Wholesale"/>
    <n v="63.69"/>
    <n v="125.5"/>
    <n v="445.83"/>
    <n v="318.39000000000004"/>
    <n v="0.40952062459001637"/>
    <x v="7"/>
    <x v="0"/>
    <x v="1"/>
  </r>
  <r>
    <s v="ORD-101102"/>
    <d v="2024-07-13T00:00:00"/>
    <d v="2024-07-19T00:00:00"/>
    <x v="1"/>
    <s v="Peterborough"/>
    <s v="Corporate"/>
    <s v="Online"/>
    <s v="P-010"/>
    <n v="11"/>
    <n v="0"/>
    <n v="58.66"/>
    <n v="5.67"/>
    <x v="4"/>
    <x v="2"/>
    <s v="Orbit Supply Co."/>
    <n v="3.62"/>
    <n v="6.03"/>
    <n v="39.82"/>
    <n v="13.169999999999996"/>
    <n v="0.22451414933515168"/>
    <x v="16"/>
    <x v="1"/>
    <x v="1"/>
  </r>
  <r>
    <s v="ORD-101103"/>
    <d v="2025-08-04T00:00:00"/>
    <d v="2025-08-07T00:00:00"/>
    <x v="2"/>
    <s v="London"/>
    <s v="Small Business"/>
    <s v="Online"/>
    <s v="P-005"/>
    <n v="7"/>
    <n v="0"/>
    <n v="327.64999999999998"/>
    <n v="7.95"/>
    <x v="13"/>
    <x v="0"/>
    <s v="Apex Wholesale"/>
    <n v="25.33"/>
    <n v="51.56"/>
    <n v="177.31"/>
    <n v="142.38999999999999"/>
    <n v="0.43457958187089879"/>
    <x v="6"/>
    <x v="1"/>
    <x v="0"/>
  </r>
  <r>
    <s v="ORD-101104"/>
    <d v="2024-09-09T00:00:00"/>
    <d v="2024-09-12T00:00:00"/>
    <x v="0"/>
    <s v="Cardiff"/>
    <s v="Small Business"/>
    <s v="Online"/>
    <s v="P-005"/>
    <n v="5"/>
    <n v="0.1"/>
    <n v="238.3"/>
    <n v="10.75"/>
    <x v="13"/>
    <x v="0"/>
    <s v="Apex Wholesale"/>
    <n v="25.33"/>
    <n v="51.56"/>
    <n v="126.64999999999999"/>
    <n v="100.90000000000002"/>
    <n v="0.42341586235837186"/>
    <x v="23"/>
    <x v="0"/>
    <x v="1"/>
  </r>
  <r>
    <s v="ORD-101105"/>
    <d v="2024-01-16T00:00:00"/>
    <d v="2024-01-19T00:00:00"/>
    <x v="0"/>
    <s v="Birmingham"/>
    <s v="Small Business"/>
    <s v="B2B Sales"/>
    <s v="P-012"/>
    <n v="10"/>
    <n v="0.2"/>
    <n v="59.7"/>
    <n v="5.4"/>
    <x v="14"/>
    <x v="2"/>
    <s v="Luma Imports"/>
    <n v="4.5"/>
    <n v="8.2899999999999991"/>
    <n v="45"/>
    <n v="9.3000000000000025"/>
    <n v="0.15577889447236185"/>
    <x v="18"/>
    <x v="2"/>
    <x v="1"/>
  </r>
  <r>
    <s v="ORD-101106"/>
    <d v="2024-11-12T00:00:00"/>
    <d v="2024-11-15T00:00:00"/>
    <x v="2"/>
    <s v="Brighton"/>
    <s v="Home Office"/>
    <s v="Online"/>
    <s v="P-001"/>
    <n v="1"/>
    <n v="0.15"/>
    <n v="327.20999999999998"/>
    <n v="4.08"/>
    <x v="12"/>
    <x v="1"/>
    <s v="Luma Imports"/>
    <n v="173.56"/>
    <n v="286.14999999999998"/>
    <n v="173.56"/>
    <n v="149.56999999999996"/>
    <n v="0.45710705663029849"/>
    <x v="14"/>
    <x v="2"/>
    <x v="1"/>
  </r>
  <r>
    <s v="ORD-101107"/>
    <d v="2024-07-02T00:00:00"/>
    <d v="2024-07-04T00:00:00"/>
    <x v="0"/>
    <s v="Birmingham"/>
    <s v="Small Business"/>
    <s v="Retail Store"/>
    <s v="P-015"/>
    <n v="8"/>
    <n v="0"/>
    <n v="44.11"/>
    <n v="8.1"/>
    <x v="8"/>
    <x v="2"/>
    <s v="Luma Imports"/>
    <n v="3.3"/>
    <n v="6.13"/>
    <n v="26.4"/>
    <n v="9.6100000000000012"/>
    <n v="0.21786442983450469"/>
    <x v="16"/>
    <x v="1"/>
    <x v="1"/>
  </r>
  <r>
    <s v="ORD-101108"/>
    <d v="2025-09-22T00:00:00"/>
    <d v="2025-09-28T00:00:00"/>
    <x v="3"/>
    <s v="Manchester"/>
    <s v="Small Business"/>
    <s v="B2B Sales"/>
    <s v="P-003"/>
    <n v="3"/>
    <n v="0"/>
    <n v="387.41"/>
    <n v="6.84"/>
    <x v="1"/>
    <x v="1"/>
    <s v="Orbit Supply Co."/>
    <n v="71.489999999999995"/>
    <n v="112.88"/>
    <n v="214.46999999999997"/>
    <n v="166.10000000000005"/>
    <n v="0.42874474071397239"/>
    <x v="11"/>
    <x v="1"/>
    <x v="0"/>
  </r>
  <r>
    <s v="ORD-101109"/>
    <d v="2024-04-23T00:00:00"/>
    <d v="2024-04-26T00:00:00"/>
    <x v="2"/>
    <s v="Brighton"/>
    <s v="Home Office"/>
    <s v="Retail Store"/>
    <s v="P-015"/>
    <n v="4"/>
    <n v="0"/>
    <n v="25.29"/>
    <n v="3.78"/>
    <x v="8"/>
    <x v="2"/>
    <s v="Luma Imports"/>
    <n v="3.3"/>
    <n v="6.13"/>
    <n v="13.2"/>
    <n v="8.31"/>
    <n v="0.3285883748517201"/>
    <x v="21"/>
    <x v="1"/>
    <x v="1"/>
  </r>
  <r>
    <s v="ORD-101110"/>
    <d v="2024-10-07T00:00:00"/>
    <d v="2024-10-13T00:00:00"/>
    <x v="3"/>
    <s v="Newcastle"/>
    <s v="Home Office"/>
    <s v="Online"/>
    <s v="P-015"/>
    <n v="13"/>
    <n v="0"/>
    <n v="93.33"/>
    <n v="6.21"/>
    <x v="8"/>
    <x v="2"/>
    <s v="Luma Imports"/>
    <n v="3.3"/>
    <n v="6.13"/>
    <n v="42.9"/>
    <n v="44.22"/>
    <n v="0.47380263580842175"/>
    <x v="3"/>
    <x v="1"/>
    <x v="1"/>
  </r>
  <r>
    <s v="ORD-101111"/>
    <d v="2024-01-15T00:00:00"/>
    <d v="2024-01-16T00:00:00"/>
    <x v="0"/>
    <s v="Liverpool"/>
    <s v="Small Business"/>
    <s v="Retail Store"/>
    <s v="P-012"/>
    <n v="5"/>
    <n v="0"/>
    <n v="36.119999999999997"/>
    <n v="6.75"/>
    <x v="14"/>
    <x v="2"/>
    <s v="Luma Imports"/>
    <n v="4.5"/>
    <n v="8.2899999999999991"/>
    <n v="22.5"/>
    <n v="6.8699999999999974"/>
    <n v="0.1901993355481727"/>
    <x v="18"/>
    <x v="1"/>
    <x v="1"/>
  </r>
  <r>
    <s v="ORD-101112"/>
    <d v="2024-11-08T00:00:00"/>
    <d v="2024-11-13T00:00:00"/>
    <x v="3"/>
    <s v="Manchester"/>
    <s v="Corporate"/>
    <s v="B2B Sales"/>
    <s v="P-006"/>
    <n v="1"/>
    <n v="0"/>
    <n v="156.52000000000001"/>
    <n v="3.45"/>
    <x v="10"/>
    <x v="0"/>
    <s v="Apex Wholesale"/>
    <n v="54.95"/>
    <n v="112.56"/>
    <n v="54.95"/>
    <n v="98.12"/>
    <n v="0.62688474316381293"/>
    <x v="14"/>
    <x v="1"/>
    <x v="1"/>
  </r>
  <r>
    <s v="ORD-101113"/>
    <d v="2024-02-20T00:00:00"/>
    <d v="2024-02-21T00:00:00"/>
    <x v="3"/>
    <s v="Leeds"/>
    <s v="Corporate"/>
    <s v="Online"/>
    <s v="P-006"/>
    <n v="2"/>
    <n v="0"/>
    <n v="202.57"/>
    <n v="4.2"/>
    <x v="10"/>
    <x v="0"/>
    <s v="Apex Wholesale"/>
    <n v="54.95"/>
    <n v="112.56"/>
    <n v="109.9"/>
    <n v="88.469999999999985"/>
    <n v="0.43673791775682475"/>
    <x v="12"/>
    <x v="1"/>
    <x v="1"/>
  </r>
  <r>
    <s v="ORD-101114"/>
    <d v="2024-01-31T00:00:00"/>
    <d v="2024-02-01T00:00:00"/>
    <x v="1"/>
    <s v="Peterborough"/>
    <s v="Home Office"/>
    <s v="B2B Sales"/>
    <s v="P-010"/>
    <n v="6"/>
    <n v="0"/>
    <n v="31.99"/>
    <n v="7.2"/>
    <x v="4"/>
    <x v="2"/>
    <s v="Orbit Supply Co."/>
    <n v="3.62"/>
    <n v="6.03"/>
    <n v="21.72"/>
    <n v="3.0699999999999994"/>
    <n v="9.5967489840575168E-2"/>
    <x v="18"/>
    <x v="1"/>
    <x v="1"/>
  </r>
  <r>
    <s v="ORD-101115"/>
    <d v="2025-12-16T00:00:00"/>
    <d v="2025-12-19T00:00:00"/>
    <x v="2"/>
    <s v="Brighton"/>
    <s v="Corporate"/>
    <s v="Online"/>
    <s v="P-010"/>
    <n v="6"/>
    <n v="0"/>
    <n v="50.56"/>
    <n v="4.32"/>
    <x v="4"/>
    <x v="2"/>
    <s v="Orbit Supply Co."/>
    <n v="3.62"/>
    <n v="6.03"/>
    <n v="21.72"/>
    <n v="24.520000000000003"/>
    <n v="0.48496835443037978"/>
    <x v="13"/>
    <x v="1"/>
    <x v="0"/>
  </r>
  <r>
    <s v="ORD-101116"/>
    <d v="2024-12-24T00:00:00"/>
    <d v="2024-12-30T00:00:00"/>
    <x v="0"/>
    <s v="Cardiff"/>
    <s v="Small Business"/>
    <s v="B2B Sales"/>
    <s v="P-001"/>
    <n v="1"/>
    <n v="0"/>
    <n v="387.34"/>
    <n v="6.8"/>
    <x v="12"/>
    <x v="1"/>
    <s v="Luma Imports"/>
    <n v="173.56"/>
    <n v="286.14999999999998"/>
    <n v="173.56"/>
    <n v="206.97999999999996"/>
    <n v="0.53436257551505129"/>
    <x v="9"/>
    <x v="1"/>
    <x v="1"/>
  </r>
  <r>
    <s v="ORD-101117"/>
    <d v="2025-12-27T00:00:00"/>
    <d v="2025-12-28T00:00:00"/>
    <x v="1"/>
    <s v="Peterborough"/>
    <s v="Corporate"/>
    <s v="Online"/>
    <s v="P-007"/>
    <n v="2"/>
    <n v="0.25"/>
    <n v="126.64"/>
    <n v="4.2"/>
    <x v="7"/>
    <x v="0"/>
    <s v="Luma Imports"/>
    <n v="31.34"/>
    <n v="56.49"/>
    <n v="62.68"/>
    <n v="59.76"/>
    <n v="0.47188881869867338"/>
    <x v="13"/>
    <x v="3"/>
    <x v="0"/>
  </r>
  <r>
    <s v="ORD-101118"/>
    <d v="2025-06-10T00:00:00"/>
    <d v="2025-06-12T00:00:00"/>
    <x v="0"/>
    <s v="Liverpool"/>
    <s v="Corporate"/>
    <s v="B2B Sales"/>
    <s v="P-003"/>
    <n v="3"/>
    <n v="0"/>
    <n v="347.02"/>
    <n v="11.4"/>
    <x v="1"/>
    <x v="1"/>
    <s v="Orbit Supply Co."/>
    <n v="71.489999999999995"/>
    <n v="112.88"/>
    <n v="214.46999999999997"/>
    <n v="121.15"/>
    <n v="0.34911532476514323"/>
    <x v="0"/>
    <x v="1"/>
    <x v="0"/>
  </r>
  <r>
    <s v="ORD-101119"/>
    <d v="2025-02-28T00:00:00"/>
    <d v="2025-03-05T00:00:00"/>
    <x v="0"/>
    <s v="Birmingham"/>
    <s v="Small Business"/>
    <s v="Retail Store"/>
    <s v="P-014"/>
    <n v="6"/>
    <n v="0"/>
    <n v="149.5"/>
    <n v="4.32"/>
    <x v="3"/>
    <x v="2"/>
    <s v="Orbit Supply Co."/>
    <n v="16.760000000000002"/>
    <n v="27.71"/>
    <n v="100.56"/>
    <n v="44.62"/>
    <n v="0.29846153846153844"/>
    <x v="5"/>
    <x v="1"/>
    <x v="0"/>
  </r>
  <r>
    <s v="ORD-101120"/>
    <d v="2025-05-01T00:00:00"/>
    <d v="2025-05-02T00:00:00"/>
    <x v="3"/>
    <s v="Leeds"/>
    <s v="Small Business"/>
    <s v="Retail Store"/>
    <s v="P-013"/>
    <n v="5"/>
    <n v="0.15"/>
    <n v="51.54"/>
    <n v="6.75"/>
    <x v="11"/>
    <x v="2"/>
    <s v="Apex Wholesale"/>
    <n v="6.33"/>
    <n v="12.16"/>
    <n v="31.65"/>
    <n v="13.14"/>
    <n v="0.25494761350407452"/>
    <x v="1"/>
    <x v="2"/>
    <x v="0"/>
  </r>
  <r>
    <s v="ORD-101121"/>
    <d v="2025-09-30T00:00:00"/>
    <d v="2025-10-05T00:00:00"/>
    <x v="2"/>
    <s v="London"/>
    <s v="Home Office"/>
    <s v="B2B Sales"/>
    <s v="P-003"/>
    <n v="4"/>
    <n v="0.2"/>
    <n v="387.45"/>
    <n v="8.2200000000000006"/>
    <x v="1"/>
    <x v="1"/>
    <s v="Orbit Supply Co."/>
    <n v="71.489999999999995"/>
    <n v="112.88"/>
    <n v="285.95999999999998"/>
    <n v="93.27000000000001"/>
    <n v="0.2407278358497871"/>
    <x v="11"/>
    <x v="2"/>
    <x v="0"/>
  </r>
  <r>
    <s v="ORD-101122"/>
    <d v="2025-11-03T00:00:00"/>
    <d v="2025-11-05T00:00:00"/>
    <x v="1"/>
    <s v="Peterborough"/>
    <s v="Small Business"/>
    <s v="B2B Sales"/>
    <s v="P-009"/>
    <n v="2"/>
    <n v="0"/>
    <n v="348.23"/>
    <n v="7"/>
    <x v="0"/>
    <x v="0"/>
    <s v="Apex Wholesale"/>
    <n v="63.69"/>
    <n v="125.5"/>
    <n v="127.38"/>
    <n v="213.85000000000002"/>
    <n v="0.6141056198489504"/>
    <x v="19"/>
    <x v="1"/>
    <x v="0"/>
  </r>
  <r>
    <s v="ORD-101123"/>
    <d v="2024-03-27T00:00:00"/>
    <d v="2024-03-30T00:00:00"/>
    <x v="3"/>
    <s v="Leeds"/>
    <s v="Home Office"/>
    <s v="B2B Sales"/>
    <s v="P-008"/>
    <n v="2"/>
    <n v="0.1"/>
    <n v="331.83"/>
    <n v="4.2"/>
    <x v="6"/>
    <x v="0"/>
    <s v="Vertex Trade"/>
    <n v="112.09"/>
    <n v="192.47"/>
    <n v="224.18"/>
    <n v="103.44999999999997"/>
    <n v="0.31175601964861521"/>
    <x v="10"/>
    <x v="0"/>
    <x v="1"/>
  </r>
  <r>
    <s v="ORD-101124"/>
    <d v="2025-06-16T00:00:00"/>
    <d v="2025-06-17T00:00:00"/>
    <x v="3"/>
    <s v="Leeds"/>
    <s v="Home Office"/>
    <s v="Retail Store"/>
    <s v="P-006"/>
    <n v="3"/>
    <n v="0.2"/>
    <n v="276.10000000000002"/>
    <n v="8.25"/>
    <x v="10"/>
    <x v="0"/>
    <s v="Apex Wholesale"/>
    <n v="54.95"/>
    <n v="112.56"/>
    <n v="164.85000000000002"/>
    <n v="103"/>
    <n v="0.37305324157913794"/>
    <x v="0"/>
    <x v="2"/>
    <x v="0"/>
  </r>
  <r>
    <s v="ORD-101125"/>
    <d v="2025-11-25T00:00:00"/>
    <d v="2025-11-29T00:00:00"/>
    <x v="1"/>
    <s v="Norwich"/>
    <s v="Home Office"/>
    <s v="Retail Store"/>
    <s v="P-002"/>
    <n v="5"/>
    <n v="0.05"/>
    <n v="1323.6"/>
    <n v="16"/>
    <x v="2"/>
    <x v="1"/>
    <s v="Vertex Trade"/>
    <n v="119.02"/>
    <n v="205.39"/>
    <n v="595.1"/>
    <n v="712.49999999999989"/>
    <n v="0.53830462375339982"/>
    <x v="19"/>
    <x v="0"/>
    <x v="0"/>
  </r>
  <r>
    <s v="ORD-101126"/>
    <d v="2025-06-02T00:00:00"/>
    <d v="2025-06-04T00:00:00"/>
    <x v="3"/>
    <s v="Leeds"/>
    <s v="Home Office"/>
    <s v="Online"/>
    <s v="P-009"/>
    <n v="1"/>
    <n v="0.1"/>
    <n v="111.81"/>
    <n v="3.45"/>
    <x v="0"/>
    <x v="0"/>
    <s v="Apex Wholesale"/>
    <n v="63.69"/>
    <n v="125.5"/>
    <n v="63.69"/>
    <n v="44.67"/>
    <n v="0.39951703783203651"/>
    <x v="0"/>
    <x v="0"/>
    <x v="0"/>
  </r>
  <r>
    <s v="ORD-101127"/>
    <d v="2025-07-02T00:00:00"/>
    <d v="2025-07-03T00:00:00"/>
    <x v="3"/>
    <s v="Leeds"/>
    <s v="Home Office"/>
    <s v="Online"/>
    <s v="P-013"/>
    <n v="5"/>
    <n v="0.2"/>
    <n v="42.24"/>
    <n v="4.05"/>
    <x v="11"/>
    <x v="2"/>
    <s v="Apex Wholesale"/>
    <n v="6.33"/>
    <n v="12.16"/>
    <n v="31.65"/>
    <n v="6.5400000000000036"/>
    <n v="0.15482954545454553"/>
    <x v="4"/>
    <x v="2"/>
    <x v="0"/>
  </r>
  <r>
    <s v="ORD-101128"/>
    <d v="2025-02-13T00:00:00"/>
    <d v="2025-02-15T00:00:00"/>
    <x v="3"/>
    <s v="Leeds"/>
    <s v="Home Office"/>
    <s v="B2B Sales"/>
    <s v="P-013"/>
    <n v="8"/>
    <n v="0.15"/>
    <n v="74.540000000000006"/>
    <n v="4.8600000000000003"/>
    <x v="11"/>
    <x v="2"/>
    <s v="Apex Wholesale"/>
    <n v="6.33"/>
    <n v="12.16"/>
    <n v="50.64"/>
    <n v="19.040000000000006"/>
    <n v="0.25543332438958954"/>
    <x v="5"/>
    <x v="2"/>
    <x v="0"/>
  </r>
  <r>
    <s v="ORD-101129"/>
    <d v="2025-08-16T00:00:00"/>
    <d v="2025-08-21T00:00:00"/>
    <x v="3"/>
    <s v="Manchester"/>
    <s v="Home Office"/>
    <s v="Online"/>
    <s v="P-010"/>
    <n v="9"/>
    <n v="0"/>
    <n v="52.83"/>
    <n v="5.13"/>
    <x v="4"/>
    <x v="2"/>
    <s v="Orbit Supply Co."/>
    <n v="3.62"/>
    <n v="6.03"/>
    <n v="32.58"/>
    <n v="15.120000000000001"/>
    <n v="0.28620102214650767"/>
    <x v="6"/>
    <x v="1"/>
    <x v="0"/>
  </r>
  <r>
    <s v="ORD-101130"/>
    <d v="2024-09-11T00:00:00"/>
    <d v="2024-09-16T00:00:00"/>
    <x v="2"/>
    <s v="Bristol"/>
    <s v="Corporate"/>
    <s v="Online"/>
    <s v="P-009"/>
    <n v="3"/>
    <n v="0.1"/>
    <n v="357.15"/>
    <n v="4.95"/>
    <x v="0"/>
    <x v="0"/>
    <s v="Apex Wholesale"/>
    <n v="63.69"/>
    <n v="125.5"/>
    <n v="191.07"/>
    <n v="161.13"/>
    <n v="0.45115497690046202"/>
    <x v="23"/>
    <x v="0"/>
    <x v="1"/>
  </r>
  <r>
    <s v="ORD-101131"/>
    <d v="2025-12-09T00:00:00"/>
    <d v="2025-12-15T00:00:00"/>
    <x v="0"/>
    <s v="Birmingham"/>
    <s v="Small Business"/>
    <s v="B2B Sales"/>
    <s v="P-010"/>
    <n v="7"/>
    <n v="0"/>
    <n v="58.35"/>
    <n v="4.59"/>
    <x v="4"/>
    <x v="2"/>
    <s v="Orbit Supply Co."/>
    <n v="3.62"/>
    <n v="6.03"/>
    <n v="25.34"/>
    <n v="28.420000000000005"/>
    <n v="0.48706083976006864"/>
    <x v="13"/>
    <x v="1"/>
    <x v="0"/>
  </r>
  <r>
    <s v="ORD-101132"/>
    <d v="2024-05-02T00:00:00"/>
    <d v="2024-05-08T00:00:00"/>
    <x v="2"/>
    <s v="Bristol"/>
    <s v="Home Office"/>
    <s v="B2B Sales"/>
    <s v="P-008"/>
    <n v="4"/>
    <n v="0.25"/>
    <n v="573.21"/>
    <n v="5.7"/>
    <x v="6"/>
    <x v="0"/>
    <s v="Vertex Trade"/>
    <n v="112.09"/>
    <n v="192.47"/>
    <n v="448.36"/>
    <n v="119.15000000000002"/>
    <n v="0.20786448247588146"/>
    <x v="8"/>
    <x v="3"/>
    <x v="1"/>
  </r>
  <r>
    <s v="ORD-101133"/>
    <d v="2025-05-10T00:00:00"/>
    <d v="2025-05-15T00:00:00"/>
    <x v="0"/>
    <s v="Cardiff"/>
    <s v="Small Business"/>
    <s v="Retail Store"/>
    <s v="P-006"/>
    <n v="4"/>
    <n v="0"/>
    <n v="433.81"/>
    <n v="9.5"/>
    <x v="10"/>
    <x v="0"/>
    <s v="Apex Wholesale"/>
    <n v="54.95"/>
    <n v="112.56"/>
    <n v="219.8"/>
    <n v="204.51"/>
    <n v="0.47142758350429909"/>
    <x v="1"/>
    <x v="1"/>
    <x v="0"/>
  </r>
  <r>
    <s v="ORD-101134"/>
    <d v="2025-04-10T00:00:00"/>
    <d v="2025-04-11T00:00:00"/>
    <x v="0"/>
    <s v="Birmingham"/>
    <s v="Small Business"/>
    <s v="Retail Store"/>
    <s v="P-013"/>
    <n v="6"/>
    <n v="0"/>
    <n v="73.739999999999995"/>
    <n v="4.32"/>
    <x v="11"/>
    <x v="2"/>
    <s v="Apex Wholesale"/>
    <n v="6.33"/>
    <n v="12.16"/>
    <n v="37.980000000000004"/>
    <n v="31.439999999999991"/>
    <n v="0.42636289666395433"/>
    <x v="15"/>
    <x v="1"/>
    <x v="0"/>
  </r>
  <r>
    <s v="ORD-101135"/>
    <d v="2024-03-24T00:00:00"/>
    <d v="2024-03-26T00:00:00"/>
    <x v="1"/>
    <s v="Peterborough"/>
    <s v="Corporate"/>
    <s v="Retail Store"/>
    <s v="P-001"/>
    <n v="2"/>
    <n v="0"/>
    <n v="533.32000000000005"/>
    <n v="5.46"/>
    <x v="12"/>
    <x v="1"/>
    <s v="Luma Imports"/>
    <n v="173.56"/>
    <n v="286.14999999999998"/>
    <n v="347.12"/>
    <n v="180.74000000000004"/>
    <n v="0.33889597239931002"/>
    <x v="10"/>
    <x v="1"/>
    <x v="1"/>
  </r>
  <r>
    <s v="ORD-101136"/>
    <d v="2025-03-16T00:00:00"/>
    <d v="2025-03-21T00:00:00"/>
    <x v="1"/>
    <s v="Cambridge"/>
    <s v="Home Office"/>
    <s v="Retail Store"/>
    <s v="P-010"/>
    <n v="8"/>
    <n v="0.15"/>
    <n v="36.880000000000003"/>
    <n v="4.8600000000000003"/>
    <x v="4"/>
    <x v="2"/>
    <s v="Orbit Supply Co."/>
    <n v="3.62"/>
    <n v="6.03"/>
    <n v="28.96"/>
    <n v="3.0600000000000014"/>
    <n v="8.2971800433839504E-2"/>
    <x v="2"/>
    <x v="2"/>
    <x v="0"/>
  </r>
  <r>
    <s v="ORD-101137"/>
    <d v="2025-09-24T00:00:00"/>
    <d v="2025-09-29T00:00:00"/>
    <x v="0"/>
    <s v="Liverpool"/>
    <s v="Home Office"/>
    <s v="B2B Sales"/>
    <s v="P-015"/>
    <n v="8"/>
    <n v="0"/>
    <n v="51.82"/>
    <n v="4.8600000000000003"/>
    <x v="8"/>
    <x v="2"/>
    <s v="Luma Imports"/>
    <n v="3.3"/>
    <n v="6.13"/>
    <n v="26.4"/>
    <n v="20.560000000000002"/>
    <n v="0.39675800849093018"/>
    <x v="11"/>
    <x v="1"/>
    <x v="0"/>
  </r>
  <r>
    <s v="ORD-101138"/>
    <d v="2024-07-01T00:00:00"/>
    <d v="2024-07-03T00:00:00"/>
    <x v="3"/>
    <s v="Leeds"/>
    <s v="Small Business"/>
    <s v="Online"/>
    <s v="P-014"/>
    <n v="13"/>
    <n v="0"/>
    <n v="325.29000000000002"/>
    <n v="10.35"/>
    <x v="3"/>
    <x v="2"/>
    <s v="Orbit Supply Co."/>
    <n v="16.760000000000002"/>
    <n v="27.71"/>
    <n v="217.88000000000002"/>
    <n v="97.06"/>
    <n v="0.29837990715976515"/>
    <x v="16"/>
    <x v="1"/>
    <x v="1"/>
  </r>
  <r>
    <s v="ORD-101139"/>
    <d v="2024-10-15T00:00:00"/>
    <d v="2024-10-16T00:00:00"/>
    <x v="3"/>
    <s v="Newcastle"/>
    <s v="Corporate"/>
    <s v="B2B Sales"/>
    <s v="P-008"/>
    <n v="3"/>
    <n v="0"/>
    <n v="706.84"/>
    <n v="4.95"/>
    <x v="6"/>
    <x v="0"/>
    <s v="Vertex Trade"/>
    <n v="112.09"/>
    <n v="192.47"/>
    <n v="336.27"/>
    <n v="365.62000000000006"/>
    <n v="0.51725991737875621"/>
    <x v="3"/>
    <x v="1"/>
    <x v="1"/>
  </r>
  <r>
    <s v="ORD-101140"/>
    <d v="2025-10-12T00:00:00"/>
    <d v="2025-10-17T00:00:00"/>
    <x v="3"/>
    <s v="Manchester"/>
    <s v="Home Office"/>
    <s v="Online"/>
    <s v="P-005"/>
    <n v="1"/>
    <n v="0"/>
    <n v="59.83"/>
    <n v="3.45"/>
    <x v="13"/>
    <x v="0"/>
    <s v="Apex Wholesale"/>
    <n v="25.33"/>
    <n v="51.56"/>
    <n v="25.33"/>
    <n v="31.05"/>
    <n v="0.51897041617917439"/>
    <x v="22"/>
    <x v="1"/>
    <x v="0"/>
  </r>
  <r>
    <s v="ORD-101141"/>
    <d v="2025-01-18T00:00:00"/>
    <d v="2025-01-24T00:00:00"/>
    <x v="2"/>
    <s v="Bristol"/>
    <s v="Small Business"/>
    <s v="Online"/>
    <s v="P-010"/>
    <n v="13"/>
    <n v="0.2"/>
    <n v="53.79"/>
    <n v="6.21"/>
    <x v="4"/>
    <x v="2"/>
    <s v="Orbit Supply Co."/>
    <n v="3.62"/>
    <n v="6.03"/>
    <n v="47.06"/>
    <n v="0.51999999999999691"/>
    <n v="9.6672243911507146E-3"/>
    <x v="20"/>
    <x v="2"/>
    <x v="0"/>
  </r>
  <r>
    <s v="ORD-101142"/>
    <d v="2025-03-31T00:00:00"/>
    <d v="2025-04-04T00:00:00"/>
    <x v="2"/>
    <s v="London"/>
    <s v="Small Business"/>
    <s v="Online"/>
    <s v="P-013"/>
    <n v="9"/>
    <n v="0"/>
    <n v="107.16"/>
    <n v="5.13"/>
    <x v="11"/>
    <x v="2"/>
    <s v="Apex Wholesale"/>
    <n v="6.33"/>
    <n v="12.16"/>
    <n v="56.97"/>
    <n v="45.059999999999995"/>
    <n v="0.42049272116461361"/>
    <x v="2"/>
    <x v="1"/>
    <x v="0"/>
  </r>
  <r>
    <s v="ORD-101143"/>
    <d v="2025-04-22T00:00:00"/>
    <d v="2025-04-27T00:00:00"/>
    <x v="1"/>
    <s v="Cambridge"/>
    <s v="Home Office"/>
    <s v="Retail Store"/>
    <s v="P-001"/>
    <n v="4"/>
    <n v="0"/>
    <n v="1091.6400000000001"/>
    <n v="8.2200000000000006"/>
    <x v="12"/>
    <x v="1"/>
    <s v="Luma Imports"/>
    <n v="173.56"/>
    <n v="286.14999999999998"/>
    <n v="694.24"/>
    <n v="389.18000000000006"/>
    <n v="0.35650947198710198"/>
    <x v="15"/>
    <x v="1"/>
    <x v="0"/>
  </r>
  <r>
    <s v="ORD-101144"/>
    <d v="2024-09-22T00:00:00"/>
    <d v="2024-09-24T00:00:00"/>
    <x v="0"/>
    <s v="Liverpool"/>
    <s v="Home Office"/>
    <s v="Retail Store"/>
    <s v="P-007"/>
    <n v="2"/>
    <n v="0.2"/>
    <n v="100.08"/>
    <n v="4.2"/>
    <x v="7"/>
    <x v="0"/>
    <s v="Luma Imports"/>
    <n v="31.34"/>
    <n v="56.49"/>
    <n v="62.68"/>
    <n v="33.199999999999996"/>
    <n v="0.33173461231015183"/>
    <x v="23"/>
    <x v="2"/>
    <x v="1"/>
  </r>
  <r>
    <s v="ORD-101145"/>
    <d v="2024-04-28T00:00:00"/>
    <d v="2024-04-29T00:00:00"/>
    <x v="3"/>
    <s v="Manchester"/>
    <s v="Home Office"/>
    <s v="B2B Sales"/>
    <s v="P-014"/>
    <n v="9"/>
    <n v="0.25"/>
    <n v="183.1"/>
    <n v="5.13"/>
    <x v="3"/>
    <x v="2"/>
    <s v="Orbit Supply Co."/>
    <n v="16.760000000000002"/>
    <n v="27.71"/>
    <n v="150.84"/>
    <n v="27.129999999999992"/>
    <n v="0.14817039868924081"/>
    <x v="21"/>
    <x v="3"/>
    <x v="1"/>
  </r>
  <r>
    <s v="ORD-101146"/>
    <d v="2025-09-10T00:00:00"/>
    <d v="2025-09-11T00:00:00"/>
    <x v="2"/>
    <s v="Bristol"/>
    <s v="Small Business"/>
    <s v="B2B Sales"/>
    <s v="P-002"/>
    <n v="7"/>
    <n v="0"/>
    <n v="1526.82"/>
    <n v="20.6"/>
    <x v="2"/>
    <x v="1"/>
    <s v="Vertex Trade"/>
    <n v="119.02"/>
    <n v="205.39"/>
    <n v="833.14"/>
    <n v="673.07999999999993"/>
    <n v="0.44083781978229258"/>
    <x v="11"/>
    <x v="1"/>
    <x v="0"/>
  </r>
  <r>
    <s v="ORD-101147"/>
    <d v="2025-02-23T00:00:00"/>
    <d v="2025-02-25T00:00:00"/>
    <x v="0"/>
    <s v="Birmingham"/>
    <s v="Small Business"/>
    <s v="B2B Sales"/>
    <s v="P-005"/>
    <n v="3"/>
    <n v="0"/>
    <n v="132.77000000000001"/>
    <n v="4.95"/>
    <x v="13"/>
    <x v="0"/>
    <s v="Apex Wholesale"/>
    <n v="25.33"/>
    <n v="51.56"/>
    <n v="75.989999999999995"/>
    <n v="51.830000000000013"/>
    <n v="0.3903743315508022"/>
    <x v="5"/>
    <x v="1"/>
    <x v="0"/>
  </r>
  <r>
    <s v="ORD-101148"/>
    <d v="2024-11-17T00:00:00"/>
    <d v="2024-11-19T00:00:00"/>
    <x v="0"/>
    <s v="Birmingham"/>
    <s v="Corporate"/>
    <s v="B2B Sales"/>
    <s v="P-015"/>
    <n v="23"/>
    <n v="0"/>
    <n v="189.22"/>
    <n v="8.91"/>
    <x v="8"/>
    <x v="2"/>
    <s v="Luma Imports"/>
    <n v="3.3"/>
    <n v="6.13"/>
    <n v="75.899999999999991"/>
    <n v="104.41000000000001"/>
    <n v="0.55179156537363916"/>
    <x v="14"/>
    <x v="1"/>
    <x v="1"/>
  </r>
  <r>
    <s v="ORD-101149"/>
    <d v="2025-06-17T00:00:00"/>
    <d v="2025-06-19T00:00:00"/>
    <x v="0"/>
    <s v="Birmingham"/>
    <s v="Home Office"/>
    <s v="B2B Sales"/>
    <s v="P-009"/>
    <n v="5"/>
    <n v="0"/>
    <n v="633.13"/>
    <n v="6.45"/>
    <x v="0"/>
    <x v="0"/>
    <s v="Apex Wholesale"/>
    <n v="63.69"/>
    <n v="125.5"/>
    <n v="318.45"/>
    <n v="308.23"/>
    <n v="0.48683524710564974"/>
    <x v="0"/>
    <x v="1"/>
    <x v="0"/>
  </r>
  <r>
    <s v="ORD-101150"/>
    <d v="2024-02-25T00:00:00"/>
    <d v="2024-03-02T00:00:00"/>
    <x v="3"/>
    <s v="Manchester"/>
    <s v="Small Business"/>
    <s v="Online"/>
    <s v="P-015"/>
    <n v="13"/>
    <n v="0"/>
    <n v="69.94"/>
    <n v="10.35"/>
    <x v="8"/>
    <x v="2"/>
    <s v="Luma Imports"/>
    <n v="3.3"/>
    <n v="6.13"/>
    <n v="42.9"/>
    <n v="16.689999999999998"/>
    <n v="0.23863311409779808"/>
    <x v="12"/>
    <x v="1"/>
    <x v="1"/>
  </r>
  <r>
    <s v="ORD-101151"/>
    <d v="2025-05-26T00:00:00"/>
    <d v="2025-05-28T00:00:00"/>
    <x v="1"/>
    <s v="Cambridge"/>
    <s v="Home Office"/>
    <s v="B2B Sales"/>
    <s v="P-012"/>
    <n v="3"/>
    <n v="0.1"/>
    <n v="24"/>
    <n v="5.85"/>
    <x v="14"/>
    <x v="2"/>
    <s v="Luma Imports"/>
    <n v="4.5"/>
    <n v="8.2899999999999991"/>
    <n v="13.5"/>
    <n v="4.6500000000000004"/>
    <n v="0.19375000000000001"/>
    <x v="1"/>
    <x v="0"/>
    <x v="0"/>
  </r>
  <r>
    <s v="ORD-101152"/>
    <d v="2025-12-18T00:00:00"/>
    <d v="2025-12-22T00:00:00"/>
    <x v="1"/>
    <s v="Norwich"/>
    <s v="Small Business"/>
    <s v="Online"/>
    <s v="P-002"/>
    <n v="3"/>
    <n v="0"/>
    <n v="923.54"/>
    <n v="6.84"/>
    <x v="2"/>
    <x v="1"/>
    <s v="Vertex Trade"/>
    <n v="119.02"/>
    <n v="205.39"/>
    <n v="357.06"/>
    <n v="559.64"/>
    <n v="0.60597267037702751"/>
    <x v="13"/>
    <x v="1"/>
    <x v="0"/>
  </r>
  <r>
    <s v="ORD-101153"/>
    <d v="2024-02-04T00:00:00"/>
    <d v="2024-02-10T00:00:00"/>
    <x v="2"/>
    <s v="Bristol"/>
    <s v="Corporate"/>
    <s v="Retail Store"/>
    <s v="P-015"/>
    <n v="4"/>
    <n v="0.25"/>
    <n v="16.25"/>
    <n v="6.3"/>
    <x v="8"/>
    <x v="2"/>
    <s v="Luma Imports"/>
    <n v="3.3"/>
    <n v="6.13"/>
    <n v="13.2"/>
    <n v="-3.2499999999999991"/>
    <n v="-0.19999999999999996"/>
    <x v="12"/>
    <x v="3"/>
    <x v="1"/>
  </r>
  <r>
    <s v="ORD-101154"/>
    <d v="2025-04-19T00:00:00"/>
    <d v="2025-04-20T00:00:00"/>
    <x v="1"/>
    <s v="Peterborough"/>
    <s v="Small Business"/>
    <s v="Retail Store"/>
    <s v="P-011"/>
    <n v="11"/>
    <n v="0"/>
    <n v="159.71"/>
    <n v="5.67"/>
    <x v="9"/>
    <x v="2"/>
    <s v="Orbit Supply Co."/>
    <n v="7.93"/>
    <n v="14.78"/>
    <n v="87.22999999999999"/>
    <n v="66.810000000000016"/>
    <n v="0.41832070628013285"/>
    <x v="15"/>
    <x v="1"/>
    <x v="0"/>
  </r>
  <r>
    <s v="ORD-101155"/>
    <d v="2025-06-02T00:00:00"/>
    <d v="2025-06-07T00:00:00"/>
    <x v="1"/>
    <s v="Norwich"/>
    <s v="Home Office"/>
    <s v="Online"/>
    <s v="P-003"/>
    <n v="4"/>
    <n v="0"/>
    <n v="449.04"/>
    <n v="13.7"/>
    <x v="1"/>
    <x v="1"/>
    <s v="Orbit Supply Co."/>
    <n v="71.489999999999995"/>
    <n v="112.88"/>
    <n v="285.95999999999998"/>
    <n v="149.38000000000005"/>
    <n v="0.33266524140388393"/>
    <x v="0"/>
    <x v="1"/>
    <x v="0"/>
  </r>
  <r>
    <s v="ORD-101156"/>
    <d v="2025-11-28T00:00:00"/>
    <d v="2025-12-02T00:00:00"/>
    <x v="0"/>
    <s v="Cardiff"/>
    <s v="Corporate"/>
    <s v="B2B Sales"/>
    <s v="P-012"/>
    <n v="14"/>
    <n v="0"/>
    <n v="164.36"/>
    <n v="6.48"/>
    <x v="14"/>
    <x v="2"/>
    <s v="Luma Imports"/>
    <n v="4.5"/>
    <n v="8.2899999999999991"/>
    <n v="63"/>
    <n v="94.88000000000001"/>
    <n v="0.5772694086152349"/>
    <x v="19"/>
    <x v="1"/>
    <x v="0"/>
  </r>
  <r>
    <s v="ORD-101157"/>
    <d v="2024-09-20T00:00:00"/>
    <d v="2024-09-23T00:00:00"/>
    <x v="2"/>
    <s v="Brighton"/>
    <s v="Home Office"/>
    <s v="Online"/>
    <s v="P-003"/>
    <n v="2"/>
    <n v="0.2"/>
    <n v="193.36"/>
    <n v="5.46"/>
    <x v="1"/>
    <x v="1"/>
    <s v="Orbit Supply Co."/>
    <n v="71.489999999999995"/>
    <n v="112.88"/>
    <n v="142.97999999999999"/>
    <n v="44.920000000000023"/>
    <n v="0.23231278444352513"/>
    <x v="23"/>
    <x v="2"/>
    <x v="1"/>
  </r>
  <r>
    <s v="ORD-101158"/>
    <d v="2025-07-28T00:00:00"/>
    <d v="2025-08-03T00:00:00"/>
    <x v="3"/>
    <s v="Leeds"/>
    <s v="Corporate"/>
    <s v="Online"/>
    <s v="P-003"/>
    <n v="3"/>
    <n v="0.05"/>
    <n v="304.89999999999998"/>
    <n v="11.4"/>
    <x v="1"/>
    <x v="1"/>
    <s v="Orbit Supply Co."/>
    <n v="71.489999999999995"/>
    <n v="112.88"/>
    <n v="214.46999999999997"/>
    <n v="79.03"/>
    <n v="0.25919973761889148"/>
    <x v="4"/>
    <x v="0"/>
    <x v="0"/>
  </r>
  <r>
    <s v="ORD-101159"/>
    <d v="2024-10-08T00:00:00"/>
    <d v="2024-10-11T00:00:00"/>
    <x v="3"/>
    <s v="Manchester"/>
    <s v="Corporate"/>
    <s v="B2B Sales"/>
    <s v="P-003"/>
    <n v="1"/>
    <n v="0.25"/>
    <n v="95.76"/>
    <n v="4.08"/>
    <x v="1"/>
    <x v="1"/>
    <s v="Orbit Supply Co."/>
    <n v="71.489999999999995"/>
    <n v="112.88"/>
    <n v="71.489999999999995"/>
    <n v="20.190000000000012"/>
    <n v="0.21083959899749385"/>
    <x v="3"/>
    <x v="3"/>
    <x v="1"/>
  </r>
  <r>
    <s v="ORD-101160"/>
    <d v="2025-12-25T00:00:00"/>
    <d v="2025-12-31T00:00:00"/>
    <x v="3"/>
    <s v="Newcastle"/>
    <s v="Home Office"/>
    <s v="Online"/>
    <s v="P-006"/>
    <n v="3"/>
    <n v="0.05"/>
    <n v="458.52"/>
    <n v="4.95"/>
    <x v="10"/>
    <x v="0"/>
    <s v="Apex Wholesale"/>
    <n v="54.95"/>
    <n v="112.56"/>
    <n v="164.85000000000002"/>
    <n v="288.71999999999997"/>
    <n v="0.62967809473959691"/>
    <x v="13"/>
    <x v="0"/>
    <x v="0"/>
  </r>
  <r>
    <s v="ORD-101161"/>
    <d v="2025-01-27T00:00:00"/>
    <d v="2025-01-29T00:00:00"/>
    <x v="0"/>
    <s v="Cardiff"/>
    <s v="Corporate"/>
    <s v="Online"/>
    <s v="P-012"/>
    <n v="10"/>
    <n v="0"/>
    <n v="76.11"/>
    <n v="9"/>
    <x v="14"/>
    <x v="2"/>
    <s v="Luma Imports"/>
    <n v="4.5"/>
    <n v="8.2899999999999991"/>
    <n v="45"/>
    <n v="22.11"/>
    <n v="0.29050059124950728"/>
    <x v="20"/>
    <x v="1"/>
    <x v="0"/>
  </r>
  <r>
    <s v="ORD-101162"/>
    <d v="2024-02-16T00:00:00"/>
    <d v="2024-02-19T00:00:00"/>
    <x v="0"/>
    <s v="Liverpool"/>
    <s v="Corporate"/>
    <s v="Retail Store"/>
    <s v="P-009"/>
    <n v="4"/>
    <n v="0.05"/>
    <n v="422.98"/>
    <n v="5.7"/>
    <x v="0"/>
    <x v="0"/>
    <s v="Apex Wholesale"/>
    <n v="63.69"/>
    <n v="125.5"/>
    <n v="254.76"/>
    <n v="162.52000000000004"/>
    <n v="0.38422620454867851"/>
    <x v="12"/>
    <x v="0"/>
    <x v="1"/>
  </r>
  <r>
    <s v="ORD-101163"/>
    <d v="2025-05-16T00:00:00"/>
    <d v="2025-05-20T00:00:00"/>
    <x v="1"/>
    <s v="Norwich"/>
    <s v="Home Office"/>
    <s v="Retail Store"/>
    <s v="P-013"/>
    <n v="5"/>
    <n v="0.05"/>
    <n v="62.25"/>
    <n v="4.05"/>
    <x v="11"/>
    <x v="2"/>
    <s v="Apex Wholesale"/>
    <n v="6.33"/>
    <n v="12.16"/>
    <n v="31.65"/>
    <n v="26.55"/>
    <n v="0.42650602409638555"/>
    <x v="1"/>
    <x v="0"/>
    <x v="0"/>
  </r>
  <r>
    <s v="ORD-101164"/>
    <d v="2024-08-04T00:00:00"/>
    <d v="2024-08-07T00:00:00"/>
    <x v="2"/>
    <s v="London"/>
    <s v="Home Office"/>
    <s v="Retail Store"/>
    <s v="P-010"/>
    <n v="3"/>
    <n v="0"/>
    <n v="18.18"/>
    <n v="5.85"/>
    <x v="4"/>
    <x v="2"/>
    <s v="Orbit Supply Co."/>
    <n v="3.62"/>
    <n v="6.03"/>
    <n v="10.86"/>
    <n v="1.4700000000000006"/>
    <n v="8.0858085808580893E-2"/>
    <x v="7"/>
    <x v="1"/>
    <x v="1"/>
  </r>
  <r>
    <s v="ORD-101165"/>
    <d v="2024-03-02T00:00:00"/>
    <d v="2024-03-08T00:00:00"/>
    <x v="3"/>
    <s v="Leeds"/>
    <s v="Home Office"/>
    <s v="Retail Store"/>
    <s v="P-010"/>
    <n v="13"/>
    <n v="0"/>
    <n v="75.510000000000005"/>
    <n v="6.21"/>
    <x v="4"/>
    <x v="2"/>
    <s v="Orbit Supply Co."/>
    <n v="3.62"/>
    <n v="6.03"/>
    <n v="47.06"/>
    <n v="22.240000000000002"/>
    <n v="0.29453052575817773"/>
    <x v="10"/>
    <x v="1"/>
    <x v="1"/>
  </r>
  <r>
    <s v="ORD-101166"/>
    <d v="2024-03-15T00:00:00"/>
    <d v="2024-03-18T00:00:00"/>
    <x v="2"/>
    <s v="Brighton"/>
    <s v="Small Business"/>
    <s v="B2B Sales"/>
    <s v="P-005"/>
    <n v="1"/>
    <n v="0"/>
    <n v="48.85"/>
    <n v="3.45"/>
    <x v="13"/>
    <x v="0"/>
    <s v="Apex Wholesale"/>
    <n v="25.33"/>
    <n v="51.56"/>
    <n v="25.33"/>
    <n v="20.070000000000004"/>
    <n v="0.410849539406346"/>
    <x v="10"/>
    <x v="1"/>
    <x v="1"/>
  </r>
  <r>
    <s v="ORD-101167"/>
    <d v="2025-11-05T00:00:00"/>
    <d v="2025-11-07T00:00:00"/>
    <x v="2"/>
    <s v="London"/>
    <s v="Small Business"/>
    <s v="Retail Store"/>
    <s v="P-008"/>
    <n v="3"/>
    <n v="0"/>
    <n v="766.82"/>
    <n v="4.95"/>
    <x v="6"/>
    <x v="0"/>
    <s v="Vertex Trade"/>
    <n v="112.09"/>
    <n v="192.47"/>
    <n v="336.27"/>
    <n v="425.60000000000008"/>
    <n v="0.55501943089642947"/>
    <x v="19"/>
    <x v="1"/>
    <x v="0"/>
  </r>
  <r>
    <s v="ORD-101168"/>
    <d v="2024-11-29T00:00:00"/>
    <d v="2024-12-04T00:00:00"/>
    <x v="2"/>
    <s v="Bristol"/>
    <s v="Corporate"/>
    <s v="B2B Sales"/>
    <s v="P-008"/>
    <n v="2"/>
    <n v="0.2"/>
    <n v="419.66"/>
    <n v="4.2"/>
    <x v="6"/>
    <x v="0"/>
    <s v="Vertex Trade"/>
    <n v="112.09"/>
    <n v="192.47"/>
    <n v="224.18"/>
    <n v="191.28000000000003"/>
    <n v="0.45579755039794123"/>
    <x v="14"/>
    <x v="2"/>
    <x v="1"/>
  </r>
  <r>
    <s v="ORD-101169"/>
    <d v="2024-04-24T00:00:00"/>
    <d v="2024-04-26T00:00:00"/>
    <x v="0"/>
    <s v="Liverpool"/>
    <s v="Corporate"/>
    <s v="Retail Store"/>
    <s v="P-008"/>
    <n v="4"/>
    <n v="0.25"/>
    <n v="598.36"/>
    <n v="5.7"/>
    <x v="6"/>
    <x v="0"/>
    <s v="Vertex Trade"/>
    <n v="112.09"/>
    <n v="192.47"/>
    <n v="448.36"/>
    <n v="144.30000000000001"/>
    <n v="0.24115916839360921"/>
    <x v="21"/>
    <x v="3"/>
    <x v="1"/>
  </r>
  <r>
    <s v="ORD-101170"/>
    <d v="2024-01-29T00:00:00"/>
    <d v="2024-01-31T00:00:00"/>
    <x v="3"/>
    <s v="Newcastle"/>
    <s v="Home Office"/>
    <s v="Retail Store"/>
    <s v="P-008"/>
    <n v="2"/>
    <n v="0"/>
    <n v="349.44"/>
    <n v="7"/>
    <x v="6"/>
    <x v="0"/>
    <s v="Vertex Trade"/>
    <n v="112.09"/>
    <n v="192.47"/>
    <n v="224.18"/>
    <n v="118.25999999999999"/>
    <n v="0.33842719780219777"/>
    <x v="18"/>
    <x v="1"/>
    <x v="1"/>
  </r>
  <r>
    <s v="ORD-101171"/>
    <d v="2024-01-13T00:00:00"/>
    <d v="2024-01-19T00:00:00"/>
    <x v="0"/>
    <s v="Cardiff"/>
    <s v="Home Office"/>
    <s v="B2B Sales"/>
    <s v="P-008"/>
    <n v="2"/>
    <n v="0"/>
    <n v="341.32"/>
    <n v="4.2"/>
    <x v="6"/>
    <x v="0"/>
    <s v="Vertex Trade"/>
    <n v="112.09"/>
    <n v="192.47"/>
    <n v="224.18"/>
    <n v="112.93999999999998"/>
    <n v="0.33089183171217623"/>
    <x v="18"/>
    <x v="1"/>
    <x v="1"/>
  </r>
  <r>
    <s v="ORD-101172"/>
    <d v="2024-10-08T00:00:00"/>
    <d v="2024-10-13T00:00:00"/>
    <x v="3"/>
    <s v="Newcastle"/>
    <s v="Corporate"/>
    <s v="B2B Sales"/>
    <s v="P-003"/>
    <n v="3"/>
    <n v="0"/>
    <n v="412.17"/>
    <n v="11.4"/>
    <x v="1"/>
    <x v="1"/>
    <s v="Orbit Supply Co."/>
    <n v="71.489999999999995"/>
    <n v="112.88"/>
    <n v="214.46999999999997"/>
    <n v="186.30000000000004"/>
    <n v="0.45199796200596848"/>
    <x v="3"/>
    <x v="1"/>
    <x v="1"/>
  </r>
  <r>
    <s v="ORD-101173"/>
    <d v="2024-11-23T00:00:00"/>
    <d v="2024-11-26T00:00:00"/>
    <x v="3"/>
    <s v="Newcastle"/>
    <s v="Small Business"/>
    <s v="Retail Store"/>
    <s v="P-001"/>
    <n v="4"/>
    <n v="0"/>
    <n v="1513.42"/>
    <n v="8.2200000000000006"/>
    <x v="12"/>
    <x v="1"/>
    <s v="Luma Imports"/>
    <n v="173.56"/>
    <n v="286.14999999999998"/>
    <n v="694.24"/>
    <n v="810.96"/>
    <n v="0.53584596476853752"/>
    <x v="14"/>
    <x v="1"/>
    <x v="1"/>
  </r>
  <r>
    <s v="ORD-101174"/>
    <d v="2024-10-02T00:00:00"/>
    <d v="2024-10-05T00:00:00"/>
    <x v="2"/>
    <s v="London"/>
    <s v="Corporate"/>
    <s v="Online"/>
    <s v="P-001"/>
    <n v="1"/>
    <n v="0.15"/>
    <n v="287.32"/>
    <n v="4.08"/>
    <x v="12"/>
    <x v="1"/>
    <s v="Luma Imports"/>
    <n v="173.56"/>
    <n v="286.14999999999998"/>
    <n v="173.56"/>
    <n v="109.67999999999999"/>
    <n v="0.38173465125991923"/>
    <x v="3"/>
    <x v="2"/>
    <x v="1"/>
  </r>
  <r>
    <s v="ORD-101175"/>
    <d v="2024-12-24T00:00:00"/>
    <d v="2024-12-29T00:00:00"/>
    <x v="2"/>
    <s v="Brighton"/>
    <s v="Small Business"/>
    <s v="Retail Store"/>
    <s v="P-015"/>
    <n v="25"/>
    <n v="0"/>
    <n v="206.7"/>
    <n v="9.4499999999999993"/>
    <x v="8"/>
    <x v="2"/>
    <s v="Luma Imports"/>
    <n v="3.3"/>
    <n v="6.13"/>
    <n v="82.5"/>
    <n v="114.74999999999999"/>
    <n v="0.5551523947750362"/>
    <x v="9"/>
    <x v="1"/>
    <x v="1"/>
  </r>
  <r>
    <s v="ORD-101176"/>
    <d v="2025-10-23T00:00:00"/>
    <d v="2025-10-27T00:00:00"/>
    <x v="3"/>
    <s v="Leeds"/>
    <s v="Corporate"/>
    <s v="Online"/>
    <s v="P-015"/>
    <n v="14"/>
    <n v="0.15"/>
    <n v="83.32"/>
    <n v="10.8"/>
    <x v="8"/>
    <x v="2"/>
    <s v="Luma Imports"/>
    <n v="3.3"/>
    <n v="6.13"/>
    <n v="46.199999999999996"/>
    <n v="26.319999999999997"/>
    <n v="0.31589054248679788"/>
    <x v="22"/>
    <x v="2"/>
    <x v="0"/>
  </r>
  <r>
    <s v="ORD-101177"/>
    <d v="2024-01-22T00:00:00"/>
    <d v="2024-01-24T00:00:00"/>
    <x v="1"/>
    <s v="Norwich"/>
    <s v="Home Office"/>
    <s v="B2B Sales"/>
    <s v="P-012"/>
    <n v="12"/>
    <n v="0"/>
    <n v="87.96"/>
    <n v="5.94"/>
    <x v="14"/>
    <x v="2"/>
    <s v="Luma Imports"/>
    <n v="4.5"/>
    <n v="8.2899999999999991"/>
    <n v="54"/>
    <n v="28.019999999999992"/>
    <n v="0.31855388813096858"/>
    <x v="18"/>
    <x v="1"/>
    <x v="1"/>
  </r>
  <r>
    <s v="ORD-101178"/>
    <d v="2024-01-18T00:00:00"/>
    <d v="2024-01-19T00:00:00"/>
    <x v="2"/>
    <s v="Brighton"/>
    <s v="Corporate"/>
    <s v="Retail Store"/>
    <s v="P-014"/>
    <n v="11"/>
    <n v="0.25"/>
    <n v="211.83"/>
    <n v="5.67"/>
    <x v="3"/>
    <x v="2"/>
    <s v="Orbit Supply Co."/>
    <n v="16.760000000000002"/>
    <n v="27.71"/>
    <n v="184.36"/>
    <n v="21.799999999999997"/>
    <n v="0.10291271302459518"/>
    <x v="18"/>
    <x v="3"/>
    <x v="1"/>
  </r>
  <r>
    <s v="ORD-101179"/>
    <d v="2024-04-26T00:00:00"/>
    <d v="2024-04-28T00:00:00"/>
    <x v="3"/>
    <s v="Leeds"/>
    <s v="Corporate"/>
    <s v="Online"/>
    <s v="P-009"/>
    <n v="4"/>
    <n v="0.1"/>
    <n v="458.45"/>
    <n v="9.5"/>
    <x v="0"/>
    <x v="0"/>
    <s v="Apex Wholesale"/>
    <n v="63.69"/>
    <n v="125.5"/>
    <n v="254.76"/>
    <n v="194.19"/>
    <n v="0.42357945250299922"/>
    <x v="21"/>
    <x v="0"/>
    <x v="1"/>
  </r>
  <r>
    <s v="ORD-101180"/>
    <d v="2025-10-03T00:00:00"/>
    <d v="2025-10-09T00:00:00"/>
    <x v="2"/>
    <s v="Brighton"/>
    <s v="Home Office"/>
    <s v="Online"/>
    <s v="P-011"/>
    <n v="6"/>
    <n v="0.05"/>
    <n v="92.19"/>
    <n v="7.2"/>
    <x v="9"/>
    <x v="2"/>
    <s v="Orbit Supply Co."/>
    <n v="7.93"/>
    <n v="14.78"/>
    <n v="47.58"/>
    <n v="37.409999999999997"/>
    <n v="0.40579238529124634"/>
    <x v="22"/>
    <x v="0"/>
    <x v="0"/>
  </r>
  <r>
    <s v="ORD-101181"/>
    <d v="2025-07-21T00:00:00"/>
    <d v="2025-07-22T00:00:00"/>
    <x v="2"/>
    <s v="Brighton"/>
    <s v="Corporate"/>
    <s v="Retail Store"/>
    <s v="P-012"/>
    <n v="16"/>
    <n v="0.15"/>
    <n v="101.67"/>
    <n v="11.7"/>
    <x v="14"/>
    <x v="2"/>
    <s v="Luma Imports"/>
    <n v="4.5"/>
    <n v="8.2899999999999991"/>
    <n v="72"/>
    <n v="17.970000000000002"/>
    <n v="0.17674830333431693"/>
    <x v="4"/>
    <x v="2"/>
    <x v="0"/>
  </r>
  <r>
    <s v="ORD-101182"/>
    <d v="2024-09-19T00:00:00"/>
    <d v="2024-09-25T00:00:00"/>
    <x v="2"/>
    <s v="Brighton"/>
    <s v="Home Office"/>
    <s v="Retail Store"/>
    <s v="P-009"/>
    <n v="1"/>
    <n v="0"/>
    <n v="133.38"/>
    <n v="5.75"/>
    <x v="0"/>
    <x v="0"/>
    <s v="Apex Wholesale"/>
    <n v="63.69"/>
    <n v="125.5"/>
    <n v="63.69"/>
    <n v="63.94"/>
    <n v="0.47938221622432148"/>
    <x v="23"/>
    <x v="1"/>
    <x v="1"/>
  </r>
  <r>
    <s v="ORD-101183"/>
    <d v="2025-04-18T00:00:00"/>
    <d v="2025-04-22T00:00:00"/>
    <x v="3"/>
    <s v="Manchester"/>
    <s v="Corporate"/>
    <s v="Retail Store"/>
    <s v="P-012"/>
    <n v="16"/>
    <n v="0"/>
    <n v="123.21"/>
    <n v="7.02"/>
    <x v="14"/>
    <x v="2"/>
    <s v="Luma Imports"/>
    <n v="4.5"/>
    <n v="8.2899999999999991"/>
    <n v="72"/>
    <n v="44.19"/>
    <n v="0.35865595325054783"/>
    <x v="15"/>
    <x v="1"/>
    <x v="0"/>
  </r>
  <r>
    <s v="ORD-101184"/>
    <d v="2024-11-10T00:00:00"/>
    <d v="2024-11-11T00:00:00"/>
    <x v="1"/>
    <s v="Cambridge"/>
    <s v="Corporate"/>
    <s v="Online"/>
    <s v="P-010"/>
    <n v="12"/>
    <n v="0.2"/>
    <n v="74.400000000000006"/>
    <n v="9.9"/>
    <x v="4"/>
    <x v="2"/>
    <s v="Orbit Supply Co."/>
    <n v="3.62"/>
    <n v="6.03"/>
    <n v="43.44"/>
    <n v="21.060000000000009"/>
    <n v="0.28306451612903238"/>
    <x v="14"/>
    <x v="2"/>
    <x v="1"/>
  </r>
  <r>
    <s v="ORD-101185"/>
    <d v="2025-04-21T00:00:00"/>
    <d v="2025-04-22T00:00:00"/>
    <x v="3"/>
    <s v="Newcastle"/>
    <s v="Corporate"/>
    <s v="Retail Store"/>
    <s v="P-015"/>
    <n v="4"/>
    <n v="0"/>
    <n v="23.4"/>
    <n v="6.3"/>
    <x v="8"/>
    <x v="2"/>
    <s v="Luma Imports"/>
    <n v="3.3"/>
    <n v="6.13"/>
    <n v="13.2"/>
    <n v="3.8999999999999995"/>
    <n v="0.16666666666666666"/>
    <x v="15"/>
    <x v="1"/>
    <x v="0"/>
  </r>
  <r>
    <s v="ORD-101186"/>
    <d v="2024-04-23T00:00:00"/>
    <d v="2024-04-25T00:00:00"/>
    <x v="0"/>
    <s v="Cardiff"/>
    <s v="Corporate"/>
    <s v="Retail Store"/>
    <s v="P-011"/>
    <n v="14"/>
    <n v="0"/>
    <n v="197.58"/>
    <n v="6.48"/>
    <x v="9"/>
    <x v="2"/>
    <s v="Orbit Supply Co."/>
    <n v="7.93"/>
    <n v="14.78"/>
    <n v="111.02"/>
    <n v="80.080000000000013"/>
    <n v="0.4053041805850795"/>
    <x v="21"/>
    <x v="1"/>
    <x v="1"/>
  </r>
  <r>
    <s v="ORD-101187"/>
    <d v="2024-08-18T00:00:00"/>
    <d v="2024-08-20T00:00:00"/>
    <x v="3"/>
    <s v="Leeds"/>
    <s v="Corporate"/>
    <s v="B2B Sales"/>
    <s v="P-006"/>
    <n v="4"/>
    <n v="0"/>
    <n v="446.68"/>
    <n v="9.5"/>
    <x v="10"/>
    <x v="0"/>
    <s v="Apex Wholesale"/>
    <n v="54.95"/>
    <n v="112.56"/>
    <n v="219.8"/>
    <n v="217.38"/>
    <n v="0.48665711471299361"/>
    <x v="7"/>
    <x v="1"/>
    <x v="1"/>
  </r>
  <r>
    <s v="ORD-101188"/>
    <d v="2024-10-10T00:00:00"/>
    <d v="2024-10-12T00:00:00"/>
    <x v="1"/>
    <s v="Peterborough"/>
    <s v="Home Office"/>
    <s v="Online"/>
    <s v="P-008"/>
    <n v="1"/>
    <n v="0.15"/>
    <n v="197.76"/>
    <n v="5.75"/>
    <x v="6"/>
    <x v="0"/>
    <s v="Vertex Trade"/>
    <n v="112.09"/>
    <n v="192.47"/>
    <n v="112.09"/>
    <n v="79.919999999999987"/>
    <n v="0.40412621359223294"/>
    <x v="3"/>
    <x v="2"/>
    <x v="1"/>
  </r>
  <r>
    <s v="ORD-101189"/>
    <d v="2025-05-15T00:00:00"/>
    <d v="2025-05-16T00:00:00"/>
    <x v="2"/>
    <s v="Brighton"/>
    <s v="Home Office"/>
    <s v="B2B Sales"/>
    <s v="P-012"/>
    <n v="14"/>
    <n v="0"/>
    <n v="118.78"/>
    <n v="10.8"/>
    <x v="14"/>
    <x v="2"/>
    <s v="Luma Imports"/>
    <n v="4.5"/>
    <n v="8.2899999999999991"/>
    <n v="63"/>
    <n v="44.980000000000004"/>
    <n v="0.37868328001347029"/>
    <x v="1"/>
    <x v="1"/>
    <x v="0"/>
  </r>
  <r>
    <s v="ORD-101190"/>
    <d v="2024-10-30T00:00:00"/>
    <d v="2024-11-05T00:00:00"/>
    <x v="1"/>
    <s v="Norwich"/>
    <s v="Home Office"/>
    <s v="Retail Store"/>
    <s v="P-003"/>
    <n v="4"/>
    <n v="0"/>
    <n v="551.42999999999995"/>
    <n v="13.7"/>
    <x v="1"/>
    <x v="1"/>
    <s v="Orbit Supply Co."/>
    <n v="71.489999999999995"/>
    <n v="112.88"/>
    <n v="285.95999999999998"/>
    <n v="251.76999999999998"/>
    <n v="0.45657653736648351"/>
    <x v="3"/>
    <x v="1"/>
    <x v="1"/>
  </r>
  <r>
    <s v="ORD-101191"/>
    <d v="2025-02-14T00:00:00"/>
    <d v="2025-02-18T00:00:00"/>
    <x v="3"/>
    <s v="Leeds"/>
    <s v="Small Business"/>
    <s v="B2B Sales"/>
    <s v="P-010"/>
    <n v="8"/>
    <n v="0"/>
    <n v="44.05"/>
    <n v="8.1"/>
    <x v="4"/>
    <x v="2"/>
    <s v="Orbit Supply Co."/>
    <n v="3.62"/>
    <n v="6.03"/>
    <n v="28.96"/>
    <n v="6.9899999999999967"/>
    <n v="0.15868331441543693"/>
    <x v="5"/>
    <x v="1"/>
    <x v="0"/>
  </r>
  <r>
    <s v="ORD-101192"/>
    <d v="2025-10-15T00:00:00"/>
    <d v="2025-10-17T00:00:00"/>
    <x v="0"/>
    <s v="Birmingham"/>
    <s v="Corporate"/>
    <s v="B2B Sales"/>
    <s v="P-008"/>
    <n v="4"/>
    <n v="0"/>
    <n v="938.65"/>
    <n v="5.7"/>
    <x v="6"/>
    <x v="0"/>
    <s v="Vertex Trade"/>
    <n v="112.09"/>
    <n v="192.47"/>
    <n v="448.36"/>
    <n v="484.59"/>
    <n v="0.51626271773291432"/>
    <x v="22"/>
    <x v="1"/>
    <x v="0"/>
  </r>
  <r>
    <s v="ORD-101193"/>
    <d v="2024-10-29T00:00:00"/>
    <d v="2024-10-30T00:00:00"/>
    <x v="3"/>
    <s v="Leeds"/>
    <s v="Corporate"/>
    <s v="B2B Sales"/>
    <s v="P-002"/>
    <n v="5"/>
    <n v="0.15"/>
    <n v="1033.22"/>
    <n v="16"/>
    <x v="2"/>
    <x v="1"/>
    <s v="Vertex Trade"/>
    <n v="119.02"/>
    <n v="205.39"/>
    <n v="595.1"/>
    <n v="422.12"/>
    <n v="0.40854803430053616"/>
    <x v="3"/>
    <x v="2"/>
    <x v="1"/>
  </r>
  <r>
    <s v="ORD-101194"/>
    <d v="2024-04-30T00:00:00"/>
    <d v="2024-05-06T00:00:00"/>
    <x v="3"/>
    <s v="Manchester"/>
    <s v="Corporate"/>
    <s v="Retail Store"/>
    <s v="P-006"/>
    <n v="1"/>
    <n v="0.1"/>
    <n v="94.29"/>
    <n v="3.45"/>
    <x v="10"/>
    <x v="0"/>
    <s v="Apex Wholesale"/>
    <n v="54.95"/>
    <n v="112.56"/>
    <n v="54.95"/>
    <n v="35.89"/>
    <n v="0.38063421359635169"/>
    <x v="21"/>
    <x v="0"/>
    <x v="1"/>
  </r>
  <r>
    <s v="ORD-101195"/>
    <d v="2025-01-03T00:00:00"/>
    <d v="2025-01-08T00:00:00"/>
    <x v="1"/>
    <s v="Peterborough"/>
    <s v="Home Office"/>
    <s v="B2B Sales"/>
    <s v="P-008"/>
    <n v="4"/>
    <n v="0.2"/>
    <n v="536.96"/>
    <n v="9.5"/>
    <x v="6"/>
    <x v="0"/>
    <s v="Vertex Trade"/>
    <n v="112.09"/>
    <n v="192.47"/>
    <n v="448.36"/>
    <n v="79.100000000000023"/>
    <n v="0.14731078665077477"/>
    <x v="20"/>
    <x v="2"/>
    <x v="0"/>
  </r>
  <r>
    <s v="ORD-101196"/>
    <d v="2024-11-03T00:00:00"/>
    <d v="2024-11-06T00:00:00"/>
    <x v="2"/>
    <s v="London"/>
    <s v="Home Office"/>
    <s v="Online"/>
    <s v="P-003"/>
    <n v="3"/>
    <n v="0"/>
    <n v="475"/>
    <n v="11.4"/>
    <x v="1"/>
    <x v="1"/>
    <s v="Orbit Supply Co."/>
    <n v="71.489999999999995"/>
    <n v="112.88"/>
    <n v="214.46999999999997"/>
    <n v="249.13000000000002"/>
    <n v="0.52448421052631589"/>
    <x v="14"/>
    <x v="1"/>
    <x v="1"/>
  </r>
  <r>
    <s v="ORD-101197"/>
    <d v="2025-09-05T00:00:00"/>
    <d v="2025-09-06T00:00:00"/>
    <x v="0"/>
    <s v="Cardiff"/>
    <s v="Home Office"/>
    <s v="Online"/>
    <s v="P-005"/>
    <n v="4"/>
    <n v="0.05"/>
    <n v="223.38"/>
    <n v="9.5"/>
    <x v="13"/>
    <x v="0"/>
    <s v="Apex Wholesale"/>
    <n v="25.33"/>
    <n v="51.56"/>
    <n v="101.32"/>
    <n v="112.56"/>
    <n v="0.50389470856835883"/>
    <x v="11"/>
    <x v="0"/>
    <x v="0"/>
  </r>
  <r>
    <s v="ORD-101198"/>
    <d v="2025-08-12T00:00:00"/>
    <d v="2025-08-14T00:00:00"/>
    <x v="2"/>
    <s v="Brighton"/>
    <s v="Corporate"/>
    <s v="B2B Sales"/>
    <s v="P-004"/>
    <n v="4"/>
    <n v="0"/>
    <n v="418.96"/>
    <n v="8.2200000000000006"/>
    <x v="5"/>
    <x v="1"/>
    <s v="Cedar Distribution"/>
    <n v="63.6"/>
    <n v="107.94"/>
    <n v="254.4"/>
    <n v="156.33999999999997"/>
    <n v="0.37316211571510405"/>
    <x v="6"/>
    <x v="1"/>
    <x v="0"/>
  </r>
  <r>
    <s v="ORD-101199"/>
    <d v="2025-02-07T00:00:00"/>
    <d v="2025-02-13T00:00:00"/>
    <x v="2"/>
    <s v="Brighton"/>
    <s v="Corporate"/>
    <s v="B2B Sales"/>
    <s v="P-006"/>
    <n v="1"/>
    <n v="0"/>
    <n v="102.21"/>
    <n v="3.45"/>
    <x v="10"/>
    <x v="0"/>
    <s v="Apex Wholesale"/>
    <n v="54.95"/>
    <n v="112.56"/>
    <n v="54.95"/>
    <n v="43.809999999999988"/>
    <n v="0.42862733587711566"/>
    <x v="5"/>
    <x v="1"/>
    <x v="0"/>
  </r>
  <r>
    <s v="ORD-101200"/>
    <d v="2024-10-28T00:00:00"/>
    <d v="2024-11-03T00:00:00"/>
    <x v="0"/>
    <s v="Liverpool"/>
    <s v="Small Business"/>
    <s v="Online"/>
    <s v="P-006"/>
    <n v="4"/>
    <n v="0.05"/>
    <n v="519.02"/>
    <n v="5.7"/>
    <x v="10"/>
    <x v="0"/>
    <s v="Apex Wholesale"/>
    <n v="54.95"/>
    <n v="112.56"/>
    <n v="219.8"/>
    <n v="293.52"/>
    <n v="0.56552733998689841"/>
    <x v="3"/>
    <x v="0"/>
    <x v="1"/>
  </r>
  <r>
    <s v="ORD-101201"/>
    <d v="2025-04-23T00:00:00"/>
    <d v="2025-04-29T00:00:00"/>
    <x v="1"/>
    <s v="Norwich"/>
    <s v="Small Business"/>
    <s v="Online"/>
    <s v="P-003"/>
    <n v="1"/>
    <n v="0"/>
    <n v="112.32"/>
    <n v="4.08"/>
    <x v="1"/>
    <x v="1"/>
    <s v="Orbit Supply Co."/>
    <n v="71.489999999999995"/>
    <n v="112.88"/>
    <n v="71.489999999999995"/>
    <n v="36.75"/>
    <n v="0.32719017094017094"/>
    <x v="15"/>
    <x v="1"/>
    <x v="0"/>
  </r>
  <r>
    <s v="ORD-101202"/>
    <d v="2025-07-16T00:00:00"/>
    <d v="2025-07-22T00:00:00"/>
    <x v="3"/>
    <s v="Manchester"/>
    <s v="Home Office"/>
    <s v="B2B Sales"/>
    <s v="P-011"/>
    <n v="7"/>
    <n v="0"/>
    <n v="99.89"/>
    <n v="4.59"/>
    <x v="9"/>
    <x v="2"/>
    <s v="Orbit Supply Co."/>
    <n v="7.93"/>
    <n v="14.78"/>
    <n v="55.51"/>
    <n v="39.790000000000006"/>
    <n v="0.39833817198918819"/>
    <x v="4"/>
    <x v="1"/>
    <x v="0"/>
  </r>
  <r>
    <s v="ORD-101203"/>
    <d v="2024-03-21T00:00:00"/>
    <d v="2024-03-27T00:00:00"/>
    <x v="2"/>
    <s v="London"/>
    <s v="Home Office"/>
    <s v="Retail Store"/>
    <s v="P-011"/>
    <n v="11"/>
    <n v="0.2"/>
    <n v="122.7"/>
    <n v="9.4499999999999993"/>
    <x v="9"/>
    <x v="2"/>
    <s v="Orbit Supply Co."/>
    <n v="7.93"/>
    <n v="14.78"/>
    <n v="87.22999999999999"/>
    <n v="26.020000000000014"/>
    <n v="0.21206193969030165"/>
    <x v="10"/>
    <x v="2"/>
    <x v="1"/>
  </r>
  <r>
    <s v="ORD-101204"/>
    <d v="2025-10-26T00:00:00"/>
    <d v="2025-10-29T00:00:00"/>
    <x v="2"/>
    <s v="London"/>
    <s v="Corporate"/>
    <s v="B2B Sales"/>
    <s v="P-011"/>
    <n v="3"/>
    <n v="0"/>
    <n v="52.69"/>
    <n v="5.85"/>
    <x v="9"/>
    <x v="2"/>
    <s v="Orbit Supply Co."/>
    <n v="7.93"/>
    <n v="14.78"/>
    <n v="23.79"/>
    <n v="23.049999999999997"/>
    <n v="0.43746441449990509"/>
    <x v="22"/>
    <x v="1"/>
    <x v="0"/>
  </r>
  <r>
    <s v="ORD-101205"/>
    <d v="2024-05-08T00:00:00"/>
    <d v="2024-05-11T00:00:00"/>
    <x v="1"/>
    <s v="Peterborough"/>
    <s v="Corporate"/>
    <s v="B2B Sales"/>
    <s v="P-012"/>
    <n v="7"/>
    <n v="0"/>
    <n v="59.36"/>
    <n v="4.59"/>
    <x v="14"/>
    <x v="2"/>
    <s v="Luma Imports"/>
    <n v="4.5"/>
    <n v="8.2899999999999991"/>
    <n v="31.5"/>
    <n v="23.27"/>
    <n v="0.39201482479784366"/>
    <x v="8"/>
    <x v="1"/>
    <x v="1"/>
  </r>
  <r>
    <s v="ORD-101206"/>
    <d v="2025-11-26T00:00:00"/>
    <d v="2025-11-30T00:00:00"/>
    <x v="3"/>
    <s v="Leeds"/>
    <s v="Home Office"/>
    <s v="Retail Store"/>
    <s v="P-006"/>
    <n v="3"/>
    <n v="0"/>
    <n v="446.51"/>
    <n v="8.25"/>
    <x v="10"/>
    <x v="0"/>
    <s v="Apex Wholesale"/>
    <n v="54.95"/>
    <n v="112.56"/>
    <n v="164.85000000000002"/>
    <n v="273.40999999999997"/>
    <n v="0.61232671160780272"/>
    <x v="19"/>
    <x v="1"/>
    <x v="0"/>
  </r>
  <r>
    <s v="ORD-101207"/>
    <d v="2025-06-12T00:00:00"/>
    <d v="2025-06-15T00:00:00"/>
    <x v="1"/>
    <s v="Norwich"/>
    <s v="Small Business"/>
    <s v="Online"/>
    <s v="P-009"/>
    <n v="5"/>
    <n v="0.05"/>
    <n v="655.75"/>
    <n v="10.75"/>
    <x v="0"/>
    <x v="0"/>
    <s v="Apex Wholesale"/>
    <n v="63.69"/>
    <n v="125.5"/>
    <n v="318.45"/>
    <n v="326.55"/>
    <n v="0.49797941288600839"/>
    <x v="0"/>
    <x v="0"/>
    <x v="0"/>
  </r>
  <r>
    <s v="ORD-101208"/>
    <d v="2024-08-27T00:00:00"/>
    <d v="2024-08-31T00:00:00"/>
    <x v="1"/>
    <s v="Peterborough"/>
    <s v="Home Office"/>
    <s v="Retail Store"/>
    <s v="P-001"/>
    <n v="1"/>
    <n v="0.1"/>
    <n v="231.2"/>
    <n v="6.8"/>
    <x v="12"/>
    <x v="1"/>
    <s v="Luma Imports"/>
    <n v="173.56"/>
    <n v="286.14999999999998"/>
    <n v="173.56"/>
    <n v="50.839999999999989"/>
    <n v="0.21989619377162625"/>
    <x v="7"/>
    <x v="0"/>
    <x v="1"/>
  </r>
  <r>
    <s v="ORD-101209"/>
    <d v="2024-11-03T00:00:00"/>
    <d v="2024-11-09T00:00:00"/>
    <x v="2"/>
    <s v="Brighton"/>
    <s v="Home Office"/>
    <s v="Online"/>
    <s v="P-014"/>
    <n v="12"/>
    <n v="0.05"/>
    <n v="442.26"/>
    <n v="9.9"/>
    <x v="3"/>
    <x v="2"/>
    <s v="Orbit Supply Co."/>
    <n v="16.760000000000002"/>
    <n v="27.71"/>
    <n v="201.12"/>
    <n v="231.23999999999998"/>
    <n v="0.52285985619318953"/>
    <x v="14"/>
    <x v="0"/>
    <x v="1"/>
  </r>
  <r>
    <s v="ORD-101210"/>
    <d v="2024-02-03T00:00:00"/>
    <d v="2024-02-09T00:00:00"/>
    <x v="2"/>
    <s v="Bristol"/>
    <s v="Small Business"/>
    <s v="B2B Sales"/>
    <s v="P-010"/>
    <n v="4"/>
    <n v="0"/>
    <n v="22.32"/>
    <n v="6.3"/>
    <x v="4"/>
    <x v="2"/>
    <s v="Orbit Supply Co."/>
    <n v="3.62"/>
    <n v="6.03"/>
    <n v="14.48"/>
    <n v="1.54"/>
    <n v="6.8996415770609318E-2"/>
    <x v="12"/>
    <x v="1"/>
    <x v="1"/>
  </r>
  <r>
    <s v="ORD-101211"/>
    <d v="2025-08-30T00:00:00"/>
    <d v="2025-09-02T00:00:00"/>
    <x v="2"/>
    <s v="London"/>
    <s v="Home Office"/>
    <s v="Online"/>
    <s v="P-002"/>
    <n v="1"/>
    <n v="0.15"/>
    <n v="156.06"/>
    <n v="4.08"/>
    <x v="2"/>
    <x v="1"/>
    <s v="Vertex Trade"/>
    <n v="119.02"/>
    <n v="205.39"/>
    <n v="119.02"/>
    <n v="32.960000000000008"/>
    <n v="0.21120082019736003"/>
    <x v="6"/>
    <x v="2"/>
    <x v="0"/>
  </r>
  <r>
    <s v="ORD-101212"/>
    <d v="2024-10-30T00:00:00"/>
    <d v="2024-10-31T00:00:00"/>
    <x v="0"/>
    <s v="Cardiff"/>
    <s v="Home Office"/>
    <s v="Retail Store"/>
    <s v="P-005"/>
    <n v="2"/>
    <n v="0"/>
    <n v="126.59"/>
    <n v="4.2"/>
    <x v="13"/>
    <x v="0"/>
    <s v="Apex Wholesale"/>
    <n v="25.33"/>
    <n v="51.56"/>
    <n v="50.66"/>
    <n v="71.73"/>
    <n v="0.56663243542143926"/>
    <x v="3"/>
    <x v="1"/>
    <x v="1"/>
  </r>
  <r>
    <s v="ORD-101213"/>
    <d v="2024-08-07T00:00:00"/>
    <d v="2024-08-13T00:00:00"/>
    <x v="0"/>
    <s v="Birmingham"/>
    <s v="Home Office"/>
    <s v="Retail Store"/>
    <s v="P-007"/>
    <n v="7"/>
    <n v="0.25"/>
    <n v="279.41000000000003"/>
    <n v="13.25"/>
    <x v="7"/>
    <x v="0"/>
    <s v="Luma Imports"/>
    <n v="31.34"/>
    <n v="56.49"/>
    <n v="219.38"/>
    <n v="46.78000000000003"/>
    <n v="0.16742421531083362"/>
    <x v="7"/>
    <x v="3"/>
    <x v="1"/>
  </r>
  <r>
    <s v="ORD-101214"/>
    <d v="2025-04-27T00:00:00"/>
    <d v="2025-04-30T00:00:00"/>
    <x v="2"/>
    <s v="Bristol"/>
    <s v="Corporate"/>
    <s v="Retail Store"/>
    <s v="P-001"/>
    <n v="1"/>
    <n v="0.25"/>
    <n v="207.98"/>
    <n v="4.08"/>
    <x v="12"/>
    <x v="1"/>
    <s v="Luma Imports"/>
    <n v="173.56"/>
    <n v="286.14999999999998"/>
    <n v="173.56"/>
    <n v="30.339999999999989"/>
    <n v="0.14587941148187322"/>
    <x v="15"/>
    <x v="3"/>
    <x v="0"/>
  </r>
  <r>
    <s v="ORD-101215"/>
    <d v="2024-02-11T00:00:00"/>
    <d v="2024-02-17T00:00:00"/>
    <x v="0"/>
    <s v="Liverpool"/>
    <s v="Home Office"/>
    <s v="Online"/>
    <s v="P-008"/>
    <n v="4"/>
    <n v="0.1"/>
    <n v="659.33"/>
    <n v="5.7"/>
    <x v="6"/>
    <x v="0"/>
    <s v="Vertex Trade"/>
    <n v="112.09"/>
    <n v="192.47"/>
    <n v="448.36"/>
    <n v="205.27000000000004"/>
    <n v="0.31133119985439767"/>
    <x v="12"/>
    <x v="0"/>
    <x v="1"/>
  </r>
  <r>
    <s v="ORD-101216"/>
    <d v="2024-07-19T00:00:00"/>
    <d v="2024-07-24T00:00:00"/>
    <x v="1"/>
    <s v="Peterborough"/>
    <s v="Corporate"/>
    <s v="B2B Sales"/>
    <s v="P-015"/>
    <n v="5"/>
    <n v="0"/>
    <n v="28.04"/>
    <n v="4.05"/>
    <x v="8"/>
    <x v="2"/>
    <s v="Luma Imports"/>
    <n v="3.3"/>
    <n v="6.13"/>
    <n v="16.5"/>
    <n v="7.4899999999999993"/>
    <n v="0.26711840228245365"/>
    <x v="16"/>
    <x v="1"/>
    <x v="1"/>
  </r>
  <r>
    <s v="ORD-101217"/>
    <d v="2025-04-23T00:00:00"/>
    <d v="2025-04-25T00:00:00"/>
    <x v="3"/>
    <s v="Newcastle"/>
    <s v="Corporate"/>
    <s v="B2B Sales"/>
    <s v="P-014"/>
    <n v="5"/>
    <n v="0"/>
    <n v="138.94999999999999"/>
    <n v="4.05"/>
    <x v="3"/>
    <x v="2"/>
    <s v="Orbit Supply Co."/>
    <n v="16.760000000000002"/>
    <n v="27.71"/>
    <n v="83.800000000000011"/>
    <n v="51.09999999999998"/>
    <n v="0.3677581863979848"/>
    <x v="15"/>
    <x v="1"/>
    <x v="0"/>
  </r>
  <r>
    <s v="ORD-101218"/>
    <d v="2025-09-08T00:00:00"/>
    <d v="2025-09-09T00:00:00"/>
    <x v="3"/>
    <s v="Leeds"/>
    <s v="Home Office"/>
    <s v="Retail Store"/>
    <s v="P-015"/>
    <n v="5"/>
    <n v="0"/>
    <n v="34.93"/>
    <n v="4.05"/>
    <x v="8"/>
    <x v="2"/>
    <s v="Luma Imports"/>
    <n v="3.3"/>
    <n v="6.13"/>
    <n v="16.5"/>
    <n v="14.379999999999999"/>
    <n v="0.41168050386487259"/>
    <x v="11"/>
    <x v="1"/>
    <x v="0"/>
  </r>
  <r>
    <s v="ORD-101219"/>
    <d v="2024-03-26T00:00:00"/>
    <d v="2024-03-27T00:00:00"/>
    <x v="1"/>
    <s v="Peterborough"/>
    <s v="Corporate"/>
    <s v="Online"/>
    <s v="P-013"/>
    <n v="7"/>
    <n v="0"/>
    <n v="79.81"/>
    <n v="4.59"/>
    <x v="11"/>
    <x v="2"/>
    <s v="Apex Wholesale"/>
    <n v="6.33"/>
    <n v="12.16"/>
    <n v="44.31"/>
    <n v="30.91"/>
    <n v="0.38729482520987346"/>
    <x v="10"/>
    <x v="1"/>
    <x v="1"/>
  </r>
  <r>
    <s v="ORD-101220"/>
    <d v="2024-08-23T00:00:00"/>
    <d v="2024-08-24T00:00:00"/>
    <x v="2"/>
    <s v="Brighton"/>
    <s v="Home Office"/>
    <s v="Retail Store"/>
    <s v="P-008"/>
    <n v="1"/>
    <n v="0.1"/>
    <n v="170.38"/>
    <n v="5.75"/>
    <x v="6"/>
    <x v="0"/>
    <s v="Vertex Trade"/>
    <n v="112.09"/>
    <n v="192.47"/>
    <n v="112.09"/>
    <n v="52.539999999999992"/>
    <n v="0.30836952693978165"/>
    <x v="7"/>
    <x v="0"/>
    <x v="1"/>
  </r>
  <r>
    <s v="ORD-101221"/>
    <d v="2025-07-05T00:00:00"/>
    <d v="2025-07-10T00:00:00"/>
    <x v="1"/>
    <s v="Peterborough"/>
    <s v="Corporate"/>
    <s v="Retail Store"/>
    <s v="P-001"/>
    <n v="3"/>
    <n v="0"/>
    <n v="828.76"/>
    <n v="11.4"/>
    <x v="12"/>
    <x v="1"/>
    <s v="Luma Imports"/>
    <n v="173.56"/>
    <n v="286.14999999999998"/>
    <n v="520.68000000000006"/>
    <n v="296.67999999999995"/>
    <n v="0.35798059751918521"/>
    <x v="4"/>
    <x v="1"/>
    <x v="0"/>
  </r>
  <r>
    <s v="ORD-101222"/>
    <d v="2025-02-15T00:00:00"/>
    <d v="2025-02-19T00:00:00"/>
    <x v="2"/>
    <s v="Bristol"/>
    <s v="Home Office"/>
    <s v="Online"/>
    <s v="P-003"/>
    <n v="3"/>
    <n v="0.1"/>
    <n v="280.31"/>
    <n v="6.84"/>
    <x v="1"/>
    <x v="1"/>
    <s v="Orbit Supply Co."/>
    <n v="71.489999999999995"/>
    <n v="112.88"/>
    <n v="214.46999999999997"/>
    <n v="59.000000000000028"/>
    <n v="0.21048125289857667"/>
    <x v="5"/>
    <x v="0"/>
    <x v="0"/>
  </r>
  <r>
    <s v="ORD-101223"/>
    <d v="2024-10-23T00:00:00"/>
    <d v="2024-10-28T00:00:00"/>
    <x v="0"/>
    <s v="Cardiff"/>
    <s v="Corporate"/>
    <s v="Retail Store"/>
    <s v="P-005"/>
    <n v="1"/>
    <n v="0.15"/>
    <n v="48.78"/>
    <n v="3.45"/>
    <x v="13"/>
    <x v="0"/>
    <s v="Apex Wholesale"/>
    <n v="25.33"/>
    <n v="51.56"/>
    <n v="25.33"/>
    <n v="20.000000000000004"/>
    <n v="0.41000410004100046"/>
    <x v="3"/>
    <x v="2"/>
    <x v="1"/>
  </r>
  <r>
    <s v="ORD-101224"/>
    <d v="2025-02-08T00:00:00"/>
    <d v="2025-02-13T00:00:00"/>
    <x v="2"/>
    <s v="London"/>
    <s v="Corporate"/>
    <s v="Retail Store"/>
    <s v="P-008"/>
    <n v="2"/>
    <n v="0"/>
    <n v="363.9"/>
    <n v="7"/>
    <x v="6"/>
    <x v="0"/>
    <s v="Vertex Trade"/>
    <n v="112.09"/>
    <n v="192.47"/>
    <n v="224.18"/>
    <n v="132.71999999999997"/>
    <n v="0.36471558120362729"/>
    <x v="5"/>
    <x v="1"/>
    <x v="0"/>
  </r>
  <r>
    <s v="ORD-101225"/>
    <d v="2025-06-10T00:00:00"/>
    <d v="2025-06-16T00:00:00"/>
    <x v="0"/>
    <s v="Liverpool"/>
    <s v="Home Office"/>
    <s v="B2B Sales"/>
    <s v="P-001"/>
    <n v="2"/>
    <n v="0"/>
    <n v="576.83000000000004"/>
    <n v="5.46"/>
    <x v="12"/>
    <x v="1"/>
    <s v="Luma Imports"/>
    <n v="173.56"/>
    <n v="286.14999999999998"/>
    <n v="347.12"/>
    <n v="224.25000000000003"/>
    <n v="0.38876272038555554"/>
    <x v="0"/>
    <x v="1"/>
    <x v="0"/>
  </r>
  <r>
    <s v="ORD-101226"/>
    <d v="2024-10-12T00:00:00"/>
    <d v="2024-10-15T00:00:00"/>
    <x v="1"/>
    <s v="Norwich"/>
    <s v="Corporate"/>
    <s v="B2B Sales"/>
    <s v="P-002"/>
    <n v="1"/>
    <n v="0"/>
    <n v="251.9"/>
    <n v="4.08"/>
    <x v="2"/>
    <x v="1"/>
    <s v="Vertex Trade"/>
    <n v="119.02"/>
    <n v="205.39"/>
    <n v="119.02"/>
    <n v="128.79999999999998"/>
    <n v="0.51131401349741956"/>
    <x v="3"/>
    <x v="1"/>
    <x v="1"/>
  </r>
  <r>
    <s v="ORD-101227"/>
    <d v="2024-01-26T00:00:00"/>
    <d v="2024-01-31T00:00:00"/>
    <x v="1"/>
    <s v="Norwich"/>
    <s v="Home Office"/>
    <s v="B2B Sales"/>
    <s v="P-014"/>
    <n v="10"/>
    <n v="0"/>
    <n v="249.12"/>
    <n v="9"/>
    <x v="3"/>
    <x v="2"/>
    <s v="Orbit Supply Co."/>
    <n v="16.760000000000002"/>
    <n v="27.71"/>
    <n v="167.60000000000002"/>
    <n v="72.519999999999982"/>
    <n v="0.29110468850353238"/>
    <x v="18"/>
    <x v="1"/>
    <x v="1"/>
  </r>
  <r>
    <s v="ORD-101228"/>
    <d v="2024-08-06T00:00:00"/>
    <d v="2024-08-11T00:00:00"/>
    <x v="3"/>
    <s v="Leeds"/>
    <s v="Home Office"/>
    <s v="Retail Store"/>
    <s v="P-006"/>
    <n v="3"/>
    <n v="0"/>
    <n v="324.77"/>
    <n v="4.95"/>
    <x v="10"/>
    <x v="0"/>
    <s v="Apex Wholesale"/>
    <n v="54.95"/>
    <n v="112.56"/>
    <n v="164.85000000000002"/>
    <n v="154.96999999999997"/>
    <n v="0.47716845767774113"/>
    <x v="7"/>
    <x v="1"/>
    <x v="1"/>
  </r>
  <r>
    <s v="ORD-101229"/>
    <d v="2025-11-11T00:00:00"/>
    <d v="2025-11-17T00:00:00"/>
    <x v="3"/>
    <s v="Leeds"/>
    <s v="Home Office"/>
    <s v="Retail Store"/>
    <s v="P-012"/>
    <n v="12"/>
    <n v="0.05"/>
    <n v="124.76"/>
    <n v="5.94"/>
    <x v="14"/>
    <x v="2"/>
    <s v="Luma Imports"/>
    <n v="4.5"/>
    <n v="8.2899999999999991"/>
    <n v="54"/>
    <n v="64.820000000000007"/>
    <n v="0.51955755049695418"/>
    <x v="19"/>
    <x v="0"/>
    <x v="0"/>
  </r>
  <r>
    <s v="ORD-101230"/>
    <d v="2024-06-27T00:00:00"/>
    <d v="2024-06-29T00:00:00"/>
    <x v="1"/>
    <s v="Norwich"/>
    <s v="Corporate"/>
    <s v="Online"/>
    <s v="P-007"/>
    <n v="1"/>
    <n v="0"/>
    <n v="61.83"/>
    <n v="5.75"/>
    <x v="7"/>
    <x v="0"/>
    <s v="Luma Imports"/>
    <n v="31.34"/>
    <n v="56.49"/>
    <n v="31.34"/>
    <n v="24.74"/>
    <n v="0.40012938702895035"/>
    <x v="17"/>
    <x v="1"/>
    <x v="1"/>
  </r>
  <r>
    <s v="ORD-101231"/>
    <d v="2025-09-01T00:00:00"/>
    <d v="2025-09-03T00:00:00"/>
    <x v="1"/>
    <s v="Cambridge"/>
    <s v="Home Office"/>
    <s v="Retail Store"/>
    <s v="P-005"/>
    <n v="4"/>
    <n v="0"/>
    <n v="212.22"/>
    <n v="5.7"/>
    <x v="13"/>
    <x v="0"/>
    <s v="Apex Wholesale"/>
    <n v="25.33"/>
    <n v="51.56"/>
    <n v="101.32"/>
    <n v="105.2"/>
    <n v="0.4957119969842616"/>
    <x v="11"/>
    <x v="1"/>
    <x v="0"/>
  </r>
  <r>
    <s v="ORD-101232"/>
    <d v="2025-02-07T00:00:00"/>
    <d v="2025-02-11T00:00:00"/>
    <x v="0"/>
    <s v="Birmingham"/>
    <s v="Home Office"/>
    <s v="Online"/>
    <s v="P-004"/>
    <n v="4"/>
    <n v="0.05"/>
    <n v="380.08"/>
    <n v="13.7"/>
    <x v="5"/>
    <x v="1"/>
    <s v="Cedar Distribution"/>
    <n v="63.6"/>
    <n v="107.94"/>
    <n v="254.4"/>
    <n v="111.97999999999998"/>
    <n v="0.29462218480319929"/>
    <x v="5"/>
    <x v="0"/>
    <x v="0"/>
  </r>
  <r>
    <s v="ORD-101233"/>
    <d v="2024-07-22T00:00:00"/>
    <d v="2024-07-26T00:00:00"/>
    <x v="3"/>
    <s v="Manchester"/>
    <s v="Home Office"/>
    <s v="B2B Sales"/>
    <s v="P-007"/>
    <n v="4"/>
    <n v="0"/>
    <n v="209.77"/>
    <n v="9.5"/>
    <x v="7"/>
    <x v="0"/>
    <s v="Luma Imports"/>
    <n v="31.34"/>
    <n v="56.49"/>
    <n v="125.36"/>
    <n v="74.910000000000011"/>
    <n v="0.35710540115364447"/>
    <x v="16"/>
    <x v="1"/>
    <x v="1"/>
  </r>
  <r>
    <s v="ORD-101234"/>
    <d v="2024-04-09T00:00:00"/>
    <d v="2024-04-10T00:00:00"/>
    <x v="1"/>
    <s v="Cambridge"/>
    <s v="Small Business"/>
    <s v="B2B Sales"/>
    <s v="P-004"/>
    <n v="3"/>
    <n v="0"/>
    <n v="302.70999999999998"/>
    <n v="6.84"/>
    <x v="5"/>
    <x v="1"/>
    <s v="Cedar Distribution"/>
    <n v="63.6"/>
    <n v="107.94"/>
    <n v="190.8"/>
    <n v="105.06999999999996"/>
    <n v="0.34709788246176199"/>
    <x v="21"/>
    <x v="1"/>
    <x v="1"/>
  </r>
  <r>
    <s v="ORD-101235"/>
    <d v="2025-02-22T00:00:00"/>
    <d v="2025-02-27T00:00:00"/>
    <x v="3"/>
    <s v="Leeds"/>
    <s v="Small Business"/>
    <s v="Retail Store"/>
    <s v="P-008"/>
    <n v="4"/>
    <n v="0"/>
    <n v="719.57"/>
    <n v="5.7"/>
    <x v="6"/>
    <x v="0"/>
    <s v="Vertex Trade"/>
    <n v="112.09"/>
    <n v="192.47"/>
    <n v="448.36"/>
    <n v="265.51000000000005"/>
    <n v="0.36898425448531769"/>
    <x v="5"/>
    <x v="1"/>
    <x v="0"/>
  </r>
  <r>
    <s v="ORD-101236"/>
    <d v="2025-08-28T00:00:00"/>
    <d v="2025-09-01T00:00:00"/>
    <x v="3"/>
    <s v="Manchester"/>
    <s v="Home Office"/>
    <s v="B2B Sales"/>
    <s v="P-015"/>
    <n v="4"/>
    <n v="0.15"/>
    <n v="20.39"/>
    <n v="6.3"/>
    <x v="8"/>
    <x v="2"/>
    <s v="Luma Imports"/>
    <n v="3.3"/>
    <n v="6.13"/>
    <n v="13.2"/>
    <n v="0.89000000000000146"/>
    <n v="4.3648847474252156E-2"/>
    <x v="6"/>
    <x v="2"/>
    <x v="0"/>
  </r>
  <r>
    <s v="ORD-101237"/>
    <d v="2024-01-30T00:00:00"/>
    <d v="2024-02-01T00:00:00"/>
    <x v="1"/>
    <s v="Cambridge"/>
    <s v="Home Office"/>
    <s v="B2B Sales"/>
    <s v="P-012"/>
    <n v="12"/>
    <n v="0.1"/>
    <n v="82.92"/>
    <n v="9.9"/>
    <x v="14"/>
    <x v="2"/>
    <s v="Luma Imports"/>
    <n v="4.5"/>
    <n v="8.2899999999999991"/>
    <n v="54"/>
    <n v="19.020000000000003"/>
    <n v="0.22937771345875546"/>
    <x v="18"/>
    <x v="0"/>
    <x v="1"/>
  </r>
  <r>
    <s v="ORD-101238"/>
    <d v="2024-06-18T00:00:00"/>
    <d v="2024-06-24T00:00:00"/>
    <x v="1"/>
    <s v="Norwich"/>
    <s v="Small Business"/>
    <s v="Online"/>
    <s v="P-013"/>
    <n v="14"/>
    <n v="0.1"/>
    <n v="168.17"/>
    <n v="6.48"/>
    <x v="11"/>
    <x v="2"/>
    <s v="Apex Wholesale"/>
    <n v="6.33"/>
    <n v="12.16"/>
    <n v="88.62"/>
    <n v="73.069999999999979"/>
    <n v="0.43450080275911274"/>
    <x v="17"/>
    <x v="0"/>
    <x v="1"/>
  </r>
  <r>
    <s v="ORD-101239"/>
    <d v="2024-09-20T00:00:00"/>
    <d v="2024-09-23T00:00:00"/>
    <x v="1"/>
    <s v="Norwich"/>
    <s v="Corporate"/>
    <s v="B2B Sales"/>
    <s v="P-005"/>
    <n v="2"/>
    <n v="0"/>
    <n v="111.63"/>
    <n v="4.2"/>
    <x v="13"/>
    <x v="0"/>
    <s v="Apex Wholesale"/>
    <n v="25.33"/>
    <n v="51.56"/>
    <n v="50.66"/>
    <n v="56.769999999999996"/>
    <n v="0.50855504792618467"/>
    <x v="23"/>
    <x v="1"/>
    <x v="1"/>
  </r>
  <r>
    <s v="ORD-101240"/>
    <d v="2025-07-08T00:00:00"/>
    <d v="2025-07-10T00:00:00"/>
    <x v="2"/>
    <s v="Bristol"/>
    <s v="Corporate"/>
    <s v="Retail Store"/>
    <s v="P-008"/>
    <n v="2"/>
    <n v="0.25"/>
    <n v="271.98"/>
    <n v="4.2"/>
    <x v="6"/>
    <x v="0"/>
    <s v="Vertex Trade"/>
    <n v="112.09"/>
    <n v="192.47"/>
    <n v="224.18"/>
    <n v="43.600000000000009"/>
    <n v="0.16030590484594456"/>
    <x v="4"/>
    <x v="3"/>
    <x v="0"/>
  </r>
  <r>
    <s v="ORD-101241"/>
    <d v="2024-05-30T00:00:00"/>
    <d v="2024-06-03T00:00:00"/>
    <x v="1"/>
    <s v="Cambridge"/>
    <s v="Corporate"/>
    <s v="Online"/>
    <s v="P-004"/>
    <n v="4"/>
    <n v="0.2"/>
    <n v="334.28"/>
    <n v="8.2200000000000006"/>
    <x v="5"/>
    <x v="1"/>
    <s v="Cedar Distribution"/>
    <n v="63.6"/>
    <n v="107.94"/>
    <n v="254.4"/>
    <n v="71.659999999999968"/>
    <n v="0.21437118583223638"/>
    <x v="8"/>
    <x v="2"/>
    <x v="1"/>
  </r>
  <r>
    <s v="ORD-101242"/>
    <d v="2024-04-16T00:00:00"/>
    <d v="2024-04-18T00:00:00"/>
    <x v="2"/>
    <s v="Bristol"/>
    <s v="Small Business"/>
    <s v="B2B Sales"/>
    <s v="P-006"/>
    <n v="3"/>
    <n v="0"/>
    <n v="313.62"/>
    <n v="8.25"/>
    <x v="10"/>
    <x v="0"/>
    <s v="Apex Wholesale"/>
    <n v="54.95"/>
    <n v="112.56"/>
    <n v="164.85000000000002"/>
    <n v="140.51999999999998"/>
    <n v="0.44805815955615069"/>
    <x v="21"/>
    <x v="1"/>
    <x v="1"/>
  </r>
  <r>
    <s v="ORD-101243"/>
    <d v="2024-05-15T00:00:00"/>
    <d v="2024-05-20T00:00:00"/>
    <x v="3"/>
    <s v="Leeds"/>
    <s v="Corporate"/>
    <s v="Online"/>
    <s v="P-014"/>
    <n v="7"/>
    <n v="0.2"/>
    <n v="160.78"/>
    <n v="4.59"/>
    <x v="3"/>
    <x v="2"/>
    <s v="Orbit Supply Co."/>
    <n v="16.760000000000002"/>
    <n v="27.71"/>
    <n v="117.32000000000001"/>
    <n v="38.86999999999999"/>
    <n v="0.24175892523945758"/>
    <x v="8"/>
    <x v="2"/>
    <x v="1"/>
  </r>
  <r>
    <s v="ORD-101244"/>
    <d v="2025-10-21T00:00:00"/>
    <d v="2025-10-27T00:00:00"/>
    <x v="0"/>
    <s v="Liverpool"/>
    <s v="Corporate"/>
    <s v="Online"/>
    <s v="P-011"/>
    <n v="11"/>
    <n v="0"/>
    <n v="184.2"/>
    <n v="9.4499999999999993"/>
    <x v="9"/>
    <x v="2"/>
    <s v="Orbit Supply Co."/>
    <n v="7.93"/>
    <n v="14.78"/>
    <n v="87.22999999999999"/>
    <n v="87.52"/>
    <n v="0.47513572204125953"/>
    <x v="22"/>
    <x v="1"/>
    <x v="0"/>
  </r>
  <r>
    <s v="ORD-101245"/>
    <d v="2025-08-29T00:00:00"/>
    <d v="2025-09-01T00:00:00"/>
    <x v="3"/>
    <s v="Leeds"/>
    <s v="Corporate"/>
    <s v="Retail Store"/>
    <s v="P-013"/>
    <n v="5"/>
    <n v="0"/>
    <n v="57.63"/>
    <n v="4.05"/>
    <x v="11"/>
    <x v="2"/>
    <s v="Apex Wholesale"/>
    <n v="6.33"/>
    <n v="12.16"/>
    <n v="31.65"/>
    <n v="21.930000000000003"/>
    <n v="0.38053097345132747"/>
    <x v="6"/>
    <x v="1"/>
    <x v="0"/>
  </r>
  <r>
    <s v="ORD-101246"/>
    <d v="2025-11-10T00:00:00"/>
    <d v="2025-11-11T00:00:00"/>
    <x v="3"/>
    <s v="Leeds"/>
    <s v="Corporate"/>
    <s v="Online"/>
    <s v="P-014"/>
    <n v="4"/>
    <n v="0"/>
    <n v="157.65"/>
    <n v="3.78"/>
    <x v="3"/>
    <x v="2"/>
    <s v="Orbit Supply Co."/>
    <n v="16.760000000000002"/>
    <n v="27.71"/>
    <n v="67.040000000000006"/>
    <n v="86.83"/>
    <n v="0.55077703774183318"/>
    <x v="19"/>
    <x v="1"/>
    <x v="0"/>
  </r>
  <r>
    <s v="ORD-101247"/>
    <d v="2024-11-02T00:00:00"/>
    <d v="2024-11-08T00:00:00"/>
    <x v="1"/>
    <s v="Norwich"/>
    <s v="Small Business"/>
    <s v="B2B Sales"/>
    <s v="P-010"/>
    <n v="4"/>
    <n v="0.25"/>
    <n v="23.36"/>
    <n v="3.78"/>
    <x v="4"/>
    <x v="2"/>
    <s v="Orbit Supply Co."/>
    <n v="3.62"/>
    <n v="6.03"/>
    <n v="14.48"/>
    <n v="5.0999999999999996"/>
    <n v="0.21832191780821916"/>
    <x v="14"/>
    <x v="3"/>
    <x v="1"/>
  </r>
  <r>
    <s v="ORD-101248"/>
    <d v="2025-10-18T00:00:00"/>
    <d v="2025-10-21T00:00:00"/>
    <x v="2"/>
    <s v="Brighton"/>
    <s v="Home Office"/>
    <s v="B2B Sales"/>
    <s v="P-015"/>
    <n v="8"/>
    <n v="0.1"/>
    <n v="52.27"/>
    <n v="4.8600000000000003"/>
    <x v="8"/>
    <x v="2"/>
    <s v="Luma Imports"/>
    <n v="3.3"/>
    <n v="6.13"/>
    <n v="26.4"/>
    <n v="21.010000000000005"/>
    <n v="0.40195140616032149"/>
    <x v="22"/>
    <x v="0"/>
    <x v="0"/>
  </r>
  <r>
    <s v="ORD-101249"/>
    <d v="2025-12-11T00:00:00"/>
    <d v="2025-12-13T00:00:00"/>
    <x v="0"/>
    <s v="Birmingham"/>
    <s v="Home Office"/>
    <s v="Online"/>
    <s v="P-001"/>
    <n v="2"/>
    <n v="0.05"/>
    <n v="773.12"/>
    <n v="5.46"/>
    <x v="12"/>
    <x v="1"/>
    <s v="Luma Imports"/>
    <n v="173.56"/>
    <n v="286.14999999999998"/>
    <n v="347.12"/>
    <n v="420.54"/>
    <n v="0.54395177980132448"/>
    <x v="13"/>
    <x v="0"/>
    <x v="0"/>
  </r>
  <r>
    <s v="ORD-101250"/>
    <d v="2024-02-19T00:00:00"/>
    <d v="2024-02-24T00:00:00"/>
    <x v="1"/>
    <s v="Peterborough"/>
    <s v="Corporate"/>
    <s v="Online"/>
    <s v="P-009"/>
    <n v="3"/>
    <n v="0"/>
    <n v="326.18"/>
    <n v="4.95"/>
    <x v="0"/>
    <x v="0"/>
    <s v="Apex Wholesale"/>
    <n v="63.69"/>
    <n v="125.5"/>
    <n v="191.07"/>
    <n v="130.16000000000003"/>
    <n v="0.39904347292905762"/>
    <x v="12"/>
    <x v="1"/>
    <x v="1"/>
  </r>
  <r>
    <s v="ORD-101251"/>
    <d v="2024-11-30T00:00:00"/>
    <d v="2024-12-04T00:00:00"/>
    <x v="3"/>
    <s v="Manchester"/>
    <s v="Home Office"/>
    <s v="B2B Sales"/>
    <s v="P-009"/>
    <n v="1"/>
    <n v="0"/>
    <n v="162.94"/>
    <n v="3.45"/>
    <x v="0"/>
    <x v="0"/>
    <s v="Apex Wholesale"/>
    <n v="63.69"/>
    <n v="125.5"/>
    <n v="63.69"/>
    <n v="95.8"/>
    <n v="0.58794648336811095"/>
    <x v="14"/>
    <x v="1"/>
    <x v="1"/>
  </r>
  <r>
    <s v="ORD-101252"/>
    <d v="2025-03-11T00:00:00"/>
    <d v="2025-03-15T00:00:00"/>
    <x v="1"/>
    <s v="Peterborough"/>
    <s v="Home Office"/>
    <s v="B2B Sales"/>
    <s v="P-003"/>
    <n v="3"/>
    <n v="0.15"/>
    <n v="255.07"/>
    <n v="6.84"/>
    <x v="1"/>
    <x v="1"/>
    <s v="Orbit Supply Co."/>
    <n v="71.489999999999995"/>
    <n v="112.88"/>
    <n v="214.46999999999997"/>
    <n v="33.760000000000019"/>
    <n v="0.13235582389148084"/>
    <x v="2"/>
    <x v="2"/>
    <x v="0"/>
  </r>
  <r>
    <s v="ORD-101253"/>
    <d v="2025-11-20T00:00:00"/>
    <d v="2025-11-25T00:00:00"/>
    <x v="3"/>
    <s v="Newcastle"/>
    <s v="Corporate"/>
    <s v="B2B Sales"/>
    <s v="P-003"/>
    <n v="1"/>
    <n v="0.05"/>
    <n v="148.81"/>
    <n v="6.8"/>
    <x v="1"/>
    <x v="1"/>
    <s v="Orbit Supply Co."/>
    <n v="71.489999999999995"/>
    <n v="112.88"/>
    <n v="71.489999999999995"/>
    <n v="70.52000000000001"/>
    <n v="0.4738928835427727"/>
    <x v="19"/>
    <x v="0"/>
    <x v="0"/>
  </r>
  <r>
    <s v="ORD-101254"/>
    <d v="2025-12-15T00:00:00"/>
    <d v="2025-12-21T00:00:00"/>
    <x v="2"/>
    <s v="London"/>
    <s v="Home Office"/>
    <s v="B2B Sales"/>
    <s v="P-013"/>
    <n v="6"/>
    <n v="0.2"/>
    <n v="79.959999999999994"/>
    <n v="7.2"/>
    <x v="11"/>
    <x v="2"/>
    <s v="Apex Wholesale"/>
    <n v="6.33"/>
    <n v="12.16"/>
    <n v="37.980000000000004"/>
    <n v="34.779999999999987"/>
    <n v="0.43496748374187083"/>
    <x v="13"/>
    <x v="2"/>
    <x v="0"/>
  </r>
  <r>
    <s v="ORD-101255"/>
    <d v="2024-04-02T00:00:00"/>
    <d v="2024-04-07T00:00:00"/>
    <x v="1"/>
    <s v="Cambridge"/>
    <s v="Home Office"/>
    <s v="Online"/>
    <s v="P-015"/>
    <n v="7"/>
    <n v="0"/>
    <n v="43"/>
    <n v="4.59"/>
    <x v="8"/>
    <x v="2"/>
    <s v="Luma Imports"/>
    <n v="3.3"/>
    <n v="6.13"/>
    <n v="23.099999999999998"/>
    <n v="15.310000000000002"/>
    <n v="0.35604651162790701"/>
    <x v="21"/>
    <x v="1"/>
    <x v="1"/>
  </r>
  <r>
    <s v="ORD-101256"/>
    <d v="2025-03-26T00:00:00"/>
    <d v="2025-03-28T00:00:00"/>
    <x v="3"/>
    <s v="Manchester"/>
    <s v="Corporate"/>
    <s v="Online"/>
    <s v="P-014"/>
    <n v="7"/>
    <n v="0"/>
    <n v="187.7"/>
    <n v="4.59"/>
    <x v="3"/>
    <x v="2"/>
    <s v="Orbit Supply Co."/>
    <n v="16.760000000000002"/>
    <n v="27.71"/>
    <n v="117.32000000000001"/>
    <n v="65.789999999999978"/>
    <n v="0.35050612679808196"/>
    <x v="2"/>
    <x v="1"/>
    <x v="0"/>
  </r>
  <r>
    <s v="ORD-101257"/>
    <d v="2025-10-06T00:00:00"/>
    <d v="2025-10-11T00:00:00"/>
    <x v="1"/>
    <s v="Cambridge"/>
    <s v="Corporate"/>
    <s v="Online"/>
    <s v="P-010"/>
    <n v="11"/>
    <n v="0"/>
    <n v="79.97"/>
    <n v="9.4499999999999993"/>
    <x v="4"/>
    <x v="2"/>
    <s v="Orbit Supply Co."/>
    <n v="3.62"/>
    <n v="6.03"/>
    <n v="39.82"/>
    <n v="30.7"/>
    <n v="0.38389396023508815"/>
    <x v="22"/>
    <x v="1"/>
    <x v="0"/>
  </r>
  <r>
    <s v="ORD-101258"/>
    <d v="2025-01-17T00:00:00"/>
    <d v="2025-01-23T00:00:00"/>
    <x v="0"/>
    <s v="Birmingham"/>
    <s v="Home Office"/>
    <s v="B2B Sales"/>
    <s v="P-002"/>
    <n v="4"/>
    <n v="0.15"/>
    <n v="628.87"/>
    <n v="13.7"/>
    <x v="2"/>
    <x v="1"/>
    <s v="Vertex Trade"/>
    <n v="119.02"/>
    <n v="205.39"/>
    <n v="476.08"/>
    <n v="139.09000000000003"/>
    <n v="0.22117448757294836"/>
    <x v="20"/>
    <x v="2"/>
    <x v="0"/>
  </r>
  <r>
    <s v="ORD-101259"/>
    <d v="2024-05-14T00:00:00"/>
    <d v="2024-05-17T00:00:00"/>
    <x v="1"/>
    <s v="Peterborough"/>
    <s v="Small Business"/>
    <s v="Online"/>
    <s v="P-012"/>
    <n v="13"/>
    <n v="0"/>
    <n v="105.17"/>
    <n v="6.21"/>
    <x v="14"/>
    <x v="2"/>
    <s v="Luma Imports"/>
    <n v="4.5"/>
    <n v="8.2899999999999991"/>
    <n v="58.5"/>
    <n v="40.46"/>
    <n v="0.38471046876485693"/>
    <x v="8"/>
    <x v="1"/>
    <x v="1"/>
  </r>
  <r>
    <s v="ORD-101260"/>
    <d v="2024-12-21T00:00:00"/>
    <d v="2024-12-26T00:00:00"/>
    <x v="1"/>
    <s v="Peterborough"/>
    <s v="Home Office"/>
    <s v="Online"/>
    <s v="P-010"/>
    <n v="3"/>
    <n v="0"/>
    <n v="26.07"/>
    <n v="5.85"/>
    <x v="4"/>
    <x v="2"/>
    <s v="Orbit Supply Co."/>
    <n v="3.62"/>
    <n v="6.03"/>
    <n v="10.86"/>
    <n v="9.3600000000000012"/>
    <n v="0.3590333716915996"/>
    <x v="9"/>
    <x v="1"/>
    <x v="1"/>
  </r>
  <r>
    <s v="ORD-101261"/>
    <d v="2024-06-10T00:00:00"/>
    <d v="2024-06-15T00:00:00"/>
    <x v="1"/>
    <s v="Peterborough"/>
    <s v="Home Office"/>
    <s v="Retail Store"/>
    <s v="P-009"/>
    <n v="2"/>
    <n v="0.1"/>
    <n v="225.94"/>
    <n v="4.2"/>
    <x v="0"/>
    <x v="0"/>
    <s v="Apex Wholesale"/>
    <n v="63.69"/>
    <n v="125.5"/>
    <n v="127.38"/>
    <n v="94.36"/>
    <n v="0.41763299991148095"/>
    <x v="17"/>
    <x v="0"/>
    <x v="1"/>
  </r>
  <r>
    <s v="ORD-101262"/>
    <d v="2024-04-15T00:00:00"/>
    <d v="2024-04-21T00:00:00"/>
    <x v="3"/>
    <s v="Manchester"/>
    <s v="Small Business"/>
    <s v="Retail Store"/>
    <s v="P-006"/>
    <n v="4"/>
    <n v="0.2"/>
    <n v="335.19"/>
    <n v="5.7"/>
    <x v="10"/>
    <x v="0"/>
    <s v="Apex Wholesale"/>
    <n v="54.95"/>
    <n v="112.56"/>
    <n v="219.8"/>
    <n v="109.68999999999998"/>
    <n v="0.32724723291267632"/>
    <x v="21"/>
    <x v="2"/>
    <x v="1"/>
  </r>
  <r>
    <s v="ORD-101263"/>
    <d v="2025-02-19T00:00:00"/>
    <d v="2025-02-24T00:00:00"/>
    <x v="2"/>
    <s v="London"/>
    <s v="Small Business"/>
    <s v="Retail Store"/>
    <s v="P-014"/>
    <n v="4"/>
    <n v="0.25"/>
    <n v="70.87"/>
    <n v="6.3"/>
    <x v="3"/>
    <x v="2"/>
    <s v="Orbit Supply Co."/>
    <n v="16.760000000000002"/>
    <n v="27.71"/>
    <n v="67.040000000000006"/>
    <n v="-2.4700000000000015"/>
    <n v="-3.4852546916890097E-2"/>
    <x v="5"/>
    <x v="3"/>
    <x v="0"/>
  </r>
  <r>
    <s v="ORD-101264"/>
    <d v="2024-06-28T00:00:00"/>
    <d v="2024-07-01T00:00:00"/>
    <x v="2"/>
    <s v="Brighton"/>
    <s v="Corporate"/>
    <s v="B2B Sales"/>
    <s v="P-005"/>
    <n v="3"/>
    <n v="0.2"/>
    <n v="131.91"/>
    <n v="4.95"/>
    <x v="13"/>
    <x v="0"/>
    <s v="Apex Wholesale"/>
    <n v="25.33"/>
    <n v="51.56"/>
    <n v="75.989999999999995"/>
    <n v="50.97"/>
    <n v="0.38639981805776669"/>
    <x v="17"/>
    <x v="2"/>
    <x v="1"/>
  </r>
  <r>
    <s v="ORD-101265"/>
    <d v="2024-02-02T00:00:00"/>
    <d v="2024-02-05T00:00:00"/>
    <x v="3"/>
    <s v="Newcastle"/>
    <s v="Small Business"/>
    <s v="B2B Sales"/>
    <s v="P-009"/>
    <n v="4"/>
    <n v="0.1"/>
    <n v="400.74"/>
    <n v="5.7"/>
    <x v="0"/>
    <x v="0"/>
    <s v="Apex Wholesale"/>
    <n v="63.69"/>
    <n v="125.5"/>
    <n v="254.76"/>
    <n v="140.28000000000003"/>
    <n v="0.35005240305434954"/>
    <x v="12"/>
    <x v="0"/>
    <x v="1"/>
  </r>
  <r>
    <s v="ORD-101266"/>
    <d v="2025-10-05T00:00:00"/>
    <d v="2025-10-06T00:00:00"/>
    <x v="2"/>
    <s v="Bristol"/>
    <s v="Corporate"/>
    <s v="Retail Store"/>
    <s v="P-001"/>
    <n v="7"/>
    <n v="0.25"/>
    <n v="1780.61"/>
    <n v="20.6"/>
    <x v="12"/>
    <x v="1"/>
    <s v="Luma Imports"/>
    <n v="173.56"/>
    <n v="286.14999999999998"/>
    <n v="1214.92"/>
    <n v="545.0899999999998"/>
    <n v="0.30612542892604211"/>
    <x v="22"/>
    <x v="3"/>
    <x v="0"/>
  </r>
  <r>
    <s v="ORD-101267"/>
    <d v="2024-03-31T00:00:00"/>
    <d v="2024-04-06T00:00:00"/>
    <x v="1"/>
    <s v="Peterborough"/>
    <s v="Corporate"/>
    <s v="Retail Store"/>
    <s v="P-013"/>
    <n v="23"/>
    <n v="0"/>
    <n v="261.04000000000002"/>
    <n v="14.85"/>
    <x v="11"/>
    <x v="2"/>
    <s v="Apex Wholesale"/>
    <n v="6.33"/>
    <n v="12.16"/>
    <n v="145.59"/>
    <n v="100.60000000000002"/>
    <n v="0.3853815507201962"/>
    <x v="10"/>
    <x v="1"/>
    <x v="1"/>
  </r>
  <r>
    <s v="ORD-101268"/>
    <d v="2025-02-21T00:00:00"/>
    <d v="2025-02-25T00:00:00"/>
    <x v="3"/>
    <s v="Leeds"/>
    <s v="Small Business"/>
    <s v="Online"/>
    <s v="P-003"/>
    <n v="2"/>
    <n v="0"/>
    <n v="212.8"/>
    <n v="5.46"/>
    <x v="1"/>
    <x v="1"/>
    <s v="Orbit Supply Co."/>
    <n v="71.489999999999995"/>
    <n v="112.88"/>
    <n v="142.97999999999999"/>
    <n v="64.360000000000028"/>
    <n v="0.30244360902255651"/>
    <x v="5"/>
    <x v="1"/>
    <x v="0"/>
  </r>
  <r>
    <s v="ORD-101269"/>
    <d v="2024-11-04T00:00:00"/>
    <d v="2024-11-09T00:00:00"/>
    <x v="2"/>
    <s v="Bristol"/>
    <s v="Home Office"/>
    <s v="B2B Sales"/>
    <s v="P-005"/>
    <n v="4"/>
    <n v="0.2"/>
    <n v="221.83"/>
    <n v="9.5"/>
    <x v="13"/>
    <x v="0"/>
    <s v="Apex Wholesale"/>
    <n v="25.33"/>
    <n v="51.56"/>
    <n v="101.32"/>
    <n v="111.01000000000002"/>
    <n v="0.50042825587161344"/>
    <x v="14"/>
    <x v="2"/>
    <x v="1"/>
  </r>
  <r>
    <s v="ORD-101270"/>
    <d v="2024-06-25T00:00:00"/>
    <d v="2024-07-01T00:00:00"/>
    <x v="1"/>
    <s v="Peterborough"/>
    <s v="Home Office"/>
    <s v="Retail Store"/>
    <s v="P-010"/>
    <n v="7"/>
    <n v="0"/>
    <n v="43.51"/>
    <n v="4.59"/>
    <x v="4"/>
    <x v="2"/>
    <s v="Orbit Supply Co."/>
    <n v="3.62"/>
    <n v="6.03"/>
    <n v="25.34"/>
    <n v="13.579999999999998"/>
    <n v="0.31211215812456905"/>
    <x v="17"/>
    <x v="1"/>
    <x v="1"/>
  </r>
  <r>
    <s v="ORD-101271"/>
    <d v="2025-05-29T00:00:00"/>
    <d v="2025-05-31T00:00:00"/>
    <x v="0"/>
    <s v="Liverpool"/>
    <s v="Home Office"/>
    <s v="Online"/>
    <s v="P-002"/>
    <n v="2"/>
    <n v="0.1"/>
    <n v="359.86"/>
    <n v="9.1"/>
    <x v="2"/>
    <x v="1"/>
    <s v="Vertex Trade"/>
    <n v="119.02"/>
    <n v="205.39"/>
    <n v="238.04"/>
    <n v="112.72000000000003"/>
    <n v="0.31323292391485585"/>
    <x v="1"/>
    <x v="0"/>
    <x v="0"/>
  </r>
  <r>
    <s v="ORD-101272"/>
    <d v="2024-07-20T00:00:00"/>
    <d v="2024-07-26T00:00:00"/>
    <x v="0"/>
    <s v="Liverpool"/>
    <s v="Small Business"/>
    <s v="B2B Sales"/>
    <s v="P-011"/>
    <n v="3"/>
    <n v="0"/>
    <n v="40.380000000000003"/>
    <n v="3.51"/>
    <x v="9"/>
    <x v="2"/>
    <s v="Orbit Supply Co."/>
    <n v="7.93"/>
    <n v="14.78"/>
    <n v="23.79"/>
    <n v="13.080000000000004"/>
    <n v="0.32392273402674598"/>
    <x v="16"/>
    <x v="1"/>
    <x v="1"/>
  </r>
  <r>
    <s v="ORD-101273"/>
    <d v="2025-12-16T00:00:00"/>
    <d v="2025-12-22T00:00:00"/>
    <x v="3"/>
    <s v="Newcastle"/>
    <s v="Corporate"/>
    <s v="B2B Sales"/>
    <s v="P-003"/>
    <n v="1"/>
    <n v="0"/>
    <n v="166.33"/>
    <n v="6.8"/>
    <x v="1"/>
    <x v="1"/>
    <s v="Orbit Supply Co."/>
    <n v="71.489999999999995"/>
    <n v="112.88"/>
    <n v="71.489999999999995"/>
    <n v="88.04000000000002"/>
    <n v="0.52930920459327846"/>
    <x v="13"/>
    <x v="1"/>
    <x v="0"/>
  </r>
  <r>
    <s v="ORD-101274"/>
    <d v="2025-12-04T00:00:00"/>
    <d v="2025-12-07T00:00:00"/>
    <x v="2"/>
    <s v="Brighton"/>
    <s v="Home Office"/>
    <s v="Online"/>
    <s v="P-010"/>
    <n v="13"/>
    <n v="0.05"/>
    <n v="103.59"/>
    <n v="10.35"/>
    <x v="4"/>
    <x v="2"/>
    <s v="Orbit Supply Co."/>
    <n v="3.62"/>
    <n v="6.03"/>
    <n v="47.06"/>
    <n v="46.18"/>
    <n v="0.44579592624770731"/>
    <x v="13"/>
    <x v="0"/>
    <x v="0"/>
  </r>
  <r>
    <s v="ORD-101275"/>
    <d v="2024-08-30T00:00:00"/>
    <d v="2024-09-03T00:00:00"/>
    <x v="3"/>
    <s v="Newcastle"/>
    <s v="Corporate"/>
    <s v="Online"/>
    <s v="P-009"/>
    <n v="1"/>
    <n v="0.25"/>
    <n v="86.59"/>
    <n v="5.75"/>
    <x v="0"/>
    <x v="0"/>
    <s v="Apex Wholesale"/>
    <n v="63.69"/>
    <n v="125.5"/>
    <n v="63.69"/>
    <n v="17.150000000000006"/>
    <n v="0.19805982215036383"/>
    <x v="7"/>
    <x v="3"/>
    <x v="1"/>
  </r>
  <r>
    <s v="ORD-101276"/>
    <d v="2024-11-19T00:00:00"/>
    <d v="2024-11-24T00:00:00"/>
    <x v="0"/>
    <s v="Birmingham"/>
    <s v="Small Business"/>
    <s v="Retail Store"/>
    <s v="P-008"/>
    <n v="1"/>
    <n v="0"/>
    <n v="265.08"/>
    <n v="3.45"/>
    <x v="6"/>
    <x v="0"/>
    <s v="Vertex Trade"/>
    <n v="112.09"/>
    <n v="192.47"/>
    <n v="112.09"/>
    <n v="149.54"/>
    <n v="0.56413158291836429"/>
    <x v="14"/>
    <x v="1"/>
    <x v="1"/>
  </r>
  <r>
    <s v="ORD-101277"/>
    <d v="2025-04-14T00:00:00"/>
    <d v="2025-04-18T00:00:00"/>
    <x v="1"/>
    <s v="Norwich"/>
    <s v="Corporate"/>
    <s v="Online"/>
    <s v="P-007"/>
    <n v="4"/>
    <n v="0"/>
    <n v="215.1"/>
    <n v="5.7"/>
    <x v="7"/>
    <x v="0"/>
    <s v="Luma Imports"/>
    <n v="31.34"/>
    <n v="56.49"/>
    <n v="125.36"/>
    <n v="84.039999999999992"/>
    <n v="0.39070199907019987"/>
    <x v="15"/>
    <x v="1"/>
    <x v="0"/>
  </r>
  <r>
    <s v="ORD-101278"/>
    <d v="2025-01-25T00:00:00"/>
    <d v="2025-01-27T00:00:00"/>
    <x v="3"/>
    <s v="Manchester"/>
    <s v="Home Office"/>
    <s v="Online"/>
    <s v="P-001"/>
    <n v="2"/>
    <n v="0.25"/>
    <n v="378.4"/>
    <n v="9.1"/>
    <x v="12"/>
    <x v="1"/>
    <s v="Luma Imports"/>
    <n v="173.56"/>
    <n v="286.14999999999998"/>
    <n v="347.12"/>
    <n v="22.179999999999971"/>
    <n v="5.861522198731494E-2"/>
    <x v="20"/>
    <x v="3"/>
    <x v="0"/>
  </r>
  <r>
    <s v="ORD-101279"/>
    <d v="2024-03-09T00:00:00"/>
    <d v="2024-03-13T00:00:00"/>
    <x v="0"/>
    <s v="Cardiff"/>
    <s v="Small Business"/>
    <s v="Retail Store"/>
    <s v="P-007"/>
    <n v="1"/>
    <n v="0"/>
    <n v="50.63"/>
    <n v="3.45"/>
    <x v="7"/>
    <x v="0"/>
    <s v="Luma Imports"/>
    <n v="31.34"/>
    <n v="56.49"/>
    <n v="31.34"/>
    <n v="15.840000000000003"/>
    <n v="0.3128579893343868"/>
    <x v="10"/>
    <x v="1"/>
    <x v="1"/>
  </r>
  <r>
    <s v="ORD-101280"/>
    <d v="2024-01-05T00:00:00"/>
    <d v="2024-01-06T00:00:00"/>
    <x v="3"/>
    <s v="Manchester"/>
    <s v="Small Business"/>
    <s v="Online"/>
    <s v="P-002"/>
    <n v="1"/>
    <n v="0"/>
    <n v="182.59"/>
    <n v="4.08"/>
    <x v="2"/>
    <x v="1"/>
    <s v="Vertex Trade"/>
    <n v="119.02"/>
    <n v="205.39"/>
    <n v="119.02"/>
    <n v="59.490000000000009"/>
    <n v="0.32581192836409445"/>
    <x v="18"/>
    <x v="1"/>
    <x v="1"/>
  </r>
  <r>
    <s v="ORD-101281"/>
    <d v="2025-09-07T00:00:00"/>
    <d v="2025-09-11T00:00:00"/>
    <x v="2"/>
    <s v="Bristol"/>
    <s v="Corporate"/>
    <s v="B2B Sales"/>
    <s v="P-005"/>
    <n v="7"/>
    <n v="0"/>
    <n v="382.42"/>
    <n v="13.25"/>
    <x v="13"/>
    <x v="0"/>
    <s v="Apex Wholesale"/>
    <n v="25.33"/>
    <n v="51.56"/>
    <n v="177.31"/>
    <n v="191.86"/>
    <n v="0.50169970189843627"/>
    <x v="11"/>
    <x v="1"/>
    <x v="0"/>
  </r>
  <r>
    <s v="ORD-101282"/>
    <d v="2025-11-12T00:00:00"/>
    <d v="2025-11-18T00:00:00"/>
    <x v="2"/>
    <s v="Brighton"/>
    <s v="Small Business"/>
    <s v="B2B Sales"/>
    <s v="P-003"/>
    <n v="3"/>
    <n v="0.1"/>
    <n v="424.88"/>
    <n v="6.84"/>
    <x v="1"/>
    <x v="1"/>
    <s v="Orbit Supply Co."/>
    <n v="71.489999999999995"/>
    <n v="112.88"/>
    <n v="214.46999999999997"/>
    <n v="203.57000000000002"/>
    <n v="0.47912351722839397"/>
    <x v="19"/>
    <x v="0"/>
    <x v="0"/>
  </r>
  <r>
    <s v="ORD-101283"/>
    <d v="2024-12-08T00:00:00"/>
    <d v="2024-12-14T00:00:00"/>
    <x v="1"/>
    <s v="Cambridge"/>
    <s v="Home Office"/>
    <s v="B2B Sales"/>
    <s v="P-006"/>
    <n v="4"/>
    <n v="0.15"/>
    <n v="547.52"/>
    <n v="9.5"/>
    <x v="10"/>
    <x v="0"/>
    <s v="Apex Wholesale"/>
    <n v="54.95"/>
    <n v="112.56"/>
    <n v="219.8"/>
    <n v="318.21999999999997"/>
    <n v="0.58120251315020455"/>
    <x v="9"/>
    <x v="2"/>
    <x v="1"/>
  </r>
  <r>
    <s v="ORD-101284"/>
    <d v="2024-12-25T00:00:00"/>
    <d v="2024-12-28T00:00:00"/>
    <x v="2"/>
    <s v="Bristol"/>
    <s v="Home Office"/>
    <s v="Retail Store"/>
    <s v="P-009"/>
    <n v="4"/>
    <n v="0.05"/>
    <n v="686.11"/>
    <n v="5.7"/>
    <x v="0"/>
    <x v="0"/>
    <s v="Apex Wholesale"/>
    <n v="63.69"/>
    <n v="125.5"/>
    <n v="254.76"/>
    <n v="425.65000000000003"/>
    <n v="0.620381571468132"/>
    <x v="9"/>
    <x v="0"/>
    <x v="1"/>
  </r>
  <r>
    <s v="ORD-101285"/>
    <d v="2024-03-28T00:00:00"/>
    <d v="2024-03-30T00:00:00"/>
    <x v="3"/>
    <s v="Manchester"/>
    <s v="Home Office"/>
    <s v="Retail Store"/>
    <s v="P-015"/>
    <n v="5"/>
    <n v="0"/>
    <n v="28.38"/>
    <n v="4.05"/>
    <x v="8"/>
    <x v="2"/>
    <s v="Luma Imports"/>
    <n v="3.3"/>
    <n v="6.13"/>
    <n v="16.5"/>
    <n v="7.8299999999999992"/>
    <n v="0.27589852008456656"/>
    <x v="10"/>
    <x v="1"/>
    <x v="1"/>
  </r>
  <r>
    <s v="ORD-101286"/>
    <d v="2025-07-06T00:00:00"/>
    <d v="2025-07-08T00:00:00"/>
    <x v="0"/>
    <s v="Liverpool"/>
    <s v="Corporate"/>
    <s v="B2B Sales"/>
    <s v="P-002"/>
    <n v="3"/>
    <n v="0"/>
    <n v="592.24"/>
    <n v="11.4"/>
    <x v="2"/>
    <x v="1"/>
    <s v="Vertex Trade"/>
    <n v="119.02"/>
    <n v="205.39"/>
    <n v="357.06"/>
    <n v="223.78"/>
    <n v="0.37785357287586113"/>
    <x v="4"/>
    <x v="1"/>
    <x v="0"/>
  </r>
  <r>
    <s v="ORD-101287"/>
    <d v="2024-12-16T00:00:00"/>
    <d v="2024-12-18T00:00:00"/>
    <x v="1"/>
    <s v="Cambridge"/>
    <s v="Home Office"/>
    <s v="Online"/>
    <s v="P-006"/>
    <n v="4"/>
    <n v="0.2"/>
    <n v="537.71"/>
    <n v="9.5"/>
    <x v="10"/>
    <x v="0"/>
    <s v="Apex Wholesale"/>
    <n v="54.95"/>
    <n v="112.56"/>
    <n v="219.8"/>
    <n v="308.41000000000003"/>
    <n v="0.5735619571888193"/>
    <x v="9"/>
    <x v="2"/>
    <x v="1"/>
  </r>
  <r>
    <s v="ORD-101288"/>
    <d v="2025-01-13T00:00:00"/>
    <d v="2025-01-15T00:00:00"/>
    <x v="2"/>
    <s v="Bristol"/>
    <s v="Small Business"/>
    <s v="Online"/>
    <s v="P-011"/>
    <n v="12"/>
    <n v="0"/>
    <n v="148"/>
    <n v="5.94"/>
    <x v="9"/>
    <x v="2"/>
    <s v="Orbit Supply Co."/>
    <n v="7.93"/>
    <n v="14.78"/>
    <n v="95.16"/>
    <n v="46.900000000000006"/>
    <n v="0.31689189189189193"/>
    <x v="20"/>
    <x v="1"/>
    <x v="0"/>
  </r>
  <r>
    <s v="ORD-101289"/>
    <d v="2024-07-28T00:00:00"/>
    <d v="2024-07-30T00:00:00"/>
    <x v="2"/>
    <s v="Bristol"/>
    <s v="Corporate"/>
    <s v="B2B Sales"/>
    <s v="P-006"/>
    <n v="1"/>
    <n v="0.2"/>
    <n v="80.959999999999994"/>
    <n v="5.75"/>
    <x v="10"/>
    <x v="0"/>
    <s v="Apex Wholesale"/>
    <n v="54.95"/>
    <n v="112.56"/>
    <n v="54.95"/>
    <n v="20.259999999999991"/>
    <n v="0.25024703557312244"/>
    <x v="16"/>
    <x v="2"/>
    <x v="1"/>
  </r>
  <r>
    <s v="ORD-101290"/>
    <d v="2024-12-21T00:00:00"/>
    <d v="2024-12-23T00:00:00"/>
    <x v="0"/>
    <s v="Cardiff"/>
    <s v="Corporate"/>
    <s v="Retail Store"/>
    <s v="P-006"/>
    <n v="4"/>
    <n v="0.25"/>
    <n v="476.54"/>
    <n v="5.7"/>
    <x v="10"/>
    <x v="0"/>
    <s v="Apex Wholesale"/>
    <n v="54.95"/>
    <n v="112.56"/>
    <n v="219.8"/>
    <n v="251.04000000000002"/>
    <n v="0.52679733075922275"/>
    <x v="9"/>
    <x v="3"/>
    <x v="1"/>
  </r>
  <r>
    <s v="ORD-101291"/>
    <d v="2024-01-07T00:00:00"/>
    <d v="2024-01-12T00:00:00"/>
    <x v="0"/>
    <s v="Birmingham"/>
    <s v="Small Business"/>
    <s v="Retail Store"/>
    <s v="P-008"/>
    <n v="4"/>
    <n v="0"/>
    <n v="663.57"/>
    <n v="5.7"/>
    <x v="6"/>
    <x v="0"/>
    <s v="Vertex Trade"/>
    <n v="112.09"/>
    <n v="192.47"/>
    <n v="448.36"/>
    <n v="209.51000000000005"/>
    <n v="0.31573157315731576"/>
    <x v="18"/>
    <x v="1"/>
    <x v="1"/>
  </r>
  <r>
    <s v="ORD-101292"/>
    <d v="2024-05-26T00:00:00"/>
    <d v="2024-06-01T00:00:00"/>
    <x v="3"/>
    <s v="Manchester"/>
    <s v="Corporate"/>
    <s v="Retail Store"/>
    <s v="P-009"/>
    <n v="2"/>
    <n v="0.25"/>
    <n v="203.34"/>
    <n v="7"/>
    <x v="0"/>
    <x v="0"/>
    <s v="Apex Wholesale"/>
    <n v="63.69"/>
    <n v="125.5"/>
    <n v="127.38"/>
    <n v="68.960000000000008"/>
    <n v="0.33913642175666375"/>
    <x v="8"/>
    <x v="3"/>
    <x v="1"/>
  </r>
  <r>
    <s v="ORD-101293"/>
    <d v="2025-02-01T00:00:00"/>
    <d v="2025-02-03T00:00:00"/>
    <x v="3"/>
    <s v="Leeds"/>
    <s v="Home Office"/>
    <s v="Retail Store"/>
    <s v="P-014"/>
    <n v="3"/>
    <n v="0"/>
    <n v="77.5"/>
    <n v="3.51"/>
    <x v="3"/>
    <x v="2"/>
    <s v="Orbit Supply Co."/>
    <n v="16.760000000000002"/>
    <n v="27.71"/>
    <n v="50.28"/>
    <n v="23.71"/>
    <n v="0.30593548387096775"/>
    <x v="5"/>
    <x v="1"/>
    <x v="0"/>
  </r>
  <r>
    <s v="ORD-101294"/>
    <d v="2025-07-05T00:00:00"/>
    <d v="2025-07-09T00:00:00"/>
    <x v="3"/>
    <s v="Leeds"/>
    <s v="Home Office"/>
    <s v="B2B Sales"/>
    <s v="P-007"/>
    <n v="4"/>
    <n v="0.1"/>
    <n v="181.01"/>
    <n v="5.7"/>
    <x v="7"/>
    <x v="0"/>
    <s v="Luma Imports"/>
    <n v="31.34"/>
    <n v="56.49"/>
    <n v="125.36"/>
    <n v="49.949999999999989"/>
    <n v="0.27595160488370801"/>
    <x v="4"/>
    <x v="0"/>
    <x v="0"/>
  </r>
  <r>
    <s v="ORD-101295"/>
    <d v="2025-03-20T00:00:00"/>
    <d v="2025-03-22T00:00:00"/>
    <x v="0"/>
    <s v="Liverpool"/>
    <s v="Small Business"/>
    <s v="Retail Store"/>
    <s v="P-014"/>
    <n v="5"/>
    <n v="0"/>
    <n v="126.9"/>
    <n v="4.05"/>
    <x v="3"/>
    <x v="2"/>
    <s v="Orbit Supply Co."/>
    <n v="16.760000000000002"/>
    <n v="27.71"/>
    <n v="83.800000000000011"/>
    <n v="39.049999999999997"/>
    <n v="0.30772261623325448"/>
    <x v="2"/>
    <x v="1"/>
    <x v="0"/>
  </r>
  <r>
    <s v="ORD-101296"/>
    <d v="2024-10-09T00:00:00"/>
    <d v="2024-10-14T00:00:00"/>
    <x v="1"/>
    <s v="Norwich"/>
    <s v="Small Business"/>
    <s v="B2B Sales"/>
    <s v="P-012"/>
    <n v="8"/>
    <n v="0.05"/>
    <n v="74.849999999999994"/>
    <n v="8.1"/>
    <x v="14"/>
    <x v="2"/>
    <s v="Luma Imports"/>
    <n v="4.5"/>
    <n v="8.2899999999999991"/>
    <n v="36"/>
    <n v="30.749999999999993"/>
    <n v="0.41082164328657306"/>
    <x v="3"/>
    <x v="0"/>
    <x v="1"/>
  </r>
  <r>
    <s v="ORD-101297"/>
    <d v="2025-03-28T00:00:00"/>
    <d v="2025-04-01T00:00:00"/>
    <x v="0"/>
    <s v="Liverpool"/>
    <s v="Home Office"/>
    <s v="Retail Store"/>
    <s v="P-005"/>
    <n v="1"/>
    <n v="0.15"/>
    <n v="41.43"/>
    <n v="3.45"/>
    <x v="13"/>
    <x v="0"/>
    <s v="Apex Wholesale"/>
    <n v="25.33"/>
    <n v="51.56"/>
    <n v="25.33"/>
    <n v="12.650000000000002"/>
    <n v="0.30533429881728219"/>
    <x v="2"/>
    <x v="2"/>
    <x v="0"/>
  </r>
  <r>
    <s v="ORD-101298"/>
    <d v="2025-09-26T00:00:00"/>
    <d v="2025-10-01T00:00:00"/>
    <x v="0"/>
    <s v="Liverpool"/>
    <s v="Home Office"/>
    <s v="Retail Store"/>
    <s v="P-007"/>
    <n v="5"/>
    <n v="0"/>
    <n v="309.32"/>
    <n v="6.45"/>
    <x v="7"/>
    <x v="0"/>
    <s v="Luma Imports"/>
    <n v="31.34"/>
    <n v="56.49"/>
    <n v="156.69999999999999"/>
    <n v="146.17000000000002"/>
    <n v="0.47255269623690682"/>
    <x v="11"/>
    <x v="1"/>
    <x v="0"/>
  </r>
  <r>
    <s v="ORD-101299"/>
    <d v="2025-01-17T00:00:00"/>
    <d v="2025-01-19T00:00:00"/>
    <x v="1"/>
    <s v="Norwich"/>
    <s v="Home Office"/>
    <s v="B2B Sales"/>
    <s v="P-014"/>
    <n v="13"/>
    <n v="0"/>
    <n v="332.29"/>
    <n v="10.35"/>
    <x v="3"/>
    <x v="2"/>
    <s v="Orbit Supply Co."/>
    <n v="16.760000000000002"/>
    <n v="27.71"/>
    <n v="217.88000000000002"/>
    <n v="104.06"/>
    <n v="0.31316019139907908"/>
    <x v="20"/>
    <x v="1"/>
    <x v="0"/>
  </r>
  <r>
    <s v="ORD-101300"/>
    <d v="2024-05-31T00:00:00"/>
    <d v="2024-06-01T00:00:00"/>
    <x v="0"/>
    <s v="Birmingham"/>
    <s v="Home Office"/>
    <s v="Retail Store"/>
    <s v="P-004"/>
    <n v="2"/>
    <n v="0.1"/>
    <n v="190.89"/>
    <n v="9.1"/>
    <x v="5"/>
    <x v="1"/>
    <s v="Cedar Distribution"/>
    <n v="63.6"/>
    <n v="107.94"/>
    <n v="127.2"/>
    <n v="54.589999999999982"/>
    <n v="0.28597621666928591"/>
    <x v="8"/>
    <x v="0"/>
    <x v="1"/>
  </r>
  <r>
    <s v="ORD-101301"/>
    <d v="2025-10-30T00:00:00"/>
    <d v="2025-11-01T00:00:00"/>
    <x v="1"/>
    <s v="Norwich"/>
    <s v="Corporate"/>
    <s v="B2B Sales"/>
    <s v="P-011"/>
    <n v="11"/>
    <n v="0.25"/>
    <n v="133.36000000000001"/>
    <n v="5.67"/>
    <x v="9"/>
    <x v="2"/>
    <s v="Orbit Supply Co."/>
    <n v="7.93"/>
    <n v="14.78"/>
    <n v="87.22999999999999"/>
    <n v="40.460000000000022"/>
    <n v="0.30338932213557301"/>
    <x v="22"/>
    <x v="3"/>
    <x v="0"/>
  </r>
  <r>
    <s v="ORD-101302"/>
    <d v="2025-11-07T00:00:00"/>
    <d v="2025-11-13T00:00:00"/>
    <x v="3"/>
    <s v="Leeds"/>
    <s v="Corporate"/>
    <s v="Online"/>
    <s v="P-015"/>
    <n v="10"/>
    <n v="0"/>
    <n v="86.82"/>
    <n v="9"/>
    <x v="8"/>
    <x v="2"/>
    <s v="Luma Imports"/>
    <n v="3.3"/>
    <n v="6.13"/>
    <n v="33"/>
    <n v="44.819999999999993"/>
    <n v="0.5162404975812025"/>
    <x v="19"/>
    <x v="1"/>
    <x v="0"/>
  </r>
  <r>
    <s v="ORD-101303"/>
    <d v="2025-07-29T00:00:00"/>
    <d v="2025-07-30T00:00:00"/>
    <x v="2"/>
    <s v="Brighton"/>
    <s v="Corporate"/>
    <s v="B2B Sales"/>
    <s v="P-013"/>
    <n v="12"/>
    <n v="0.25"/>
    <n v="97.91"/>
    <n v="9.9"/>
    <x v="11"/>
    <x v="2"/>
    <s v="Apex Wholesale"/>
    <n v="6.33"/>
    <n v="12.16"/>
    <n v="75.960000000000008"/>
    <n v="12.049999999999988"/>
    <n v="0.12307220917168817"/>
    <x v="4"/>
    <x v="3"/>
    <x v="0"/>
  </r>
  <r>
    <s v="ORD-101304"/>
    <d v="2025-11-29T00:00:00"/>
    <d v="2025-12-03T00:00:00"/>
    <x v="0"/>
    <s v="Liverpool"/>
    <s v="Small Business"/>
    <s v="Online"/>
    <s v="P-015"/>
    <n v="12"/>
    <n v="0"/>
    <n v="102.84"/>
    <n v="9.9"/>
    <x v="8"/>
    <x v="2"/>
    <s v="Luma Imports"/>
    <n v="3.3"/>
    <n v="6.13"/>
    <n v="39.599999999999994"/>
    <n v="53.340000000000011"/>
    <n v="0.51866977829638283"/>
    <x v="19"/>
    <x v="1"/>
    <x v="0"/>
  </r>
  <r>
    <s v="ORD-101305"/>
    <d v="2024-03-03T00:00:00"/>
    <d v="2024-03-05T00:00:00"/>
    <x v="1"/>
    <s v="Cambridge"/>
    <s v="Corporate"/>
    <s v="B2B Sales"/>
    <s v="P-003"/>
    <n v="1"/>
    <n v="0"/>
    <n v="105.75"/>
    <n v="4.08"/>
    <x v="1"/>
    <x v="1"/>
    <s v="Orbit Supply Co."/>
    <n v="71.489999999999995"/>
    <n v="112.88"/>
    <n v="71.489999999999995"/>
    <n v="30.180000000000007"/>
    <n v="0.28539007092198587"/>
    <x v="10"/>
    <x v="1"/>
    <x v="1"/>
  </r>
  <r>
    <s v="ORD-101306"/>
    <d v="2025-04-28T00:00:00"/>
    <d v="2025-05-02T00:00:00"/>
    <x v="1"/>
    <s v="Peterborough"/>
    <s v="Corporate"/>
    <s v="B2B Sales"/>
    <s v="P-011"/>
    <n v="13"/>
    <n v="0"/>
    <n v="181.58"/>
    <n v="10.35"/>
    <x v="9"/>
    <x v="2"/>
    <s v="Orbit Supply Co."/>
    <n v="7.93"/>
    <n v="14.78"/>
    <n v="103.09"/>
    <n v="68.140000000000015"/>
    <n v="0.37526159268641929"/>
    <x v="15"/>
    <x v="1"/>
    <x v="0"/>
  </r>
  <r>
    <s v="ORD-101307"/>
    <d v="2024-03-05T00:00:00"/>
    <d v="2024-03-07T00:00:00"/>
    <x v="3"/>
    <s v="Newcastle"/>
    <s v="Small Business"/>
    <s v="Retail Store"/>
    <s v="P-012"/>
    <n v="13"/>
    <n v="0"/>
    <n v="104.89"/>
    <n v="6.21"/>
    <x v="14"/>
    <x v="2"/>
    <s v="Luma Imports"/>
    <n v="4.5"/>
    <n v="8.2899999999999991"/>
    <n v="58.5"/>
    <n v="40.18"/>
    <n v="0.38306797597483078"/>
    <x v="10"/>
    <x v="1"/>
    <x v="1"/>
  </r>
  <r>
    <s v="ORD-101308"/>
    <d v="2025-06-17T00:00:00"/>
    <d v="2025-06-20T00:00:00"/>
    <x v="3"/>
    <s v="Manchester"/>
    <s v="Home Office"/>
    <s v="Retail Store"/>
    <s v="P-007"/>
    <n v="4"/>
    <n v="0"/>
    <n v="248.49"/>
    <n v="9.5"/>
    <x v="7"/>
    <x v="0"/>
    <s v="Luma Imports"/>
    <n v="31.34"/>
    <n v="56.49"/>
    <n v="125.36"/>
    <n v="113.63000000000001"/>
    <n v="0.45728198317839752"/>
    <x v="0"/>
    <x v="1"/>
    <x v="0"/>
  </r>
  <r>
    <s v="ORD-101309"/>
    <d v="2024-11-24T00:00:00"/>
    <d v="2024-11-28T00:00:00"/>
    <x v="0"/>
    <s v="Birmingham"/>
    <s v="Small Business"/>
    <s v="Online"/>
    <s v="P-006"/>
    <n v="1"/>
    <n v="0"/>
    <n v="143.19999999999999"/>
    <n v="3.45"/>
    <x v="10"/>
    <x v="0"/>
    <s v="Apex Wholesale"/>
    <n v="54.95"/>
    <n v="112.56"/>
    <n v="54.95"/>
    <n v="84.799999999999983"/>
    <n v="0.5921787709497206"/>
    <x v="14"/>
    <x v="1"/>
    <x v="1"/>
  </r>
  <r>
    <s v="ORD-101310"/>
    <d v="2024-01-29T00:00:00"/>
    <d v="2024-02-04T00:00:00"/>
    <x v="1"/>
    <s v="Cambridge"/>
    <s v="Small Business"/>
    <s v="Retail Store"/>
    <s v="P-001"/>
    <n v="3"/>
    <n v="0.2"/>
    <n v="597.97"/>
    <n v="6.84"/>
    <x v="12"/>
    <x v="1"/>
    <s v="Luma Imports"/>
    <n v="173.56"/>
    <n v="286.14999999999998"/>
    <n v="520.68000000000006"/>
    <n v="70.44999999999996"/>
    <n v="0.11781527501379661"/>
    <x v="18"/>
    <x v="2"/>
    <x v="1"/>
  </r>
  <r>
    <s v="ORD-101311"/>
    <d v="2024-01-03T00:00:00"/>
    <d v="2024-01-07T00:00:00"/>
    <x v="0"/>
    <s v="Liverpool"/>
    <s v="Corporate"/>
    <s v="Retail Store"/>
    <s v="P-013"/>
    <n v="14"/>
    <n v="0"/>
    <n v="146.33000000000001"/>
    <n v="6.48"/>
    <x v="11"/>
    <x v="2"/>
    <s v="Apex Wholesale"/>
    <n v="6.33"/>
    <n v="12.16"/>
    <n v="88.62"/>
    <n v="51.230000000000004"/>
    <n v="0.35009909109546916"/>
    <x v="18"/>
    <x v="1"/>
    <x v="1"/>
  </r>
  <r>
    <s v="ORD-101312"/>
    <d v="2025-01-19T00:00:00"/>
    <d v="2025-01-23T00:00:00"/>
    <x v="1"/>
    <s v="Norwich"/>
    <s v="Corporate"/>
    <s v="Retail Store"/>
    <s v="P-010"/>
    <n v="11"/>
    <n v="0.05"/>
    <n v="56.05"/>
    <n v="9.4499999999999993"/>
    <x v="4"/>
    <x v="2"/>
    <s v="Orbit Supply Co."/>
    <n v="3.62"/>
    <n v="6.03"/>
    <n v="39.82"/>
    <n v="6.7799999999999976"/>
    <n v="0.12096342551293485"/>
    <x v="20"/>
    <x v="0"/>
    <x v="0"/>
  </r>
  <r>
    <s v="ORD-101313"/>
    <d v="2025-12-03T00:00:00"/>
    <d v="2025-12-07T00:00:00"/>
    <x v="0"/>
    <s v="Birmingham"/>
    <s v="Corporate"/>
    <s v="Retail Store"/>
    <s v="P-012"/>
    <n v="12"/>
    <n v="0"/>
    <n v="143.72999999999999"/>
    <n v="5.94"/>
    <x v="14"/>
    <x v="2"/>
    <s v="Luma Imports"/>
    <n v="4.5"/>
    <n v="8.2899999999999991"/>
    <n v="54"/>
    <n v="83.789999999999992"/>
    <n v="0.58296806512210397"/>
    <x v="13"/>
    <x v="1"/>
    <x v="0"/>
  </r>
  <r>
    <s v="ORD-101314"/>
    <d v="2024-06-16T00:00:00"/>
    <d v="2024-06-21T00:00:00"/>
    <x v="0"/>
    <s v="Birmingham"/>
    <s v="Small Business"/>
    <s v="Retail Store"/>
    <s v="P-011"/>
    <n v="8"/>
    <n v="0"/>
    <n v="127.1"/>
    <n v="4.8600000000000003"/>
    <x v="9"/>
    <x v="2"/>
    <s v="Orbit Supply Co."/>
    <n v="7.93"/>
    <n v="14.78"/>
    <n v="63.44"/>
    <n v="58.8"/>
    <n v="0.46262785208497248"/>
    <x v="17"/>
    <x v="1"/>
    <x v="1"/>
  </r>
  <r>
    <s v="ORD-101315"/>
    <d v="2024-05-27T00:00:00"/>
    <d v="2024-05-31T00:00:00"/>
    <x v="3"/>
    <s v="Newcastle"/>
    <s v="Home Office"/>
    <s v="Retail Store"/>
    <s v="P-013"/>
    <n v="14"/>
    <n v="0.1"/>
    <n v="161.30000000000001"/>
    <n v="10.8"/>
    <x v="11"/>
    <x v="2"/>
    <s v="Apex Wholesale"/>
    <n v="6.33"/>
    <n v="12.16"/>
    <n v="88.62"/>
    <n v="61.88000000000001"/>
    <n v="0.38363298202107876"/>
    <x v="8"/>
    <x v="0"/>
    <x v="1"/>
  </r>
  <r>
    <s v="ORD-101316"/>
    <d v="2025-03-28T00:00:00"/>
    <d v="2025-04-01T00:00:00"/>
    <x v="1"/>
    <s v="Norwich"/>
    <s v="Corporate"/>
    <s v="Retail Store"/>
    <s v="P-006"/>
    <n v="4"/>
    <n v="0"/>
    <n v="442.99"/>
    <n v="5.7"/>
    <x v="10"/>
    <x v="0"/>
    <s v="Apex Wholesale"/>
    <n v="54.95"/>
    <n v="112.56"/>
    <n v="219.8"/>
    <n v="217.49"/>
    <n v="0.49095916386374411"/>
    <x v="2"/>
    <x v="1"/>
    <x v="0"/>
  </r>
  <r>
    <s v="ORD-101317"/>
    <d v="2025-09-16T00:00:00"/>
    <d v="2025-09-19T00:00:00"/>
    <x v="2"/>
    <s v="Brighton"/>
    <s v="Home Office"/>
    <s v="Online"/>
    <s v="P-003"/>
    <n v="2"/>
    <n v="0.15"/>
    <n v="197.33"/>
    <n v="9.1"/>
    <x v="1"/>
    <x v="1"/>
    <s v="Orbit Supply Co."/>
    <n v="71.489999999999995"/>
    <n v="112.88"/>
    <n v="142.97999999999999"/>
    <n v="45.250000000000021"/>
    <n v="0.22931130593422194"/>
    <x v="11"/>
    <x v="2"/>
    <x v="0"/>
  </r>
  <r>
    <s v="ORD-101318"/>
    <d v="2025-10-13T00:00:00"/>
    <d v="2025-10-14T00:00:00"/>
    <x v="3"/>
    <s v="Newcastle"/>
    <s v="Small Business"/>
    <s v="B2B Sales"/>
    <s v="P-011"/>
    <n v="8"/>
    <n v="0.25"/>
    <n v="108.27"/>
    <n v="8.1"/>
    <x v="9"/>
    <x v="2"/>
    <s v="Orbit Supply Co."/>
    <n v="7.93"/>
    <n v="14.78"/>
    <n v="63.44"/>
    <n v="36.729999999999997"/>
    <n v="0.33924448138911978"/>
    <x v="22"/>
    <x v="3"/>
    <x v="0"/>
  </r>
  <r>
    <s v="ORD-101319"/>
    <d v="2024-11-30T00:00:00"/>
    <d v="2024-12-01T00:00:00"/>
    <x v="2"/>
    <s v="London"/>
    <s v="Home Office"/>
    <s v="B2B Sales"/>
    <s v="P-007"/>
    <n v="2"/>
    <n v="0.25"/>
    <n v="109.73"/>
    <n v="7"/>
    <x v="7"/>
    <x v="0"/>
    <s v="Luma Imports"/>
    <n v="31.34"/>
    <n v="56.49"/>
    <n v="62.68"/>
    <n v="40.050000000000004"/>
    <n v="0.36498678574683319"/>
    <x v="14"/>
    <x v="3"/>
    <x v="1"/>
  </r>
  <r>
    <s v="ORD-101320"/>
    <d v="2025-02-15T00:00:00"/>
    <d v="2025-02-20T00:00:00"/>
    <x v="0"/>
    <s v="Liverpool"/>
    <s v="Corporate"/>
    <s v="B2B Sales"/>
    <s v="P-011"/>
    <n v="4"/>
    <n v="0.05"/>
    <n v="51.25"/>
    <n v="3.78"/>
    <x v="9"/>
    <x v="2"/>
    <s v="Orbit Supply Co."/>
    <n v="7.93"/>
    <n v="14.78"/>
    <n v="31.72"/>
    <n v="15.750000000000002"/>
    <n v="0.30731707317073176"/>
    <x v="5"/>
    <x v="0"/>
    <x v="0"/>
  </r>
  <r>
    <s v="ORD-101321"/>
    <d v="2025-12-08T00:00:00"/>
    <d v="2025-12-14T00:00:00"/>
    <x v="3"/>
    <s v="Newcastle"/>
    <s v="Small Business"/>
    <s v="Retail Store"/>
    <s v="P-002"/>
    <n v="2"/>
    <n v="0"/>
    <n v="558.44000000000005"/>
    <n v="5.46"/>
    <x v="2"/>
    <x v="1"/>
    <s v="Vertex Trade"/>
    <n v="119.02"/>
    <n v="205.39"/>
    <n v="238.04"/>
    <n v="314.94000000000011"/>
    <n v="0.56396389943413805"/>
    <x v="13"/>
    <x v="1"/>
    <x v="0"/>
  </r>
  <r>
    <s v="ORD-101322"/>
    <d v="2024-08-17T00:00:00"/>
    <d v="2024-08-21T00:00:00"/>
    <x v="0"/>
    <s v="Liverpool"/>
    <s v="Small Business"/>
    <s v="Online"/>
    <s v="P-009"/>
    <n v="2"/>
    <n v="0"/>
    <n v="231.66"/>
    <n v="7"/>
    <x v="0"/>
    <x v="0"/>
    <s v="Apex Wholesale"/>
    <n v="63.69"/>
    <n v="125.5"/>
    <n v="127.38"/>
    <n v="97.28"/>
    <n v="0.4199257532590866"/>
    <x v="7"/>
    <x v="1"/>
    <x v="1"/>
  </r>
  <r>
    <s v="ORD-101323"/>
    <d v="2024-03-04T00:00:00"/>
    <d v="2024-03-06T00:00:00"/>
    <x v="3"/>
    <s v="Newcastle"/>
    <s v="Corporate"/>
    <s v="Retail Store"/>
    <s v="P-005"/>
    <n v="4"/>
    <n v="0"/>
    <n v="191.92"/>
    <n v="9.5"/>
    <x v="13"/>
    <x v="0"/>
    <s v="Apex Wholesale"/>
    <n v="25.33"/>
    <n v="51.56"/>
    <n v="101.32"/>
    <n v="81.099999999999994"/>
    <n v="0.42257190496040015"/>
    <x v="10"/>
    <x v="1"/>
    <x v="1"/>
  </r>
  <r>
    <s v="ORD-101324"/>
    <d v="2024-08-28T00:00:00"/>
    <d v="2024-08-30T00:00:00"/>
    <x v="1"/>
    <s v="Peterborough"/>
    <s v="Home Office"/>
    <s v="Online"/>
    <s v="P-009"/>
    <n v="1"/>
    <n v="0.2"/>
    <n v="90.27"/>
    <n v="5.75"/>
    <x v="0"/>
    <x v="0"/>
    <s v="Apex Wholesale"/>
    <n v="63.69"/>
    <n v="125.5"/>
    <n v="63.69"/>
    <n v="20.83"/>
    <n v="0.23075218788080204"/>
    <x v="7"/>
    <x v="2"/>
    <x v="1"/>
  </r>
  <r>
    <s v="ORD-101325"/>
    <d v="2025-02-20T00:00:00"/>
    <d v="2025-02-26T00:00:00"/>
    <x v="0"/>
    <s v="Liverpool"/>
    <s v="Small Business"/>
    <s v="B2B Sales"/>
    <s v="P-013"/>
    <n v="20"/>
    <n v="0.05"/>
    <n v="195.69"/>
    <n v="13.5"/>
    <x v="11"/>
    <x v="2"/>
    <s v="Apex Wholesale"/>
    <n v="6.33"/>
    <n v="12.16"/>
    <n v="126.6"/>
    <n v="55.59"/>
    <n v="0.28407174612908176"/>
    <x v="5"/>
    <x v="0"/>
    <x v="0"/>
  </r>
  <r>
    <s v="ORD-101326"/>
    <d v="2024-02-28T00:00:00"/>
    <d v="2024-02-29T00:00:00"/>
    <x v="2"/>
    <s v="Brighton"/>
    <s v="Small Business"/>
    <s v="Retail Store"/>
    <s v="P-007"/>
    <n v="3"/>
    <n v="0.2"/>
    <n v="118.97"/>
    <n v="8.25"/>
    <x v="7"/>
    <x v="0"/>
    <s v="Luma Imports"/>
    <n v="31.34"/>
    <n v="56.49"/>
    <n v="94.02"/>
    <n v="16.700000000000003"/>
    <n v="0.1403715222324956"/>
    <x v="12"/>
    <x v="2"/>
    <x v="1"/>
  </r>
  <r>
    <s v="ORD-101327"/>
    <d v="2025-04-04T00:00:00"/>
    <d v="2025-04-08T00:00:00"/>
    <x v="3"/>
    <s v="Manchester"/>
    <s v="Corporate"/>
    <s v="B2B Sales"/>
    <s v="P-012"/>
    <n v="6"/>
    <n v="0.1"/>
    <n v="44.57"/>
    <n v="7.2"/>
    <x v="14"/>
    <x v="2"/>
    <s v="Luma Imports"/>
    <n v="4.5"/>
    <n v="8.2899999999999991"/>
    <n v="27"/>
    <n v="10.370000000000001"/>
    <n v="0.23266771370877273"/>
    <x v="15"/>
    <x v="0"/>
    <x v="0"/>
  </r>
  <r>
    <s v="ORD-101328"/>
    <d v="2024-02-15T00:00:00"/>
    <d v="2024-02-17T00:00:00"/>
    <x v="3"/>
    <s v="Leeds"/>
    <s v="Home Office"/>
    <s v="B2B Sales"/>
    <s v="P-005"/>
    <n v="3"/>
    <n v="0.1"/>
    <n v="120.48"/>
    <n v="8.25"/>
    <x v="13"/>
    <x v="0"/>
    <s v="Apex Wholesale"/>
    <n v="25.33"/>
    <n v="51.56"/>
    <n v="75.989999999999995"/>
    <n v="36.240000000000009"/>
    <n v="0.30079681274900405"/>
    <x v="12"/>
    <x v="0"/>
    <x v="1"/>
  </r>
  <r>
    <s v="ORD-101329"/>
    <d v="2024-08-02T00:00:00"/>
    <d v="2024-08-07T00:00:00"/>
    <x v="1"/>
    <s v="Peterborough"/>
    <s v="Home Office"/>
    <s v="Retail Store"/>
    <s v="P-013"/>
    <n v="14"/>
    <n v="0.15"/>
    <n v="132.56"/>
    <n v="6.48"/>
    <x v="11"/>
    <x v="2"/>
    <s v="Apex Wholesale"/>
    <n v="6.33"/>
    <n v="12.16"/>
    <n v="88.62"/>
    <n v="37.459999999999994"/>
    <n v="0.28258901629450811"/>
    <x v="7"/>
    <x v="2"/>
    <x v="1"/>
  </r>
  <r>
    <s v="ORD-101330"/>
    <d v="2025-12-10T00:00:00"/>
    <d v="2025-12-12T00:00:00"/>
    <x v="0"/>
    <s v="Liverpool"/>
    <s v="Small Business"/>
    <s v="B2B Sales"/>
    <s v="P-005"/>
    <n v="1"/>
    <n v="0"/>
    <n v="70.2"/>
    <n v="5.75"/>
    <x v="13"/>
    <x v="0"/>
    <s v="Apex Wholesale"/>
    <n v="25.33"/>
    <n v="51.56"/>
    <n v="25.33"/>
    <n v="39.120000000000005"/>
    <n v="0.55726495726495728"/>
    <x v="13"/>
    <x v="1"/>
    <x v="0"/>
  </r>
  <r>
    <s v="ORD-101331"/>
    <d v="2025-12-29T00:00:00"/>
    <d v="2026-01-03T00:00:00"/>
    <x v="3"/>
    <s v="Leeds"/>
    <s v="Home Office"/>
    <s v="B2B Sales"/>
    <s v="P-015"/>
    <n v="9"/>
    <n v="0.25"/>
    <n v="59.36"/>
    <n v="5.13"/>
    <x v="8"/>
    <x v="2"/>
    <s v="Luma Imports"/>
    <n v="3.3"/>
    <n v="6.13"/>
    <n v="29.7"/>
    <n v="24.53"/>
    <n v="0.41324123989218331"/>
    <x v="13"/>
    <x v="3"/>
    <x v="0"/>
  </r>
  <r>
    <s v="ORD-101332"/>
    <d v="2025-06-28T00:00:00"/>
    <d v="2025-07-02T00:00:00"/>
    <x v="0"/>
    <s v="Cardiff"/>
    <s v="Corporate"/>
    <s v="Online"/>
    <s v="P-001"/>
    <n v="2"/>
    <n v="0"/>
    <n v="574.26"/>
    <n v="9.1"/>
    <x v="12"/>
    <x v="1"/>
    <s v="Luma Imports"/>
    <n v="173.56"/>
    <n v="286.14999999999998"/>
    <n v="347.12"/>
    <n v="218.04"/>
    <n v="0.3796886427750496"/>
    <x v="0"/>
    <x v="1"/>
    <x v="0"/>
  </r>
  <r>
    <s v="ORD-101333"/>
    <d v="2025-11-15T00:00:00"/>
    <d v="2025-11-20T00:00:00"/>
    <x v="1"/>
    <s v="Cambridge"/>
    <s v="Small Business"/>
    <s v="Online"/>
    <s v="P-009"/>
    <n v="1"/>
    <n v="0.05"/>
    <n v="165.6"/>
    <n v="5.75"/>
    <x v="0"/>
    <x v="0"/>
    <s v="Apex Wholesale"/>
    <n v="63.69"/>
    <n v="125.5"/>
    <n v="63.69"/>
    <n v="96.16"/>
    <n v="0.58067632850241546"/>
    <x v="19"/>
    <x v="0"/>
    <x v="0"/>
  </r>
  <r>
    <s v="ORD-101334"/>
    <d v="2024-02-16T00:00:00"/>
    <d v="2024-02-17T00:00:00"/>
    <x v="2"/>
    <s v="Bristol"/>
    <s v="Corporate"/>
    <s v="Retail Store"/>
    <s v="P-001"/>
    <n v="1"/>
    <n v="0.1"/>
    <n v="227.47"/>
    <n v="4.08"/>
    <x v="12"/>
    <x v="1"/>
    <s v="Luma Imports"/>
    <n v="173.56"/>
    <n v="286.14999999999998"/>
    <n v="173.56"/>
    <n v="49.83"/>
    <n v="0.21906185431045852"/>
    <x v="12"/>
    <x v="0"/>
    <x v="1"/>
  </r>
  <r>
    <s v="ORD-101335"/>
    <d v="2024-02-25T00:00:00"/>
    <d v="2024-02-26T00:00:00"/>
    <x v="2"/>
    <s v="London"/>
    <s v="Home Office"/>
    <s v="B2B Sales"/>
    <s v="P-001"/>
    <n v="3"/>
    <n v="0"/>
    <n v="733.45"/>
    <n v="6.84"/>
    <x v="12"/>
    <x v="1"/>
    <s v="Luma Imports"/>
    <n v="173.56"/>
    <n v="286.14999999999998"/>
    <n v="520.68000000000006"/>
    <n v="205.92999999999998"/>
    <n v="0.28076896857318151"/>
    <x v="12"/>
    <x v="1"/>
    <x v="1"/>
  </r>
  <r>
    <s v="ORD-101336"/>
    <d v="2024-12-19T00:00:00"/>
    <d v="2024-12-20T00:00:00"/>
    <x v="3"/>
    <s v="Leeds"/>
    <s v="Small Business"/>
    <s v="Retail Store"/>
    <s v="P-007"/>
    <n v="4"/>
    <n v="0.25"/>
    <n v="251.01"/>
    <n v="9.5"/>
    <x v="7"/>
    <x v="0"/>
    <s v="Luma Imports"/>
    <n v="31.34"/>
    <n v="56.49"/>
    <n v="125.36"/>
    <n v="116.14999999999999"/>
    <n v="0.46273056850324684"/>
    <x v="9"/>
    <x v="3"/>
    <x v="1"/>
  </r>
  <r>
    <s v="ORD-101337"/>
    <d v="2024-01-09T00:00:00"/>
    <d v="2024-01-10T00:00:00"/>
    <x v="2"/>
    <s v="Bristol"/>
    <s v="Corporate"/>
    <s v="B2B Sales"/>
    <s v="P-001"/>
    <n v="2"/>
    <n v="0"/>
    <n v="503.44"/>
    <n v="9.1"/>
    <x v="12"/>
    <x v="1"/>
    <s v="Luma Imports"/>
    <n v="173.56"/>
    <n v="286.14999999999998"/>
    <n v="347.12"/>
    <n v="147.22"/>
    <n v="0.29242809470840614"/>
    <x v="18"/>
    <x v="1"/>
    <x v="1"/>
  </r>
  <r>
    <s v="ORD-101338"/>
    <d v="2024-06-06T00:00:00"/>
    <d v="2024-06-07T00:00:00"/>
    <x v="2"/>
    <s v="Brighton"/>
    <s v="Small Business"/>
    <s v="B2B Sales"/>
    <s v="P-008"/>
    <n v="2"/>
    <n v="0.1"/>
    <n v="365.59"/>
    <n v="4.2"/>
    <x v="6"/>
    <x v="0"/>
    <s v="Vertex Trade"/>
    <n v="112.09"/>
    <n v="192.47"/>
    <n v="224.18"/>
    <n v="137.20999999999998"/>
    <n v="0.37531114089553869"/>
    <x v="17"/>
    <x v="0"/>
    <x v="1"/>
  </r>
  <r>
    <s v="ORD-101339"/>
    <d v="2025-05-19T00:00:00"/>
    <d v="2025-05-24T00:00:00"/>
    <x v="1"/>
    <s v="Norwich"/>
    <s v="Small Business"/>
    <s v="B2B Sales"/>
    <s v="P-010"/>
    <n v="11"/>
    <n v="0"/>
    <n v="64.900000000000006"/>
    <n v="9.4499999999999993"/>
    <x v="4"/>
    <x v="2"/>
    <s v="Orbit Supply Co."/>
    <n v="3.62"/>
    <n v="6.03"/>
    <n v="39.82"/>
    <n v="15.630000000000006"/>
    <n v="0.24083204930662566"/>
    <x v="1"/>
    <x v="1"/>
    <x v="0"/>
  </r>
  <r>
    <s v="ORD-101340"/>
    <d v="2025-05-14T00:00:00"/>
    <d v="2025-05-20T00:00:00"/>
    <x v="2"/>
    <s v="Bristol"/>
    <s v="Home Office"/>
    <s v="Retail Store"/>
    <s v="P-004"/>
    <n v="4"/>
    <n v="0"/>
    <n v="425.68"/>
    <n v="13.7"/>
    <x v="5"/>
    <x v="1"/>
    <s v="Cedar Distribution"/>
    <n v="63.6"/>
    <n v="107.94"/>
    <n v="254.4"/>
    <n v="157.58000000000001"/>
    <n v="0.37018417590678449"/>
    <x v="1"/>
    <x v="1"/>
    <x v="0"/>
  </r>
  <r>
    <s v="ORD-101341"/>
    <d v="2024-08-01T00:00:00"/>
    <d v="2024-08-07T00:00:00"/>
    <x v="0"/>
    <s v="Liverpool"/>
    <s v="Small Business"/>
    <s v="Retail Store"/>
    <s v="P-005"/>
    <n v="4"/>
    <n v="0"/>
    <n v="200.8"/>
    <n v="5.7"/>
    <x v="13"/>
    <x v="0"/>
    <s v="Apex Wholesale"/>
    <n v="25.33"/>
    <n v="51.56"/>
    <n v="101.32"/>
    <n v="93.780000000000015"/>
    <n v="0.4670318725099602"/>
    <x v="7"/>
    <x v="1"/>
    <x v="1"/>
  </r>
  <r>
    <s v="ORD-101342"/>
    <d v="2025-12-25T00:00:00"/>
    <d v="2025-12-31T00:00:00"/>
    <x v="2"/>
    <s v="Bristol"/>
    <s v="Small Business"/>
    <s v="B2B Sales"/>
    <s v="P-006"/>
    <n v="1"/>
    <n v="0"/>
    <n v="158.94999999999999"/>
    <n v="3.45"/>
    <x v="10"/>
    <x v="0"/>
    <s v="Apex Wholesale"/>
    <n v="54.95"/>
    <n v="112.56"/>
    <n v="54.95"/>
    <n v="100.54999999999998"/>
    <n v="0.6325888644227744"/>
    <x v="13"/>
    <x v="1"/>
    <x v="0"/>
  </r>
  <r>
    <s v="ORD-101343"/>
    <d v="2025-04-04T00:00:00"/>
    <d v="2025-04-06T00:00:00"/>
    <x v="0"/>
    <s v="Cardiff"/>
    <s v="Home Office"/>
    <s v="Retail Store"/>
    <s v="P-009"/>
    <n v="3"/>
    <n v="0.1"/>
    <n v="340.99"/>
    <n v="8.25"/>
    <x v="0"/>
    <x v="0"/>
    <s v="Apex Wholesale"/>
    <n v="63.69"/>
    <n v="125.5"/>
    <n v="191.07"/>
    <n v="141.67000000000002"/>
    <n v="0.41546672922959621"/>
    <x v="15"/>
    <x v="0"/>
    <x v="0"/>
  </r>
  <r>
    <s v="ORD-101344"/>
    <d v="2025-12-12T00:00:00"/>
    <d v="2025-12-16T00:00:00"/>
    <x v="1"/>
    <s v="Cambridge"/>
    <s v="Small Business"/>
    <s v="B2B Sales"/>
    <s v="P-012"/>
    <n v="11"/>
    <n v="0"/>
    <n v="130.54"/>
    <n v="9.4499999999999993"/>
    <x v="14"/>
    <x v="2"/>
    <s v="Luma Imports"/>
    <n v="4.5"/>
    <n v="8.2899999999999991"/>
    <n v="49.5"/>
    <n v="71.589999999999989"/>
    <n v="0.54841427914815377"/>
    <x v="13"/>
    <x v="1"/>
    <x v="0"/>
  </r>
  <r>
    <s v="ORD-101345"/>
    <d v="2024-10-21T00:00:00"/>
    <d v="2024-10-22T00:00:00"/>
    <x v="3"/>
    <s v="Leeds"/>
    <s v="Corporate"/>
    <s v="B2B Sales"/>
    <s v="P-013"/>
    <n v="11"/>
    <n v="0.25"/>
    <n v="117.79"/>
    <n v="9.4499999999999993"/>
    <x v="11"/>
    <x v="2"/>
    <s v="Apex Wholesale"/>
    <n v="6.33"/>
    <n v="12.16"/>
    <n v="69.63"/>
    <n v="38.710000000000008"/>
    <n v="0.32863570761524752"/>
    <x v="3"/>
    <x v="3"/>
    <x v="1"/>
  </r>
  <r>
    <s v="ORD-101346"/>
    <d v="2024-02-27T00:00:00"/>
    <d v="2024-03-04T00:00:00"/>
    <x v="2"/>
    <s v="Brighton"/>
    <s v="Small Business"/>
    <s v="Online"/>
    <s v="P-010"/>
    <n v="13"/>
    <n v="0.05"/>
    <n v="65.959999999999994"/>
    <n v="6.21"/>
    <x v="4"/>
    <x v="2"/>
    <s v="Orbit Supply Co."/>
    <n v="3.62"/>
    <n v="6.03"/>
    <n v="47.06"/>
    <n v="12.689999999999991"/>
    <n v="0.1923893268647664"/>
    <x v="12"/>
    <x v="0"/>
    <x v="1"/>
  </r>
  <r>
    <s v="ORD-101347"/>
    <d v="2024-09-25T00:00:00"/>
    <d v="2024-09-27T00:00:00"/>
    <x v="2"/>
    <s v="Bristol"/>
    <s v="Corporate"/>
    <s v="Online"/>
    <s v="P-014"/>
    <n v="9"/>
    <n v="0"/>
    <n v="280.55"/>
    <n v="8.5500000000000007"/>
    <x v="3"/>
    <x v="2"/>
    <s v="Orbit Supply Co."/>
    <n v="16.760000000000002"/>
    <n v="27.71"/>
    <n v="150.84"/>
    <n v="121.16000000000001"/>
    <n v="0.43186597754410982"/>
    <x v="23"/>
    <x v="1"/>
    <x v="1"/>
  </r>
  <r>
    <s v="ORD-101348"/>
    <d v="2025-11-21T00:00:00"/>
    <d v="2025-11-22T00:00:00"/>
    <x v="0"/>
    <s v="Liverpool"/>
    <s v="Corporate"/>
    <s v="Retail Store"/>
    <s v="P-001"/>
    <n v="7"/>
    <n v="0.2"/>
    <n v="2053.81"/>
    <n v="20.6"/>
    <x v="12"/>
    <x v="1"/>
    <s v="Luma Imports"/>
    <n v="173.56"/>
    <n v="286.14999999999998"/>
    <n v="1214.92"/>
    <n v="818.28999999999985"/>
    <n v="0.39842536554014241"/>
    <x v="19"/>
    <x v="2"/>
    <x v="0"/>
  </r>
  <r>
    <s v="ORD-101349"/>
    <d v="2024-03-30T00:00:00"/>
    <d v="2024-04-01T00:00:00"/>
    <x v="3"/>
    <s v="Leeds"/>
    <s v="Small Business"/>
    <s v="Retail Store"/>
    <s v="P-012"/>
    <n v="11"/>
    <n v="0"/>
    <n v="87.41"/>
    <n v="5.67"/>
    <x v="14"/>
    <x v="2"/>
    <s v="Luma Imports"/>
    <n v="4.5"/>
    <n v="8.2899999999999991"/>
    <n v="49.5"/>
    <n v="32.239999999999995"/>
    <n v="0.36883651756091979"/>
    <x v="10"/>
    <x v="1"/>
    <x v="1"/>
  </r>
  <r>
    <s v="ORD-101350"/>
    <d v="2025-07-05T00:00:00"/>
    <d v="2025-07-11T00:00:00"/>
    <x v="1"/>
    <s v="Cambridge"/>
    <s v="Small Business"/>
    <s v="Retail Store"/>
    <s v="P-008"/>
    <n v="4"/>
    <n v="0.25"/>
    <n v="557.09"/>
    <n v="5.7"/>
    <x v="6"/>
    <x v="0"/>
    <s v="Vertex Trade"/>
    <n v="112.09"/>
    <n v="192.47"/>
    <n v="448.36"/>
    <n v="103.03000000000002"/>
    <n v="0.18494318691773323"/>
    <x v="4"/>
    <x v="3"/>
    <x v="0"/>
  </r>
  <r>
    <s v="ORD-101351"/>
    <d v="2025-11-18T00:00:00"/>
    <d v="2025-11-23T00:00:00"/>
    <x v="3"/>
    <s v="Newcastle"/>
    <s v="Small Business"/>
    <s v="Online"/>
    <s v="P-008"/>
    <n v="4"/>
    <n v="0.25"/>
    <n v="767.89"/>
    <n v="5.7"/>
    <x v="6"/>
    <x v="0"/>
    <s v="Vertex Trade"/>
    <n v="112.09"/>
    <n v="192.47"/>
    <n v="448.36"/>
    <n v="313.83"/>
    <n v="0.40869134902134419"/>
    <x v="19"/>
    <x v="3"/>
    <x v="0"/>
  </r>
  <r>
    <s v="ORD-101352"/>
    <d v="2024-07-15T00:00:00"/>
    <d v="2024-07-17T00:00:00"/>
    <x v="2"/>
    <s v="London"/>
    <s v="Small Business"/>
    <s v="Online"/>
    <s v="P-014"/>
    <n v="11"/>
    <n v="0"/>
    <n v="295.66000000000003"/>
    <n v="9.4499999999999993"/>
    <x v="3"/>
    <x v="2"/>
    <s v="Orbit Supply Co."/>
    <n v="16.760000000000002"/>
    <n v="27.71"/>
    <n v="184.36"/>
    <n v="101.85000000000001"/>
    <n v="0.34448352837719004"/>
    <x v="16"/>
    <x v="1"/>
    <x v="1"/>
  </r>
  <r>
    <s v="ORD-101353"/>
    <d v="2024-11-13T00:00:00"/>
    <d v="2024-11-16T00:00:00"/>
    <x v="3"/>
    <s v="Manchester"/>
    <s v="Home Office"/>
    <s v="Online"/>
    <s v="P-006"/>
    <n v="4"/>
    <n v="0"/>
    <n v="636.05999999999995"/>
    <n v="9.5"/>
    <x v="10"/>
    <x v="0"/>
    <s v="Apex Wholesale"/>
    <n v="54.95"/>
    <n v="112.56"/>
    <n v="219.8"/>
    <n v="406.75999999999993"/>
    <n v="0.63949941829387158"/>
    <x v="14"/>
    <x v="1"/>
    <x v="1"/>
  </r>
  <r>
    <s v="ORD-101354"/>
    <d v="2025-07-02T00:00:00"/>
    <d v="2025-07-08T00:00:00"/>
    <x v="1"/>
    <s v="Norwich"/>
    <s v="Home Office"/>
    <s v="Online"/>
    <s v="P-011"/>
    <n v="13"/>
    <n v="0"/>
    <n v="177.15"/>
    <n v="6.21"/>
    <x v="9"/>
    <x v="2"/>
    <s v="Orbit Supply Co."/>
    <n v="7.93"/>
    <n v="14.78"/>
    <n v="103.09"/>
    <n v="67.850000000000009"/>
    <n v="0.38300874964719167"/>
    <x v="4"/>
    <x v="1"/>
    <x v="0"/>
  </r>
  <r>
    <s v="ORD-101355"/>
    <d v="2025-12-08T00:00:00"/>
    <d v="2025-12-09T00:00:00"/>
    <x v="2"/>
    <s v="Bristol"/>
    <s v="Home Office"/>
    <s v="Online"/>
    <s v="P-004"/>
    <n v="1"/>
    <n v="0"/>
    <n v="152.11000000000001"/>
    <n v="6.8"/>
    <x v="5"/>
    <x v="1"/>
    <s v="Cedar Distribution"/>
    <n v="63.6"/>
    <n v="107.94"/>
    <n v="63.6"/>
    <n v="81.710000000000022"/>
    <n v="0.537177042929459"/>
    <x v="13"/>
    <x v="1"/>
    <x v="0"/>
  </r>
  <r>
    <s v="ORD-101356"/>
    <d v="2024-09-01T00:00:00"/>
    <d v="2024-09-02T00:00:00"/>
    <x v="3"/>
    <s v="Leeds"/>
    <s v="Corporate"/>
    <s v="Online"/>
    <s v="P-013"/>
    <n v="8"/>
    <n v="0"/>
    <n v="106.47"/>
    <n v="4.8600000000000003"/>
    <x v="11"/>
    <x v="2"/>
    <s v="Apex Wholesale"/>
    <n v="6.33"/>
    <n v="12.16"/>
    <n v="50.64"/>
    <n v="50.97"/>
    <n v="0.47872640180332487"/>
    <x v="23"/>
    <x v="1"/>
    <x v="1"/>
  </r>
  <r>
    <s v="ORD-101357"/>
    <d v="2025-06-30T00:00:00"/>
    <d v="2025-07-04T00:00:00"/>
    <x v="2"/>
    <s v="London"/>
    <s v="Small Business"/>
    <s v="B2B Sales"/>
    <s v="P-008"/>
    <n v="2"/>
    <n v="0"/>
    <n v="404.62"/>
    <n v="7"/>
    <x v="6"/>
    <x v="0"/>
    <s v="Vertex Trade"/>
    <n v="112.09"/>
    <n v="192.47"/>
    <n v="224.18"/>
    <n v="173.44"/>
    <n v="0.42864910286194452"/>
    <x v="0"/>
    <x v="1"/>
    <x v="0"/>
  </r>
  <r>
    <s v="ORD-101358"/>
    <d v="2025-06-30T00:00:00"/>
    <d v="2025-07-05T00:00:00"/>
    <x v="3"/>
    <s v="Leeds"/>
    <s v="Corporate"/>
    <s v="Online"/>
    <s v="P-009"/>
    <n v="3"/>
    <n v="0.1"/>
    <n v="363.16"/>
    <n v="4.95"/>
    <x v="0"/>
    <x v="0"/>
    <s v="Apex Wholesale"/>
    <n v="63.69"/>
    <n v="125.5"/>
    <n v="191.07"/>
    <n v="167.14000000000004"/>
    <n v="0.4602379116642803"/>
    <x v="0"/>
    <x v="0"/>
    <x v="0"/>
  </r>
  <r>
    <s v="ORD-101359"/>
    <d v="2025-12-03T00:00:00"/>
    <d v="2025-12-06T00:00:00"/>
    <x v="1"/>
    <s v="Peterborough"/>
    <s v="Corporate"/>
    <s v="Online"/>
    <s v="P-009"/>
    <n v="1"/>
    <n v="0"/>
    <n v="186.81"/>
    <n v="5.75"/>
    <x v="0"/>
    <x v="0"/>
    <s v="Apex Wholesale"/>
    <n v="63.69"/>
    <n v="125.5"/>
    <n v="63.69"/>
    <n v="117.37"/>
    <n v="0.62828542369252183"/>
    <x v="13"/>
    <x v="1"/>
    <x v="0"/>
  </r>
  <r>
    <s v="ORD-101360"/>
    <d v="2024-09-07T00:00:00"/>
    <d v="2024-09-11T00:00:00"/>
    <x v="3"/>
    <s v="Manchester"/>
    <s v="Small Business"/>
    <s v="Online"/>
    <s v="P-014"/>
    <n v="9"/>
    <n v="0"/>
    <n v="273"/>
    <n v="5.13"/>
    <x v="3"/>
    <x v="2"/>
    <s v="Orbit Supply Co."/>
    <n v="16.760000000000002"/>
    <n v="27.71"/>
    <n v="150.84"/>
    <n v="117.03"/>
    <n v="0.4286813186813187"/>
    <x v="23"/>
    <x v="1"/>
    <x v="1"/>
  </r>
  <r>
    <s v="ORD-101361"/>
    <d v="2025-09-27T00:00:00"/>
    <d v="2025-10-03T00:00:00"/>
    <x v="0"/>
    <s v="Birmingham"/>
    <s v="Home Office"/>
    <s v="Online"/>
    <s v="P-007"/>
    <n v="4"/>
    <n v="0.1"/>
    <n v="209.28"/>
    <n v="9.5"/>
    <x v="7"/>
    <x v="0"/>
    <s v="Luma Imports"/>
    <n v="31.34"/>
    <n v="56.49"/>
    <n v="125.36"/>
    <n v="74.42"/>
    <n v="0.35560015290519881"/>
    <x v="11"/>
    <x v="0"/>
    <x v="0"/>
  </r>
  <r>
    <s v="ORD-101362"/>
    <d v="2024-09-02T00:00:00"/>
    <d v="2024-09-07T00:00:00"/>
    <x v="0"/>
    <s v="Cardiff"/>
    <s v="Home Office"/>
    <s v="Online"/>
    <s v="P-002"/>
    <n v="2"/>
    <n v="0.25"/>
    <n v="332.41"/>
    <n v="5.46"/>
    <x v="2"/>
    <x v="1"/>
    <s v="Vertex Trade"/>
    <n v="119.02"/>
    <n v="205.39"/>
    <n v="238.04"/>
    <n v="88.910000000000039"/>
    <n v="0.26747089437742555"/>
    <x v="23"/>
    <x v="3"/>
    <x v="1"/>
  </r>
  <r>
    <s v="ORD-101363"/>
    <d v="2024-07-08T00:00:00"/>
    <d v="2024-07-11T00:00:00"/>
    <x v="2"/>
    <s v="London"/>
    <s v="Corporate"/>
    <s v="Retail Store"/>
    <s v="P-002"/>
    <n v="1"/>
    <n v="0.05"/>
    <n v="183.06"/>
    <n v="6.8"/>
    <x v="2"/>
    <x v="1"/>
    <s v="Vertex Trade"/>
    <n v="119.02"/>
    <n v="205.39"/>
    <n v="119.02"/>
    <n v="57.240000000000009"/>
    <n v="0.31268436578171094"/>
    <x v="16"/>
    <x v="0"/>
    <x v="1"/>
  </r>
  <r>
    <s v="ORD-101364"/>
    <d v="2024-10-29T00:00:00"/>
    <d v="2024-11-01T00:00:00"/>
    <x v="3"/>
    <s v="Leeds"/>
    <s v="Corporate"/>
    <s v="Online"/>
    <s v="P-001"/>
    <n v="2"/>
    <n v="0"/>
    <n v="686.81"/>
    <n v="9.1"/>
    <x v="12"/>
    <x v="1"/>
    <s v="Luma Imports"/>
    <n v="173.56"/>
    <n v="286.14999999999998"/>
    <n v="347.12"/>
    <n v="330.58999999999992"/>
    <n v="0.48134127342350863"/>
    <x v="3"/>
    <x v="1"/>
    <x v="1"/>
  </r>
  <r>
    <s v="ORD-101365"/>
    <d v="2024-01-16T00:00:00"/>
    <d v="2024-01-19T00:00:00"/>
    <x v="2"/>
    <s v="Brighton"/>
    <s v="Corporate"/>
    <s v="Retail Store"/>
    <s v="P-001"/>
    <n v="1"/>
    <n v="0"/>
    <n v="247.17"/>
    <n v="4.08"/>
    <x v="12"/>
    <x v="1"/>
    <s v="Luma Imports"/>
    <n v="173.56"/>
    <n v="286.14999999999998"/>
    <n v="173.56"/>
    <n v="69.529999999999987"/>
    <n v="0.28130436541651493"/>
    <x v="18"/>
    <x v="1"/>
    <x v="1"/>
  </r>
  <r>
    <s v="ORD-101366"/>
    <d v="2024-05-21T00:00:00"/>
    <d v="2024-05-22T00:00:00"/>
    <x v="3"/>
    <s v="Manchester"/>
    <s v="Home Office"/>
    <s v="Online"/>
    <s v="P-002"/>
    <n v="4"/>
    <n v="0.2"/>
    <n v="660.29"/>
    <n v="13.7"/>
    <x v="2"/>
    <x v="1"/>
    <s v="Vertex Trade"/>
    <n v="119.02"/>
    <n v="205.39"/>
    <n v="476.08"/>
    <n v="170.51"/>
    <n v="0.25823501794665982"/>
    <x v="8"/>
    <x v="2"/>
    <x v="1"/>
  </r>
  <r>
    <s v="ORD-101367"/>
    <d v="2025-11-16T00:00:00"/>
    <d v="2025-11-22T00:00:00"/>
    <x v="1"/>
    <s v="Norwich"/>
    <s v="Corporate"/>
    <s v="Retail Store"/>
    <s v="P-014"/>
    <n v="6"/>
    <n v="0"/>
    <n v="221.36"/>
    <n v="4.32"/>
    <x v="3"/>
    <x v="2"/>
    <s v="Orbit Supply Co."/>
    <n v="16.760000000000002"/>
    <n v="27.71"/>
    <n v="100.56"/>
    <n v="116.48000000000002"/>
    <n v="0.52620166245030719"/>
    <x v="19"/>
    <x v="1"/>
    <x v="0"/>
  </r>
  <r>
    <s v="ORD-101368"/>
    <d v="2025-07-01T00:00:00"/>
    <d v="2025-07-04T00:00:00"/>
    <x v="0"/>
    <s v="Liverpool"/>
    <s v="Corporate"/>
    <s v="Online"/>
    <s v="P-005"/>
    <n v="3"/>
    <n v="0"/>
    <n v="141.58000000000001"/>
    <n v="8.25"/>
    <x v="13"/>
    <x v="0"/>
    <s v="Apex Wholesale"/>
    <n v="25.33"/>
    <n v="51.56"/>
    <n v="75.989999999999995"/>
    <n v="57.340000000000018"/>
    <n v="0.40500070631445129"/>
    <x v="4"/>
    <x v="1"/>
    <x v="0"/>
  </r>
  <r>
    <s v="ORD-101369"/>
    <d v="2025-04-11T00:00:00"/>
    <d v="2025-04-17T00:00:00"/>
    <x v="3"/>
    <s v="Leeds"/>
    <s v="Corporate"/>
    <s v="B2B Sales"/>
    <s v="P-001"/>
    <n v="1"/>
    <n v="0"/>
    <n v="265.47000000000003"/>
    <n v="6.8"/>
    <x v="12"/>
    <x v="1"/>
    <s v="Luma Imports"/>
    <n v="173.56"/>
    <n v="286.14999999999998"/>
    <n v="173.56"/>
    <n v="85.110000000000028"/>
    <n v="0.3206011978754662"/>
    <x v="15"/>
    <x v="1"/>
    <x v="0"/>
  </r>
  <r>
    <s v="ORD-101370"/>
    <d v="2024-07-27T00:00:00"/>
    <d v="2024-08-02T00:00:00"/>
    <x v="3"/>
    <s v="Newcastle"/>
    <s v="Home Office"/>
    <s v="Retail Store"/>
    <s v="P-008"/>
    <n v="2"/>
    <n v="0"/>
    <n v="351.4"/>
    <n v="4.2"/>
    <x v="6"/>
    <x v="0"/>
    <s v="Vertex Trade"/>
    <n v="112.09"/>
    <n v="192.47"/>
    <n v="224.18"/>
    <n v="123.01999999999997"/>
    <n v="0.35008537279453605"/>
    <x v="16"/>
    <x v="1"/>
    <x v="1"/>
  </r>
  <r>
    <s v="ORD-101371"/>
    <d v="2024-09-19T00:00:00"/>
    <d v="2024-09-20T00:00:00"/>
    <x v="0"/>
    <s v="Birmingham"/>
    <s v="Corporate"/>
    <s v="B2B Sales"/>
    <s v="P-011"/>
    <n v="4"/>
    <n v="0"/>
    <n v="62.23"/>
    <n v="6.3"/>
    <x v="9"/>
    <x v="2"/>
    <s v="Orbit Supply Co."/>
    <n v="7.93"/>
    <n v="14.78"/>
    <n v="31.72"/>
    <n v="24.209999999999997"/>
    <n v="0.38904065563233164"/>
    <x v="23"/>
    <x v="1"/>
    <x v="1"/>
  </r>
  <r>
    <s v="ORD-101372"/>
    <d v="2024-08-02T00:00:00"/>
    <d v="2024-08-04T00:00:00"/>
    <x v="2"/>
    <s v="Brighton"/>
    <s v="Small Business"/>
    <s v="Retail Store"/>
    <s v="P-005"/>
    <n v="2"/>
    <n v="0"/>
    <n v="93.96"/>
    <n v="4.2"/>
    <x v="13"/>
    <x v="0"/>
    <s v="Apex Wholesale"/>
    <n v="25.33"/>
    <n v="51.56"/>
    <n v="50.66"/>
    <n v="39.099999999999994"/>
    <n v="0.41613452532992762"/>
    <x v="7"/>
    <x v="1"/>
    <x v="1"/>
  </r>
  <r>
    <s v="ORD-101373"/>
    <d v="2025-05-07T00:00:00"/>
    <d v="2025-05-11T00:00:00"/>
    <x v="0"/>
    <s v="Birmingham"/>
    <s v="Home Office"/>
    <s v="Retail Store"/>
    <s v="P-009"/>
    <n v="4"/>
    <n v="0"/>
    <n v="526.91999999999996"/>
    <n v="5.7"/>
    <x v="0"/>
    <x v="0"/>
    <s v="Apex Wholesale"/>
    <n v="63.69"/>
    <n v="125.5"/>
    <n v="254.76"/>
    <n v="266.45999999999998"/>
    <n v="0.50569346390343883"/>
    <x v="1"/>
    <x v="1"/>
    <x v="0"/>
  </r>
  <r>
    <s v="ORD-101374"/>
    <d v="2024-08-10T00:00:00"/>
    <d v="2024-08-12T00:00:00"/>
    <x v="3"/>
    <s v="Manchester"/>
    <s v="Corporate"/>
    <s v="Online"/>
    <s v="P-008"/>
    <n v="3"/>
    <n v="0.2"/>
    <n v="442.71"/>
    <n v="4.95"/>
    <x v="6"/>
    <x v="0"/>
    <s v="Vertex Trade"/>
    <n v="112.09"/>
    <n v="192.47"/>
    <n v="336.27"/>
    <n v="101.49"/>
    <n v="0.22924713695195501"/>
    <x v="7"/>
    <x v="2"/>
    <x v="1"/>
  </r>
  <r>
    <s v="ORD-101375"/>
    <d v="2025-05-06T00:00:00"/>
    <d v="2025-05-12T00:00:00"/>
    <x v="1"/>
    <s v="Norwich"/>
    <s v="Corporate"/>
    <s v="Online"/>
    <s v="P-002"/>
    <n v="2"/>
    <n v="0"/>
    <n v="398.24"/>
    <n v="5.46"/>
    <x v="2"/>
    <x v="1"/>
    <s v="Vertex Trade"/>
    <n v="119.02"/>
    <n v="205.39"/>
    <n v="238.04"/>
    <n v="154.74"/>
    <n v="0.3885596625150663"/>
    <x v="1"/>
    <x v="1"/>
    <x v="0"/>
  </r>
  <r>
    <s v="ORD-101376"/>
    <d v="2025-06-29T00:00:00"/>
    <d v="2025-07-02T00:00:00"/>
    <x v="1"/>
    <s v="Peterborough"/>
    <s v="Corporate"/>
    <s v="Online"/>
    <s v="P-002"/>
    <n v="4"/>
    <n v="0.2"/>
    <n v="649.99"/>
    <n v="13.7"/>
    <x v="2"/>
    <x v="1"/>
    <s v="Vertex Trade"/>
    <n v="119.02"/>
    <n v="205.39"/>
    <n v="476.08"/>
    <n v="160.21000000000004"/>
    <n v="0.24648071508792449"/>
    <x v="0"/>
    <x v="2"/>
    <x v="0"/>
  </r>
  <r>
    <s v="ORD-101377"/>
    <d v="2025-09-30T00:00:00"/>
    <d v="2025-10-02T00:00:00"/>
    <x v="2"/>
    <s v="Bristol"/>
    <s v="Corporate"/>
    <s v="B2B Sales"/>
    <s v="P-009"/>
    <n v="4"/>
    <n v="0"/>
    <n v="524.4"/>
    <n v="9.5"/>
    <x v="0"/>
    <x v="0"/>
    <s v="Apex Wholesale"/>
    <n v="63.69"/>
    <n v="125.5"/>
    <n v="254.76"/>
    <n v="260.14"/>
    <n v="0.49607170099160947"/>
    <x v="11"/>
    <x v="1"/>
    <x v="0"/>
  </r>
  <r>
    <s v="ORD-101378"/>
    <d v="2024-01-04T00:00:00"/>
    <d v="2024-01-08T00:00:00"/>
    <x v="2"/>
    <s v="London"/>
    <s v="Home Office"/>
    <s v="Retail Store"/>
    <s v="P-015"/>
    <n v="3"/>
    <n v="0.05"/>
    <n v="15.5"/>
    <n v="3.51"/>
    <x v="8"/>
    <x v="2"/>
    <s v="Luma Imports"/>
    <n v="3.3"/>
    <n v="6.13"/>
    <n v="9.8999999999999986"/>
    <n v="2.0900000000000016"/>
    <n v="0.13483870967741945"/>
    <x v="18"/>
    <x v="0"/>
    <x v="1"/>
  </r>
  <r>
    <s v="ORD-101379"/>
    <d v="2025-05-17T00:00:00"/>
    <d v="2025-05-19T00:00:00"/>
    <x v="1"/>
    <s v="Cambridge"/>
    <s v="Home Office"/>
    <s v="Online"/>
    <s v="P-011"/>
    <n v="13"/>
    <n v="0"/>
    <n v="206.56"/>
    <n v="6.21"/>
    <x v="9"/>
    <x v="2"/>
    <s v="Orbit Supply Co."/>
    <n v="7.93"/>
    <n v="14.78"/>
    <n v="103.09"/>
    <n v="97.26"/>
    <n v="0.4708559256390395"/>
    <x v="1"/>
    <x v="1"/>
    <x v="0"/>
  </r>
  <r>
    <s v="ORD-101380"/>
    <d v="2024-12-27T00:00:00"/>
    <d v="2024-12-28T00:00:00"/>
    <x v="3"/>
    <s v="Manchester"/>
    <s v="Corporate"/>
    <s v="Retail Store"/>
    <s v="P-014"/>
    <n v="4"/>
    <n v="0"/>
    <n v="151.24"/>
    <n v="3.78"/>
    <x v="3"/>
    <x v="2"/>
    <s v="Orbit Supply Co."/>
    <n v="16.760000000000002"/>
    <n v="27.71"/>
    <n v="67.040000000000006"/>
    <n v="80.42"/>
    <n v="0.53173763554615183"/>
    <x v="9"/>
    <x v="1"/>
    <x v="1"/>
  </r>
  <r>
    <s v="ORD-101381"/>
    <d v="2024-08-19T00:00:00"/>
    <d v="2024-08-20T00:00:00"/>
    <x v="2"/>
    <s v="Brighton"/>
    <s v="Small Business"/>
    <s v="Online"/>
    <s v="P-012"/>
    <n v="11"/>
    <n v="0.05"/>
    <n v="84.12"/>
    <n v="9.4499999999999993"/>
    <x v="14"/>
    <x v="2"/>
    <s v="Luma Imports"/>
    <n v="4.5"/>
    <n v="8.2899999999999991"/>
    <n v="49.5"/>
    <n v="25.170000000000005"/>
    <n v="0.29921540656205425"/>
    <x v="7"/>
    <x v="0"/>
    <x v="1"/>
  </r>
  <r>
    <s v="ORD-101382"/>
    <d v="2025-11-30T00:00:00"/>
    <d v="2025-12-04T00:00:00"/>
    <x v="0"/>
    <s v="Birmingham"/>
    <s v="Corporate"/>
    <s v="Retail Store"/>
    <s v="P-015"/>
    <n v="23"/>
    <n v="0"/>
    <n v="197.59"/>
    <n v="14.85"/>
    <x v="8"/>
    <x v="2"/>
    <s v="Luma Imports"/>
    <n v="3.3"/>
    <n v="6.13"/>
    <n v="75.899999999999991"/>
    <n v="106.84000000000002"/>
    <n v="0.54071562326028655"/>
    <x v="19"/>
    <x v="1"/>
    <x v="0"/>
  </r>
  <r>
    <s v="ORD-101383"/>
    <d v="2024-01-09T00:00:00"/>
    <d v="2024-01-15T00:00:00"/>
    <x v="3"/>
    <s v="Manchester"/>
    <s v="Home Office"/>
    <s v="Online"/>
    <s v="P-009"/>
    <n v="2"/>
    <n v="0.2"/>
    <n v="180"/>
    <n v="4.2"/>
    <x v="0"/>
    <x v="0"/>
    <s v="Apex Wholesale"/>
    <n v="63.69"/>
    <n v="125.5"/>
    <n v="127.38"/>
    <n v="48.42"/>
    <n v="0.26900000000000002"/>
    <x v="18"/>
    <x v="2"/>
    <x v="1"/>
  </r>
  <r>
    <s v="ORD-101384"/>
    <d v="2025-01-02T00:00:00"/>
    <d v="2025-01-04T00:00:00"/>
    <x v="0"/>
    <s v="Liverpool"/>
    <s v="Small Business"/>
    <s v="Retail Store"/>
    <s v="P-002"/>
    <n v="1"/>
    <n v="0.05"/>
    <n v="173.97"/>
    <n v="4.08"/>
    <x v="2"/>
    <x v="1"/>
    <s v="Vertex Trade"/>
    <n v="119.02"/>
    <n v="205.39"/>
    <n v="119.02"/>
    <n v="50.870000000000005"/>
    <n v="0.29240673679370011"/>
    <x v="20"/>
    <x v="0"/>
    <x v="0"/>
  </r>
  <r>
    <s v="ORD-101385"/>
    <d v="2024-04-04T00:00:00"/>
    <d v="2024-04-06T00:00:00"/>
    <x v="2"/>
    <s v="Bristol"/>
    <s v="Home Office"/>
    <s v="B2B Sales"/>
    <s v="P-005"/>
    <n v="3"/>
    <n v="0.05"/>
    <n v="145.82"/>
    <n v="8.25"/>
    <x v="13"/>
    <x v="0"/>
    <s v="Apex Wholesale"/>
    <n v="25.33"/>
    <n v="51.56"/>
    <n v="75.989999999999995"/>
    <n v="61.58"/>
    <n v="0.42230146756274861"/>
    <x v="21"/>
    <x v="0"/>
    <x v="1"/>
  </r>
  <r>
    <s v="ORD-101386"/>
    <d v="2024-10-30T00:00:00"/>
    <d v="2024-11-01T00:00:00"/>
    <x v="0"/>
    <s v="Birmingham"/>
    <s v="Home Office"/>
    <s v="B2B Sales"/>
    <s v="P-013"/>
    <n v="14"/>
    <n v="0.25"/>
    <n v="146.12"/>
    <n v="6.48"/>
    <x v="11"/>
    <x v="2"/>
    <s v="Apex Wholesale"/>
    <n v="6.33"/>
    <n v="12.16"/>
    <n v="88.62"/>
    <n v="51.019999999999996"/>
    <n v="0.34916506980563916"/>
    <x v="3"/>
    <x v="3"/>
    <x v="1"/>
  </r>
  <r>
    <s v="ORD-101387"/>
    <d v="2025-09-25T00:00:00"/>
    <d v="2025-10-01T00:00:00"/>
    <x v="3"/>
    <s v="Manchester"/>
    <s v="Small Business"/>
    <s v="Retail Store"/>
    <s v="P-001"/>
    <n v="2"/>
    <n v="0.15"/>
    <n v="513.54999999999995"/>
    <n v="5.46"/>
    <x v="12"/>
    <x v="1"/>
    <s v="Luma Imports"/>
    <n v="173.56"/>
    <n v="286.14999999999998"/>
    <n v="347.12"/>
    <n v="160.96999999999994"/>
    <n v="0.31344562360042832"/>
    <x v="11"/>
    <x v="2"/>
    <x v="0"/>
  </r>
  <r>
    <s v="ORD-101388"/>
    <d v="2025-12-22T00:00:00"/>
    <d v="2025-12-23T00:00:00"/>
    <x v="3"/>
    <s v="Leeds"/>
    <s v="Home Office"/>
    <s v="B2B Sales"/>
    <s v="P-005"/>
    <n v="4"/>
    <n v="0"/>
    <n v="300.41000000000003"/>
    <n v="9.5"/>
    <x v="13"/>
    <x v="0"/>
    <s v="Apex Wholesale"/>
    <n v="25.33"/>
    <n v="51.56"/>
    <n v="101.32"/>
    <n v="189.59000000000003"/>
    <n v="0.63110415765121008"/>
    <x v="13"/>
    <x v="1"/>
    <x v="0"/>
  </r>
  <r>
    <s v="ORD-101389"/>
    <d v="2025-10-19T00:00:00"/>
    <d v="2025-10-23T00:00:00"/>
    <x v="1"/>
    <s v="Peterborough"/>
    <s v="Home Office"/>
    <s v="B2B Sales"/>
    <s v="P-006"/>
    <n v="7"/>
    <n v="0.25"/>
    <n v="650.1"/>
    <n v="13.25"/>
    <x v="10"/>
    <x v="0"/>
    <s v="Apex Wholesale"/>
    <n v="54.95"/>
    <n v="112.56"/>
    <n v="384.65000000000003"/>
    <n v="252.2"/>
    <n v="0.38794031687432701"/>
    <x v="22"/>
    <x v="3"/>
    <x v="0"/>
  </r>
  <r>
    <s v="ORD-101390"/>
    <d v="2024-07-28T00:00:00"/>
    <d v="2024-08-01T00:00:00"/>
    <x v="3"/>
    <s v="Newcastle"/>
    <s v="Corporate"/>
    <s v="Online"/>
    <s v="P-003"/>
    <n v="2"/>
    <n v="0"/>
    <n v="199.99"/>
    <n v="5.46"/>
    <x v="1"/>
    <x v="1"/>
    <s v="Orbit Supply Co."/>
    <n v="71.489999999999995"/>
    <n v="112.88"/>
    <n v="142.97999999999999"/>
    <n v="51.550000000000018"/>
    <n v="0.25776288814440729"/>
    <x v="16"/>
    <x v="1"/>
    <x v="1"/>
  </r>
  <r>
    <s v="ORD-101391"/>
    <d v="2025-08-13T00:00:00"/>
    <d v="2025-08-18T00:00:00"/>
    <x v="2"/>
    <s v="Brighton"/>
    <s v="Corporate"/>
    <s v="B2B Sales"/>
    <s v="P-006"/>
    <n v="5"/>
    <n v="0"/>
    <n v="551.41999999999996"/>
    <n v="6.45"/>
    <x v="10"/>
    <x v="0"/>
    <s v="Apex Wholesale"/>
    <n v="54.95"/>
    <n v="112.56"/>
    <n v="274.75"/>
    <n v="270.21999999999997"/>
    <n v="0.49004388669253923"/>
    <x v="6"/>
    <x v="1"/>
    <x v="0"/>
  </r>
  <r>
    <s v="ORD-101392"/>
    <d v="2025-04-14T00:00:00"/>
    <d v="2025-04-20T00:00:00"/>
    <x v="1"/>
    <s v="Cambridge"/>
    <s v="Corporate"/>
    <s v="B2B Sales"/>
    <s v="P-007"/>
    <n v="5"/>
    <n v="0.25"/>
    <n v="212.06"/>
    <n v="10.75"/>
    <x v="7"/>
    <x v="0"/>
    <s v="Luma Imports"/>
    <n v="31.34"/>
    <n v="56.49"/>
    <n v="156.69999999999999"/>
    <n v="44.610000000000014"/>
    <n v="0.21036499104027168"/>
    <x v="15"/>
    <x v="3"/>
    <x v="0"/>
  </r>
  <r>
    <s v="ORD-101393"/>
    <d v="2024-01-16T00:00:00"/>
    <d v="2024-01-21T00:00:00"/>
    <x v="1"/>
    <s v="Cambridge"/>
    <s v="Corporate"/>
    <s v="Online"/>
    <s v="P-013"/>
    <n v="9"/>
    <n v="0.05"/>
    <n v="89.62"/>
    <n v="5.13"/>
    <x v="11"/>
    <x v="2"/>
    <s v="Apex Wholesale"/>
    <n v="6.33"/>
    <n v="12.16"/>
    <n v="56.97"/>
    <n v="27.520000000000007"/>
    <n v="0.30707431376924799"/>
    <x v="18"/>
    <x v="0"/>
    <x v="1"/>
  </r>
  <r>
    <s v="ORD-101394"/>
    <d v="2024-06-06T00:00:00"/>
    <d v="2024-06-12T00:00:00"/>
    <x v="2"/>
    <s v="Brighton"/>
    <s v="Corporate"/>
    <s v="Retail Store"/>
    <s v="P-009"/>
    <n v="1"/>
    <n v="0"/>
    <n v="124.95"/>
    <n v="3.45"/>
    <x v="0"/>
    <x v="0"/>
    <s v="Apex Wholesale"/>
    <n v="63.69"/>
    <n v="125.5"/>
    <n v="63.69"/>
    <n v="57.81"/>
    <n v="0.46266506602641055"/>
    <x v="17"/>
    <x v="1"/>
    <x v="1"/>
  </r>
  <r>
    <s v="ORD-101395"/>
    <d v="2024-06-09T00:00:00"/>
    <d v="2024-06-10T00:00:00"/>
    <x v="1"/>
    <s v="Norwich"/>
    <s v="Corporate"/>
    <s v="Online"/>
    <s v="P-011"/>
    <n v="6"/>
    <n v="0"/>
    <n v="90.87"/>
    <n v="4.32"/>
    <x v="9"/>
    <x v="2"/>
    <s v="Orbit Supply Co."/>
    <n v="7.93"/>
    <n v="14.78"/>
    <n v="47.58"/>
    <n v="38.970000000000006"/>
    <n v="0.42885440739517999"/>
    <x v="17"/>
    <x v="1"/>
    <x v="1"/>
  </r>
  <r>
    <s v="ORD-101396"/>
    <d v="2024-01-19T00:00:00"/>
    <d v="2024-01-23T00:00:00"/>
    <x v="0"/>
    <s v="Cardiff"/>
    <s v="Corporate"/>
    <s v="Retail Store"/>
    <s v="P-001"/>
    <n v="1"/>
    <n v="0"/>
    <n v="260.42"/>
    <n v="6.8"/>
    <x v="12"/>
    <x v="1"/>
    <s v="Luma Imports"/>
    <n v="173.56"/>
    <n v="286.14999999999998"/>
    <n v="173.56"/>
    <n v="80.060000000000016"/>
    <n v="0.30742646494124881"/>
    <x v="18"/>
    <x v="1"/>
    <x v="1"/>
  </r>
  <r>
    <s v="ORD-101397"/>
    <d v="2025-07-28T00:00:00"/>
    <d v="2025-08-03T00:00:00"/>
    <x v="2"/>
    <s v="Bristol"/>
    <s v="Small Business"/>
    <s v="Online"/>
    <s v="P-010"/>
    <n v="4"/>
    <n v="0"/>
    <n v="20.93"/>
    <n v="6.3"/>
    <x v="4"/>
    <x v="2"/>
    <s v="Orbit Supply Co."/>
    <n v="3.62"/>
    <n v="6.03"/>
    <n v="14.48"/>
    <n v="0.14999999999999947"/>
    <n v="7.1667462971810548E-3"/>
    <x v="4"/>
    <x v="1"/>
    <x v="0"/>
  </r>
  <r>
    <s v="ORD-101398"/>
    <d v="2024-01-18T00:00:00"/>
    <d v="2024-01-22T00:00:00"/>
    <x v="0"/>
    <s v="Cardiff"/>
    <s v="Small Business"/>
    <s v="B2B Sales"/>
    <s v="P-002"/>
    <n v="3"/>
    <n v="0"/>
    <n v="566.48"/>
    <n v="6.84"/>
    <x v="2"/>
    <x v="1"/>
    <s v="Vertex Trade"/>
    <n v="119.02"/>
    <n v="205.39"/>
    <n v="357.06"/>
    <n v="202.58"/>
    <n v="0.3576119192204491"/>
    <x v="18"/>
    <x v="1"/>
    <x v="1"/>
  </r>
  <r>
    <s v="ORD-101399"/>
    <d v="2024-04-13T00:00:00"/>
    <d v="2024-04-19T00:00:00"/>
    <x v="2"/>
    <s v="London"/>
    <s v="Home Office"/>
    <s v="B2B Sales"/>
    <s v="P-015"/>
    <n v="8"/>
    <n v="0.2"/>
    <n v="40.229999999999997"/>
    <n v="4.8600000000000003"/>
    <x v="8"/>
    <x v="2"/>
    <s v="Luma Imports"/>
    <n v="3.3"/>
    <n v="6.13"/>
    <n v="26.4"/>
    <n v="8.9699999999999989"/>
    <n v="0.22296793437733034"/>
    <x v="21"/>
    <x v="2"/>
    <x v="1"/>
  </r>
  <r>
    <s v="ORD-101400"/>
    <d v="2024-06-24T00:00:00"/>
    <d v="2024-06-27T00:00:00"/>
    <x v="3"/>
    <s v="Manchester"/>
    <s v="Home Office"/>
    <s v="B2B Sales"/>
    <s v="P-007"/>
    <n v="2"/>
    <n v="0"/>
    <n v="120.44"/>
    <n v="4.2"/>
    <x v="7"/>
    <x v="0"/>
    <s v="Luma Imports"/>
    <n v="31.34"/>
    <n v="56.49"/>
    <n v="62.68"/>
    <n v="53.559999999999995"/>
    <n v="0.4447027565592826"/>
    <x v="17"/>
    <x v="1"/>
    <x v="1"/>
  </r>
  <r>
    <s v="ORD-101401"/>
    <d v="2025-01-10T00:00:00"/>
    <d v="2025-01-16T00:00:00"/>
    <x v="0"/>
    <s v="Cardiff"/>
    <s v="Home Office"/>
    <s v="B2B Sales"/>
    <s v="P-010"/>
    <n v="14"/>
    <n v="0"/>
    <n v="70.930000000000007"/>
    <n v="6.48"/>
    <x v="4"/>
    <x v="2"/>
    <s v="Orbit Supply Co."/>
    <n v="3.62"/>
    <n v="6.03"/>
    <n v="50.68"/>
    <n v="13.770000000000007"/>
    <n v="0.1941350627379107"/>
    <x v="20"/>
    <x v="1"/>
    <x v="0"/>
  </r>
  <r>
    <s v="ORD-101402"/>
    <d v="2025-06-07T00:00:00"/>
    <d v="2025-06-12T00:00:00"/>
    <x v="0"/>
    <s v="Birmingham"/>
    <s v="Corporate"/>
    <s v="Retail Store"/>
    <s v="P-009"/>
    <n v="1"/>
    <n v="0"/>
    <n v="129.21"/>
    <n v="3.45"/>
    <x v="0"/>
    <x v="0"/>
    <s v="Apex Wholesale"/>
    <n v="63.69"/>
    <n v="125.5"/>
    <n v="63.69"/>
    <n v="62.070000000000007"/>
    <n v="0.48038077548177388"/>
    <x v="0"/>
    <x v="1"/>
    <x v="0"/>
  </r>
  <r>
    <s v="ORD-101403"/>
    <d v="2025-06-04T00:00:00"/>
    <d v="2025-06-10T00:00:00"/>
    <x v="1"/>
    <s v="Cambridge"/>
    <s v="Small Business"/>
    <s v="Retail Store"/>
    <s v="P-012"/>
    <n v="3"/>
    <n v="0.2"/>
    <n v="20.59"/>
    <n v="3.51"/>
    <x v="14"/>
    <x v="2"/>
    <s v="Luma Imports"/>
    <n v="4.5"/>
    <n v="8.2899999999999991"/>
    <n v="13.5"/>
    <n v="3.58"/>
    <n v="0.17387081107333657"/>
    <x v="0"/>
    <x v="2"/>
    <x v="0"/>
  </r>
  <r>
    <s v="ORD-101404"/>
    <d v="2025-03-10T00:00:00"/>
    <d v="2025-03-14T00:00:00"/>
    <x v="1"/>
    <s v="Norwich"/>
    <s v="Home Office"/>
    <s v="Retail Store"/>
    <s v="P-013"/>
    <n v="4"/>
    <n v="0.05"/>
    <n v="43.34"/>
    <n v="3.78"/>
    <x v="11"/>
    <x v="2"/>
    <s v="Apex Wholesale"/>
    <n v="6.33"/>
    <n v="12.16"/>
    <n v="25.32"/>
    <n v="14.240000000000004"/>
    <n v="0.32856483617904941"/>
    <x v="2"/>
    <x v="0"/>
    <x v="0"/>
  </r>
  <r>
    <s v="ORD-101405"/>
    <d v="2025-05-22T00:00:00"/>
    <d v="2025-05-24T00:00:00"/>
    <x v="0"/>
    <s v="Liverpool"/>
    <s v="Corporate"/>
    <s v="B2B Sales"/>
    <s v="P-010"/>
    <n v="3"/>
    <n v="0.1"/>
    <n v="15.96"/>
    <n v="5.85"/>
    <x v="4"/>
    <x v="2"/>
    <s v="Orbit Supply Co."/>
    <n v="3.62"/>
    <n v="6.03"/>
    <n v="10.86"/>
    <n v="-0.74999999999999822"/>
    <n v="-4.6992481203007405E-2"/>
    <x v="1"/>
    <x v="0"/>
    <x v="0"/>
  </r>
  <r>
    <s v="ORD-101406"/>
    <d v="2025-06-05T00:00:00"/>
    <d v="2025-06-06T00:00:00"/>
    <x v="0"/>
    <s v="Liverpool"/>
    <s v="Small Business"/>
    <s v="Online"/>
    <s v="P-015"/>
    <n v="3"/>
    <n v="0"/>
    <n v="18.489999999999998"/>
    <n v="3.51"/>
    <x v="8"/>
    <x v="2"/>
    <s v="Luma Imports"/>
    <n v="3.3"/>
    <n v="6.13"/>
    <n v="9.8999999999999986"/>
    <n v="5.08"/>
    <n v="0.27474310438074639"/>
    <x v="0"/>
    <x v="1"/>
    <x v="0"/>
  </r>
  <r>
    <s v="ORD-101407"/>
    <d v="2025-05-23T00:00:00"/>
    <d v="2025-05-29T00:00:00"/>
    <x v="0"/>
    <s v="Liverpool"/>
    <s v="Small Business"/>
    <s v="Retail Store"/>
    <s v="P-004"/>
    <n v="2"/>
    <n v="0.25"/>
    <n v="159.29"/>
    <n v="9.1"/>
    <x v="5"/>
    <x v="1"/>
    <s v="Cedar Distribution"/>
    <n v="63.6"/>
    <n v="107.94"/>
    <n v="127.2"/>
    <n v="22.989999999999988"/>
    <n v="0.14432795530165102"/>
    <x v="1"/>
    <x v="3"/>
    <x v="0"/>
  </r>
  <r>
    <s v="ORD-101408"/>
    <d v="2024-03-02T00:00:00"/>
    <d v="2024-03-06T00:00:00"/>
    <x v="0"/>
    <s v="Birmingham"/>
    <s v="Home Office"/>
    <s v="B2B Sales"/>
    <s v="P-012"/>
    <n v="5"/>
    <n v="0.1"/>
    <n v="36.049999999999997"/>
    <n v="6.75"/>
    <x v="14"/>
    <x v="2"/>
    <s v="Luma Imports"/>
    <n v="4.5"/>
    <n v="8.2899999999999991"/>
    <n v="22.5"/>
    <n v="6.7999999999999972"/>
    <n v="0.18862690707350896"/>
    <x v="10"/>
    <x v="0"/>
    <x v="1"/>
  </r>
  <r>
    <s v="ORD-101409"/>
    <d v="2025-10-11T00:00:00"/>
    <d v="2025-10-16T00:00:00"/>
    <x v="0"/>
    <s v="Birmingham"/>
    <s v="Small Business"/>
    <s v="Online"/>
    <s v="P-004"/>
    <n v="4"/>
    <n v="0"/>
    <n v="480.4"/>
    <n v="8.2200000000000006"/>
    <x v="5"/>
    <x v="1"/>
    <s v="Cedar Distribution"/>
    <n v="63.6"/>
    <n v="107.94"/>
    <n v="254.4"/>
    <n v="217.77999999999997"/>
    <n v="0.45333055786844295"/>
    <x v="22"/>
    <x v="1"/>
    <x v="0"/>
  </r>
  <r>
    <s v="ORD-101410"/>
    <d v="2024-08-27T00:00:00"/>
    <d v="2024-08-28T00:00:00"/>
    <x v="2"/>
    <s v="Brighton"/>
    <s v="Small Business"/>
    <s v="B2B Sales"/>
    <s v="P-002"/>
    <n v="1"/>
    <n v="0"/>
    <n v="185.08"/>
    <n v="6.8"/>
    <x v="2"/>
    <x v="1"/>
    <s v="Vertex Trade"/>
    <n v="119.02"/>
    <n v="205.39"/>
    <n v="119.02"/>
    <n v="59.260000000000019"/>
    <n v="0.3201858655716448"/>
    <x v="7"/>
    <x v="1"/>
    <x v="1"/>
  </r>
  <r>
    <s v="ORD-101411"/>
    <d v="2025-06-19T00:00:00"/>
    <d v="2025-06-20T00:00:00"/>
    <x v="3"/>
    <s v="Manchester"/>
    <s v="Corporate"/>
    <s v="Online"/>
    <s v="P-003"/>
    <n v="3"/>
    <n v="0.1"/>
    <n v="321.48"/>
    <n v="11.4"/>
    <x v="1"/>
    <x v="1"/>
    <s v="Orbit Supply Co."/>
    <n v="71.489999999999995"/>
    <n v="112.88"/>
    <n v="214.46999999999997"/>
    <n v="95.610000000000042"/>
    <n v="0.2974057484135873"/>
    <x v="0"/>
    <x v="0"/>
    <x v="0"/>
  </r>
  <r>
    <s v="ORD-101412"/>
    <d v="2025-09-29T00:00:00"/>
    <d v="2025-09-30T00:00:00"/>
    <x v="0"/>
    <s v="Cardiff"/>
    <s v="Small Business"/>
    <s v="B2B Sales"/>
    <s v="P-002"/>
    <n v="5"/>
    <n v="0"/>
    <n v="1157.74"/>
    <n v="16"/>
    <x v="2"/>
    <x v="1"/>
    <s v="Vertex Trade"/>
    <n v="119.02"/>
    <n v="205.39"/>
    <n v="595.1"/>
    <n v="546.64"/>
    <n v="0.47216127973465544"/>
    <x v="11"/>
    <x v="1"/>
    <x v="0"/>
  </r>
  <r>
    <s v="ORD-101413"/>
    <d v="2025-08-09T00:00:00"/>
    <d v="2025-08-10T00:00:00"/>
    <x v="2"/>
    <s v="Brighton"/>
    <s v="Home Office"/>
    <s v="Online"/>
    <s v="P-006"/>
    <n v="3"/>
    <n v="0"/>
    <n v="305.39"/>
    <n v="8.25"/>
    <x v="10"/>
    <x v="0"/>
    <s v="Apex Wholesale"/>
    <n v="54.95"/>
    <n v="112.56"/>
    <n v="164.85000000000002"/>
    <n v="132.28999999999996"/>
    <n v="0.43318379776678989"/>
    <x v="6"/>
    <x v="1"/>
    <x v="0"/>
  </r>
  <r>
    <s v="ORD-101414"/>
    <d v="2024-01-23T00:00:00"/>
    <d v="2024-01-27T00:00:00"/>
    <x v="0"/>
    <s v="Liverpool"/>
    <s v="Home Office"/>
    <s v="Online"/>
    <s v="P-002"/>
    <n v="1"/>
    <n v="0"/>
    <n v="186.5"/>
    <n v="4.08"/>
    <x v="2"/>
    <x v="1"/>
    <s v="Vertex Trade"/>
    <n v="119.02"/>
    <n v="205.39"/>
    <n v="119.02"/>
    <n v="63.400000000000006"/>
    <n v="0.33994638069705096"/>
    <x v="18"/>
    <x v="1"/>
    <x v="1"/>
  </r>
  <r>
    <s v="ORD-101415"/>
    <d v="2024-07-11T00:00:00"/>
    <d v="2024-07-13T00:00:00"/>
    <x v="2"/>
    <s v="London"/>
    <s v="Corporate"/>
    <s v="Retail Store"/>
    <s v="P-012"/>
    <n v="4"/>
    <n v="0"/>
    <n v="30.19"/>
    <n v="3.78"/>
    <x v="14"/>
    <x v="2"/>
    <s v="Luma Imports"/>
    <n v="4.5"/>
    <n v="8.2899999999999991"/>
    <n v="18"/>
    <n v="8.4100000000000019"/>
    <n v="0.27856906260351116"/>
    <x v="16"/>
    <x v="1"/>
    <x v="1"/>
  </r>
  <r>
    <s v="ORD-101416"/>
    <d v="2024-07-17T00:00:00"/>
    <d v="2024-07-23T00:00:00"/>
    <x v="2"/>
    <s v="London"/>
    <s v="Corporate"/>
    <s v="Retail Store"/>
    <s v="P-006"/>
    <n v="1"/>
    <n v="0"/>
    <n v="100.68"/>
    <n v="5.75"/>
    <x v="10"/>
    <x v="0"/>
    <s v="Apex Wholesale"/>
    <n v="54.95"/>
    <n v="112.56"/>
    <n v="54.95"/>
    <n v="39.980000000000004"/>
    <n v="0.39709972189114023"/>
    <x v="16"/>
    <x v="1"/>
    <x v="1"/>
  </r>
  <r>
    <s v="ORD-101417"/>
    <d v="2025-02-14T00:00:00"/>
    <d v="2025-02-19T00:00:00"/>
    <x v="0"/>
    <s v="Liverpool"/>
    <s v="Home Office"/>
    <s v="Retail Store"/>
    <s v="P-008"/>
    <n v="4"/>
    <n v="0"/>
    <n v="696.4"/>
    <n v="9.5"/>
    <x v="6"/>
    <x v="0"/>
    <s v="Vertex Trade"/>
    <n v="112.09"/>
    <n v="192.47"/>
    <n v="448.36"/>
    <n v="238.53999999999996"/>
    <n v="0.34253302699597926"/>
    <x v="5"/>
    <x v="1"/>
    <x v="0"/>
  </r>
  <r>
    <s v="ORD-101418"/>
    <d v="2024-04-21T00:00:00"/>
    <d v="2024-04-23T00:00:00"/>
    <x v="1"/>
    <s v="Cambridge"/>
    <s v="Corporate"/>
    <s v="Retail Store"/>
    <s v="P-003"/>
    <n v="3"/>
    <n v="0"/>
    <n v="339.12"/>
    <n v="6.84"/>
    <x v="1"/>
    <x v="1"/>
    <s v="Orbit Supply Co."/>
    <n v="71.489999999999995"/>
    <n v="112.88"/>
    <n v="214.46999999999997"/>
    <n v="117.81000000000003"/>
    <n v="0.34739915074309985"/>
    <x v="21"/>
    <x v="1"/>
    <x v="1"/>
  </r>
  <r>
    <s v="ORD-101419"/>
    <d v="2024-03-12T00:00:00"/>
    <d v="2024-03-15T00:00:00"/>
    <x v="0"/>
    <s v="Liverpool"/>
    <s v="Home Office"/>
    <s v="Retail Store"/>
    <s v="P-013"/>
    <n v="14"/>
    <n v="0.05"/>
    <n v="156.56"/>
    <n v="6.48"/>
    <x v="11"/>
    <x v="2"/>
    <s v="Apex Wholesale"/>
    <n v="6.33"/>
    <n v="12.16"/>
    <n v="88.62"/>
    <n v="61.459999999999994"/>
    <n v="0.39256515074092996"/>
    <x v="10"/>
    <x v="0"/>
    <x v="1"/>
  </r>
  <r>
    <s v="ORD-101420"/>
    <d v="2024-01-16T00:00:00"/>
    <d v="2024-01-21T00:00:00"/>
    <x v="3"/>
    <s v="Leeds"/>
    <s v="Corporate"/>
    <s v="Retail Store"/>
    <s v="P-006"/>
    <n v="4"/>
    <n v="0"/>
    <n v="409.16"/>
    <n v="9.5"/>
    <x v="10"/>
    <x v="0"/>
    <s v="Apex Wholesale"/>
    <n v="54.95"/>
    <n v="112.56"/>
    <n v="219.8"/>
    <n v="179.86"/>
    <n v="0.43958353700263958"/>
    <x v="18"/>
    <x v="1"/>
    <x v="1"/>
  </r>
  <r>
    <s v="ORD-101421"/>
    <d v="2025-04-04T00:00:00"/>
    <d v="2025-04-05T00:00:00"/>
    <x v="0"/>
    <s v="Birmingham"/>
    <s v="Home Office"/>
    <s v="B2B Sales"/>
    <s v="P-008"/>
    <n v="4"/>
    <n v="0"/>
    <n v="779.08"/>
    <n v="5.7"/>
    <x v="6"/>
    <x v="0"/>
    <s v="Vertex Trade"/>
    <n v="112.09"/>
    <n v="192.47"/>
    <n v="448.36"/>
    <n v="325.02000000000004"/>
    <n v="0.41718437130975"/>
    <x v="15"/>
    <x v="1"/>
    <x v="0"/>
  </r>
  <r>
    <s v="ORD-101422"/>
    <d v="2025-08-19T00:00:00"/>
    <d v="2025-08-23T00:00:00"/>
    <x v="1"/>
    <s v="Peterborough"/>
    <s v="Corporate"/>
    <s v="Online"/>
    <s v="P-015"/>
    <n v="23"/>
    <n v="0.1"/>
    <n v="122.49"/>
    <n v="14.85"/>
    <x v="8"/>
    <x v="2"/>
    <s v="Luma Imports"/>
    <n v="3.3"/>
    <n v="6.13"/>
    <n v="75.899999999999991"/>
    <n v="31.740000000000002"/>
    <n v="0.25912319373010045"/>
    <x v="6"/>
    <x v="0"/>
    <x v="0"/>
  </r>
  <r>
    <s v="ORD-101423"/>
    <d v="2024-01-04T00:00:00"/>
    <d v="2024-01-08T00:00:00"/>
    <x v="3"/>
    <s v="Manchester"/>
    <s v="Home Office"/>
    <s v="Online"/>
    <s v="P-006"/>
    <n v="3"/>
    <n v="0"/>
    <n v="301.26"/>
    <n v="4.95"/>
    <x v="10"/>
    <x v="0"/>
    <s v="Apex Wholesale"/>
    <n v="54.95"/>
    <n v="112.56"/>
    <n v="164.85000000000002"/>
    <n v="131.45999999999998"/>
    <n v="0.43636725751842259"/>
    <x v="18"/>
    <x v="1"/>
    <x v="1"/>
  </r>
  <r>
    <s v="ORD-101424"/>
    <d v="2025-05-31T00:00:00"/>
    <d v="2025-06-02T00:00:00"/>
    <x v="3"/>
    <s v="Newcastle"/>
    <s v="Home Office"/>
    <s v="Retail Store"/>
    <s v="P-003"/>
    <n v="4"/>
    <n v="0"/>
    <n v="434.06"/>
    <n v="13.7"/>
    <x v="1"/>
    <x v="1"/>
    <s v="Orbit Supply Co."/>
    <n v="71.489999999999995"/>
    <n v="112.88"/>
    <n v="285.95999999999998"/>
    <n v="134.40000000000003"/>
    <n v="0.30963461272635129"/>
    <x v="1"/>
    <x v="1"/>
    <x v="0"/>
  </r>
  <r>
    <s v="ORD-101425"/>
    <d v="2024-10-22T00:00:00"/>
    <d v="2024-10-27T00:00:00"/>
    <x v="3"/>
    <s v="Manchester"/>
    <s v="Home Office"/>
    <s v="B2B Sales"/>
    <s v="P-014"/>
    <n v="14"/>
    <n v="0"/>
    <n v="434.98"/>
    <n v="6.48"/>
    <x v="3"/>
    <x v="2"/>
    <s v="Orbit Supply Co."/>
    <n v="16.760000000000002"/>
    <n v="27.71"/>
    <n v="234.64000000000001"/>
    <n v="193.86"/>
    <n v="0.44567566324888502"/>
    <x v="3"/>
    <x v="1"/>
    <x v="1"/>
  </r>
  <r>
    <s v="ORD-101426"/>
    <d v="2024-05-02T00:00:00"/>
    <d v="2024-05-03T00:00:00"/>
    <x v="3"/>
    <s v="Leeds"/>
    <s v="Home Office"/>
    <s v="B2B Sales"/>
    <s v="P-002"/>
    <n v="2"/>
    <n v="0"/>
    <n v="417.78"/>
    <n v="9.1"/>
    <x v="2"/>
    <x v="1"/>
    <s v="Vertex Trade"/>
    <n v="119.02"/>
    <n v="205.39"/>
    <n v="238.04"/>
    <n v="170.64"/>
    <n v="0.40844463593278757"/>
    <x v="8"/>
    <x v="1"/>
    <x v="1"/>
  </r>
  <r>
    <s v="ORD-101427"/>
    <d v="2025-12-13T00:00:00"/>
    <d v="2025-12-16T00:00:00"/>
    <x v="3"/>
    <s v="Leeds"/>
    <s v="Home Office"/>
    <s v="Retail Store"/>
    <s v="P-002"/>
    <n v="4"/>
    <n v="0.15"/>
    <n v="949.46"/>
    <n v="13.7"/>
    <x v="2"/>
    <x v="1"/>
    <s v="Vertex Trade"/>
    <n v="119.02"/>
    <n v="205.39"/>
    <n v="476.08"/>
    <n v="459.68000000000006"/>
    <n v="0.48414888462915767"/>
    <x v="13"/>
    <x v="2"/>
    <x v="0"/>
  </r>
  <r>
    <s v="ORD-101428"/>
    <d v="2025-11-21T00:00:00"/>
    <d v="2025-11-27T00:00:00"/>
    <x v="1"/>
    <s v="Peterborough"/>
    <s v="Home Office"/>
    <s v="Online"/>
    <s v="P-010"/>
    <n v="11"/>
    <n v="0"/>
    <n v="87.04"/>
    <n v="9.4499999999999993"/>
    <x v="4"/>
    <x v="2"/>
    <s v="Orbit Supply Co."/>
    <n v="3.62"/>
    <n v="6.03"/>
    <n v="39.82"/>
    <n v="37.77000000000001"/>
    <n v="0.43393841911764713"/>
    <x v="19"/>
    <x v="1"/>
    <x v="0"/>
  </r>
  <r>
    <s v="ORD-101429"/>
    <d v="2025-07-23T00:00:00"/>
    <d v="2025-07-28T00:00:00"/>
    <x v="0"/>
    <s v="Birmingham"/>
    <s v="Corporate"/>
    <s v="B2B Sales"/>
    <s v="P-004"/>
    <n v="4"/>
    <n v="0"/>
    <n v="382.59"/>
    <n v="8.2200000000000006"/>
    <x v="5"/>
    <x v="1"/>
    <s v="Cedar Distribution"/>
    <n v="63.6"/>
    <n v="107.94"/>
    <n v="254.4"/>
    <n v="119.96999999999997"/>
    <n v="0.31357327687602909"/>
    <x v="4"/>
    <x v="1"/>
    <x v="0"/>
  </r>
  <r>
    <s v="ORD-101430"/>
    <d v="2024-10-08T00:00:00"/>
    <d v="2024-10-12T00:00:00"/>
    <x v="0"/>
    <s v="Birmingham"/>
    <s v="Home Office"/>
    <s v="Online"/>
    <s v="P-003"/>
    <n v="1"/>
    <n v="0"/>
    <n v="135.87"/>
    <n v="4.08"/>
    <x v="1"/>
    <x v="1"/>
    <s v="Orbit Supply Co."/>
    <n v="71.489999999999995"/>
    <n v="112.88"/>
    <n v="71.489999999999995"/>
    <n v="60.300000000000011"/>
    <n v="0.44380657981894467"/>
    <x v="3"/>
    <x v="1"/>
    <x v="1"/>
  </r>
  <r>
    <s v="ORD-101431"/>
    <d v="2025-12-20T00:00:00"/>
    <d v="2025-12-21T00:00:00"/>
    <x v="2"/>
    <s v="London"/>
    <s v="Corporate"/>
    <s v="Online"/>
    <s v="P-015"/>
    <n v="9"/>
    <n v="0.15"/>
    <n v="63.05"/>
    <n v="5.13"/>
    <x v="8"/>
    <x v="2"/>
    <s v="Luma Imports"/>
    <n v="3.3"/>
    <n v="6.13"/>
    <n v="29.7"/>
    <n v="28.219999999999995"/>
    <n v="0.44758128469468672"/>
    <x v="13"/>
    <x v="2"/>
    <x v="0"/>
  </r>
  <r>
    <s v="ORD-101432"/>
    <d v="2024-02-28T00:00:00"/>
    <d v="2024-03-04T00:00:00"/>
    <x v="0"/>
    <s v="Liverpool"/>
    <s v="Corporate"/>
    <s v="Online"/>
    <s v="P-001"/>
    <n v="1"/>
    <n v="0"/>
    <n v="270.33"/>
    <n v="4.08"/>
    <x v="12"/>
    <x v="1"/>
    <s v="Luma Imports"/>
    <n v="173.56"/>
    <n v="286.14999999999998"/>
    <n v="173.56"/>
    <n v="92.689999999999984"/>
    <n v="0.34287722413346644"/>
    <x v="12"/>
    <x v="1"/>
    <x v="1"/>
  </r>
  <r>
    <s v="ORD-101433"/>
    <d v="2025-01-03T00:00:00"/>
    <d v="2025-01-09T00:00:00"/>
    <x v="3"/>
    <s v="Manchester"/>
    <s v="Home Office"/>
    <s v="Retail Store"/>
    <s v="P-015"/>
    <n v="11"/>
    <n v="0.25"/>
    <n v="43.29"/>
    <n v="9.4499999999999993"/>
    <x v="8"/>
    <x v="2"/>
    <s v="Luma Imports"/>
    <n v="3.3"/>
    <n v="6.13"/>
    <n v="36.299999999999997"/>
    <n v="-2.4599999999999973"/>
    <n v="-5.6826056826056764E-2"/>
    <x v="20"/>
    <x v="3"/>
    <x v="0"/>
  </r>
  <r>
    <s v="ORD-101434"/>
    <d v="2024-04-15T00:00:00"/>
    <d v="2024-04-21T00:00:00"/>
    <x v="1"/>
    <s v="Cambridge"/>
    <s v="Corporate"/>
    <s v="Retail Store"/>
    <s v="P-013"/>
    <n v="11"/>
    <n v="0.2"/>
    <n v="109.11"/>
    <n v="5.67"/>
    <x v="11"/>
    <x v="2"/>
    <s v="Apex Wholesale"/>
    <n v="6.33"/>
    <n v="12.16"/>
    <n v="69.63"/>
    <n v="33.81"/>
    <n v="0.30987077261479246"/>
    <x v="21"/>
    <x v="2"/>
    <x v="1"/>
  </r>
  <r>
    <s v="ORD-101435"/>
    <d v="2024-11-07T00:00:00"/>
    <d v="2024-11-13T00:00:00"/>
    <x v="1"/>
    <s v="Norwich"/>
    <s v="Home Office"/>
    <s v="Online"/>
    <s v="P-005"/>
    <n v="4"/>
    <n v="0.05"/>
    <n v="254"/>
    <n v="9.5"/>
    <x v="13"/>
    <x v="0"/>
    <s v="Apex Wholesale"/>
    <n v="25.33"/>
    <n v="51.56"/>
    <n v="101.32"/>
    <n v="143.18"/>
    <n v="0.56370078740157481"/>
    <x v="14"/>
    <x v="0"/>
    <x v="1"/>
  </r>
  <r>
    <s v="ORD-101436"/>
    <d v="2025-07-08T00:00:00"/>
    <d v="2025-07-14T00:00:00"/>
    <x v="2"/>
    <s v="Bristol"/>
    <s v="Corporate"/>
    <s v="Retail Store"/>
    <s v="P-010"/>
    <n v="14"/>
    <n v="0"/>
    <n v="73.95"/>
    <n v="6.48"/>
    <x v="4"/>
    <x v="2"/>
    <s v="Orbit Supply Co."/>
    <n v="3.62"/>
    <n v="6.03"/>
    <n v="50.68"/>
    <n v="16.790000000000003"/>
    <n v="0.22704530087897232"/>
    <x v="4"/>
    <x v="1"/>
    <x v="0"/>
  </r>
  <r>
    <s v="ORD-101437"/>
    <d v="2025-09-24T00:00:00"/>
    <d v="2025-09-25T00:00:00"/>
    <x v="1"/>
    <s v="Peterborough"/>
    <s v="Small Business"/>
    <s v="B2B Sales"/>
    <s v="P-010"/>
    <n v="16"/>
    <n v="0.05"/>
    <n v="93.78"/>
    <n v="11.7"/>
    <x v="4"/>
    <x v="2"/>
    <s v="Orbit Supply Co."/>
    <n v="3.62"/>
    <n v="6.03"/>
    <n v="57.92"/>
    <n v="24.16"/>
    <n v="0.25762422691405418"/>
    <x v="11"/>
    <x v="0"/>
    <x v="0"/>
  </r>
  <r>
    <s v="ORD-101438"/>
    <d v="2025-01-07T00:00:00"/>
    <d v="2025-01-08T00:00:00"/>
    <x v="1"/>
    <s v="Norwich"/>
    <s v="Corporate"/>
    <s v="Online"/>
    <s v="P-003"/>
    <n v="3"/>
    <n v="0"/>
    <n v="286.22000000000003"/>
    <n v="6.84"/>
    <x v="1"/>
    <x v="1"/>
    <s v="Orbit Supply Co."/>
    <n v="71.489999999999995"/>
    <n v="112.88"/>
    <n v="214.46999999999997"/>
    <n v="64.910000000000053"/>
    <n v="0.22678359304031881"/>
    <x v="20"/>
    <x v="1"/>
    <x v="0"/>
  </r>
  <r>
    <s v="ORD-101439"/>
    <d v="2024-06-21T00:00:00"/>
    <d v="2024-06-23T00:00:00"/>
    <x v="2"/>
    <s v="London"/>
    <s v="Small Business"/>
    <s v="Retail Store"/>
    <s v="P-011"/>
    <n v="12"/>
    <n v="0"/>
    <n v="183.68"/>
    <n v="5.94"/>
    <x v="9"/>
    <x v="2"/>
    <s v="Orbit Supply Co."/>
    <n v="7.93"/>
    <n v="14.78"/>
    <n v="95.16"/>
    <n v="82.580000000000013"/>
    <n v="0.44958623693379796"/>
    <x v="17"/>
    <x v="1"/>
    <x v="1"/>
  </r>
  <r>
    <s v="ORD-101440"/>
    <d v="2025-08-07T00:00:00"/>
    <d v="2025-08-13T00:00:00"/>
    <x v="2"/>
    <s v="Brighton"/>
    <s v="Small Business"/>
    <s v="B2B Sales"/>
    <s v="P-003"/>
    <n v="4"/>
    <n v="0"/>
    <n v="411.14"/>
    <n v="8.2200000000000006"/>
    <x v="1"/>
    <x v="1"/>
    <s v="Orbit Supply Co."/>
    <n v="71.489999999999995"/>
    <n v="112.88"/>
    <n v="285.95999999999998"/>
    <n v="116.96000000000001"/>
    <n v="0.2844773070000487"/>
    <x v="6"/>
    <x v="1"/>
    <x v="0"/>
  </r>
  <r>
    <s v="ORD-101441"/>
    <d v="2025-06-11T00:00:00"/>
    <d v="2025-06-15T00:00:00"/>
    <x v="3"/>
    <s v="Manchester"/>
    <s v="Home Office"/>
    <s v="Retail Store"/>
    <s v="P-005"/>
    <n v="1"/>
    <n v="0.15"/>
    <n v="44.79"/>
    <n v="5.75"/>
    <x v="13"/>
    <x v="0"/>
    <s v="Apex Wholesale"/>
    <n v="25.33"/>
    <n v="51.56"/>
    <n v="25.33"/>
    <n v="13.71"/>
    <n v="0.30609511051574012"/>
    <x v="0"/>
    <x v="2"/>
    <x v="0"/>
  </r>
  <r>
    <s v="ORD-101442"/>
    <d v="2024-12-28T00:00:00"/>
    <d v="2025-01-01T00:00:00"/>
    <x v="1"/>
    <s v="Cambridge"/>
    <s v="Small Business"/>
    <s v="Online"/>
    <s v="P-012"/>
    <n v="12"/>
    <n v="0"/>
    <n v="140.41999999999999"/>
    <n v="5.94"/>
    <x v="14"/>
    <x v="2"/>
    <s v="Luma Imports"/>
    <n v="4.5"/>
    <n v="8.2899999999999991"/>
    <n v="54"/>
    <n v="80.47999999999999"/>
    <n v="0.57313772966813847"/>
    <x v="9"/>
    <x v="1"/>
    <x v="1"/>
  </r>
  <r>
    <s v="ORD-101443"/>
    <d v="2025-11-07T00:00:00"/>
    <d v="2025-11-13T00:00:00"/>
    <x v="2"/>
    <s v="London"/>
    <s v="Home Office"/>
    <s v="B2B Sales"/>
    <s v="P-005"/>
    <n v="2"/>
    <n v="0"/>
    <n v="140.71"/>
    <n v="7"/>
    <x v="13"/>
    <x v="0"/>
    <s v="Apex Wholesale"/>
    <n v="25.33"/>
    <n v="51.56"/>
    <n v="50.66"/>
    <n v="83.050000000000011"/>
    <n v="0.59022102196005977"/>
    <x v="19"/>
    <x v="1"/>
    <x v="0"/>
  </r>
  <r>
    <s v="ORD-101444"/>
    <d v="2024-11-05T00:00:00"/>
    <d v="2024-11-07T00:00:00"/>
    <x v="2"/>
    <s v="Brighton"/>
    <s v="Small Business"/>
    <s v="B2B Sales"/>
    <s v="P-015"/>
    <n v="3"/>
    <n v="0.2"/>
    <n v="20.02"/>
    <n v="3.51"/>
    <x v="8"/>
    <x v="2"/>
    <s v="Luma Imports"/>
    <n v="3.3"/>
    <n v="6.13"/>
    <n v="9.8999999999999986"/>
    <n v="6.6100000000000012"/>
    <n v="0.33016983016983026"/>
    <x v="14"/>
    <x v="2"/>
    <x v="1"/>
  </r>
  <r>
    <s v="ORD-101445"/>
    <d v="2024-02-21T00:00:00"/>
    <d v="2024-02-23T00:00:00"/>
    <x v="3"/>
    <s v="Newcastle"/>
    <s v="Home Office"/>
    <s v="Online"/>
    <s v="P-002"/>
    <n v="1"/>
    <n v="0.15"/>
    <n v="163.46"/>
    <n v="4.08"/>
    <x v="2"/>
    <x v="1"/>
    <s v="Vertex Trade"/>
    <n v="119.02"/>
    <n v="205.39"/>
    <n v="119.02"/>
    <n v="40.360000000000014"/>
    <n v="0.24691055915820392"/>
    <x v="12"/>
    <x v="2"/>
    <x v="1"/>
  </r>
  <r>
    <s v="ORD-101446"/>
    <d v="2024-07-28T00:00:00"/>
    <d v="2024-07-29T00:00:00"/>
    <x v="3"/>
    <s v="Newcastle"/>
    <s v="Corporate"/>
    <s v="Retail Store"/>
    <s v="P-004"/>
    <n v="1"/>
    <n v="0"/>
    <n v="100.05"/>
    <n v="4.08"/>
    <x v="5"/>
    <x v="1"/>
    <s v="Cedar Distribution"/>
    <n v="63.6"/>
    <n v="107.94"/>
    <n v="63.6"/>
    <n v="32.369999999999997"/>
    <n v="0.32353823088455769"/>
    <x v="16"/>
    <x v="1"/>
    <x v="1"/>
  </r>
  <r>
    <s v="ORD-101447"/>
    <d v="2025-09-15T00:00:00"/>
    <d v="2025-09-17T00:00:00"/>
    <x v="0"/>
    <s v="Liverpool"/>
    <s v="Home Office"/>
    <s v="B2B Sales"/>
    <s v="P-004"/>
    <n v="3"/>
    <n v="0"/>
    <n v="355.7"/>
    <n v="11.4"/>
    <x v="5"/>
    <x v="1"/>
    <s v="Cedar Distribution"/>
    <n v="63.6"/>
    <n v="107.94"/>
    <n v="190.8"/>
    <n v="153.49999999999997"/>
    <n v="0.43154343547933643"/>
    <x v="11"/>
    <x v="1"/>
    <x v="0"/>
  </r>
  <r>
    <s v="ORD-101448"/>
    <d v="2025-09-21T00:00:00"/>
    <d v="2025-09-27T00:00:00"/>
    <x v="0"/>
    <s v="Liverpool"/>
    <s v="Corporate"/>
    <s v="Retail Store"/>
    <s v="P-007"/>
    <n v="4"/>
    <n v="0"/>
    <n v="252.2"/>
    <n v="5.7"/>
    <x v="7"/>
    <x v="0"/>
    <s v="Luma Imports"/>
    <n v="31.34"/>
    <n v="56.49"/>
    <n v="125.36"/>
    <n v="121.13999999999999"/>
    <n v="0.48033306899286277"/>
    <x v="11"/>
    <x v="1"/>
    <x v="0"/>
  </r>
  <r>
    <s v="ORD-101449"/>
    <d v="2024-04-04T00:00:00"/>
    <d v="2024-04-06T00:00:00"/>
    <x v="2"/>
    <s v="Brighton"/>
    <s v="Home Office"/>
    <s v="B2B Sales"/>
    <s v="P-005"/>
    <n v="2"/>
    <n v="0"/>
    <n v="102.78"/>
    <n v="4.2"/>
    <x v="13"/>
    <x v="0"/>
    <s v="Apex Wholesale"/>
    <n v="25.33"/>
    <n v="51.56"/>
    <n v="50.66"/>
    <n v="47.92"/>
    <n v="0.46623856781474998"/>
    <x v="21"/>
    <x v="1"/>
    <x v="1"/>
  </r>
  <r>
    <s v="ORD-101450"/>
    <d v="2024-10-13T00:00:00"/>
    <d v="2024-10-15T00:00:00"/>
    <x v="1"/>
    <s v="Norwich"/>
    <s v="Corporate"/>
    <s v="Online"/>
    <s v="P-005"/>
    <n v="1"/>
    <n v="0.25"/>
    <n v="47.52"/>
    <n v="5.75"/>
    <x v="13"/>
    <x v="0"/>
    <s v="Apex Wholesale"/>
    <n v="25.33"/>
    <n v="51.56"/>
    <n v="25.33"/>
    <n v="16.440000000000005"/>
    <n v="0.34595959595959602"/>
    <x v="3"/>
    <x v="3"/>
    <x v="1"/>
  </r>
  <r>
    <s v="ORD-101451"/>
    <d v="2024-01-21T00:00:00"/>
    <d v="2024-01-23T00:00:00"/>
    <x v="3"/>
    <s v="Leeds"/>
    <s v="Corporate"/>
    <s v="Retail Store"/>
    <s v="P-009"/>
    <n v="2"/>
    <n v="0"/>
    <n v="212.43"/>
    <n v="4.2"/>
    <x v="0"/>
    <x v="0"/>
    <s v="Apex Wholesale"/>
    <n v="63.69"/>
    <n v="125.5"/>
    <n v="127.38"/>
    <n v="80.850000000000009"/>
    <n v="0.38059596102245447"/>
    <x v="18"/>
    <x v="1"/>
    <x v="1"/>
  </r>
  <r>
    <s v="ORD-101452"/>
    <d v="2025-04-10T00:00:00"/>
    <d v="2025-04-13T00:00:00"/>
    <x v="1"/>
    <s v="Cambridge"/>
    <s v="Small Business"/>
    <s v="Online"/>
    <s v="P-013"/>
    <n v="6"/>
    <n v="0"/>
    <n v="73.67"/>
    <n v="4.32"/>
    <x v="11"/>
    <x v="2"/>
    <s v="Apex Wholesale"/>
    <n v="6.33"/>
    <n v="12.16"/>
    <n v="37.980000000000004"/>
    <n v="31.369999999999997"/>
    <n v="0.4258178362970001"/>
    <x v="15"/>
    <x v="1"/>
    <x v="0"/>
  </r>
  <r>
    <s v="ORD-101453"/>
    <d v="2025-06-02T00:00:00"/>
    <d v="2025-06-04T00:00:00"/>
    <x v="1"/>
    <s v="Peterborough"/>
    <s v="Home Office"/>
    <s v="B2B Sales"/>
    <s v="P-013"/>
    <n v="12"/>
    <n v="0"/>
    <n v="157.03"/>
    <n v="5.94"/>
    <x v="11"/>
    <x v="2"/>
    <s v="Apex Wholesale"/>
    <n v="6.33"/>
    <n v="12.16"/>
    <n v="75.960000000000008"/>
    <n v="75.13"/>
    <n v="0.47844360950136916"/>
    <x v="0"/>
    <x v="1"/>
    <x v="0"/>
  </r>
  <r>
    <s v="ORD-101454"/>
    <d v="2024-03-31T00:00:00"/>
    <d v="2024-04-03T00:00:00"/>
    <x v="3"/>
    <s v="Manchester"/>
    <s v="Home Office"/>
    <s v="Online"/>
    <s v="P-008"/>
    <n v="2"/>
    <n v="0"/>
    <n v="355.49"/>
    <n v="4.2"/>
    <x v="6"/>
    <x v="0"/>
    <s v="Vertex Trade"/>
    <n v="112.09"/>
    <n v="192.47"/>
    <n v="224.18"/>
    <n v="127.11"/>
    <n v="0.35756280064136825"/>
    <x v="10"/>
    <x v="1"/>
    <x v="1"/>
  </r>
  <r>
    <s v="ORD-101455"/>
    <d v="2025-08-06T00:00:00"/>
    <d v="2025-08-07T00:00:00"/>
    <x v="0"/>
    <s v="Birmingham"/>
    <s v="Small Business"/>
    <s v="Retail Store"/>
    <s v="P-007"/>
    <n v="2"/>
    <n v="0.15"/>
    <n v="89.54"/>
    <n v="7"/>
    <x v="7"/>
    <x v="0"/>
    <s v="Luma Imports"/>
    <n v="31.34"/>
    <n v="56.49"/>
    <n v="62.68"/>
    <n v="19.860000000000007"/>
    <n v="0.22180031270940367"/>
    <x v="6"/>
    <x v="2"/>
    <x v="0"/>
  </r>
  <r>
    <s v="ORD-101456"/>
    <d v="2024-12-06T00:00:00"/>
    <d v="2024-12-09T00:00:00"/>
    <x v="0"/>
    <s v="Liverpool"/>
    <s v="Home Office"/>
    <s v="B2B Sales"/>
    <s v="P-006"/>
    <n v="1"/>
    <n v="0"/>
    <n v="165.6"/>
    <n v="3.45"/>
    <x v="10"/>
    <x v="0"/>
    <s v="Apex Wholesale"/>
    <n v="54.95"/>
    <n v="112.56"/>
    <n v="54.95"/>
    <n v="107.19999999999999"/>
    <n v="0.64734299516908211"/>
    <x v="9"/>
    <x v="1"/>
    <x v="1"/>
  </r>
  <r>
    <s v="ORD-101457"/>
    <d v="2024-05-26T00:00:00"/>
    <d v="2024-06-01T00:00:00"/>
    <x v="1"/>
    <s v="Norwich"/>
    <s v="Corporate"/>
    <s v="Online"/>
    <s v="P-008"/>
    <n v="7"/>
    <n v="0"/>
    <n v="1344.01"/>
    <n v="7.95"/>
    <x v="6"/>
    <x v="0"/>
    <s v="Vertex Trade"/>
    <n v="112.09"/>
    <n v="192.47"/>
    <n v="784.63"/>
    <n v="551.42999999999995"/>
    <n v="0.41028712583983745"/>
    <x v="8"/>
    <x v="1"/>
    <x v="1"/>
  </r>
  <r>
    <s v="ORD-101458"/>
    <d v="2025-04-27T00:00:00"/>
    <d v="2025-05-03T00:00:00"/>
    <x v="1"/>
    <s v="Cambridge"/>
    <s v="Corporate"/>
    <s v="Online"/>
    <s v="P-006"/>
    <n v="2"/>
    <n v="0"/>
    <n v="216.95"/>
    <n v="7"/>
    <x v="10"/>
    <x v="0"/>
    <s v="Apex Wholesale"/>
    <n v="54.95"/>
    <n v="112.56"/>
    <n v="109.9"/>
    <n v="100.04999999999998"/>
    <n v="0.46116616731965887"/>
    <x v="15"/>
    <x v="1"/>
    <x v="0"/>
  </r>
  <r>
    <s v="ORD-101459"/>
    <d v="2024-10-27T00:00:00"/>
    <d v="2024-10-29T00:00:00"/>
    <x v="3"/>
    <s v="Newcastle"/>
    <s v="Small Business"/>
    <s v="Online"/>
    <s v="P-001"/>
    <n v="2"/>
    <n v="0.25"/>
    <n v="497.11"/>
    <n v="5.46"/>
    <x v="12"/>
    <x v="1"/>
    <s v="Luma Imports"/>
    <n v="173.56"/>
    <n v="286.14999999999998"/>
    <n v="347.12"/>
    <n v="144.53"/>
    <n v="0.29074047997425118"/>
    <x v="3"/>
    <x v="3"/>
    <x v="1"/>
  </r>
  <r>
    <s v="ORD-101460"/>
    <d v="2024-12-18T00:00:00"/>
    <d v="2024-12-19T00:00:00"/>
    <x v="2"/>
    <s v="London"/>
    <s v="Corporate"/>
    <s v="B2B Sales"/>
    <s v="P-010"/>
    <n v="10"/>
    <n v="0"/>
    <n v="90.2"/>
    <n v="5.4"/>
    <x v="4"/>
    <x v="2"/>
    <s v="Orbit Supply Co."/>
    <n v="3.62"/>
    <n v="6.03"/>
    <n v="36.200000000000003"/>
    <n v="48.6"/>
    <n v="0.53880266075388028"/>
    <x v="9"/>
    <x v="1"/>
    <x v="1"/>
  </r>
  <r>
    <s v="ORD-101461"/>
    <d v="2025-01-09T00:00:00"/>
    <d v="2025-01-11T00:00:00"/>
    <x v="1"/>
    <s v="Cambridge"/>
    <s v="Home Office"/>
    <s v="B2B Sales"/>
    <s v="P-005"/>
    <n v="4"/>
    <n v="0.25"/>
    <n v="137.34"/>
    <n v="5.7"/>
    <x v="13"/>
    <x v="0"/>
    <s v="Apex Wholesale"/>
    <n v="25.33"/>
    <n v="51.56"/>
    <n v="101.32"/>
    <n v="30.320000000000011"/>
    <n v="0.22076598223387223"/>
    <x v="20"/>
    <x v="3"/>
    <x v="0"/>
  </r>
  <r>
    <s v="ORD-101462"/>
    <d v="2025-08-07T00:00:00"/>
    <d v="2025-08-10T00:00:00"/>
    <x v="1"/>
    <s v="Peterborough"/>
    <s v="Small Business"/>
    <s v="B2B Sales"/>
    <s v="P-006"/>
    <n v="5"/>
    <n v="0.15"/>
    <n v="470.01"/>
    <n v="6.45"/>
    <x v="10"/>
    <x v="0"/>
    <s v="Apex Wholesale"/>
    <n v="54.95"/>
    <n v="112.56"/>
    <n v="274.75"/>
    <n v="188.81"/>
    <n v="0.40171485713069938"/>
    <x v="6"/>
    <x v="2"/>
    <x v="0"/>
  </r>
  <r>
    <s v="ORD-101463"/>
    <d v="2025-11-04T00:00:00"/>
    <d v="2025-11-06T00:00:00"/>
    <x v="3"/>
    <s v="Manchester"/>
    <s v="Small Business"/>
    <s v="Online"/>
    <s v="P-014"/>
    <n v="11"/>
    <n v="0.05"/>
    <n v="395.64"/>
    <n v="5.67"/>
    <x v="3"/>
    <x v="2"/>
    <s v="Orbit Supply Co."/>
    <n v="16.760000000000002"/>
    <n v="27.71"/>
    <n v="184.36"/>
    <n v="205.60999999999999"/>
    <n v="0.51968961682337478"/>
    <x v="19"/>
    <x v="0"/>
    <x v="0"/>
  </r>
  <r>
    <s v="ORD-101464"/>
    <d v="2025-08-09T00:00:00"/>
    <d v="2025-08-15T00:00:00"/>
    <x v="3"/>
    <s v="Manchester"/>
    <s v="Home Office"/>
    <s v="B2B Sales"/>
    <s v="P-007"/>
    <n v="4"/>
    <n v="0.15"/>
    <n v="185.56"/>
    <n v="5.7"/>
    <x v="7"/>
    <x v="0"/>
    <s v="Luma Imports"/>
    <n v="31.34"/>
    <n v="56.49"/>
    <n v="125.36"/>
    <n v="54.5"/>
    <n v="0.29370553998706617"/>
    <x v="6"/>
    <x v="2"/>
    <x v="0"/>
  </r>
  <r>
    <s v="ORD-101465"/>
    <d v="2024-05-23T00:00:00"/>
    <d v="2024-05-26T00:00:00"/>
    <x v="3"/>
    <s v="Leeds"/>
    <s v="Small Business"/>
    <s v="Online"/>
    <s v="P-002"/>
    <n v="3"/>
    <n v="0"/>
    <n v="661.73"/>
    <n v="11.4"/>
    <x v="2"/>
    <x v="1"/>
    <s v="Vertex Trade"/>
    <n v="119.02"/>
    <n v="205.39"/>
    <n v="357.06"/>
    <n v="293.27000000000004"/>
    <n v="0.44318679824097446"/>
    <x v="8"/>
    <x v="1"/>
    <x v="1"/>
  </r>
  <r>
    <s v="ORD-101466"/>
    <d v="2025-11-10T00:00:00"/>
    <d v="2025-11-14T00:00:00"/>
    <x v="3"/>
    <s v="Leeds"/>
    <s v="Home Office"/>
    <s v="B2B Sales"/>
    <s v="P-008"/>
    <n v="3"/>
    <n v="0.05"/>
    <n v="771.28"/>
    <n v="8.25"/>
    <x v="6"/>
    <x v="0"/>
    <s v="Vertex Trade"/>
    <n v="112.09"/>
    <n v="192.47"/>
    <n v="336.27"/>
    <n v="426.76"/>
    <n v="0.55331397157971163"/>
    <x v="19"/>
    <x v="0"/>
    <x v="0"/>
  </r>
  <r>
    <s v="ORD-101467"/>
    <d v="2025-09-14T00:00:00"/>
    <d v="2025-09-15T00:00:00"/>
    <x v="3"/>
    <s v="Manchester"/>
    <s v="Home Office"/>
    <s v="Retail Store"/>
    <s v="P-007"/>
    <n v="1"/>
    <n v="0.15"/>
    <n v="52.99"/>
    <n v="3.45"/>
    <x v="7"/>
    <x v="0"/>
    <s v="Luma Imports"/>
    <n v="31.34"/>
    <n v="56.49"/>
    <n v="31.34"/>
    <n v="18.200000000000003"/>
    <n v="0.34346103038309117"/>
    <x v="11"/>
    <x v="2"/>
    <x v="0"/>
  </r>
  <r>
    <s v="ORD-101468"/>
    <d v="2025-03-13T00:00:00"/>
    <d v="2025-03-18T00:00:00"/>
    <x v="3"/>
    <s v="Manchester"/>
    <s v="Home Office"/>
    <s v="B2B Sales"/>
    <s v="P-006"/>
    <n v="3"/>
    <n v="0.1"/>
    <n v="275.83999999999997"/>
    <n v="8.25"/>
    <x v="10"/>
    <x v="0"/>
    <s v="Apex Wholesale"/>
    <n v="54.95"/>
    <n v="112.56"/>
    <n v="164.85000000000002"/>
    <n v="102.73999999999995"/>
    <n v="0.37246229698375855"/>
    <x v="2"/>
    <x v="0"/>
    <x v="0"/>
  </r>
  <r>
    <s v="ORD-101469"/>
    <d v="2025-04-13T00:00:00"/>
    <d v="2025-04-18T00:00:00"/>
    <x v="1"/>
    <s v="Cambridge"/>
    <s v="Home Office"/>
    <s v="B2B Sales"/>
    <s v="P-014"/>
    <n v="11"/>
    <n v="0"/>
    <n v="316.60000000000002"/>
    <n v="5.67"/>
    <x v="3"/>
    <x v="2"/>
    <s v="Orbit Supply Co."/>
    <n v="16.760000000000002"/>
    <n v="27.71"/>
    <n v="184.36"/>
    <n v="126.57000000000001"/>
    <n v="0.39977890082122552"/>
    <x v="15"/>
    <x v="1"/>
    <x v="0"/>
  </r>
  <r>
    <s v="ORD-101470"/>
    <d v="2024-11-13T00:00:00"/>
    <d v="2024-11-17T00:00:00"/>
    <x v="1"/>
    <s v="Norwich"/>
    <s v="Small Business"/>
    <s v="Retail Store"/>
    <s v="P-013"/>
    <n v="5"/>
    <n v="0"/>
    <n v="86.71"/>
    <n v="6.75"/>
    <x v="11"/>
    <x v="2"/>
    <s v="Apex Wholesale"/>
    <n v="6.33"/>
    <n v="12.16"/>
    <n v="31.65"/>
    <n v="48.309999999999995"/>
    <n v="0.5571445046707415"/>
    <x v="14"/>
    <x v="1"/>
    <x v="1"/>
  </r>
  <r>
    <s v="ORD-101471"/>
    <d v="2025-08-31T00:00:00"/>
    <d v="2025-09-01T00:00:00"/>
    <x v="2"/>
    <s v="London"/>
    <s v="Corporate"/>
    <s v="B2B Sales"/>
    <s v="P-006"/>
    <n v="3"/>
    <n v="0"/>
    <n v="324.81"/>
    <n v="8.25"/>
    <x v="10"/>
    <x v="0"/>
    <s v="Apex Wholesale"/>
    <n v="54.95"/>
    <n v="112.56"/>
    <n v="164.85000000000002"/>
    <n v="151.70999999999998"/>
    <n v="0.46707305809550193"/>
    <x v="6"/>
    <x v="1"/>
    <x v="0"/>
  </r>
  <r>
    <s v="ORD-101472"/>
    <d v="2025-11-15T00:00:00"/>
    <d v="2025-11-18T00:00:00"/>
    <x v="0"/>
    <s v="Birmingham"/>
    <s v="Small Business"/>
    <s v="B2B Sales"/>
    <s v="P-013"/>
    <n v="7"/>
    <n v="0"/>
    <n v="108.22"/>
    <n v="7.65"/>
    <x v="11"/>
    <x v="2"/>
    <s v="Apex Wholesale"/>
    <n v="6.33"/>
    <n v="12.16"/>
    <n v="44.31"/>
    <n v="56.26"/>
    <n v="0.51986693771946035"/>
    <x v="19"/>
    <x v="1"/>
    <x v="0"/>
  </r>
  <r>
    <s v="ORD-101473"/>
    <d v="2025-10-15T00:00:00"/>
    <d v="2025-10-21T00:00:00"/>
    <x v="2"/>
    <s v="Brighton"/>
    <s v="Small Business"/>
    <s v="Retail Store"/>
    <s v="P-008"/>
    <n v="4"/>
    <n v="0"/>
    <n v="939.91"/>
    <n v="5.7"/>
    <x v="6"/>
    <x v="0"/>
    <s v="Vertex Trade"/>
    <n v="112.09"/>
    <n v="192.47"/>
    <n v="448.36"/>
    <n v="485.84999999999997"/>
    <n v="0.51691119362492155"/>
    <x v="22"/>
    <x v="1"/>
    <x v="0"/>
  </r>
  <r>
    <s v="ORD-101474"/>
    <d v="2025-03-23T00:00:00"/>
    <d v="2025-03-25T00:00:00"/>
    <x v="0"/>
    <s v="Cardiff"/>
    <s v="Small Business"/>
    <s v="Online"/>
    <s v="P-007"/>
    <n v="4"/>
    <n v="0"/>
    <n v="221.67"/>
    <n v="9.5"/>
    <x v="7"/>
    <x v="0"/>
    <s v="Luma Imports"/>
    <n v="31.34"/>
    <n v="56.49"/>
    <n v="125.36"/>
    <n v="86.809999999999988"/>
    <n v="0.39161817115532094"/>
    <x v="2"/>
    <x v="1"/>
    <x v="0"/>
  </r>
  <r>
    <s v="ORD-101475"/>
    <d v="2024-06-04T00:00:00"/>
    <d v="2024-06-10T00:00:00"/>
    <x v="2"/>
    <s v="Bristol"/>
    <s v="Corporate"/>
    <s v="Retail Store"/>
    <s v="P-010"/>
    <n v="6"/>
    <n v="0.15"/>
    <n v="31.91"/>
    <n v="4.32"/>
    <x v="4"/>
    <x v="2"/>
    <s v="Orbit Supply Co."/>
    <n v="3.62"/>
    <n v="6.03"/>
    <n v="21.72"/>
    <n v="5.870000000000001"/>
    <n v="0.18395487308053904"/>
    <x v="17"/>
    <x v="2"/>
    <x v="1"/>
  </r>
  <r>
    <s v="ORD-101476"/>
    <d v="2025-06-03T00:00:00"/>
    <d v="2025-06-09T00:00:00"/>
    <x v="3"/>
    <s v="Newcastle"/>
    <s v="Small Business"/>
    <s v="Retail Store"/>
    <s v="P-006"/>
    <n v="4"/>
    <n v="0.05"/>
    <n v="460.96"/>
    <n v="9.5"/>
    <x v="10"/>
    <x v="0"/>
    <s v="Apex Wholesale"/>
    <n v="54.95"/>
    <n v="112.56"/>
    <n v="219.8"/>
    <n v="231.65999999999997"/>
    <n v="0.50255987504338762"/>
    <x v="0"/>
    <x v="0"/>
    <x v="0"/>
  </r>
  <r>
    <s v="ORD-101477"/>
    <d v="2025-09-23T00:00:00"/>
    <d v="2025-09-28T00:00:00"/>
    <x v="3"/>
    <s v="Leeds"/>
    <s v="Small Business"/>
    <s v="Retail Store"/>
    <s v="P-003"/>
    <n v="4"/>
    <n v="0"/>
    <n v="480.77"/>
    <n v="8.2200000000000006"/>
    <x v="1"/>
    <x v="1"/>
    <s v="Orbit Supply Co."/>
    <n v="71.489999999999995"/>
    <n v="112.88"/>
    <n v="285.95999999999998"/>
    <n v="186.59"/>
    <n v="0.3881065790294736"/>
    <x v="11"/>
    <x v="1"/>
    <x v="0"/>
  </r>
  <r>
    <s v="ORD-101478"/>
    <d v="2025-07-27T00:00:00"/>
    <d v="2025-07-28T00:00:00"/>
    <x v="0"/>
    <s v="Liverpool"/>
    <s v="Corporate"/>
    <s v="Online"/>
    <s v="P-013"/>
    <n v="8"/>
    <n v="0.15"/>
    <n v="80.41"/>
    <n v="8.1"/>
    <x v="11"/>
    <x v="2"/>
    <s v="Apex Wholesale"/>
    <n v="6.33"/>
    <n v="12.16"/>
    <n v="50.64"/>
    <n v="21.669999999999995"/>
    <n v="0.26949384404924753"/>
    <x v="4"/>
    <x v="2"/>
    <x v="0"/>
  </r>
  <r>
    <s v="ORD-101479"/>
    <d v="2025-01-12T00:00:00"/>
    <d v="2025-01-15T00:00:00"/>
    <x v="0"/>
    <s v="Cardiff"/>
    <s v="Corporate"/>
    <s v="Retail Store"/>
    <s v="P-003"/>
    <n v="3"/>
    <n v="0.05"/>
    <n v="292.83999999999997"/>
    <n v="6.84"/>
    <x v="1"/>
    <x v="1"/>
    <s v="Orbit Supply Co."/>
    <n v="71.489999999999995"/>
    <n v="112.88"/>
    <n v="214.46999999999997"/>
    <n v="71.53"/>
    <n v="0.24426307881436965"/>
    <x v="20"/>
    <x v="0"/>
    <x v="0"/>
  </r>
  <r>
    <s v="ORD-101480"/>
    <d v="2024-07-20T00:00:00"/>
    <d v="2024-07-25T00:00:00"/>
    <x v="2"/>
    <s v="Bristol"/>
    <s v="Corporate"/>
    <s v="B2B Sales"/>
    <s v="P-002"/>
    <n v="1"/>
    <n v="0"/>
    <n v="180.79"/>
    <n v="6.8"/>
    <x v="2"/>
    <x v="1"/>
    <s v="Vertex Trade"/>
    <n v="119.02"/>
    <n v="205.39"/>
    <n v="119.02"/>
    <n v="54.97"/>
    <n v="0.30405442778914765"/>
    <x v="16"/>
    <x v="1"/>
    <x v="1"/>
  </r>
  <r>
    <s v="ORD-101481"/>
    <d v="2024-02-19T00:00:00"/>
    <d v="2024-02-22T00:00:00"/>
    <x v="0"/>
    <s v="Cardiff"/>
    <s v="Corporate"/>
    <s v="Retail Store"/>
    <s v="P-004"/>
    <n v="2"/>
    <n v="0.25"/>
    <n v="149.4"/>
    <n v="9.1"/>
    <x v="5"/>
    <x v="1"/>
    <s v="Cedar Distribution"/>
    <n v="63.6"/>
    <n v="107.94"/>
    <n v="127.2"/>
    <n v="13.100000000000003"/>
    <n v="8.7684069611780477E-2"/>
    <x v="12"/>
    <x v="3"/>
    <x v="1"/>
  </r>
  <r>
    <s v="ORD-101482"/>
    <d v="2024-02-03T00:00:00"/>
    <d v="2024-02-09T00:00:00"/>
    <x v="2"/>
    <s v="Brighton"/>
    <s v="Small Business"/>
    <s v="B2B Sales"/>
    <s v="P-006"/>
    <n v="2"/>
    <n v="0"/>
    <n v="208.08"/>
    <n v="4.2"/>
    <x v="10"/>
    <x v="0"/>
    <s v="Apex Wholesale"/>
    <n v="54.95"/>
    <n v="112.56"/>
    <n v="109.9"/>
    <n v="93.98"/>
    <n v="0.45165321030372935"/>
    <x v="12"/>
    <x v="1"/>
    <x v="1"/>
  </r>
  <r>
    <s v="ORD-101483"/>
    <d v="2025-04-06T00:00:00"/>
    <d v="2025-04-10T00:00:00"/>
    <x v="2"/>
    <s v="Bristol"/>
    <s v="Small Business"/>
    <s v="Online"/>
    <s v="P-002"/>
    <n v="1"/>
    <n v="0"/>
    <n v="199.7"/>
    <n v="6.8"/>
    <x v="2"/>
    <x v="1"/>
    <s v="Vertex Trade"/>
    <n v="119.02"/>
    <n v="205.39"/>
    <n v="119.02"/>
    <n v="73.88"/>
    <n v="0.36995493239859789"/>
    <x v="15"/>
    <x v="1"/>
    <x v="0"/>
  </r>
  <r>
    <s v="ORD-101484"/>
    <d v="2025-04-16T00:00:00"/>
    <d v="2025-04-18T00:00:00"/>
    <x v="3"/>
    <s v="Newcastle"/>
    <s v="Corporate"/>
    <s v="B2B Sales"/>
    <s v="P-014"/>
    <n v="10"/>
    <n v="0.05"/>
    <n v="244.97"/>
    <n v="9"/>
    <x v="3"/>
    <x v="2"/>
    <s v="Orbit Supply Co."/>
    <n v="16.760000000000002"/>
    <n v="27.71"/>
    <n v="167.60000000000002"/>
    <n v="68.369999999999976"/>
    <n v="0.27909539943666561"/>
    <x v="15"/>
    <x v="0"/>
    <x v="0"/>
  </r>
  <r>
    <s v="ORD-101485"/>
    <d v="2024-11-25T00:00:00"/>
    <d v="2024-11-27T00:00:00"/>
    <x v="2"/>
    <s v="Bristol"/>
    <s v="Home Office"/>
    <s v="B2B Sales"/>
    <s v="P-009"/>
    <n v="4"/>
    <n v="0"/>
    <n v="655.97"/>
    <n v="5.7"/>
    <x v="0"/>
    <x v="0"/>
    <s v="Apex Wholesale"/>
    <n v="63.69"/>
    <n v="125.5"/>
    <n v="254.76"/>
    <n v="395.51000000000005"/>
    <n v="0.60293915880299409"/>
    <x v="14"/>
    <x v="1"/>
    <x v="1"/>
  </r>
  <r>
    <s v="ORD-101486"/>
    <d v="2025-06-02T00:00:00"/>
    <d v="2025-06-06T00:00:00"/>
    <x v="3"/>
    <s v="Newcastle"/>
    <s v="Home Office"/>
    <s v="Retail Store"/>
    <s v="P-015"/>
    <n v="23"/>
    <n v="0.1"/>
    <n v="134.97"/>
    <n v="8.91"/>
    <x v="8"/>
    <x v="2"/>
    <s v="Luma Imports"/>
    <n v="3.3"/>
    <n v="6.13"/>
    <n v="75.899999999999991"/>
    <n v="50.160000000000011"/>
    <n v="0.37163814180929106"/>
    <x v="0"/>
    <x v="0"/>
    <x v="0"/>
  </r>
  <r>
    <s v="ORD-101487"/>
    <d v="2025-11-17T00:00:00"/>
    <d v="2025-11-23T00:00:00"/>
    <x v="1"/>
    <s v="Norwich"/>
    <s v="Home Office"/>
    <s v="Retail Store"/>
    <s v="P-004"/>
    <n v="1"/>
    <n v="0.15"/>
    <n v="128.15"/>
    <n v="6.8"/>
    <x v="5"/>
    <x v="1"/>
    <s v="Cedar Distribution"/>
    <n v="63.6"/>
    <n v="107.94"/>
    <n v="63.6"/>
    <n v="57.750000000000014"/>
    <n v="0.45064377682403445"/>
    <x v="19"/>
    <x v="2"/>
    <x v="0"/>
  </r>
  <r>
    <s v="ORD-101488"/>
    <d v="2024-01-26T00:00:00"/>
    <d v="2024-02-01T00:00:00"/>
    <x v="1"/>
    <s v="Cambridge"/>
    <s v="Home Office"/>
    <s v="Online"/>
    <s v="P-014"/>
    <n v="4"/>
    <n v="0"/>
    <n v="92.36"/>
    <n v="6.3"/>
    <x v="3"/>
    <x v="2"/>
    <s v="Orbit Supply Co."/>
    <n v="16.760000000000002"/>
    <n v="27.71"/>
    <n v="67.040000000000006"/>
    <n v="19.019999999999992"/>
    <n v="0.20593330446080546"/>
    <x v="18"/>
    <x v="1"/>
    <x v="1"/>
  </r>
  <r>
    <s v="ORD-101489"/>
    <d v="2025-01-04T00:00:00"/>
    <d v="2025-01-10T00:00:00"/>
    <x v="0"/>
    <s v="Cardiff"/>
    <s v="Corporate"/>
    <s v="B2B Sales"/>
    <s v="P-006"/>
    <n v="2"/>
    <n v="0"/>
    <n v="208.15"/>
    <n v="4.2"/>
    <x v="10"/>
    <x v="0"/>
    <s v="Apex Wholesale"/>
    <n v="54.95"/>
    <n v="112.56"/>
    <n v="109.9"/>
    <n v="94.05"/>
    <n v="0.45183761710305065"/>
    <x v="20"/>
    <x v="1"/>
    <x v="0"/>
  </r>
  <r>
    <s v="ORD-101490"/>
    <d v="2025-11-20T00:00:00"/>
    <d v="2025-11-21T00:00:00"/>
    <x v="2"/>
    <s v="Bristol"/>
    <s v="Home Office"/>
    <s v="B2B Sales"/>
    <s v="P-011"/>
    <n v="22"/>
    <n v="0.15"/>
    <n v="393.06"/>
    <n v="8.64"/>
    <x v="9"/>
    <x v="2"/>
    <s v="Orbit Supply Co."/>
    <n v="7.93"/>
    <n v="14.78"/>
    <n v="174.45999999999998"/>
    <n v="209.96000000000004"/>
    <n v="0.53416781153004644"/>
    <x v="19"/>
    <x v="2"/>
    <x v="0"/>
  </r>
  <r>
    <s v="ORD-101491"/>
    <d v="2025-06-16T00:00:00"/>
    <d v="2025-06-19T00:00:00"/>
    <x v="3"/>
    <s v="Newcastle"/>
    <s v="Small Business"/>
    <s v="Retail Store"/>
    <s v="P-001"/>
    <n v="1"/>
    <n v="0.2"/>
    <n v="228.93"/>
    <n v="4.08"/>
    <x v="12"/>
    <x v="1"/>
    <s v="Luma Imports"/>
    <n v="173.56"/>
    <n v="286.14999999999998"/>
    <n v="173.56"/>
    <n v="51.290000000000006"/>
    <n v="0.22404228366749662"/>
    <x v="0"/>
    <x v="2"/>
    <x v="0"/>
  </r>
  <r>
    <s v="ORD-101492"/>
    <d v="2025-01-20T00:00:00"/>
    <d v="2025-01-23T00:00:00"/>
    <x v="0"/>
    <s v="Liverpool"/>
    <s v="Corporate"/>
    <s v="B2B Sales"/>
    <s v="P-012"/>
    <n v="14"/>
    <n v="0.2"/>
    <n v="83.95"/>
    <n v="10.8"/>
    <x v="14"/>
    <x v="2"/>
    <s v="Luma Imports"/>
    <n v="4.5"/>
    <n v="8.2899999999999991"/>
    <n v="63"/>
    <n v="10.150000000000002"/>
    <n v="0.12090530077427042"/>
    <x v="20"/>
    <x v="2"/>
    <x v="0"/>
  </r>
  <r>
    <s v="ORD-101493"/>
    <d v="2024-09-13T00:00:00"/>
    <d v="2024-09-17T00:00:00"/>
    <x v="1"/>
    <s v="Cambridge"/>
    <s v="Home Office"/>
    <s v="Online"/>
    <s v="P-002"/>
    <n v="2"/>
    <n v="0"/>
    <n v="467.98"/>
    <n v="5.46"/>
    <x v="2"/>
    <x v="1"/>
    <s v="Vertex Trade"/>
    <n v="119.02"/>
    <n v="205.39"/>
    <n v="238.04"/>
    <n v="224.48000000000002"/>
    <n v="0.47967861874439083"/>
    <x v="23"/>
    <x v="1"/>
    <x v="1"/>
  </r>
  <r>
    <s v="ORD-101494"/>
    <d v="2025-01-01T00:00:00"/>
    <d v="2025-01-07T00:00:00"/>
    <x v="1"/>
    <s v="Peterborough"/>
    <s v="Corporate"/>
    <s v="B2B Sales"/>
    <s v="P-013"/>
    <n v="14"/>
    <n v="0.2"/>
    <n v="122.24"/>
    <n v="10.8"/>
    <x v="11"/>
    <x v="2"/>
    <s v="Apex Wholesale"/>
    <n v="6.33"/>
    <n v="12.16"/>
    <n v="88.62"/>
    <n v="22.81999999999999"/>
    <n v="0.18668193717277479"/>
    <x v="20"/>
    <x v="2"/>
    <x v="0"/>
  </r>
  <r>
    <s v="ORD-101495"/>
    <d v="2025-06-09T00:00:00"/>
    <d v="2025-06-13T00:00:00"/>
    <x v="1"/>
    <s v="Cambridge"/>
    <s v="Corporate"/>
    <s v="B2B Sales"/>
    <s v="P-009"/>
    <n v="3"/>
    <n v="0"/>
    <n v="395.84"/>
    <n v="4.95"/>
    <x v="0"/>
    <x v="0"/>
    <s v="Apex Wholesale"/>
    <n v="63.69"/>
    <n v="125.5"/>
    <n v="191.07"/>
    <n v="199.82"/>
    <n v="0.50479991915925626"/>
    <x v="0"/>
    <x v="1"/>
    <x v="0"/>
  </r>
  <r>
    <s v="ORD-101496"/>
    <d v="2024-06-01T00:00:00"/>
    <d v="2024-06-04T00:00:00"/>
    <x v="1"/>
    <s v="Peterborough"/>
    <s v="Small Business"/>
    <s v="Retail Store"/>
    <s v="P-007"/>
    <n v="2"/>
    <n v="0.15"/>
    <n v="98.78"/>
    <n v="4.2"/>
    <x v="7"/>
    <x v="0"/>
    <s v="Luma Imports"/>
    <n v="31.34"/>
    <n v="56.49"/>
    <n v="62.68"/>
    <n v="31.900000000000002"/>
    <n v="0.3229398663697105"/>
    <x v="17"/>
    <x v="2"/>
    <x v="1"/>
  </r>
  <r>
    <s v="ORD-101497"/>
    <d v="2024-09-17T00:00:00"/>
    <d v="2024-09-21T00:00:00"/>
    <x v="2"/>
    <s v="London"/>
    <s v="Corporate"/>
    <s v="Retail Store"/>
    <s v="P-004"/>
    <n v="3"/>
    <n v="0.25"/>
    <n v="270.7"/>
    <n v="6.84"/>
    <x v="5"/>
    <x v="1"/>
    <s v="Cedar Distribution"/>
    <n v="63.6"/>
    <n v="107.94"/>
    <n v="190.8"/>
    <n v="73.059999999999974"/>
    <n v="0.26989287033616544"/>
    <x v="23"/>
    <x v="3"/>
    <x v="1"/>
  </r>
  <r>
    <s v="ORD-101498"/>
    <d v="2024-10-07T00:00:00"/>
    <d v="2024-10-11T00:00:00"/>
    <x v="3"/>
    <s v="Manchester"/>
    <s v="Small Business"/>
    <s v="Retail Store"/>
    <s v="P-004"/>
    <n v="1"/>
    <n v="0"/>
    <n v="119.66"/>
    <n v="6.8"/>
    <x v="5"/>
    <x v="1"/>
    <s v="Cedar Distribution"/>
    <n v="63.6"/>
    <n v="107.94"/>
    <n v="63.6"/>
    <n v="49.26"/>
    <n v="0.41166638809961559"/>
    <x v="3"/>
    <x v="1"/>
    <x v="1"/>
  </r>
  <r>
    <s v="ORD-101499"/>
    <d v="2024-09-13T00:00:00"/>
    <d v="2024-09-18T00:00:00"/>
    <x v="1"/>
    <s v="Peterborough"/>
    <s v="Home Office"/>
    <s v="Online"/>
    <s v="P-002"/>
    <n v="1"/>
    <n v="0.05"/>
    <n v="202.62"/>
    <n v="6.8"/>
    <x v="2"/>
    <x v="1"/>
    <s v="Vertex Trade"/>
    <n v="119.02"/>
    <n v="205.39"/>
    <n v="119.02"/>
    <n v="76.800000000000011"/>
    <n v="0.37903464613562338"/>
    <x v="23"/>
    <x v="0"/>
    <x v="1"/>
  </r>
  <r>
    <s v="ORD-101500"/>
    <d v="2024-11-17T00:00:00"/>
    <d v="2024-11-23T00:00:00"/>
    <x v="0"/>
    <s v="Birmingham"/>
    <s v="Small Business"/>
    <s v="Online"/>
    <s v="P-009"/>
    <n v="2"/>
    <n v="0"/>
    <n v="350.67"/>
    <n v="7"/>
    <x v="0"/>
    <x v="0"/>
    <s v="Apex Wholesale"/>
    <n v="63.69"/>
    <n v="125.5"/>
    <n v="127.38"/>
    <n v="216.29000000000002"/>
    <n v="0.61679071491715864"/>
    <x v="14"/>
    <x v="1"/>
    <x v="1"/>
  </r>
  <r>
    <s v="ORD-101501"/>
    <d v="2025-02-09T00:00:00"/>
    <d v="2025-02-14T00:00:00"/>
    <x v="2"/>
    <s v="Bristol"/>
    <s v="Home Office"/>
    <s v="B2B Sales"/>
    <s v="P-009"/>
    <n v="4"/>
    <n v="0"/>
    <n v="470.59"/>
    <n v="5.7"/>
    <x v="0"/>
    <x v="0"/>
    <s v="Apex Wholesale"/>
    <n v="63.69"/>
    <n v="125.5"/>
    <n v="254.76"/>
    <n v="210.13"/>
    <n v="0.44652457553284175"/>
    <x v="5"/>
    <x v="1"/>
    <x v="0"/>
  </r>
  <r>
    <s v="ORD-101502"/>
    <d v="2025-08-02T00:00:00"/>
    <d v="2025-08-07T00:00:00"/>
    <x v="1"/>
    <s v="Cambridge"/>
    <s v="Corporate"/>
    <s v="Online"/>
    <s v="P-005"/>
    <n v="7"/>
    <n v="0.2"/>
    <n v="276.17"/>
    <n v="7.95"/>
    <x v="13"/>
    <x v="0"/>
    <s v="Apex Wholesale"/>
    <n v="25.33"/>
    <n v="51.56"/>
    <n v="177.31"/>
    <n v="90.910000000000011"/>
    <n v="0.32918130137234314"/>
    <x v="6"/>
    <x v="2"/>
    <x v="0"/>
  </r>
  <r>
    <s v="ORD-101503"/>
    <d v="2024-07-02T00:00:00"/>
    <d v="2024-07-08T00:00:00"/>
    <x v="0"/>
    <s v="Birmingham"/>
    <s v="Home Office"/>
    <s v="Online"/>
    <s v="P-003"/>
    <n v="2"/>
    <n v="0.15"/>
    <n v="171.9"/>
    <n v="9.1"/>
    <x v="1"/>
    <x v="1"/>
    <s v="Orbit Supply Co."/>
    <n v="71.489999999999995"/>
    <n v="112.88"/>
    <n v="142.97999999999999"/>
    <n v="19.820000000000014"/>
    <n v="0.11529959278650387"/>
    <x v="16"/>
    <x v="2"/>
    <x v="1"/>
  </r>
  <r>
    <s v="ORD-101504"/>
    <d v="2024-03-08T00:00:00"/>
    <d v="2024-03-11T00:00:00"/>
    <x v="1"/>
    <s v="Peterborough"/>
    <s v="Small Business"/>
    <s v="Retail Store"/>
    <s v="P-010"/>
    <n v="14"/>
    <n v="0"/>
    <n v="76.98"/>
    <n v="6.48"/>
    <x v="4"/>
    <x v="2"/>
    <s v="Orbit Supply Co."/>
    <n v="3.62"/>
    <n v="6.03"/>
    <n v="50.68"/>
    <n v="19.820000000000004"/>
    <n v="0.25746947259028324"/>
    <x v="10"/>
    <x v="1"/>
    <x v="1"/>
  </r>
  <r>
    <s v="ORD-101505"/>
    <d v="2025-05-09T00:00:00"/>
    <d v="2025-05-10T00:00:00"/>
    <x v="1"/>
    <s v="Norwich"/>
    <s v="Small Business"/>
    <s v="Online"/>
    <s v="P-012"/>
    <n v="9"/>
    <n v="0.25"/>
    <n v="56.01"/>
    <n v="5.13"/>
    <x v="14"/>
    <x v="2"/>
    <s v="Luma Imports"/>
    <n v="4.5"/>
    <n v="8.2899999999999991"/>
    <n v="40.5"/>
    <n v="10.379999999999999"/>
    <n v="0.18532404927691482"/>
    <x v="1"/>
    <x v="3"/>
    <x v="0"/>
  </r>
  <r>
    <s v="ORD-101506"/>
    <d v="2024-01-03T00:00:00"/>
    <d v="2024-01-09T00:00:00"/>
    <x v="3"/>
    <s v="Newcastle"/>
    <s v="Home Office"/>
    <s v="Retail Store"/>
    <s v="P-004"/>
    <n v="4"/>
    <n v="0.15"/>
    <n v="309.77999999999997"/>
    <n v="8.2200000000000006"/>
    <x v="5"/>
    <x v="1"/>
    <s v="Cedar Distribution"/>
    <n v="63.6"/>
    <n v="107.94"/>
    <n v="254.4"/>
    <n v="47.159999999999968"/>
    <n v="0.15223707147007545"/>
    <x v="18"/>
    <x v="2"/>
    <x v="1"/>
  </r>
  <r>
    <s v="ORD-101507"/>
    <d v="2025-05-18T00:00:00"/>
    <d v="2025-05-19T00:00:00"/>
    <x v="0"/>
    <s v="Birmingham"/>
    <s v="Small Business"/>
    <s v="Online"/>
    <s v="P-004"/>
    <n v="4"/>
    <n v="0.15"/>
    <n v="394.02"/>
    <n v="13.7"/>
    <x v="5"/>
    <x v="1"/>
    <s v="Cedar Distribution"/>
    <n v="63.6"/>
    <n v="107.94"/>
    <n v="254.4"/>
    <n v="125.91999999999997"/>
    <n v="0.31957768641185719"/>
    <x v="1"/>
    <x v="2"/>
    <x v="0"/>
  </r>
  <r>
    <s v="ORD-101508"/>
    <d v="2025-06-01T00:00:00"/>
    <d v="2025-06-03T00:00:00"/>
    <x v="1"/>
    <s v="Norwich"/>
    <s v="Small Business"/>
    <s v="Retail Store"/>
    <s v="P-010"/>
    <n v="6"/>
    <n v="0"/>
    <n v="37.340000000000003"/>
    <n v="4.32"/>
    <x v="4"/>
    <x v="2"/>
    <s v="Orbit Supply Co."/>
    <n v="3.62"/>
    <n v="6.03"/>
    <n v="21.72"/>
    <n v="11.300000000000004"/>
    <n v="0.30262453133369049"/>
    <x v="0"/>
    <x v="1"/>
    <x v="0"/>
  </r>
  <r>
    <s v="ORD-101509"/>
    <d v="2024-09-29T00:00:00"/>
    <d v="2024-10-02T00:00:00"/>
    <x v="3"/>
    <s v="Newcastle"/>
    <s v="Small Business"/>
    <s v="Online"/>
    <s v="P-012"/>
    <n v="7"/>
    <n v="0"/>
    <n v="59.51"/>
    <n v="7.65"/>
    <x v="14"/>
    <x v="2"/>
    <s v="Luma Imports"/>
    <n v="4.5"/>
    <n v="8.2899999999999991"/>
    <n v="31.5"/>
    <n v="20.36"/>
    <n v="0.34212737355066375"/>
    <x v="23"/>
    <x v="1"/>
    <x v="1"/>
  </r>
  <r>
    <s v="ORD-101510"/>
    <d v="2025-12-20T00:00:00"/>
    <d v="2025-12-22T00:00:00"/>
    <x v="0"/>
    <s v="Liverpool"/>
    <s v="Home Office"/>
    <s v="B2B Sales"/>
    <s v="P-002"/>
    <n v="2"/>
    <n v="0"/>
    <n v="567.57000000000005"/>
    <n v="9.1"/>
    <x v="2"/>
    <x v="1"/>
    <s v="Vertex Trade"/>
    <n v="119.02"/>
    <n v="205.39"/>
    <n v="238.04"/>
    <n v="320.43000000000006"/>
    <n v="0.56456472329404306"/>
    <x v="13"/>
    <x v="1"/>
    <x v="0"/>
  </r>
  <r>
    <s v="ORD-101511"/>
    <d v="2025-04-23T00:00:00"/>
    <d v="2025-04-26T00:00:00"/>
    <x v="1"/>
    <s v="Peterborough"/>
    <s v="Corporate"/>
    <s v="Online"/>
    <s v="P-009"/>
    <n v="2"/>
    <n v="0.05"/>
    <n v="235.31"/>
    <n v="4.2"/>
    <x v="0"/>
    <x v="0"/>
    <s v="Apex Wholesale"/>
    <n v="63.69"/>
    <n v="125.5"/>
    <n v="127.38"/>
    <n v="103.73"/>
    <n v="0.44082274446474862"/>
    <x v="15"/>
    <x v="0"/>
    <x v="0"/>
  </r>
  <r>
    <s v="ORD-101512"/>
    <d v="2024-12-14T00:00:00"/>
    <d v="2024-12-20T00:00:00"/>
    <x v="0"/>
    <s v="Liverpool"/>
    <s v="Corporate"/>
    <s v="B2B Sales"/>
    <s v="P-014"/>
    <n v="7"/>
    <n v="0.05"/>
    <n v="276.83999999999997"/>
    <n v="4.59"/>
    <x v="3"/>
    <x v="2"/>
    <s v="Orbit Supply Co."/>
    <n v="16.760000000000002"/>
    <n v="27.71"/>
    <n v="117.32000000000001"/>
    <n v="154.92999999999998"/>
    <n v="0.55963733564513796"/>
    <x v="9"/>
    <x v="0"/>
    <x v="1"/>
  </r>
  <r>
    <s v="ORD-101513"/>
    <d v="2025-03-27T00:00:00"/>
    <d v="2025-03-30T00:00:00"/>
    <x v="3"/>
    <s v="Manchester"/>
    <s v="Corporate"/>
    <s v="B2B Sales"/>
    <s v="P-007"/>
    <n v="2"/>
    <n v="0"/>
    <n v="109.41"/>
    <n v="4.2"/>
    <x v="7"/>
    <x v="0"/>
    <s v="Luma Imports"/>
    <n v="31.34"/>
    <n v="56.49"/>
    <n v="62.68"/>
    <n v="42.529999999999994"/>
    <n v="0.38872132346220634"/>
    <x v="2"/>
    <x v="1"/>
    <x v="0"/>
  </r>
  <r>
    <s v="ORD-101514"/>
    <d v="2024-02-20T00:00:00"/>
    <d v="2024-02-21T00:00:00"/>
    <x v="3"/>
    <s v="Newcastle"/>
    <s v="Home Office"/>
    <s v="B2B Sales"/>
    <s v="P-014"/>
    <n v="11"/>
    <n v="0.1"/>
    <n v="258.69"/>
    <n v="5.67"/>
    <x v="3"/>
    <x v="2"/>
    <s v="Orbit Supply Co."/>
    <n v="16.760000000000002"/>
    <n v="27.71"/>
    <n v="184.36"/>
    <n v="68.659999999999982"/>
    <n v="0.26541420232710961"/>
    <x v="12"/>
    <x v="0"/>
    <x v="1"/>
  </r>
  <r>
    <s v="ORD-101515"/>
    <d v="2025-06-19T00:00:00"/>
    <d v="2025-06-23T00:00:00"/>
    <x v="3"/>
    <s v="Manchester"/>
    <s v="Small Business"/>
    <s v="B2B Sales"/>
    <s v="P-008"/>
    <n v="4"/>
    <n v="0"/>
    <n v="772.59"/>
    <n v="9.5"/>
    <x v="6"/>
    <x v="0"/>
    <s v="Vertex Trade"/>
    <n v="112.09"/>
    <n v="192.47"/>
    <n v="448.36"/>
    <n v="314.73"/>
    <n v="0.40737001514386673"/>
    <x v="0"/>
    <x v="1"/>
    <x v="0"/>
  </r>
  <r>
    <s v="ORD-101516"/>
    <d v="2024-07-16T00:00:00"/>
    <d v="2024-07-20T00:00:00"/>
    <x v="1"/>
    <s v="Norwich"/>
    <s v="Home Office"/>
    <s v="B2B Sales"/>
    <s v="P-005"/>
    <n v="4"/>
    <n v="0.2"/>
    <n v="146.77000000000001"/>
    <n v="5.7"/>
    <x v="13"/>
    <x v="0"/>
    <s v="Apex Wholesale"/>
    <n v="25.33"/>
    <n v="51.56"/>
    <n v="101.32"/>
    <n v="39.750000000000014"/>
    <n v="0.27083191387885813"/>
    <x v="16"/>
    <x v="2"/>
    <x v="1"/>
  </r>
  <r>
    <s v="ORD-101517"/>
    <d v="2025-05-10T00:00:00"/>
    <d v="2025-05-16T00:00:00"/>
    <x v="0"/>
    <s v="Cardiff"/>
    <s v="Corporate"/>
    <s v="Online"/>
    <s v="P-010"/>
    <n v="9"/>
    <n v="0.2"/>
    <n v="45.89"/>
    <n v="5.13"/>
    <x v="4"/>
    <x v="2"/>
    <s v="Orbit Supply Co."/>
    <n v="3.62"/>
    <n v="6.03"/>
    <n v="32.58"/>
    <n v="8.1800000000000033"/>
    <n v="0.17825234255829164"/>
    <x v="1"/>
    <x v="2"/>
    <x v="0"/>
  </r>
  <r>
    <s v="ORD-101518"/>
    <d v="2025-12-03T00:00:00"/>
    <d v="2025-12-05T00:00:00"/>
    <x v="1"/>
    <s v="Norwich"/>
    <s v="Corporate"/>
    <s v="Online"/>
    <s v="P-011"/>
    <n v="11"/>
    <n v="0.05"/>
    <n v="221.03"/>
    <n v="9.4499999999999993"/>
    <x v="9"/>
    <x v="2"/>
    <s v="Orbit Supply Co."/>
    <n v="7.93"/>
    <n v="14.78"/>
    <n v="87.22999999999999"/>
    <n v="124.35000000000001"/>
    <n v="0.56259331312491523"/>
    <x v="13"/>
    <x v="0"/>
    <x v="0"/>
  </r>
  <r>
    <s v="ORD-101519"/>
    <d v="2025-04-16T00:00:00"/>
    <d v="2025-04-18T00:00:00"/>
    <x v="0"/>
    <s v="Birmingham"/>
    <s v="Corporate"/>
    <s v="B2B Sales"/>
    <s v="P-001"/>
    <n v="4"/>
    <n v="0.2"/>
    <n v="876.09"/>
    <n v="13.7"/>
    <x v="12"/>
    <x v="1"/>
    <s v="Luma Imports"/>
    <n v="173.56"/>
    <n v="286.14999999999998"/>
    <n v="694.24"/>
    <n v="168.15000000000003"/>
    <n v="0.19193233571893301"/>
    <x v="15"/>
    <x v="2"/>
    <x v="0"/>
  </r>
  <r>
    <s v="ORD-101520"/>
    <d v="2024-05-19T00:00:00"/>
    <d v="2024-05-24T00:00:00"/>
    <x v="0"/>
    <s v="Cardiff"/>
    <s v="Corporate"/>
    <s v="Retail Store"/>
    <s v="P-003"/>
    <n v="4"/>
    <n v="0.2"/>
    <n v="346.88"/>
    <n v="13.7"/>
    <x v="1"/>
    <x v="1"/>
    <s v="Orbit Supply Co."/>
    <n v="71.489999999999995"/>
    <n v="112.88"/>
    <n v="285.95999999999998"/>
    <n v="47.220000000000013"/>
    <n v="0.1361277675276753"/>
    <x v="8"/>
    <x v="2"/>
    <x v="1"/>
  </r>
  <r>
    <s v="ORD-101521"/>
    <d v="2024-11-12T00:00:00"/>
    <d v="2024-11-17T00:00:00"/>
    <x v="0"/>
    <s v="Liverpool"/>
    <s v="Corporate"/>
    <s v="Retail Store"/>
    <s v="P-007"/>
    <n v="4"/>
    <n v="0.2"/>
    <n v="257.88"/>
    <n v="9.5"/>
    <x v="7"/>
    <x v="0"/>
    <s v="Luma Imports"/>
    <n v="31.34"/>
    <n v="56.49"/>
    <n v="125.36"/>
    <n v="123.01999999999998"/>
    <n v="0.47704358616410725"/>
    <x v="14"/>
    <x v="2"/>
    <x v="1"/>
  </r>
  <r>
    <s v="ORD-101522"/>
    <d v="2024-05-07T00:00:00"/>
    <d v="2024-05-12T00:00:00"/>
    <x v="0"/>
    <s v="Cardiff"/>
    <s v="Home Office"/>
    <s v="B2B Sales"/>
    <s v="P-015"/>
    <n v="9"/>
    <n v="0.15"/>
    <n v="49.28"/>
    <n v="5.13"/>
    <x v="8"/>
    <x v="2"/>
    <s v="Luma Imports"/>
    <n v="3.3"/>
    <n v="6.13"/>
    <n v="29.7"/>
    <n v="14.450000000000003"/>
    <n v="0.29322240259740268"/>
    <x v="8"/>
    <x v="2"/>
    <x v="1"/>
  </r>
  <r>
    <s v="ORD-101523"/>
    <d v="2024-07-07T00:00:00"/>
    <d v="2024-07-10T00:00:00"/>
    <x v="0"/>
    <s v="Birmingham"/>
    <s v="Corporate"/>
    <s v="Online"/>
    <s v="P-009"/>
    <n v="3"/>
    <n v="0"/>
    <n v="340.26"/>
    <n v="8.25"/>
    <x v="0"/>
    <x v="0"/>
    <s v="Apex Wholesale"/>
    <n v="63.69"/>
    <n v="125.5"/>
    <n v="191.07"/>
    <n v="140.94"/>
    <n v="0.41421266090636571"/>
    <x v="16"/>
    <x v="1"/>
    <x v="1"/>
  </r>
  <r>
    <s v="ORD-101524"/>
    <d v="2025-06-27T00:00:00"/>
    <d v="2025-07-02T00:00:00"/>
    <x v="1"/>
    <s v="Peterborough"/>
    <s v="Corporate"/>
    <s v="Online"/>
    <s v="P-006"/>
    <n v="3"/>
    <n v="0.15"/>
    <n v="281.82"/>
    <n v="4.95"/>
    <x v="10"/>
    <x v="0"/>
    <s v="Apex Wholesale"/>
    <n v="54.95"/>
    <n v="112.56"/>
    <n v="164.85000000000002"/>
    <n v="112.01999999999997"/>
    <n v="0.39748775814349574"/>
    <x v="0"/>
    <x v="2"/>
    <x v="0"/>
  </r>
  <r>
    <s v="ORD-101525"/>
    <d v="2024-10-27T00:00:00"/>
    <d v="2024-10-28T00:00:00"/>
    <x v="0"/>
    <s v="Cardiff"/>
    <s v="Corporate"/>
    <s v="Online"/>
    <s v="P-008"/>
    <n v="1"/>
    <n v="0"/>
    <n v="234.45"/>
    <n v="3.45"/>
    <x v="6"/>
    <x v="0"/>
    <s v="Vertex Trade"/>
    <n v="112.09"/>
    <n v="192.47"/>
    <n v="112.09"/>
    <n v="118.90999999999998"/>
    <n v="0.50718703348261884"/>
    <x v="3"/>
    <x v="1"/>
    <x v="1"/>
  </r>
  <r>
    <s v="ORD-101526"/>
    <d v="2024-03-02T00:00:00"/>
    <d v="2024-03-05T00:00:00"/>
    <x v="1"/>
    <s v="Cambridge"/>
    <s v="Small Business"/>
    <s v="B2B Sales"/>
    <s v="P-004"/>
    <n v="4"/>
    <n v="0.05"/>
    <n v="384.97"/>
    <n v="13.7"/>
    <x v="5"/>
    <x v="1"/>
    <s v="Cedar Distribution"/>
    <n v="63.6"/>
    <n v="107.94"/>
    <n v="254.4"/>
    <n v="116.87000000000002"/>
    <n v="0.30358209730628366"/>
    <x v="10"/>
    <x v="0"/>
    <x v="1"/>
  </r>
  <r>
    <s v="ORD-101527"/>
    <d v="2024-11-12T00:00:00"/>
    <d v="2024-11-13T00:00:00"/>
    <x v="3"/>
    <s v="Leeds"/>
    <s v="Small Business"/>
    <s v="Online"/>
    <s v="P-015"/>
    <n v="13"/>
    <n v="0"/>
    <n v="109.48"/>
    <n v="10.35"/>
    <x v="8"/>
    <x v="2"/>
    <s v="Luma Imports"/>
    <n v="3.3"/>
    <n v="6.13"/>
    <n v="42.9"/>
    <n v="56.230000000000011"/>
    <n v="0.51360979174278421"/>
    <x v="14"/>
    <x v="1"/>
    <x v="1"/>
  </r>
  <r>
    <s v="ORD-101528"/>
    <d v="2024-02-14T00:00:00"/>
    <d v="2024-02-16T00:00:00"/>
    <x v="2"/>
    <s v="London"/>
    <s v="Home Office"/>
    <s v="B2B Sales"/>
    <s v="P-012"/>
    <n v="9"/>
    <n v="0.1"/>
    <n v="64.06"/>
    <n v="5.13"/>
    <x v="14"/>
    <x v="2"/>
    <s v="Luma Imports"/>
    <n v="4.5"/>
    <n v="8.2899999999999991"/>
    <n v="40.5"/>
    <n v="18.430000000000003"/>
    <n v="0.28769903215735254"/>
    <x v="12"/>
    <x v="0"/>
    <x v="1"/>
  </r>
  <r>
    <s v="ORD-101529"/>
    <d v="2024-07-23T00:00:00"/>
    <d v="2024-07-29T00:00:00"/>
    <x v="0"/>
    <s v="Birmingham"/>
    <s v="Small Business"/>
    <s v="Retail Store"/>
    <s v="P-007"/>
    <n v="7"/>
    <n v="0.25"/>
    <n v="277.43"/>
    <n v="13.25"/>
    <x v="7"/>
    <x v="0"/>
    <s v="Luma Imports"/>
    <n v="31.34"/>
    <n v="56.49"/>
    <n v="219.38"/>
    <n v="44.800000000000011"/>
    <n v="0.16148217568395634"/>
    <x v="16"/>
    <x v="3"/>
    <x v="1"/>
  </r>
  <r>
    <s v="ORD-101530"/>
    <d v="2025-07-22T00:00:00"/>
    <d v="2025-07-26T00:00:00"/>
    <x v="1"/>
    <s v="Norwich"/>
    <s v="Home Office"/>
    <s v="Online"/>
    <s v="P-002"/>
    <n v="1"/>
    <n v="0"/>
    <n v="183.51"/>
    <n v="4.08"/>
    <x v="2"/>
    <x v="1"/>
    <s v="Vertex Trade"/>
    <n v="119.02"/>
    <n v="205.39"/>
    <n v="119.02"/>
    <n v="60.41"/>
    <n v="0.32919186965287994"/>
    <x v="4"/>
    <x v="1"/>
    <x v="0"/>
  </r>
  <r>
    <s v="ORD-101531"/>
    <d v="2025-12-28T00:00:00"/>
    <d v="2025-12-31T00:00:00"/>
    <x v="3"/>
    <s v="Newcastle"/>
    <s v="Home Office"/>
    <s v="Retail Store"/>
    <s v="P-011"/>
    <n v="11"/>
    <n v="0"/>
    <n v="243.02"/>
    <n v="5.67"/>
    <x v="9"/>
    <x v="2"/>
    <s v="Orbit Supply Co."/>
    <n v="7.93"/>
    <n v="14.78"/>
    <n v="87.22999999999999"/>
    <n v="150.12000000000003"/>
    <n v="0.61772693605464579"/>
    <x v="13"/>
    <x v="1"/>
    <x v="0"/>
  </r>
  <r>
    <s v="ORD-101532"/>
    <d v="2025-02-26T00:00:00"/>
    <d v="2025-02-28T00:00:00"/>
    <x v="1"/>
    <s v="Peterborough"/>
    <s v="Small Business"/>
    <s v="Retail Store"/>
    <s v="P-002"/>
    <n v="3"/>
    <n v="0"/>
    <n v="570.64"/>
    <n v="11.4"/>
    <x v="2"/>
    <x v="1"/>
    <s v="Vertex Trade"/>
    <n v="119.02"/>
    <n v="205.39"/>
    <n v="357.06"/>
    <n v="202.17999999999998"/>
    <n v="0.35430393943642224"/>
    <x v="5"/>
    <x v="1"/>
    <x v="0"/>
  </r>
  <r>
    <s v="ORD-101533"/>
    <d v="2025-05-11T00:00:00"/>
    <d v="2025-05-15T00:00:00"/>
    <x v="1"/>
    <s v="Cambridge"/>
    <s v="Home Office"/>
    <s v="B2B Sales"/>
    <s v="P-011"/>
    <n v="16"/>
    <n v="0"/>
    <n v="252.16"/>
    <n v="11.7"/>
    <x v="9"/>
    <x v="2"/>
    <s v="Orbit Supply Co."/>
    <n v="7.93"/>
    <n v="14.78"/>
    <n v="126.88"/>
    <n v="113.58"/>
    <n v="0.45042829949238578"/>
    <x v="1"/>
    <x v="1"/>
    <x v="0"/>
  </r>
  <r>
    <s v="ORD-101534"/>
    <d v="2024-07-02T00:00:00"/>
    <d v="2024-07-07T00:00:00"/>
    <x v="0"/>
    <s v="Cardiff"/>
    <s v="Small Business"/>
    <s v="Online"/>
    <s v="P-002"/>
    <n v="2"/>
    <n v="0"/>
    <n v="383.65"/>
    <n v="5.46"/>
    <x v="2"/>
    <x v="1"/>
    <s v="Vertex Trade"/>
    <n v="119.02"/>
    <n v="205.39"/>
    <n v="238.04"/>
    <n v="140.14999999999998"/>
    <n v="0.36530692037012896"/>
    <x v="16"/>
    <x v="1"/>
    <x v="1"/>
  </r>
  <r>
    <s v="ORD-101535"/>
    <d v="2024-12-08T00:00:00"/>
    <d v="2024-12-11T00:00:00"/>
    <x v="2"/>
    <s v="Bristol"/>
    <s v="Small Business"/>
    <s v="B2B Sales"/>
    <s v="P-004"/>
    <n v="3"/>
    <n v="0.2"/>
    <n v="374.81"/>
    <n v="11.4"/>
    <x v="5"/>
    <x v="1"/>
    <s v="Cedar Distribution"/>
    <n v="63.6"/>
    <n v="107.94"/>
    <n v="190.8"/>
    <n v="172.60999999999999"/>
    <n v="0.46052666684453453"/>
    <x v="9"/>
    <x v="2"/>
    <x v="1"/>
  </r>
  <r>
    <s v="ORD-101536"/>
    <d v="2024-10-18T00:00:00"/>
    <d v="2024-10-20T00:00:00"/>
    <x v="2"/>
    <s v="Brighton"/>
    <s v="Small Business"/>
    <s v="B2B Sales"/>
    <s v="P-015"/>
    <n v="10"/>
    <n v="0.1"/>
    <n v="67.52"/>
    <n v="9"/>
    <x v="8"/>
    <x v="2"/>
    <s v="Luma Imports"/>
    <n v="3.3"/>
    <n v="6.13"/>
    <n v="33"/>
    <n v="25.519999999999996"/>
    <n v="0.37796208530805686"/>
    <x v="3"/>
    <x v="0"/>
    <x v="1"/>
  </r>
  <r>
    <s v="ORD-101537"/>
    <d v="2025-12-21T00:00:00"/>
    <d v="2025-12-27T00:00:00"/>
    <x v="3"/>
    <s v="Newcastle"/>
    <s v="Corporate"/>
    <s v="Online"/>
    <s v="P-002"/>
    <n v="4"/>
    <n v="0.15"/>
    <n v="977.93"/>
    <n v="8.2200000000000006"/>
    <x v="2"/>
    <x v="1"/>
    <s v="Vertex Trade"/>
    <n v="119.02"/>
    <n v="205.39"/>
    <n v="476.08"/>
    <n v="493.62999999999994"/>
    <n v="0.50477028008139635"/>
    <x v="13"/>
    <x v="2"/>
    <x v="0"/>
  </r>
  <r>
    <s v="ORD-101538"/>
    <d v="2025-02-18T00:00:00"/>
    <d v="2025-02-21T00:00:00"/>
    <x v="3"/>
    <s v="Manchester"/>
    <s v="Small Business"/>
    <s v="Retail Store"/>
    <s v="P-002"/>
    <n v="1"/>
    <n v="0"/>
    <n v="185.4"/>
    <n v="6.8"/>
    <x v="2"/>
    <x v="1"/>
    <s v="Vertex Trade"/>
    <n v="119.02"/>
    <n v="205.39"/>
    <n v="119.02"/>
    <n v="59.580000000000013"/>
    <n v="0.32135922330097094"/>
    <x v="5"/>
    <x v="1"/>
    <x v="0"/>
  </r>
  <r>
    <s v="ORD-101539"/>
    <d v="2024-09-15T00:00:00"/>
    <d v="2024-09-20T00:00:00"/>
    <x v="3"/>
    <s v="Leeds"/>
    <s v="Home Office"/>
    <s v="Online"/>
    <s v="P-010"/>
    <n v="6"/>
    <n v="0.1"/>
    <n v="34.1"/>
    <n v="7.2"/>
    <x v="4"/>
    <x v="2"/>
    <s v="Orbit Supply Co."/>
    <n v="3.62"/>
    <n v="6.03"/>
    <n v="21.72"/>
    <n v="5.1800000000000024"/>
    <n v="0.15190615835777133"/>
    <x v="23"/>
    <x v="0"/>
    <x v="1"/>
  </r>
  <r>
    <s v="ORD-101540"/>
    <d v="2024-03-02T00:00:00"/>
    <d v="2024-03-03T00:00:00"/>
    <x v="1"/>
    <s v="Cambridge"/>
    <s v="Home Office"/>
    <s v="Retail Store"/>
    <s v="P-002"/>
    <n v="2"/>
    <n v="0"/>
    <n v="366.75"/>
    <n v="5.46"/>
    <x v="2"/>
    <x v="1"/>
    <s v="Vertex Trade"/>
    <n v="119.02"/>
    <n v="205.39"/>
    <n v="238.04"/>
    <n v="123.25000000000001"/>
    <n v="0.3360599863667349"/>
    <x v="10"/>
    <x v="1"/>
    <x v="1"/>
  </r>
  <r>
    <s v="ORD-101541"/>
    <d v="2025-05-15T00:00:00"/>
    <d v="2025-05-18T00:00:00"/>
    <x v="0"/>
    <s v="Liverpool"/>
    <s v="Corporate"/>
    <s v="Online"/>
    <s v="P-007"/>
    <n v="2"/>
    <n v="0.15"/>
    <n v="94.3"/>
    <n v="7"/>
    <x v="7"/>
    <x v="0"/>
    <s v="Luma Imports"/>
    <n v="31.34"/>
    <n v="56.49"/>
    <n v="62.68"/>
    <n v="24.619999999999997"/>
    <n v="0.26108165429480379"/>
    <x v="1"/>
    <x v="2"/>
    <x v="0"/>
  </r>
  <r>
    <s v="ORD-101542"/>
    <d v="2024-04-04T00:00:00"/>
    <d v="2024-04-07T00:00:00"/>
    <x v="3"/>
    <s v="Manchester"/>
    <s v="Small Business"/>
    <s v="Online"/>
    <s v="P-005"/>
    <n v="3"/>
    <n v="0.1"/>
    <n v="142.11000000000001"/>
    <n v="4.95"/>
    <x v="13"/>
    <x v="0"/>
    <s v="Apex Wholesale"/>
    <n v="25.33"/>
    <n v="51.56"/>
    <n v="75.989999999999995"/>
    <n v="61.170000000000016"/>
    <n v="0.43044120751530512"/>
    <x v="21"/>
    <x v="0"/>
    <x v="1"/>
  </r>
  <r>
    <s v="ORD-101543"/>
    <d v="2024-09-14T00:00:00"/>
    <d v="2024-09-15T00:00:00"/>
    <x v="3"/>
    <s v="Leeds"/>
    <s v="Small Business"/>
    <s v="B2B Sales"/>
    <s v="P-007"/>
    <n v="1"/>
    <n v="0.25"/>
    <n v="45.31"/>
    <n v="5.75"/>
    <x v="7"/>
    <x v="0"/>
    <s v="Luma Imports"/>
    <n v="31.34"/>
    <n v="56.49"/>
    <n v="31.34"/>
    <n v="8.2200000000000024"/>
    <n v="0.18141690576031785"/>
    <x v="23"/>
    <x v="3"/>
    <x v="1"/>
  </r>
  <r>
    <s v="ORD-101544"/>
    <d v="2024-11-09T00:00:00"/>
    <d v="2024-11-12T00:00:00"/>
    <x v="3"/>
    <s v="Leeds"/>
    <s v="Small Business"/>
    <s v="Online"/>
    <s v="P-004"/>
    <n v="1"/>
    <n v="0"/>
    <n v="151.27000000000001"/>
    <n v="4.08"/>
    <x v="5"/>
    <x v="1"/>
    <s v="Cedar Distribution"/>
    <n v="63.6"/>
    <n v="107.94"/>
    <n v="63.6"/>
    <n v="83.590000000000018"/>
    <n v="0.5525880875256165"/>
    <x v="14"/>
    <x v="1"/>
    <x v="1"/>
  </r>
  <r>
    <s v="ORD-101545"/>
    <d v="2024-12-21T00:00:00"/>
    <d v="2024-12-26T00:00:00"/>
    <x v="1"/>
    <s v="Norwich"/>
    <s v="Home Office"/>
    <s v="Retail Store"/>
    <s v="P-015"/>
    <n v="16"/>
    <n v="0"/>
    <n v="136.38"/>
    <n v="11.7"/>
    <x v="8"/>
    <x v="2"/>
    <s v="Luma Imports"/>
    <n v="3.3"/>
    <n v="6.13"/>
    <n v="52.8"/>
    <n v="71.88"/>
    <n v="0.5270567531896172"/>
    <x v="9"/>
    <x v="1"/>
    <x v="1"/>
  </r>
  <r>
    <s v="ORD-101546"/>
    <d v="2024-04-24T00:00:00"/>
    <d v="2024-04-30T00:00:00"/>
    <x v="1"/>
    <s v="Cambridge"/>
    <s v="Corporate"/>
    <s v="Online"/>
    <s v="P-012"/>
    <n v="10"/>
    <n v="0"/>
    <n v="83.61"/>
    <n v="9"/>
    <x v="14"/>
    <x v="2"/>
    <s v="Luma Imports"/>
    <n v="4.5"/>
    <n v="8.2899999999999991"/>
    <n v="45"/>
    <n v="29.61"/>
    <n v="0.35414424111948334"/>
    <x v="21"/>
    <x v="1"/>
    <x v="1"/>
  </r>
  <r>
    <s v="ORD-101547"/>
    <d v="2024-09-13T00:00:00"/>
    <d v="2024-09-19T00:00:00"/>
    <x v="1"/>
    <s v="Norwich"/>
    <s v="Small Business"/>
    <s v="Online"/>
    <s v="P-015"/>
    <n v="14"/>
    <n v="0.25"/>
    <n v="65.5"/>
    <n v="10.8"/>
    <x v="8"/>
    <x v="2"/>
    <s v="Luma Imports"/>
    <n v="3.3"/>
    <n v="6.13"/>
    <n v="46.199999999999996"/>
    <n v="8.5000000000000036"/>
    <n v="0.12977099236641226"/>
    <x v="23"/>
    <x v="3"/>
    <x v="1"/>
  </r>
  <r>
    <s v="ORD-101548"/>
    <d v="2025-06-02T00:00:00"/>
    <d v="2025-06-08T00:00:00"/>
    <x v="1"/>
    <s v="Cambridge"/>
    <s v="Small Business"/>
    <s v="Retail Store"/>
    <s v="P-012"/>
    <n v="5"/>
    <n v="0.25"/>
    <n v="32.03"/>
    <n v="4.05"/>
    <x v="14"/>
    <x v="2"/>
    <s v="Luma Imports"/>
    <n v="4.5"/>
    <n v="8.2899999999999991"/>
    <n v="22.5"/>
    <n v="5.4800000000000013"/>
    <n v="0.17108960349672186"/>
    <x v="0"/>
    <x v="3"/>
    <x v="0"/>
  </r>
  <r>
    <s v="ORD-101549"/>
    <d v="2025-09-08T00:00:00"/>
    <d v="2025-09-13T00:00:00"/>
    <x v="0"/>
    <s v="Birmingham"/>
    <s v="Small Business"/>
    <s v="B2B Sales"/>
    <s v="P-010"/>
    <n v="10"/>
    <n v="0"/>
    <n v="67.31"/>
    <n v="5.4"/>
    <x v="4"/>
    <x v="2"/>
    <s v="Orbit Supply Co."/>
    <n v="3.62"/>
    <n v="6.03"/>
    <n v="36.200000000000003"/>
    <n v="25.71"/>
    <n v="0.38196404694696184"/>
    <x v="11"/>
    <x v="1"/>
    <x v="0"/>
  </r>
  <r>
    <s v="ORD-101550"/>
    <d v="2024-04-15T00:00:00"/>
    <d v="2024-04-16T00:00:00"/>
    <x v="3"/>
    <s v="Manchester"/>
    <s v="Corporate"/>
    <s v="Retail Store"/>
    <s v="P-008"/>
    <n v="1"/>
    <n v="0.05"/>
    <n v="183.4"/>
    <n v="3.45"/>
    <x v="6"/>
    <x v="0"/>
    <s v="Vertex Trade"/>
    <n v="112.09"/>
    <n v="192.47"/>
    <n v="112.09"/>
    <n v="67.86"/>
    <n v="0.37001090512540891"/>
    <x v="21"/>
    <x v="0"/>
    <x v="1"/>
  </r>
  <r>
    <s v="ORD-101551"/>
    <d v="2025-05-10T00:00:00"/>
    <d v="2025-05-12T00:00:00"/>
    <x v="0"/>
    <s v="Birmingham"/>
    <s v="Corporate"/>
    <s v="Online"/>
    <s v="P-001"/>
    <n v="2"/>
    <n v="0.15"/>
    <n v="508.14"/>
    <n v="5.46"/>
    <x v="12"/>
    <x v="1"/>
    <s v="Luma Imports"/>
    <n v="173.56"/>
    <n v="286.14999999999998"/>
    <n v="347.12"/>
    <n v="155.55999999999997"/>
    <n v="0.3061361042232455"/>
    <x v="1"/>
    <x v="2"/>
    <x v="0"/>
  </r>
  <r>
    <s v="ORD-101552"/>
    <d v="2025-01-06T00:00:00"/>
    <d v="2025-01-07T00:00:00"/>
    <x v="1"/>
    <s v="Cambridge"/>
    <s v="Small Business"/>
    <s v="B2B Sales"/>
    <s v="P-002"/>
    <n v="3"/>
    <n v="0.25"/>
    <n v="390.17"/>
    <n v="6.84"/>
    <x v="2"/>
    <x v="1"/>
    <s v="Vertex Trade"/>
    <n v="119.02"/>
    <n v="205.39"/>
    <n v="357.06"/>
    <n v="26.270000000000014"/>
    <n v="6.7329625547838154E-2"/>
    <x v="20"/>
    <x v="3"/>
    <x v="0"/>
  </r>
  <r>
    <s v="ORD-101553"/>
    <d v="2024-11-13T00:00:00"/>
    <d v="2024-11-18T00:00:00"/>
    <x v="3"/>
    <s v="Newcastle"/>
    <s v="Corporate"/>
    <s v="Retail Store"/>
    <s v="P-008"/>
    <n v="1"/>
    <n v="0"/>
    <n v="260.24"/>
    <n v="3.45"/>
    <x v="6"/>
    <x v="0"/>
    <s v="Vertex Trade"/>
    <n v="112.09"/>
    <n v="192.47"/>
    <n v="112.09"/>
    <n v="144.70000000000002"/>
    <n v="0.55602520750076856"/>
    <x v="14"/>
    <x v="1"/>
    <x v="1"/>
  </r>
  <r>
    <s v="ORD-101554"/>
    <d v="2025-03-03T00:00:00"/>
    <d v="2025-03-08T00:00:00"/>
    <x v="1"/>
    <s v="Peterborough"/>
    <s v="Home Office"/>
    <s v="Online"/>
    <s v="P-010"/>
    <n v="7"/>
    <n v="0"/>
    <n v="40.270000000000003"/>
    <n v="4.59"/>
    <x v="4"/>
    <x v="2"/>
    <s v="Orbit Supply Co."/>
    <n v="3.62"/>
    <n v="6.03"/>
    <n v="25.34"/>
    <n v="10.340000000000003"/>
    <n v="0.25676682393841577"/>
    <x v="2"/>
    <x v="1"/>
    <x v="0"/>
  </r>
  <r>
    <s v="ORD-101555"/>
    <d v="2024-02-05T00:00:00"/>
    <d v="2024-02-09T00:00:00"/>
    <x v="0"/>
    <s v="Cardiff"/>
    <s v="Small Business"/>
    <s v="B2B Sales"/>
    <s v="P-011"/>
    <n v="9"/>
    <n v="0"/>
    <n v="124.38"/>
    <n v="8.5500000000000007"/>
    <x v="9"/>
    <x v="2"/>
    <s v="Orbit Supply Co."/>
    <n v="7.93"/>
    <n v="14.78"/>
    <n v="71.37"/>
    <n v="44.459999999999994"/>
    <n v="0.3574529667149059"/>
    <x v="12"/>
    <x v="1"/>
    <x v="1"/>
  </r>
  <r>
    <s v="ORD-101556"/>
    <d v="2024-06-16T00:00:00"/>
    <d v="2024-06-20T00:00:00"/>
    <x v="2"/>
    <s v="Bristol"/>
    <s v="Small Business"/>
    <s v="B2B Sales"/>
    <s v="P-013"/>
    <n v="3"/>
    <n v="0"/>
    <n v="37.58"/>
    <n v="5.85"/>
    <x v="11"/>
    <x v="2"/>
    <s v="Apex Wholesale"/>
    <n v="6.33"/>
    <n v="12.16"/>
    <n v="18.990000000000002"/>
    <n v="12.739999999999997"/>
    <n v="0.33901011176157525"/>
    <x v="17"/>
    <x v="1"/>
    <x v="1"/>
  </r>
  <r>
    <s v="ORD-101557"/>
    <d v="2024-08-04T00:00:00"/>
    <d v="2024-08-07T00:00:00"/>
    <x v="2"/>
    <s v="Bristol"/>
    <s v="Small Business"/>
    <s v="B2B Sales"/>
    <s v="P-008"/>
    <n v="3"/>
    <n v="0"/>
    <n v="519.5"/>
    <n v="4.95"/>
    <x v="6"/>
    <x v="0"/>
    <s v="Vertex Trade"/>
    <n v="112.09"/>
    <n v="192.47"/>
    <n v="336.27"/>
    <n v="178.28000000000003"/>
    <n v="0.34317613089509147"/>
    <x v="7"/>
    <x v="1"/>
    <x v="1"/>
  </r>
  <r>
    <s v="ORD-101558"/>
    <d v="2025-08-23T00:00:00"/>
    <d v="2025-08-28T00:00:00"/>
    <x v="3"/>
    <s v="Manchester"/>
    <s v="Corporate"/>
    <s v="Online"/>
    <s v="P-004"/>
    <n v="4"/>
    <n v="0"/>
    <n v="427.12"/>
    <n v="13.7"/>
    <x v="5"/>
    <x v="1"/>
    <s v="Cedar Distribution"/>
    <n v="63.6"/>
    <n v="107.94"/>
    <n v="254.4"/>
    <n v="159.02000000000001"/>
    <n v="0.37230754823000561"/>
    <x v="6"/>
    <x v="1"/>
    <x v="0"/>
  </r>
  <r>
    <s v="ORD-101559"/>
    <d v="2024-05-23T00:00:00"/>
    <d v="2024-05-26T00:00:00"/>
    <x v="0"/>
    <s v="Birmingham"/>
    <s v="Corporate"/>
    <s v="Online"/>
    <s v="P-010"/>
    <n v="10"/>
    <n v="0.05"/>
    <n v="60.09"/>
    <n v="5.4"/>
    <x v="4"/>
    <x v="2"/>
    <s v="Orbit Supply Co."/>
    <n v="3.62"/>
    <n v="6.03"/>
    <n v="36.200000000000003"/>
    <n v="18.490000000000002"/>
    <n v="0.30770510900316195"/>
    <x v="8"/>
    <x v="0"/>
    <x v="1"/>
  </r>
  <r>
    <s v="ORD-101560"/>
    <d v="2024-05-07T00:00:00"/>
    <d v="2024-05-12T00:00:00"/>
    <x v="1"/>
    <s v="Cambridge"/>
    <s v="Corporate"/>
    <s v="Online"/>
    <s v="P-002"/>
    <n v="1"/>
    <n v="0"/>
    <n v="207.88"/>
    <n v="4.08"/>
    <x v="2"/>
    <x v="1"/>
    <s v="Vertex Trade"/>
    <n v="119.02"/>
    <n v="205.39"/>
    <n v="119.02"/>
    <n v="84.78"/>
    <n v="0.40783144121608622"/>
    <x v="8"/>
    <x v="1"/>
    <x v="1"/>
  </r>
  <r>
    <s v="ORD-101561"/>
    <d v="2025-02-10T00:00:00"/>
    <d v="2025-02-12T00:00:00"/>
    <x v="0"/>
    <s v="Birmingham"/>
    <s v="Small Business"/>
    <s v="B2B Sales"/>
    <s v="P-008"/>
    <n v="3"/>
    <n v="0"/>
    <n v="539.4"/>
    <n v="8.25"/>
    <x v="6"/>
    <x v="0"/>
    <s v="Vertex Trade"/>
    <n v="112.09"/>
    <n v="192.47"/>
    <n v="336.27"/>
    <n v="194.88"/>
    <n v="0.3612903225806452"/>
    <x v="5"/>
    <x v="1"/>
    <x v="0"/>
  </r>
  <r>
    <s v="ORD-101562"/>
    <d v="2024-12-04T00:00:00"/>
    <d v="2024-12-08T00:00:00"/>
    <x v="0"/>
    <s v="Birmingham"/>
    <s v="Home Office"/>
    <s v="B2B Sales"/>
    <s v="P-001"/>
    <n v="4"/>
    <n v="0.1"/>
    <n v="1434.41"/>
    <n v="8.2200000000000006"/>
    <x v="12"/>
    <x v="1"/>
    <s v="Luma Imports"/>
    <n v="173.56"/>
    <n v="286.14999999999998"/>
    <n v="694.24"/>
    <n v="731.95"/>
    <n v="0.51027948773363263"/>
    <x v="9"/>
    <x v="0"/>
    <x v="1"/>
  </r>
  <r>
    <s v="ORD-101563"/>
    <d v="2024-08-25T00:00:00"/>
    <d v="2024-08-26T00:00:00"/>
    <x v="1"/>
    <s v="Peterborough"/>
    <s v="Home Office"/>
    <s v="B2B Sales"/>
    <s v="P-007"/>
    <n v="3"/>
    <n v="0"/>
    <n v="161.09"/>
    <n v="4.95"/>
    <x v="7"/>
    <x v="0"/>
    <s v="Luma Imports"/>
    <n v="31.34"/>
    <n v="56.49"/>
    <n v="94.02"/>
    <n v="62.120000000000005"/>
    <n v="0.38562294369607053"/>
    <x v="7"/>
    <x v="1"/>
    <x v="1"/>
  </r>
  <r>
    <s v="ORD-101564"/>
    <d v="2024-12-01T00:00:00"/>
    <d v="2024-12-03T00:00:00"/>
    <x v="0"/>
    <s v="Liverpool"/>
    <s v="Home Office"/>
    <s v="B2B Sales"/>
    <s v="P-003"/>
    <n v="1"/>
    <n v="0.05"/>
    <n v="159.22"/>
    <n v="4.08"/>
    <x v="1"/>
    <x v="1"/>
    <s v="Orbit Supply Co."/>
    <n v="71.489999999999995"/>
    <n v="112.88"/>
    <n v="71.489999999999995"/>
    <n v="83.65"/>
    <n v="0.52537369677176238"/>
    <x v="9"/>
    <x v="0"/>
    <x v="1"/>
  </r>
  <r>
    <s v="ORD-101565"/>
    <d v="2025-03-06T00:00:00"/>
    <d v="2025-03-11T00:00:00"/>
    <x v="0"/>
    <s v="Liverpool"/>
    <s v="Small Business"/>
    <s v="B2B Sales"/>
    <s v="P-003"/>
    <n v="1"/>
    <n v="0"/>
    <n v="99.98"/>
    <n v="6.8"/>
    <x v="1"/>
    <x v="1"/>
    <s v="Orbit Supply Co."/>
    <n v="71.489999999999995"/>
    <n v="112.88"/>
    <n v="71.489999999999995"/>
    <n v="21.690000000000008"/>
    <n v="0.21694338867773563"/>
    <x v="2"/>
    <x v="1"/>
    <x v="0"/>
  </r>
  <r>
    <s v="ORD-101566"/>
    <d v="2025-10-08T00:00:00"/>
    <d v="2025-10-14T00:00:00"/>
    <x v="0"/>
    <s v="Birmingham"/>
    <s v="Small Business"/>
    <s v="Online"/>
    <s v="P-006"/>
    <n v="1"/>
    <n v="0.25"/>
    <n v="95.07"/>
    <n v="3.45"/>
    <x v="10"/>
    <x v="0"/>
    <s v="Apex Wholesale"/>
    <n v="54.95"/>
    <n v="112.56"/>
    <n v="54.95"/>
    <n v="36.669999999999987"/>
    <n v="0.38571578836646669"/>
    <x v="22"/>
    <x v="3"/>
    <x v="0"/>
  </r>
  <r>
    <s v="ORD-101567"/>
    <d v="2024-12-07T00:00:00"/>
    <d v="2024-12-13T00:00:00"/>
    <x v="2"/>
    <s v="Brighton"/>
    <s v="Small Business"/>
    <s v="Online"/>
    <s v="P-002"/>
    <n v="1"/>
    <n v="0"/>
    <n v="305.29000000000002"/>
    <n v="4.08"/>
    <x v="2"/>
    <x v="1"/>
    <s v="Vertex Trade"/>
    <n v="119.02"/>
    <n v="205.39"/>
    <n v="119.02"/>
    <n v="182.19000000000003"/>
    <n v="0.5967768351403584"/>
    <x v="9"/>
    <x v="1"/>
    <x v="1"/>
  </r>
  <r>
    <s v="ORD-101568"/>
    <d v="2024-06-13T00:00:00"/>
    <d v="2024-06-19T00:00:00"/>
    <x v="1"/>
    <s v="Cambridge"/>
    <s v="Corporate"/>
    <s v="Online"/>
    <s v="P-010"/>
    <n v="4"/>
    <n v="0"/>
    <n v="23.67"/>
    <n v="6.3"/>
    <x v="4"/>
    <x v="2"/>
    <s v="Orbit Supply Co."/>
    <n v="3.62"/>
    <n v="6.03"/>
    <n v="14.48"/>
    <n v="2.8900000000000015"/>
    <n v="0.12209547950992823"/>
    <x v="17"/>
    <x v="1"/>
    <x v="1"/>
  </r>
  <r>
    <s v="ORD-101569"/>
    <d v="2025-04-06T00:00:00"/>
    <d v="2025-04-08T00:00:00"/>
    <x v="3"/>
    <s v="Leeds"/>
    <s v="Home Office"/>
    <s v="Retail Store"/>
    <s v="P-005"/>
    <n v="3"/>
    <n v="0"/>
    <n v="143.57"/>
    <n v="8.25"/>
    <x v="13"/>
    <x v="0"/>
    <s v="Apex Wholesale"/>
    <n v="25.33"/>
    <n v="51.56"/>
    <n v="75.989999999999995"/>
    <n v="59.33"/>
    <n v="0.41324789301386083"/>
    <x v="15"/>
    <x v="1"/>
    <x v="0"/>
  </r>
  <r>
    <s v="ORD-101570"/>
    <d v="2025-02-19T00:00:00"/>
    <d v="2025-02-23T00:00:00"/>
    <x v="3"/>
    <s v="Leeds"/>
    <s v="Small Business"/>
    <s v="Retail Store"/>
    <s v="P-007"/>
    <n v="2"/>
    <n v="0"/>
    <n v="97.53"/>
    <n v="4.2"/>
    <x v="7"/>
    <x v="0"/>
    <s v="Luma Imports"/>
    <n v="31.34"/>
    <n v="56.49"/>
    <n v="62.68"/>
    <n v="30.650000000000002"/>
    <n v="0.31426227827335179"/>
    <x v="5"/>
    <x v="1"/>
    <x v="0"/>
  </r>
  <r>
    <s v="ORD-101571"/>
    <d v="2024-01-11T00:00:00"/>
    <d v="2024-01-13T00:00:00"/>
    <x v="0"/>
    <s v="Birmingham"/>
    <s v="Corporate"/>
    <s v="B2B Sales"/>
    <s v="P-001"/>
    <n v="1"/>
    <n v="0"/>
    <n v="261.94"/>
    <n v="4.08"/>
    <x v="12"/>
    <x v="1"/>
    <s v="Luma Imports"/>
    <n v="173.56"/>
    <n v="286.14999999999998"/>
    <n v="173.56"/>
    <n v="84.3"/>
    <n v="0.32182942658624114"/>
    <x v="18"/>
    <x v="1"/>
    <x v="1"/>
  </r>
  <r>
    <s v="ORD-101572"/>
    <d v="2025-05-03T00:00:00"/>
    <d v="2025-05-09T00:00:00"/>
    <x v="0"/>
    <s v="Birmingham"/>
    <s v="Home Office"/>
    <s v="B2B Sales"/>
    <s v="P-009"/>
    <n v="4"/>
    <n v="0.05"/>
    <n v="497.73"/>
    <n v="9.5"/>
    <x v="0"/>
    <x v="0"/>
    <s v="Apex Wholesale"/>
    <n v="63.69"/>
    <n v="125.5"/>
    <n v="254.76"/>
    <n v="233.47000000000003"/>
    <n v="0.46906957587447012"/>
    <x v="1"/>
    <x v="0"/>
    <x v="0"/>
  </r>
  <r>
    <s v="ORD-101573"/>
    <d v="2025-09-28T00:00:00"/>
    <d v="2025-09-29T00:00:00"/>
    <x v="3"/>
    <s v="Newcastle"/>
    <s v="Small Business"/>
    <s v="Online"/>
    <s v="P-003"/>
    <n v="1"/>
    <n v="0"/>
    <n v="117.4"/>
    <n v="4.08"/>
    <x v="1"/>
    <x v="1"/>
    <s v="Orbit Supply Co."/>
    <n v="71.489999999999995"/>
    <n v="112.88"/>
    <n v="71.489999999999995"/>
    <n v="41.830000000000013"/>
    <n v="0.35630323679727438"/>
    <x v="11"/>
    <x v="1"/>
    <x v="0"/>
  </r>
  <r>
    <s v="ORD-101574"/>
    <d v="2025-11-04T00:00:00"/>
    <d v="2025-11-05T00:00:00"/>
    <x v="3"/>
    <s v="Newcastle"/>
    <s v="Small Business"/>
    <s v="Online"/>
    <s v="P-002"/>
    <n v="1"/>
    <n v="0"/>
    <n v="264.82"/>
    <n v="4.08"/>
    <x v="2"/>
    <x v="1"/>
    <s v="Vertex Trade"/>
    <n v="119.02"/>
    <n v="205.39"/>
    <n v="119.02"/>
    <n v="141.72"/>
    <n v="0.53515595498829394"/>
    <x v="19"/>
    <x v="1"/>
    <x v="0"/>
  </r>
  <r>
    <s v="ORD-101575"/>
    <d v="2025-01-25T00:00:00"/>
    <d v="2025-01-29T00:00:00"/>
    <x v="3"/>
    <s v="Leeds"/>
    <s v="Small Business"/>
    <s v="B2B Sales"/>
    <s v="P-005"/>
    <n v="4"/>
    <n v="0.15"/>
    <n v="161"/>
    <n v="5.7"/>
    <x v="13"/>
    <x v="0"/>
    <s v="Apex Wholesale"/>
    <n v="25.33"/>
    <n v="51.56"/>
    <n v="101.32"/>
    <n v="53.980000000000004"/>
    <n v="0.33527950310559007"/>
    <x v="20"/>
    <x v="2"/>
    <x v="0"/>
  </r>
  <r>
    <s v="ORD-101576"/>
    <d v="2024-10-31T00:00:00"/>
    <d v="2024-11-05T00:00:00"/>
    <x v="0"/>
    <s v="Birmingham"/>
    <s v="Small Business"/>
    <s v="Online"/>
    <s v="P-013"/>
    <n v="14"/>
    <n v="0"/>
    <n v="197.79"/>
    <n v="10.8"/>
    <x v="11"/>
    <x v="2"/>
    <s v="Apex Wholesale"/>
    <n v="6.33"/>
    <n v="12.16"/>
    <n v="88.62"/>
    <n v="98.36999999999999"/>
    <n v="0.49734566964962834"/>
    <x v="3"/>
    <x v="1"/>
    <x v="1"/>
  </r>
  <r>
    <s v="ORD-101577"/>
    <d v="2025-04-02T00:00:00"/>
    <d v="2025-04-05T00:00:00"/>
    <x v="1"/>
    <s v="Cambridge"/>
    <s v="Home Office"/>
    <s v="Retail Store"/>
    <s v="P-001"/>
    <n v="1"/>
    <n v="0.1"/>
    <n v="257.87"/>
    <n v="4.08"/>
    <x v="12"/>
    <x v="1"/>
    <s v="Luma Imports"/>
    <n v="173.56"/>
    <n v="286.14999999999998"/>
    <n v="173.56"/>
    <n v="80.23"/>
    <n v="0.31112576104238571"/>
    <x v="15"/>
    <x v="0"/>
    <x v="0"/>
  </r>
  <r>
    <s v="ORD-101578"/>
    <d v="2025-06-11T00:00:00"/>
    <d v="2025-06-13T00:00:00"/>
    <x v="1"/>
    <s v="Cambridge"/>
    <s v="Corporate"/>
    <s v="B2B Sales"/>
    <s v="P-014"/>
    <n v="8"/>
    <n v="0.1"/>
    <n v="209.83"/>
    <n v="8.1"/>
    <x v="3"/>
    <x v="2"/>
    <s v="Orbit Supply Co."/>
    <n v="16.760000000000002"/>
    <n v="27.71"/>
    <n v="134.08000000000001"/>
    <n v="67.650000000000006"/>
    <n v="0.32240385073631034"/>
    <x v="0"/>
    <x v="0"/>
    <x v="0"/>
  </r>
  <r>
    <s v="ORD-101579"/>
    <d v="2024-08-11T00:00:00"/>
    <d v="2024-08-15T00:00:00"/>
    <x v="1"/>
    <s v="Peterborough"/>
    <s v="Home Office"/>
    <s v="Online"/>
    <s v="P-014"/>
    <n v="12"/>
    <n v="0"/>
    <n v="303.56"/>
    <n v="5.94"/>
    <x v="3"/>
    <x v="2"/>
    <s v="Orbit Supply Co."/>
    <n v="16.760000000000002"/>
    <n v="27.71"/>
    <n v="201.12"/>
    <n v="96.5"/>
    <n v="0.31789432072736856"/>
    <x v="7"/>
    <x v="1"/>
    <x v="1"/>
  </r>
  <r>
    <s v="ORD-101580"/>
    <d v="2024-11-10T00:00:00"/>
    <d v="2024-11-16T00:00:00"/>
    <x v="3"/>
    <s v="Manchester"/>
    <s v="Corporate"/>
    <s v="Online"/>
    <s v="P-001"/>
    <n v="3"/>
    <n v="0.2"/>
    <n v="902.22"/>
    <n v="11.4"/>
    <x v="12"/>
    <x v="1"/>
    <s v="Luma Imports"/>
    <n v="173.56"/>
    <n v="286.14999999999998"/>
    <n v="520.68000000000006"/>
    <n v="370.14"/>
    <n v="0.41025470506084988"/>
    <x v="14"/>
    <x v="2"/>
    <x v="1"/>
  </r>
  <r>
    <s v="ORD-101581"/>
    <d v="2025-05-01T00:00:00"/>
    <d v="2025-05-04T00:00:00"/>
    <x v="3"/>
    <s v="Leeds"/>
    <s v="Home Office"/>
    <s v="B2B Sales"/>
    <s v="P-014"/>
    <n v="3"/>
    <n v="0"/>
    <n v="85.62"/>
    <n v="5.85"/>
    <x v="3"/>
    <x v="2"/>
    <s v="Orbit Supply Co."/>
    <n v="16.760000000000002"/>
    <n v="27.71"/>
    <n v="50.28"/>
    <n v="29.490000000000002"/>
    <n v="0.34442887175893483"/>
    <x v="1"/>
    <x v="1"/>
    <x v="0"/>
  </r>
  <r>
    <s v="ORD-101582"/>
    <d v="2025-07-27T00:00:00"/>
    <d v="2025-08-02T00:00:00"/>
    <x v="2"/>
    <s v="Brighton"/>
    <s v="Small Business"/>
    <s v="Online"/>
    <s v="P-013"/>
    <n v="11"/>
    <n v="0"/>
    <n v="116.03"/>
    <n v="9.4499999999999993"/>
    <x v="11"/>
    <x v="2"/>
    <s v="Apex Wholesale"/>
    <n v="6.33"/>
    <n v="12.16"/>
    <n v="69.63"/>
    <n v="36.950000000000003"/>
    <n v="0.31845212445057314"/>
    <x v="4"/>
    <x v="1"/>
    <x v="0"/>
  </r>
  <r>
    <s v="ORD-101583"/>
    <d v="2024-11-06T00:00:00"/>
    <d v="2024-11-12T00:00:00"/>
    <x v="2"/>
    <s v="Bristol"/>
    <s v="Corporate"/>
    <s v="Online"/>
    <s v="P-011"/>
    <n v="8"/>
    <n v="0"/>
    <n v="159.55000000000001"/>
    <n v="8.1"/>
    <x v="9"/>
    <x v="2"/>
    <s v="Orbit Supply Co."/>
    <n v="7.93"/>
    <n v="14.78"/>
    <n v="63.44"/>
    <n v="88.010000000000019"/>
    <n v="0.55161391413350058"/>
    <x v="14"/>
    <x v="1"/>
    <x v="1"/>
  </r>
  <r>
    <s v="ORD-101584"/>
    <d v="2024-11-19T00:00:00"/>
    <d v="2024-11-20T00:00:00"/>
    <x v="0"/>
    <s v="Cardiff"/>
    <s v="Small Business"/>
    <s v="Online"/>
    <s v="P-006"/>
    <n v="7"/>
    <n v="0.1"/>
    <n v="1014.26"/>
    <n v="7.95"/>
    <x v="10"/>
    <x v="0"/>
    <s v="Apex Wholesale"/>
    <n v="54.95"/>
    <n v="112.56"/>
    <n v="384.65000000000003"/>
    <n v="621.65999999999985"/>
    <n v="0.61291976416303495"/>
    <x v="14"/>
    <x v="0"/>
    <x v="1"/>
  </r>
  <r>
    <s v="ORD-101585"/>
    <d v="2025-02-03T00:00:00"/>
    <d v="2025-02-07T00:00:00"/>
    <x v="3"/>
    <s v="Leeds"/>
    <s v="Home Office"/>
    <s v="Online"/>
    <s v="P-009"/>
    <n v="4"/>
    <n v="0.05"/>
    <n v="425.53"/>
    <n v="9.5"/>
    <x v="0"/>
    <x v="0"/>
    <s v="Apex Wholesale"/>
    <n v="63.69"/>
    <n v="125.5"/>
    <n v="254.76"/>
    <n v="161.26999999999998"/>
    <n v="0.37898620543792444"/>
    <x v="5"/>
    <x v="0"/>
    <x v="0"/>
  </r>
  <r>
    <s v="ORD-101586"/>
    <d v="2024-09-07T00:00:00"/>
    <d v="2024-09-08T00:00:00"/>
    <x v="3"/>
    <s v="Manchester"/>
    <s v="Corporate"/>
    <s v="Online"/>
    <s v="P-013"/>
    <n v="10"/>
    <n v="0"/>
    <n v="133.69999999999999"/>
    <n v="5.4"/>
    <x v="11"/>
    <x v="2"/>
    <s v="Apex Wholesale"/>
    <n v="6.33"/>
    <n v="12.16"/>
    <n v="63.3"/>
    <n v="64.999999999999986"/>
    <n v="0.48616305160807771"/>
    <x v="23"/>
    <x v="1"/>
    <x v="1"/>
  </r>
  <r>
    <s v="ORD-101587"/>
    <d v="2025-06-30T00:00:00"/>
    <d v="2025-07-05T00:00:00"/>
    <x v="3"/>
    <s v="Leeds"/>
    <s v="Corporate"/>
    <s v="B2B Sales"/>
    <s v="P-009"/>
    <n v="3"/>
    <n v="0"/>
    <n v="374.53"/>
    <n v="4.95"/>
    <x v="0"/>
    <x v="0"/>
    <s v="Apex Wholesale"/>
    <n v="63.69"/>
    <n v="125.5"/>
    <n v="191.07"/>
    <n v="178.51"/>
    <n v="0.47662403545777376"/>
    <x v="0"/>
    <x v="1"/>
    <x v="0"/>
  </r>
  <r>
    <s v="ORD-101588"/>
    <d v="2025-11-24T00:00:00"/>
    <d v="2025-11-27T00:00:00"/>
    <x v="1"/>
    <s v="Norwich"/>
    <s v="Home Office"/>
    <s v="Retail Store"/>
    <s v="P-003"/>
    <n v="2"/>
    <n v="0"/>
    <n v="314.92"/>
    <n v="9.1"/>
    <x v="1"/>
    <x v="1"/>
    <s v="Orbit Supply Co."/>
    <n v="71.489999999999995"/>
    <n v="112.88"/>
    <n v="142.97999999999999"/>
    <n v="162.84000000000003"/>
    <n v="0.51708370379779001"/>
    <x v="19"/>
    <x v="1"/>
    <x v="0"/>
  </r>
  <r>
    <s v="ORD-101589"/>
    <d v="2024-10-28T00:00:00"/>
    <d v="2024-11-01T00:00:00"/>
    <x v="3"/>
    <s v="Leeds"/>
    <s v="Home Office"/>
    <s v="Online"/>
    <s v="P-004"/>
    <n v="4"/>
    <n v="0.1"/>
    <n v="470.18"/>
    <n v="8.2200000000000006"/>
    <x v="5"/>
    <x v="1"/>
    <s v="Cedar Distribution"/>
    <n v="63.6"/>
    <n v="107.94"/>
    <n v="254.4"/>
    <n v="207.56"/>
    <n v="0.44144795610191839"/>
    <x v="3"/>
    <x v="0"/>
    <x v="1"/>
  </r>
  <r>
    <s v="ORD-101590"/>
    <d v="2025-06-06T00:00:00"/>
    <d v="2025-06-12T00:00:00"/>
    <x v="1"/>
    <s v="Peterborough"/>
    <s v="Home Office"/>
    <s v="B2B Sales"/>
    <s v="P-012"/>
    <n v="3"/>
    <n v="0.15"/>
    <n v="22"/>
    <n v="3.51"/>
    <x v="14"/>
    <x v="2"/>
    <s v="Luma Imports"/>
    <n v="4.5"/>
    <n v="8.2899999999999991"/>
    <n v="13.5"/>
    <n v="4.99"/>
    <n v="0.22681818181818184"/>
    <x v="0"/>
    <x v="2"/>
    <x v="0"/>
  </r>
  <r>
    <s v="ORD-101591"/>
    <d v="2024-09-02T00:00:00"/>
    <d v="2024-09-03T00:00:00"/>
    <x v="2"/>
    <s v="Brighton"/>
    <s v="Small Business"/>
    <s v="Online"/>
    <s v="P-006"/>
    <n v="4"/>
    <n v="0"/>
    <n v="493.04"/>
    <n v="5.7"/>
    <x v="10"/>
    <x v="0"/>
    <s v="Apex Wholesale"/>
    <n v="54.95"/>
    <n v="112.56"/>
    <n v="219.8"/>
    <n v="267.54000000000002"/>
    <n v="0.54263345773162419"/>
    <x v="23"/>
    <x v="1"/>
    <x v="1"/>
  </r>
  <r>
    <s v="ORD-101592"/>
    <d v="2024-08-16T00:00:00"/>
    <d v="2024-08-19T00:00:00"/>
    <x v="3"/>
    <s v="Newcastle"/>
    <s v="Corporate"/>
    <s v="B2B Sales"/>
    <s v="P-003"/>
    <n v="3"/>
    <n v="0.15"/>
    <n v="272.67"/>
    <n v="6.84"/>
    <x v="1"/>
    <x v="1"/>
    <s v="Orbit Supply Co."/>
    <n v="71.489999999999995"/>
    <n v="112.88"/>
    <n v="214.46999999999997"/>
    <n v="51.360000000000042"/>
    <n v="0.18835955550665653"/>
    <x v="7"/>
    <x v="2"/>
    <x v="1"/>
  </r>
  <r>
    <s v="ORD-101593"/>
    <d v="2025-11-14T00:00:00"/>
    <d v="2025-11-15T00:00:00"/>
    <x v="0"/>
    <s v="Birmingham"/>
    <s v="Small Business"/>
    <s v="Retail Store"/>
    <s v="P-010"/>
    <n v="8"/>
    <n v="0.2"/>
    <n v="53.34"/>
    <n v="4.8600000000000003"/>
    <x v="4"/>
    <x v="2"/>
    <s v="Orbit Supply Co."/>
    <n v="3.62"/>
    <n v="6.03"/>
    <n v="28.96"/>
    <n v="19.520000000000003"/>
    <n v="0.3659542557180353"/>
    <x v="19"/>
    <x v="2"/>
    <x v="0"/>
  </r>
  <r>
    <s v="ORD-101594"/>
    <d v="2025-06-10T00:00:00"/>
    <d v="2025-06-14T00:00:00"/>
    <x v="0"/>
    <s v="Liverpool"/>
    <s v="Home Office"/>
    <s v="Retail Store"/>
    <s v="P-010"/>
    <n v="12"/>
    <n v="0"/>
    <n v="79.58"/>
    <n v="5.94"/>
    <x v="4"/>
    <x v="2"/>
    <s v="Orbit Supply Co."/>
    <n v="3.62"/>
    <n v="6.03"/>
    <n v="43.44"/>
    <n v="30.2"/>
    <n v="0.37949233475747673"/>
    <x v="0"/>
    <x v="1"/>
    <x v="0"/>
  </r>
  <r>
    <s v="ORD-101595"/>
    <d v="2024-08-02T00:00:00"/>
    <d v="2024-08-04T00:00:00"/>
    <x v="0"/>
    <s v="Cardiff"/>
    <s v="Corporate"/>
    <s v="B2B Sales"/>
    <s v="P-014"/>
    <n v="14"/>
    <n v="0"/>
    <n v="373.15"/>
    <n v="6.48"/>
    <x v="3"/>
    <x v="2"/>
    <s v="Orbit Supply Co."/>
    <n v="16.760000000000002"/>
    <n v="27.71"/>
    <n v="234.64000000000001"/>
    <n v="132.02999999999997"/>
    <n v="0.35382553932734823"/>
    <x v="7"/>
    <x v="1"/>
    <x v="1"/>
  </r>
  <r>
    <s v="ORD-101596"/>
    <d v="2025-01-14T00:00:00"/>
    <d v="2025-01-17T00:00:00"/>
    <x v="3"/>
    <s v="Leeds"/>
    <s v="Home Office"/>
    <s v="B2B Sales"/>
    <s v="P-013"/>
    <n v="8"/>
    <n v="0.25"/>
    <n v="62.79"/>
    <n v="8.1"/>
    <x v="11"/>
    <x v="2"/>
    <s v="Apex Wholesale"/>
    <n v="6.33"/>
    <n v="12.16"/>
    <n v="50.64"/>
    <n v="4.0499999999999989"/>
    <n v="6.4500716674629699E-2"/>
    <x v="20"/>
    <x v="3"/>
    <x v="0"/>
  </r>
  <r>
    <s v="ORD-101597"/>
    <d v="2025-03-25T00:00:00"/>
    <d v="2025-03-29T00:00:00"/>
    <x v="0"/>
    <s v="Birmingham"/>
    <s v="Small Business"/>
    <s v="B2B Sales"/>
    <s v="P-011"/>
    <n v="3"/>
    <n v="0.2"/>
    <n v="32.65"/>
    <n v="3.51"/>
    <x v="9"/>
    <x v="2"/>
    <s v="Orbit Supply Co."/>
    <n v="7.93"/>
    <n v="14.78"/>
    <n v="23.79"/>
    <n v="5.35"/>
    <n v="0.16385911179173046"/>
    <x v="2"/>
    <x v="2"/>
    <x v="0"/>
  </r>
  <r>
    <s v="ORD-101598"/>
    <d v="2024-03-09T00:00:00"/>
    <d v="2024-03-11T00:00:00"/>
    <x v="0"/>
    <s v="Liverpool"/>
    <s v="Corporate"/>
    <s v="B2B Sales"/>
    <s v="P-002"/>
    <n v="1"/>
    <n v="0"/>
    <n v="193.3"/>
    <n v="4.08"/>
    <x v="2"/>
    <x v="1"/>
    <s v="Vertex Trade"/>
    <n v="119.02"/>
    <n v="205.39"/>
    <n v="119.02"/>
    <n v="70.200000000000017"/>
    <n v="0.36316606311433014"/>
    <x v="10"/>
    <x v="1"/>
    <x v="1"/>
  </r>
  <r>
    <s v="ORD-101599"/>
    <d v="2024-12-07T00:00:00"/>
    <d v="2024-12-11T00:00:00"/>
    <x v="3"/>
    <s v="Manchester"/>
    <s v="Corporate"/>
    <s v="B2B Sales"/>
    <s v="P-010"/>
    <n v="22"/>
    <n v="0.2"/>
    <n v="157.22"/>
    <n v="8.64"/>
    <x v="4"/>
    <x v="2"/>
    <s v="Orbit Supply Co."/>
    <n v="3.62"/>
    <n v="6.03"/>
    <n v="79.64"/>
    <n v="68.94"/>
    <n v="0.43849383030148836"/>
    <x v="9"/>
    <x v="2"/>
    <x v="1"/>
  </r>
  <r>
    <s v="ORD-101600"/>
    <d v="2024-01-13T00:00:00"/>
    <d v="2024-01-19T00:00:00"/>
    <x v="2"/>
    <s v="Brighton"/>
    <s v="Home Office"/>
    <s v="Online"/>
    <s v="P-006"/>
    <n v="2"/>
    <n v="0.05"/>
    <n v="190.04"/>
    <n v="4.2"/>
    <x v="10"/>
    <x v="0"/>
    <s v="Apex Wholesale"/>
    <n v="54.95"/>
    <n v="112.56"/>
    <n v="109.9"/>
    <n v="75.939999999999984"/>
    <n v="0.39960008419280146"/>
    <x v="18"/>
    <x v="0"/>
    <x v="1"/>
  </r>
  <r>
    <s v="ORD-101601"/>
    <d v="2024-01-16T00:00:00"/>
    <d v="2024-01-20T00:00:00"/>
    <x v="2"/>
    <s v="Bristol"/>
    <s v="Home Office"/>
    <s v="Online"/>
    <s v="P-013"/>
    <n v="25"/>
    <n v="0"/>
    <n v="261.48"/>
    <n v="15.75"/>
    <x v="11"/>
    <x v="2"/>
    <s v="Apex Wholesale"/>
    <n v="6.33"/>
    <n v="12.16"/>
    <n v="158.25"/>
    <n v="87.480000000000018"/>
    <n v="0.3345571363010556"/>
    <x v="18"/>
    <x v="1"/>
    <x v="1"/>
  </r>
  <r>
    <s v="ORD-101602"/>
    <d v="2025-08-26T00:00:00"/>
    <d v="2025-08-29T00:00:00"/>
    <x v="0"/>
    <s v="Cardiff"/>
    <s v="Small Business"/>
    <s v="Online"/>
    <s v="P-009"/>
    <n v="3"/>
    <n v="0.2"/>
    <n v="288.27"/>
    <n v="8.25"/>
    <x v="0"/>
    <x v="0"/>
    <s v="Apex Wholesale"/>
    <n v="63.69"/>
    <n v="125.5"/>
    <n v="191.07"/>
    <n v="88.949999999999989"/>
    <n v="0.30856488708502444"/>
    <x v="6"/>
    <x v="2"/>
    <x v="0"/>
  </r>
  <r>
    <s v="ORD-101603"/>
    <d v="2025-08-05T00:00:00"/>
    <d v="2025-08-08T00:00:00"/>
    <x v="1"/>
    <s v="Norwich"/>
    <s v="Home Office"/>
    <s v="Retail Store"/>
    <s v="P-012"/>
    <n v="9"/>
    <n v="0"/>
    <n v="69.930000000000007"/>
    <n v="5.13"/>
    <x v="14"/>
    <x v="2"/>
    <s v="Luma Imports"/>
    <n v="4.5"/>
    <n v="8.2899999999999991"/>
    <n v="40.5"/>
    <n v="24.300000000000008"/>
    <n v="0.34749034749034757"/>
    <x v="6"/>
    <x v="1"/>
    <x v="0"/>
  </r>
  <r>
    <s v="ORD-101604"/>
    <d v="2024-10-20T00:00:00"/>
    <d v="2024-10-22T00:00:00"/>
    <x v="0"/>
    <s v="Liverpool"/>
    <s v="Home Office"/>
    <s v="Online"/>
    <s v="P-009"/>
    <n v="4"/>
    <n v="0"/>
    <n v="560.96"/>
    <n v="9.5"/>
    <x v="0"/>
    <x v="0"/>
    <s v="Apex Wholesale"/>
    <n v="63.69"/>
    <n v="125.5"/>
    <n v="254.76"/>
    <n v="296.70000000000005"/>
    <n v="0.52891471762692532"/>
    <x v="3"/>
    <x v="1"/>
    <x v="1"/>
  </r>
  <r>
    <s v="ORD-101605"/>
    <d v="2025-03-28T00:00:00"/>
    <d v="2025-04-01T00:00:00"/>
    <x v="3"/>
    <s v="Newcastle"/>
    <s v="Small Business"/>
    <s v="B2B Sales"/>
    <s v="P-002"/>
    <n v="1"/>
    <n v="0.1"/>
    <n v="171.73"/>
    <n v="4.08"/>
    <x v="2"/>
    <x v="1"/>
    <s v="Vertex Trade"/>
    <n v="119.02"/>
    <n v="205.39"/>
    <n v="119.02"/>
    <n v="48.629999999999995"/>
    <n v="0.28317708030047167"/>
    <x v="2"/>
    <x v="0"/>
    <x v="0"/>
  </r>
  <r>
    <s v="ORD-101606"/>
    <d v="2024-01-29T00:00:00"/>
    <d v="2024-02-02T00:00:00"/>
    <x v="2"/>
    <s v="London"/>
    <s v="Small Business"/>
    <s v="Online"/>
    <s v="P-006"/>
    <n v="1"/>
    <n v="0"/>
    <n v="98.77"/>
    <n v="5.75"/>
    <x v="10"/>
    <x v="0"/>
    <s v="Apex Wholesale"/>
    <n v="54.95"/>
    <n v="112.56"/>
    <n v="54.95"/>
    <n v="38.069999999999993"/>
    <n v="0.38544092335729468"/>
    <x v="18"/>
    <x v="1"/>
    <x v="1"/>
  </r>
  <r>
    <s v="ORD-101607"/>
    <d v="2025-12-11T00:00:00"/>
    <d v="2025-12-15T00:00:00"/>
    <x v="3"/>
    <s v="Newcastle"/>
    <s v="Home Office"/>
    <s v="Retail Store"/>
    <s v="P-015"/>
    <n v="25"/>
    <n v="0"/>
    <n v="213.23"/>
    <n v="15.75"/>
    <x v="8"/>
    <x v="2"/>
    <s v="Luma Imports"/>
    <n v="3.3"/>
    <n v="6.13"/>
    <n v="82.5"/>
    <n v="114.97999999999999"/>
    <n v="0.5392299395019462"/>
    <x v="13"/>
    <x v="1"/>
    <x v="0"/>
  </r>
  <r>
    <s v="ORD-101608"/>
    <d v="2024-01-04T00:00:00"/>
    <d v="2024-01-05T00:00:00"/>
    <x v="3"/>
    <s v="Manchester"/>
    <s v="Corporate"/>
    <s v="B2B Sales"/>
    <s v="P-002"/>
    <n v="2"/>
    <n v="0"/>
    <n v="346.03"/>
    <n v="5.46"/>
    <x v="2"/>
    <x v="1"/>
    <s v="Vertex Trade"/>
    <n v="119.02"/>
    <n v="205.39"/>
    <n v="238.04"/>
    <n v="102.52999999999999"/>
    <n v="0.296303788688842"/>
    <x v="18"/>
    <x v="1"/>
    <x v="1"/>
  </r>
  <r>
    <s v="ORD-101609"/>
    <d v="2024-01-27T00:00:00"/>
    <d v="2024-02-01T00:00:00"/>
    <x v="0"/>
    <s v="Liverpool"/>
    <s v="Corporate"/>
    <s v="B2B Sales"/>
    <s v="P-008"/>
    <n v="4"/>
    <n v="0"/>
    <n v="649.9"/>
    <n v="5.7"/>
    <x v="6"/>
    <x v="0"/>
    <s v="Vertex Trade"/>
    <n v="112.09"/>
    <n v="192.47"/>
    <n v="448.36"/>
    <n v="195.83999999999997"/>
    <n v="0.3013386674873057"/>
    <x v="18"/>
    <x v="1"/>
    <x v="1"/>
  </r>
  <r>
    <s v="ORD-101610"/>
    <d v="2024-09-19T00:00:00"/>
    <d v="2024-09-24T00:00:00"/>
    <x v="0"/>
    <s v="Cardiff"/>
    <s v="Home Office"/>
    <s v="Retail Store"/>
    <s v="P-005"/>
    <n v="2"/>
    <n v="0.15"/>
    <n v="98.65"/>
    <n v="4.2"/>
    <x v="13"/>
    <x v="0"/>
    <s v="Apex Wholesale"/>
    <n v="25.33"/>
    <n v="51.56"/>
    <n v="50.66"/>
    <n v="43.790000000000006"/>
    <n v="0.4438925494171313"/>
    <x v="23"/>
    <x v="2"/>
    <x v="1"/>
  </r>
  <r>
    <s v="ORD-101611"/>
    <d v="2025-04-02T00:00:00"/>
    <d v="2025-04-06T00:00:00"/>
    <x v="1"/>
    <s v="Norwich"/>
    <s v="Home Office"/>
    <s v="B2B Sales"/>
    <s v="P-007"/>
    <n v="2"/>
    <n v="0"/>
    <n v="105.26"/>
    <n v="7"/>
    <x v="7"/>
    <x v="0"/>
    <s v="Luma Imports"/>
    <n v="31.34"/>
    <n v="56.49"/>
    <n v="62.68"/>
    <n v="35.580000000000005"/>
    <n v="0.33802014060421814"/>
    <x v="15"/>
    <x v="1"/>
    <x v="0"/>
  </r>
  <r>
    <s v="ORD-101612"/>
    <d v="2025-03-07T00:00:00"/>
    <d v="2025-03-12T00:00:00"/>
    <x v="2"/>
    <s v="Bristol"/>
    <s v="Home Office"/>
    <s v="B2B Sales"/>
    <s v="P-014"/>
    <n v="10"/>
    <n v="0"/>
    <n v="268.39999999999998"/>
    <n v="5.4"/>
    <x v="3"/>
    <x v="2"/>
    <s v="Orbit Supply Co."/>
    <n v="16.760000000000002"/>
    <n v="27.71"/>
    <n v="167.60000000000002"/>
    <n v="95.399999999999949"/>
    <n v="0.35543964232488806"/>
    <x v="2"/>
    <x v="1"/>
    <x v="0"/>
  </r>
  <r>
    <s v="ORD-101613"/>
    <d v="2024-11-03T00:00:00"/>
    <d v="2024-11-06T00:00:00"/>
    <x v="1"/>
    <s v="Norwich"/>
    <s v="Small Business"/>
    <s v="B2B Sales"/>
    <s v="P-003"/>
    <n v="3"/>
    <n v="0.25"/>
    <n v="327.94"/>
    <n v="11.4"/>
    <x v="1"/>
    <x v="1"/>
    <s v="Orbit Supply Co."/>
    <n v="71.489999999999995"/>
    <n v="112.88"/>
    <n v="214.46999999999997"/>
    <n v="102.07000000000002"/>
    <n v="0.31124595962676105"/>
    <x v="14"/>
    <x v="3"/>
    <x v="1"/>
  </r>
  <r>
    <s v="ORD-101614"/>
    <d v="2024-11-29T00:00:00"/>
    <d v="2024-12-02T00:00:00"/>
    <x v="3"/>
    <s v="Manchester"/>
    <s v="Small Business"/>
    <s v="Retail Store"/>
    <s v="P-006"/>
    <n v="1"/>
    <n v="0"/>
    <n v="157.96"/>
    <n v="5.75"/>
    <x v="10"/>
    <x v="0"/>
    <s v="Apex Wholesale"/>
    <n v="54.95"/>
    <n v="112.56"/>
    <n v="54.95"/>
    <n v="97.26"/>
    <n v="0.61572550012661431"/>
    <x v="14"/>
    <x v="1"/>
    <x v="1"/>
  </r>
  <r>
    <s v="ORD-101615"/>
    <d v="2024-06-28T00:00:00"/>
    <d v="2024-07-02T00:00:00"/>
    <x v="0"/>
    <s v="Cardiff"/>
    <s v="Home Office"/>
    <s v="Retail Store"/>
    <s v="P-009"/>
    <n v="3"/>
    <n v="0.25"/>
    <n v="300.45"/>
    <n v="4.95"/>
    <x v="0"/>
    <x v="0"/>
    <s v="Apex Wholesale"/>
    <n v="63.69"/>
    <n v="125.5"/>
    <n v="191.07"/>
    <n v="104.42999999999999"/>
    <n v="0.34757863205192213"/>
    <x v="17"/>
    <x v="3"/>
    <x v="1"/>
  </r>
  <r>
    <s v="ORD-101616"/>
    <d v="2024-11-28T00:00:00"/>
    <d v="2024-12-03T00:00:00"/>
    <x v="1"/>
    <s v="Cambridge"/>
    <s v="Small Business"/>
    <s v="B2B Sales"/>
    <s v="P-007"/>
    <n v="4"/>
    <n v="0"/>
    <n v="290.94"/>
    <n v="5.7"/>
    <x v="7"/>
    <x v="0"/>
    <s v="Luma Imports"/>
    <n v="31.34"/>
    <n v="56.49"/>
    <n v="125.36"/>
    <n v="159.88"/>
    <n v="0.54952911253179348"/>
    <x v="14"/>
    <x v="1"/>
    <x v="1"/>
  </r>
  <r>
    <s v="ORD-101617"/>
    <d v="2025-11-07T00:00:00"/>
    <d v="2025-11-09T00:00:00"/>
    <x v="2"/>
    <s v="Brighton"/>
    <s v="Small Business"/>
    <s v="Retail Store"/>
    <s v="P-015"/>
    <n v="14"/>
    <n v="0.05"/>
    <n v="106.71"/>
    <n v="6.48"/>
    <x v="8"/>
    <x v="2"/>
    <s v="Luma Imports"/>
    <n v="3.3"/>
    <n v="6.13"/>
    <n v="46.199999999999996"/>
    <n v="54.03"/>
    <n v="0.50632555524318246"/>
    <x v="19"/>
    <x v="0"/>
    <x v="0"/>
  </r>
  <r>
    <s v="ORD-101618"/>
    <d v="2024-12-30T00:00:00"/>
    <d v="2024-12-31T00:00:00"/>
    <x v="0"/>
    <s v="Birmingham"/>
    <s v="Home Office"/>
    <s v="B2B Sales"/>
    <s v="P-004"/>
    <n v="4"/>
    <n v="0.15"/>
    <n v="543.09"/>
    <n v="8.2200000000000006"/>
    <x v="5"/>
    <x v="1"/>
    <s v="Cedar Distribution"/>
    <n v="63.6"/>
    <n v="107.94"/>
    <n v="254.4"/>
    <n v="280.47000000000003"/>
    <n v="0.51643374026404465"/>
    <x v="9"/>
    <x v="2"/>
    <x v="1"/>
  </r>
  <r>
    <s v="ORD-101619"/>
    <d v="2024-06-03T00:00:00"/>
    <d v="2024-06-06T00:00:00"/>
    <x v="0"/>
    <s v="Cardiff"/>
    <s v="Home Office"/>
    <s v="B2B Sales"/>
    <s v="P-005"/>
    <n v="4"/>
    <n v="0"/>
    <n v="217.07"/>
    <n v="9.5"/>
    <x v="13"/>
    <x v="0"/>
    <s v="Apex Wholesale"/>
    <n v="25.33"/>
    <n v="51.56"/>
    <n v="101.32"/>
    <n v="106.25"/>
    <n v="0.48947344174690194"/>
    <x v="17"/>
    <x v="1"/>
    <x v="1"/>
  </r>
  <r>
    <s v="ORD-101620"/>
    <d v="2024-10-30T00:00:00"/>
    <d v="2024-10-31T00:00:00"/>
    <x v="3"/>
    <s v="Leeds"/>
    <s v="Small Business"/>
    <s v="Online"/>
    <s v="P-011"/>
    <n v="10"/>
    <n v="0.1"/>
    <n v="151.44"/>
    <n v="5.4"/>
    <x v="9"/>
    <x v="2"/>
    <s v="Orbit Supply Co."/>
    <n v="7.93"/>
    <n v="14.78"/>
    <n v="79.3"/>
    <n v="66.739999999999995"/>
    <n v="0.44070258848388799"/>
    <x v="3"/>
    <x v="0"/>
    <x v="1"/>
  </r>
  <r>
    <s v="ORD-101621"/>
    <d v="2024-10-13T00:00:00"/>
    <d v="2024-10-15T00:00:00"/>
    <x v="3"/>
    <s v="Leeds"/>
    <s v="Corporate"/>
    <s v="Retail Store"/>
    <s v="P-013"/>
    <n v="10"/>
    <n v="0.2"/>
    <n v="110.31"/>
    <n v="5.4"/>
    <x v="11"/>
    <x v="2"/>
    <s v="Apex Wholesale"/>
    <n v="6.33"/>
    <n v="12.16"/>
    <n v="63.3"/>
    <n v="41.610000000000007"/>
    <n v="0.37720968180582004"/>
    <x v="3"/>
    <x v="2"/>
    <x v="1"/>
  </r>
  <r>
    <s v="ORD-101622"/>
    <d v="2024-11-22T00:00:00"/>
    <d v="2024-11-26T00:00:00"/>
    <x v="2"/>
    <s v="Brighton"/>
    <s v="Corporate"/>
    <s v="Online"/>
    <s v="P-009"/>
    <n v="7"/>
    <n v="0.05"/>
    <n v="1137.8399999999999"/>
    <n v="7.95"/>
    <x v="0"/>
    <x v="0"/>
    <s v="Apex Wholesale"/>
    <n v="63.69"/>
    <n v="125.5"/>
    <n v="445.83"/>
    <n v="684.06"/>
    <n v="0.60119173170217255"/>
    <x v="14"/>
    <x v="0"/>
    <x v="1"/>
  </r>
  <r>
    <s v="ORD-101623"/>
    <d v="2025-05-15T00:00:00"/>
    <d v="2025-05-19T00:00:00"/>
    <x v="3"/>
    <s v="Newcastle"/>
    <s v="Corporate"/>
    <s v="Online"/>
    <s v="P-005"/>
    <n v="1"/>
    <n v="0"/>
    <n v="52.66"/>
    <n v="3.45"/>
    <x v="13"/>
    <x v="0"/>
    <s v="Apex Wholesale"/>
    <n v="25.33"/>
    <n v="51.56"/>
    <n v="25.33"/>
    <n v="23.88"/>
    <n v="0.45347512343334601"/>
    <x v="1"/>
    <x v="1"/>
    <x v="0"/>
  </r>
  <r>
    <s v="ORD-101624"/>
    <d v="2024-11-15T00:00:00"/>
    <d v="2024-11-17T00:00:00"/>
    <x v="2"/>
    <s v="Bristol"/>
    <s v="Corporate"/>
    <s v="Retail Store"/>
    <s v="P-009"/>
    <n v="3"/>
    <n v="0"/>
    <n v="512.89"/>
    <n v="4.95"/>
    <x v="0"/>
    <x v="0"/>
    <s v="Apex Wholesale"/>
    <n v="63.69"/>
    <n v="125.5"/>
    <n v="191.07"/>
    <n v="316.87"/>
    <n v="0.61781278636744719"/>
    <x v="14"/>
    <x v="1"/>
    <x v="1"/>
  </r>
  <r>
    <s v="ORD-101625"/>
    <d v="2024-10-17T00:00:00"/>
    <d v="2024-10-22T00:00:00"/>
    <x v="0"/>
    <s v="Liverpool"/>
    <s v="Home Office"/>
    <s v="Online"/>
    <s v="P-004"/>
    <n v="1"/>
    <n v="0"/>
    <n v="122.8"/>
    <n v="6.8"/>
    <x v="5"/>
    <x v="1"/>
    <s v="Cedar Distribution"/>
    <n v="63.6"/>
    <n v="107.94"/>
    <n v="63.6"/>
    <n v="52.4"/>
    <n v="0.42671009771986973"/>
    <x v="3"/>
    <x v="1"/>
    <x v="1"/>
  </r>
  <r>
    <s v="ORD-101626"/>
    <d v="2024-11-05T00:00:00"/>
    <d v="2024-11-07T00:00:00"/>
    <x v="1"/>
    <s v="Cambridge"/>
    <s v="Home Office"/>
    <s v="B2B Sales"/>
    <s v="P-011"/>
    <n v="9"/>
    <n v="0"/>
    <n v="179.02"/>
    <n v="8.5500000000000007"/>
    <x v="9"/>
    <x v="2"/>
    <s v="Orbit Supply Co."/>
    <n v="7.93"/>
    <n v="14.78"/>
    <n v="71.37"/>
    <n v="99.100000000000009"/>
    <n v="0.55356943358283994"/>
    <x v="14"/>
    <x v="1"/>
    <x v="1"/>
  </r>
  <r>
    <s v="ORD-101627"/>
    <d v="2024-07-16T00:00:00"/>
    <d v="2024-07-22T00:00:00"/>
    <x v="2"/>
    <s v="Bristol"/>
    <s v="Home Office"/>
    <s v="Online"/>
    <s v="P-015"/>
    <n v="12"/>
    <n v="0"/>
    <n v="69.930000000000007"/>
    <n v="5.94"/>
    <x v="8"/>
    <x v="2"/>
    <s v="Luma Imports"/>
    <n v="3.3"/>
    <n v="6.13"/>
    <n v="39.599999999999994"/>
    <n v="24.390000000000011"/>
    <n v="0.34877734877734889"/>
    <x v="16"/>
    <x v="1"/>
    <x v="1"/>
  </r>
  <r>
    <s v="ORD-101628"/>
    <d v="2025-02-21T00:00:00"/>
    <d v="2025-02-22T00:00:00"/>
    <x v="1"/>
    <s v="Norwich"/>
    <s v="Corporate"/>
    <s v="B2B Sales"/>
    <s v="P-004"/>
    <n v="2"/>
    <n v="0"/>
    <n v="190.6"/>
    <n v="9.1"/>
    <x v="5"/>
    <x v="1"/>
    <s v="Cedar Distribution"/>
    <n v="63.6"/>
    <n v="107.94"/>
    <n v="127.2"/>
    <n v="54.29999999999999"/>
    <n v="0.28488982161594961"/>
    <x v="5"/>
    <x v="1"/>
    <x v="0"/>
  </r>
  <r>
    <s v="ORD-101629"/>
    <d v="2025-05-01T00:00:00"/>
    <d v="2025-05-05T00:00:00"/>
    <x v="3"/>
    <s v="Manchester"/>
    <s v="Home Office"/>
    <s v="B2B Sales"/>
    <s v="P-003"/>
    <n v="5"/>
    <n v="0.25"/>
    <n v="431.53"/>
    <n v="16"/>
    <x v="1"/>
    <x v="1"/>
    <s v="Orbit Supply Co."/>
    <n v="71.489999999999995"/>
    <n v="112.88"/>
    <n v="357.45"/>
    <n v="58.079999999999984"/>
    <n v="0.13459087433086919"/>
    <x v="1"/>
    <x v="3"/>
    <x v="0"/>
  </r>
  <r>
    <s v="ORD-101630"/>
    <d v="2024-03-13T00:00:00"/>
    <d v="2024-03-16T00:00:00"/>
    <x v="2"/>
    <s v="Brighton"/>
    <s v="Corporate"/>
    <s v="Retail Store"/>
    <s v="P-010"/>
    <n v="3"/>
    <n v="0"/>
    <n v="17.989999999999998"/>
    <n v="5.85"/>
    <x v="4"/>
    <x v="2"/>
    <s v="Orbit Supply Co."/>
    <n v="3.62"/>
    <n v="6.03"/>
    <n v="10.86"/>
    <n v="1.2799999999999994"/>
    <n v="7.1150639244024427E-2"/>
    <x v="10"/>
    <x v="1"/>
    <x v="1"/>
  </r>
  <r>
    <s v="ORD-101631"/>
    <d v="2025-06-27T00:00:00"/>
    <d v="2025-06-30T00:00:00"/>
    <x v="0"/>
    <s v="Liverpool"/>
    <s v="Corporate"/>
    <s v="Retail Store"/>
    <s v="P-010"/>
    <n v="6"/>
    <n v="0.15"/>
    <n v="32.159999999999997"/>
    <n v="7.2"/>
    <x v="4"/>
    <x v="2"/>
    <s v="Orbit Supply Co."/>
    <n v="3.62"/>
    <n v="6.03"/>
    <n v="21.72"/>
    <n v="3.2399999999999975"/>
    <n v="0.10074626865671635"/>
    <x v="0"/>
    <x v="2"/>
    <x v="0"/>
  </r>
  <r>
    <s v="ORD-101632"/>
    <d v="2024-06-19T00:00:00"/>
    <d v="2024-06-20T00:00:00"/>
    <x v="0"/>
    <s v="Birmingham"/>
    <s v="Small Business"/>
    <s v="B2B Sales"/>
    <s v="P-012"/>
    <n v="4"/>
    <n v="0.2"/>
    <n v="28.73"/>
    <n v="6.3"/>
    <x v="14"/>
    <x v="2"/>
    <s v="Luma Imports"/>
    <n v="4.5"/>
    <n v="8.2899999999999991"/>
    <n v="18"/>
    <n v="4.4300000000000006"/>
    <n v="0.15419422206752526"/>
    <x v="17"/>
    <x v="2"/>
    <x v="1"/>
  </r>
  <r>
    <s v="ORD-101633"/>
    <d v="2024-01-05T00:00:00"/>
    <d v="2024-01-06T00:00:00"/>
    <x v="3"/>
    <s v="Leeds"/>
    <s v="Home Office"/>
    <s v="Retail Store"/>
    <s v="P-009"/>
    <n v="3"/>
    <n v="0.1"/>
    <n v="298.73"/>
    <n v="4.95"/>
    <x v="0"/>
    <x v="0"/>
    <s v="Apex Wholesale"/>
    <n v="63.69"/>
    <n v="125.5"/>
    <n v="191.07"/>
    <n v="102.71000000000002"/>
    <n v="0.34382218056438929"/>
    <x v="18"/>
    <x v="0"/>
    <x v="1"/>
  </r>
  <r>
    <s v="ORD-101634"/>
    <d v="2024-01-10T00:00:00"/>
    <d v="2024-01-14T00:00:00"/>
    <x v="2"/>
    <s v="Brighton"/>
    <s v="Home Office"/>
    <s v="B2B Sales"/>
    <s v="P-014"/>
    <n v="5"/>
    <n v="0.15"/>
    <n v="102.13"/>
    <n v="4.05"/>
    <x v="3"/>
    <x v="2"/>
    <s v="Orbit Supply Co."/>
    <n v="16.760000000000002"/>
    <n v="27.71"/>
    <n v="83.800000000000011"/>
    <n v="14.279999999999983"/>
    <n v="0.1398217957505139"/>
    <x v="18"/>
    <x v="2"/>
    <x v="1"/>
  </r>
  <r>
    <s v="ORD-101635"/>
    <d v="2025-07-17T00:00:00"/>
    <d v="2025-07-20T00:00:00"/>
    <x v="1"/>
    <s v="Norwich"/>
    <s v="Home Office"/>
    <s v="B2B Sales"/>
    <s v="P-010"/>
    <n v="8"/>
    <n v="0"/>
    <n v="45.02"/>
    <n v="4.8600000000000003"/>
    <x v="4"/>
    <x v="2"/>
    <s v="Orbit Supply Co."/>
    <n v="3.62"/>
    <n v="6.03"/>
    <n v="28.96"/>
    <n v="11.200000000000003"/>
    <n v="0.24877832074633502"/>
    <x v="4"/>
    <x v="1"/>
    <x v="0"/>
  </r>
  <r>
    <s v="ORD-101636"/>
    <d v="2024-09-11T00:00:00"/>
    <d v="2024-09-16T00:00:00"/>
    <x v="2"/>
    <s v="Bristol"/>
    <s v="Small Business"/>
    <s v="Retail Store"/>
    <s v="P-001"/>
    <n v="1"/>
    <n v="0.05"/>
    <n v="281.22000000000003"/>
    <n v="6.8"/>
    <x v="12"/>
    <x v="1"/>
    <s v="Luma Imports"/>
    <n v="173.56"/>
    <n v="286.14999999999998"/>
    <n v="173.56"/>
    <n v="100.86000000000003"/>
    <n v="0.3586515895028804"/>
    <x v="23"/>
    <x v="0"/>
    <x v="1"/>
  </r>
  <r>
    <s v="ORD-101637"/>
    <d v="2025-03-07T00:00:00"/>
    <d v="2025-03-11T00:00:00"/>
    <x v="0"/>
    <s v="Liverpool"/>
    <s v="Home Office"/>
    <s v="B2B Sales"/>
    <s v="P-011"/>
    <n v="9"/>
    <n v="0.05"/>
    <n v="117.91"/>
    <n v="8.5500000000000007"/>
    <x v="9"/>
    <x v="2"/>
    <s v="Orbit Supply Co."/>
    <n v="7.93"/>
    <n v="14.78"/>
    <n v="71.37"/>
    <n v="37.989999999999995"/>
    <n v="0.32219489441099142"/>
    <x v="2"/>
    <x v="0"/>
    <x v="0"/>
  </r>
  <r>
    <s v="ORD-101638"/>
    <d v="2025-06-11T00:00:00"/>
    <d v="2025-06-14T00:00:00"/>
    <x v="1"/>
    <s v="Norwich"/>
    <s v="Home Office"/>
    <s v="Online"/>
    <s v="P-015"/>
    <n v="11"/>
    <n v="0.05"/>
    <n v="63.41"/>
    <n v="5.67"/>
    <x v="8"/>
    <x v="2"/>
    <s v="Luma Imports"/>
    <n v="3.3"/>
    <n v="6.13"/>
    <n v="36.299999999999997"/>
    <n v="21.439999999999998"/>
    <n v="0.33811701624349472"/>
    <x v="0"/>
    <x v="0"/>
    <x v="0"/>
  </r>
  <r>
    <s v="ORD-101639"/>
    <d v="2024-09-23T00:00:00"/>
    <d v="2024-09-28T00:00:00"/>
    <x v="1"/>
    <s v="Peterborough"/>
    <s v="Home Office"/>
    <s v="Retail Store"/>
    <s v="P-012"/>
    <n v="7"/>
    <n v="0"/>
    <n v="62.64"/>
    <n v="4.59"/>
    <x v="14"/>
    <x v="2"/>
    <s v="Luma Imports"/>
    <n v="4.5"/>
    <n v="8.2899999999999991"/>
    <n v="31.5"/>
    <n v="26.55"/>
    <n v="0.4238505747126437"/>
    <x v="23"/>
    <x v="1"/>
    <x v="1"/>
  </r>
  <r>
    <s v="ORD-101640"/>
    <d v="2024-09-18T00:00:00"/>
    <d v="2024-09-22T00:00:00"/>
    <x v="2"/>
    <s v="Brighton"/>
    <s v="Small Business"/>
    <s v="Online"/>
    <s v="P-014"/>
    <n v="4"/>
    <n v="0.2"/>
    <n v="98.66"/>
    <n v="6.3"/>
    <x v="3"/>
    <x v="2"/>
    <s v="Orbit Supply Co."/>
    <n v="16.760000000000002"/>
    <n v="27.71"/>
    <n v="67.040000000000006"/>
    <n v="25.31999999999999"/>
    <n v="0.25663896209203313"/>
    <x v="23"/>
    <x v="2"/>
    <x v="1"/>
  </r>
  <r>
    <s v="ORD-101641"/>
    <d v="2025-10-27T00:00:00"/>
    <d v="2025-10-28T00:00:00"/>
    <x v="3"/>
    <s v="Leeds"/>
    <s v="Home Office"/>
    <s v="B2B Sales"/>
    <s v="P-013"/>
    <n v="9"/>
    <n v="0"/>
    <n v="129.13"/>
    <n v="8.5500000000000007"/>
    <x v="11"/>
    <x v="2"/>
    <s v="Apex Wholesale"/>
    <n v="6.33"/>
    <n v="12.16"/>
    <n v="56.97"/>
    <n v="63.61"/>
    <n v="0.49260435220320609"/>
    <x v="22"/>
    <x v="1"/>
    <x v="0"/>
  </r>
  <r>
    <s v="ORD-101642"/>
    <d v="2024-10-03T00:00:00"/>
    <d v="2024-10-06T00:00:00"/>
    <x v="0"/>
    <s v="Birmingham"/>
    <s v="Small Business"/>
    <s v="Retail Store"/>
    <s v="P-004"/>
    <n v="2"/>
    <n v="0"/>
    <n v="248.54"/>
    <n v="5.46"/>
    <x v="5"/>
    <x v="1"/>
    <s v="Cedar Distribution"/>
    <n v="63.6"/>
    <n v="107.94"/>
    <n v="127.2"/>
    <n v="115.88"/>
    <n v="0.46624285829242779"/>
    <x v="3"/>
    <x v="1"/>
    <x v="1"/>
  </r>
  <r>
    <s v="ORD-101643"/>
    <d v="2025-04-04T00:00:00"/>
    <d v="2025-04-07T00:00:00"/>
    <x v="1"/>
    <s v="Cambridge"/>
    <s v="Small Business"/>
    <s v="Retail Store"/>
    <s v="P-012"/>
    <n v="12"/>
    <n v="0.2"/>
    <n v="80.23"/>
    <n v="9.9"/>
    <x v="14"/>
    <x v="2"/>
    <s v="Luma Imports"/>
    <n v="4.5"/>
    <n v="8.2899999999999991"/>
    <n v="54"/>
    <n v="16.330000000000005"/>
    <n v="0.20353982300884962"/>
    <x v="15"/>
    <x v="2"/>
    <x v="0"/>
  </r>
  <r>
    <s v="ORD-101644"/>
    <d v="2025-09-24T00:00:00"/>
    <d v="2025-09-29T00:00:00"/>
    <x v="0"/>
    <s v="Cardiff"/>
    <s v="Home Office"/>
    <s v="Retail Store"/>
    <s v="P-013"/>
    <n v="10"/>
    <n v="0"/>
    <n v="135.12"/>
    <n v="5.4"/>
    <x v="11"/>
    <x v="2"/>
    <s v="Apex Wholesale"/>
    <n v="6.33"/>
    <n v="12.16"/>
    <n v="63.3"/>
    <n v="66.42"/>
    <n v="0.49156305506216696"/>
    <x v="11"/>
    <x v="1"/>
    <x v="0"/>
  </r>
  <r>
    <s v="ORD-101645"/>
    <d v="2024-07-09T00:00:00"/>
    <d v="2024-07-10T00:00:00"/>
    <x v="2"/>
    <s v="London"/>
    <s v="Small Business"/>
    <s v="Online"/>
    <s v="P-001"/>
    <n v="2"/>
    <n v="0"/>
    <n v="529.78"/>
    <n v="9.1"/>
    <x v="12"/>
    <x v="1"/>
    <s v="Luma Imports"/>
    <n v="173.56"/>
    <n v="286.14999999999998"/>
    <n v="347.12"/>
    <n v="173.55999999999997"/>
    <n v="0.32760768620936992"/>
    <x v="16"/>
    <x v="1"/>
    <x v="1"/>
  </r>
  <r>
    <s v="ORD-101646"/>
    <d v="2025-07-18T00:00:00"/>
    <d v="2025-07-24T00:00:00"/>
    <x v="2"/>
    <s v="London"/>
    <s v="Small Business"/>
    <s v="Retail Store"/>
    <s v="P-013"/>
    <n v="5"/>
    <n v="0"/>
    <n v="54.79"/>
    <n v="6.75"/>
    <x v="11"/>
    <x v="2"/>
    <s v="Apex Wholesale"/>
    <n v="6.33"/>
    <n v="12.16"/>
    <n v="31.65"/>
    <n v="16.39"/>
    <n v="0.29914217922978648"/>
    <x v="4"/>
    <x v="1"/>
    <x v="0"/>
  </r>
  <r>
    <s v="ORD-101647"/>
    <d v="2024-04-28T00:00:00"/>
    <d v="2024-05-03T00:00:00"/>
    <x v="2"/>
    <s v="Brighton"/>
    <s v="Corporate"/>
    <s v="Retail Store"/>
    <s v="P-013"/>
    <n v="9"/>
    <n v="0.2"/>
    <n v="84.7"/>
    <n v="8.5500000000000007"/>
    <x v="11"/>
    <x v="2"/>
    <s v="Apex Wholesale"/>
    <n v="6.33"/>
    <n v="12.16"/>
    <n v="56.97"/>
    <n v="19.180000000000003"/>
    <n v="0.22644628099173555"/>
    <x v="21"/>
    <x v="2"/>
    <x v="1"/>
  </r>
  <r>
    <s v="ORD-101648"/>
    <d v="2025-02-06T00:00:00"/>
    <d v="2025-02-07T00:00:00"/>
    <x v="0"/>
    <s v="Cardiff"/>
    <s v="Home Office"/>
    <s v="B2B Sales"/>
    <s v="P-001"/>
    <n v="4"/>
    <n v="0"/>
    <n v="1041.3399999999999"/>
    <n v="8.2200000000000006"/>
    <x v="12"/>
    <x v="1"/>
    <s v="Luma Imports"/>
    <n v="173.56"/>
    <n v="286.14999999999998"/>
    <n v="694.24"/>
    <n v="338.87999999999988"/>
    <n v="0.32542685386137082"/>
    <x v="5"/>
    <x v="1"/>
    <x v="0"/>
  </r>
  <r>
    <s v="ORD-101649"/>
    <d v="2025-04-19T00:00:00"/>
    <d v="2025-04-25T00:00:00"/>
    <x v="1"/>
    <s v="Peterborough"/>
    <s v="Corporate"/>
    <s v="Online"/>
    <s v="P-003"/>
    <n v="2"/>
    <n v="0.1"/>
    <n v="204.06"/>
    <n v="9.1"/>
    <x v="1"/>
    <x v="1"/>
    <s v="Orbit Supply Co."/>
    <n v="71.489999999999995"/>
    <n v="112.88"/>
    <n v="142.97999999999999"/>
    <n v="51.980000000000011"/>
    <n v="0.25472900127413511"/>
    <x v="15"/>
    <x v="0"/>
    <x v="0"/>
  </r>
  <r>
    <s v="ORD-101650"/>
    <d v="2024-04-24T00:00:00"/>
    <d v="2024-04-25T00:00:00"/>
    <x v="1"/>
    <s v="Norwich"/>
    <s v="Home Office"/>
    <s v="Retail Store"/>
    <s v="P-015"/>
    <n v="8"/>
    <n v="0.25"/>
    <n v="37.840000000000003"/>
    <n v="8.1"/>
    <x v="8"/>
    <x v="2"/>
    <s v="Luma Imports"/>
    <n v="3.3"/>
    <n v="6.13"/>
    <n v="26.4"/>
    <n v="3.3400000000000052"/>
    <n v="8.826638477801281E-2"/>
    <x v="21"/>
    <x v="3"/>
    <x v="1"/>
  </r>
  <r>
    <s v="ORD-101651"/>
    <d v="2024-01-12T00:00:00"/>
    <d v="2024-01-15T00:00:00"/>
    <x v="3"/>
    <s v="Newcastle"/>
    <s v="Home Office"/>
    <s v="B2B Sales"/>
    <s v="P-015"/>
    <n v="7"/>
    <n v="0.25"/>
    <n v="26.99"/>
    <n v="4.59"/>
    <x v="8"/>
    <x v="2"/>
    <s v="Luma Imports"/>
    <n v="3.3"/>
    <n v="6.13"/>
    <n v="23.099999999999998"/>
    <n v="-0.69999999999999929"/>
    <n v="-2.5935531678399383E-2"/>
    <x v="18"/>
    <x v="3"/>
    <x v="1"/>
  </r>
  <r>
    <s v="ORD-101652"/>
    <d v="2025-02-15T00:00:00"/>
    <d v="2025-02-17T00:00:00"/>
    <x v="3"/>
    <s v="Newcastle"/>
    <s v="Small Business"/>
    <s v="B2B Sales"/>
    <s v="P-010"/>
    <n v="12"/>
    <n v="0.25"/>
    <n v="47.66"/>
    <n v="9.9"/>
    <x v="4"/>
    <x v="2"/>
    <s v="Orbit Supply Co."/>
    <n v="3.62"/>
    <n v="6.03"/>
    <n v="43.44"/>
    <n v="-5.6800000000000015"/>
    <n v="-0.11917750734368447"/>
    <x v="5"/>
    <x v="3"/>
    <x v="0"/>
  </r>
  <r>
    <s v="ORD-101653"/>
    <d v="2025-02-11T00:00:00"/>
    <d v="2025-02-16T00:00:00"/>
    <x v="0"/>
    <s v="Liverpool"/>
    <s v="Home Office"/>
    <s v="Online"/>
    <s v="P-008"/>
    <n v="2"/>
    <n v="0.25"/>
    <n v="266.47000000000003"/>
    <n v="7"/>
    <x v="6"/>
    <x v="0"/>
    <s v="Vertex Trade"/>
    <n v="112.09"/>
    <n v="192.47"/>
    <n v="224.18"/>
    <n v="35.29000000000002"/>
    <n v="0.13243517093856727"/>
    <x v="5"/>
    <x v="3"/>
    <x v="0"/>
  </r>
  <r>
    <s v="ORD-101654"/>
    <d v="2025-06-26T00:00:00"/>
    <d v="2025-07-01T00:00:00"/>
    <x v="2"/>
    <s v="London"/>
    <s v="Small Business"/>
    <s v="Retail Store"/>
    <s v="P-005"/>
    <n v="2"/>
    <n v="0"/>
    <n v="112.05"/>
    <n v="4.2"/>
    <x v="13"/>
    <x v="0"/>
    <s v="Apex Wholesale"/>
    <n v="25.33"/>
    <n v="51.56"/>
    <n v="50.66"/>
    <n v="57.19"/>
    <n v="0.51039714413208392"/>
    <x v="0"/>
    <x v="1"/>
    <x v="0"/>
  </r>
  <r>
    <s v="ORD-101655"/>
    <d v="2024-06-27T00:00:00"/>
    <d v="2024-06-30T00:00:00"/>
    <x v="0"/>
    <s v="Birmingham"/>
    <s v="Home Office"/>
    <s v="B2B Sales"/>
    <s v="P-005"/>
    <n v="4"/>
    <n v="0.2"/>
    <n v="179.87"/>
    <n v="5.7"/>
    <x v="13"/>
    <x v="0"/>
    <s v="Apex Wholesale"/>
    <n v="25.33"/>
    <n v="51.56"/>
    <n v="101.32"/>
    <n v="72.850000000000009"/>
    <n v="0.40501473286262302"/>
    <x v="17"/>
    <x v="2"/>
    <x v="1"/>
  </r>
  <r>
    <s v="ORD-101656"/>
    <d v="2025-07-24T00:00:00"/>
    <d v="2025-07-26T00:00:00"/>
    <x v="3"/>
    <s v="Newcastle"/>
    <s v="Small Business"/>
    <s v="Retail Store"/>
    <s v="P-003"/>
    <n v="1"/>
    <n v="0.25"/>
    <n v="79.239999999999995"/>
    <n v="6.8"/>
    <x v="1"/>
    <x v="1"/>
    <s v="Orbit Supply Co."/>
    <n v="71.489999999999995"/>
    <n v="112.88"/>
    <n v="71.489999999999995"/>
    <n v="0.95000000000000018"/>
    <n v="1.1988894497728423E-2"/>
    <x v="4"/>
    <x v="3"/>
    <x v="0"/>
  </r>
  <r>
    <s v="ORD-101657"/>
    <d v="2025-06-12T00:00:00"/>
    <d v="2025-06-14T00:00:00"/>
    <x v="1"/>
    <s v="Cambridge"/>
    <s v="Corporate"/>
    <s v="Retail Store"/>
    <s v="P-010"/>
    <n v="13"/>
    <n v="0.05"/>
    <n v="77.510000000000005"/>
    <n v="6.21"/>
    <x v="4"/>
    <x v="2"/>
    <s v="Orbit Supply Co."/>
    <n v="3.62"/>
    <n v="6.03"/>
    <n v="47.06"/>
    <n v="24.240000000000002"/>
    <n v="0.31273384079473615"/>
    <x v="0"/>
    <x v="0"/>
    <x v="0"/>
  </r>
  <r>
    <s v="ORD-101658"/>
    <d v="2025-11-17T00:00:00"/>
    <d v="2025-11-23T00:00:00"/>
    <x v="3"/>
    <s v="Newcastle"/>
    <s v="Corporate"/>
    <s v="Retail Store"/>
    <s v="P-008"/>
    <n v="1"/>
    <n v="0.05"/>
    <n v="255.67"/>
    <n v="5.75"/>
    <x v="6"/>
    <x v="0"/>
    <s v="Vertex Trade"/>
    <n v="112.09"/>
    <n v="192.47"/>
    <n v="112.09"/>
    <n v="137.82999999999998"/>
    <n v="0.53909336253764617"/>
    <x v="19"/>
    <x v="0"/>
    <x v="0"/>
  </r>
  <r>
    <s v="ORD-101659"/>
    <d v="2025-11-03T00:00:00"/>
    <d v="2025-11-04T00:00:00"/>
    <x v="0"/>
    <s v="Birmingham"/>
    <s v="Small Business"/>
    <s v="B2B Sales"/>
    <s v="P-007"/>
    <n v="3"/>
    <n v="0"/>
    <n v="220.11"/>
    <n v="8.25"/>
    <x v="7"/>
    <x v="0"/>
    <s v="Luma Imports"/>
    <n v="31.34"/>
    <n v="56.49"/>
    <n v="94.02"/>
    <n v="117.84000000000002"/>
    <n v="0.53536867929671528"/>
    <x v="19"/>
    <x v="1"/>
    <x v="0"/>
  </r>
  <r>
    <s v="ORD-101660"/>
    <d v="2025-08-15T00:00:00"/>
    <d v="2025-08-17T00:00:00"/>
    <x v="1"/>
    <s v="Cambridge"/>
    <s v="Corporate"/>
    <s v="Online"/>
    <s v="P-008"/>
    <n v="4"/>
    <n v="0.25"/>
    <n v="546.99"/>
    <n v="5.7"/>
    <x v="6"/>
    <x v="0"/>
    <s v="Vertex Trade"/>
    <n v="112.09"/>
    <n v="192.47"/>
    <n v="448.36"/>
    <n v="92.929999999999993"/>
    <n v="0.16989341669865993"/>
    <x v="6"/>
    <x v="3"/>
    <x v="0"/>
  </r>
  <r>
    <s v="ORD-101661"/>
    <d v="2024-09-10T00:00:00"/>
    <d v="2024-09-12T00:00:00"/>
    <x v="1"/>
    <s v="Peterborough"/>
    <s v="Corporate"/>
    <s v="B2B Sales"/>
    <s v="P-010"/>
    <n v="5"/>
    <n v="0.25"/>
    <n v="24.76"/>
    <n v="6.75"/>
    <x v="4"/>
    <x v="2"/>
    <s v="Orbit Supply Co."/>
    <n v="3.62"/>
    <n v="6.03"/>
    <n v="18.100000000000001"/>
    <n v="-8.9999999999999858E-2"/>
    <n v="-3.6348949919224496E-3"/>
    <x v="23"/>
    <x v="3"/>
    <x v="1"/>
  </r>
  <r>
    <s v="ORD-101662"/>
    <d v="2024-02-20T00:00:00"/>
    <d v="2024-02-26T00:00:00"/>
    <x v="0"/>
    <s v="Liverpool"/>
    <s v="Small Business"/>
    <s v="B2B Sales"/>
    <s v="P-005"/>
    <n v="2"/>
    <n v="0"/>
    <n v="90.25"/>
    <n v="7"/>
    <x v="13"/>
    <x v="0"/>
    <s v="Apex Wholesale"/>
    <n v="25.33"/>
    <n v="51.56"/>
    <n v="50.66"/>
    <n v="32.590000000000003"/>
    <n v="0.36110803324099727"/>
    <x v="12"/>
    <x v="1"/>
    <x v="1"/>
  </r>
  <r>
    <s v="ORD-101663"/>
    <d v="2024-07-02T00:00:00"/>
    <d v="2024-07-03T00:00:00"/>
    <x v="1"/>
    <s v="Peterborough"/>
    <s v="Corporate"/>
    <s v="Online"/>
    <s v="P-005"/>
    <n v="4"/>
    <n v="0.15"/>
    <n v="152.12"/>
    <n v="9.5"/>
    <x v="13"/>
    <x v="0"/>
    <s v="Apex Wholesale"/>
    <n v="25.33"/>
    <n v="51.56"/>
    <n v="101.32"/>
    <n v="41.300000000000011"/>
    <n v="0.27149618722061536"/>
    <x v="16"/>
    <x v="2"/>
    <x v="1"/>
  </r>
  <r>
    <s v="ORD-101664"/>
    <d v="2025-05-10T00:00:00"/>
    <d v="2025-05-13T00:00:00"/>
    <x v="0"/>
    <s v="Liverpool"/>
    <s v="Small Business"/>
    <s v="B2B Sales"/>
    <s v="P-011"/>
    <n v="5"/>
    <n v="0.05"/>
    <n v="67.959999999999994"/>
    <n v="4.05"/>
    <x v="9"/>
    <x v="2"/>
    <s v="Orbit Supply Co."/>
    <n v="7.93"/>
    <n v="14.78"/>
    <n v="39.65"/>
    <n v="24.259999999999994"/>
    <n v="0.35697469099470269"/>
    <x v="1"/>
    <x v="0"/>
    <x v="0"/>
  </r>
  <r>
    <s v="ORD-101665"/>
    <d v="2025-05-17T00:00:00"/>
    <d v="2025-05-23T00:00:00"/>
    <x v="0"/>
    <s v="Liverpool"/>
    <s v="Corporate"/>
    <s v="Online"/>
    <s v="P-002"/>
    <n v="1"/>
    <n v="0.1"/>
    <n v="183.16"/>
    <n v="4.08"/>
    <x v="2"/>
    <x v="1"/>
    <s v="Vertex Trade"/>
    <n v="119.02"/>
    <n v="205.39"/>
    <n v="119.02"/>
    <n v="60.06"/>
    <n v="0.32791002402271241"/>
    <x v="1"/>
    <x v="0"/>
    <x v="0"/>
  </r>
  <r>
    <s v="ORD-101666"/>
    <d v="2025-12-01T00:00:00"/>
    <d v="2025-12-03T00:00:00"/>
    <x v="0"/>
    <s v="Liverpool"/>
    <s v="Home Office"/>
    <s v="Online"/>
    <s v="P-013"/>
    <n v="8"/>
    <n v="0"/>
    <n v="131.04"/>
    <n v="8.1"/>
    <x v="11"/>
    <x v="2"/>
    <s v="Apex Wholesale"/>
    <n v="6.33"/>
    <n v="12.16"/>
    <n v="50.64"/>
    <n v="72.3"/>
    <n v="0.55173992673992678"/>
    <x v="13"/>
    <x v="1"/>
    <x v="0"/>
  </r>
  <r>
    <s v="ORD-101667"/>
    <d v="2024-12-02T00:00:00"/>
    <d v="2024-12-03T00:00:00"/>
    <x v="0"/>
    <s v="Cardiff"/>
    <s v="Small Business"/>
    <s v="Online"/>
    <s v="P-001"/>
    <n v="1"/>
    <n v="0.2"/>
    <n v="329.46"/>
    <n v="4.08"/>
    <x v="12"/>
    <x v="1"/>
    <s v="Luma Imports"/>
    <n v="173.56"/>
    <n v="286.14999999999998"/>
    <n v="173.56"/>
    <n v="151.81999999999996"/>
    <n v="0.460814666423845"/>
    <x v="9"/>
    <x v="2"/>
    <x v="1"/>
  </r>
  <r>
    <s v="ORD-101668"/>
    <d v="2025-05-21T00:00:00"/>
    <d v="2025-05-27T00:00:00"/>
    <x v="2"/>
    <s v="Bristol"/>
    <s v="Corporate"/>
    <s v="Retail Store"/>
    <s v="P-014"/>
    <n v="5"/>
    <n v="0"/>
    <n v="140.22999999999999"/>
    <n v="4.05"/>
    <x v="3"/>
    <x v="2"/>
    <s v="Orbit Supply Co."/>
    <n v="16.760000000000002"/>
    <n v="27.71"/>
    <n v="83.800000000000011"/>
    <n v="52.379999999999981"/>
    <n v="0.37352920202524414"/>
    <x v="1"/>
    <x v="1"/>
    <x v="0"/>
  </r>
  <r>
    <s v="ORD-101669"/>
    <d v="2025-12-12T00:00:00"/>
    <d v="2025-12-15T00:00:00"/>
    <x v="3"/>
    <s v="Manchester"/>
    <s v="Home Office"/>
    <s v="Retail Store"/>
    <s v="P-010"/>
    <n v="5"/>
    <n v="0"/>
    <n v="43.24"/>
    <n v="4.05"/>
    <x v="4"/>
    <x v="2"/>
    <s v="Orbit Supply Co."/>
    <n v="3.62"/>
    <n v="6.03"/>
    <n v="18.100000000000001"/>
    <n v="21.09"/>
    <n v="0.4877428307123034"/>
    <x v="13"/>
    <x v="1"/>
    <x v="0"/>
  </r>
  <r>
    <s v="ORD-101670"/>
    <d v="2024-02-29T00:00:00"/>
    <d v="2024-03-04T00:00:00"/>
    <x v="2"/>
    <s v="Bristol"/>
    <s v="Small Business"/>
    <s v="Retail Store"/>
    <s v="P-005"/>
    <n v="4"/>
    <n v="0"/>
    <n v="192.56"/>
    <n v="5.7"/>
    <x v="13"/>
    <x v="0"/>
    <s v="Apex Wholesale"/>
    <n v="25.33"/>
    <n v="51.56"/>
    <n v="101.32"/>
    <n v="85.54"/>
    <n v="0.44422517656834237"/>
    <x v="12"/>
    <x v="1"/>
    <x v="1"/>
  </r>
  <r>
    <s v="ORD-101671"/>
    <d v="2025-12-02T00:00:00"/>
    <d v="2025-12-03T00:00:00"/>
    <x v="1"/>
    <s v="Norwich"/>
    <s v="Small Business"/>
    <s v="B2B Sales"/>
    <s v="P-011"/>
    <n v="6"/>
    <n v="0"/>
    <n v="122.26"/>
    <n v="7.2"/>
    <x v="9"/>
    <x v="2"/>
    <s v="Orbit Supply Co."/>
    <n v="7.93"/>
    <n v="14.78"/>
    <n v="47.58"/>
    <n v="67.48"/>
    <n v="0.55193849173891707"/>
    <x v="13"/>
    <x v="1"/>
    <x v="0"/>
  </r>
  <r>
    <s v="ORD-101672"/>
    <d v="2025-05-09T00:00:00"/>
    <d v="2025-05-11T00:00:00"/>
    <x v="3"/>
    <s v="Leeds"/>
    <s v="Small Business"/>
    <s v="Retail Store"/>
    <s v="P-015"/>
    <n v="12"/>
    <n v="0"/>
    <n v="73.36"/>
    <n v="9.9"/>
    <x v="8"/>
    <x v="2"/>
    <s v="Luma Imports"/>
    <n v="3.3"/>
    <n v="6.13"/>
    <n v="39.599999999999994"/>
    <n v="23.860000000000007"/>
    <n v="0.32524536532170129"/>
    <x v="1"/>
    <x v="1"/>
    <x v="0"/>
  </r>
  <r>
    <s v="ORD-101673"/>
    <d v="2025-03-21T00:00:00"/>
    <d v="2025-03-24T00:00:00"/>
    <x v="3"/>
    <s v="Newcastle"/>
    <s v="Corporate"/>
    <s v="Online"/>
    <s v="P-004"/>
    <n v="1"/>
    <n v="0.15"/>
    <n v="85.06"/>
    <n v="4.08"/>
    <x v="5"/>
    <x v="1"/>
    <s v="Cedar Distribution"/>
    <n v="63.6"/>
    <n v="107.94"/>
    <n v="63.6"/>
    <n v="17.380000000000003"/>
    <n v="0.20432635786503647"/>
    <x v="2"/>
    <x v="2"/>
    <x v="0"/>
  </r>
  <r>
    <s v="ORD-101674"/>
    <d v="2024-03-22T00:00:00"/>
    <d v="2024-03-26T00:00:00"/>
    <x v="0"/>
    <s v="Birmingham"/>
    <s v="Small Business"/>
    <s v="Retail Store"/>
    <s v="P-008"/>
    <n v="3"/>
    <n v="0"/>
    <n v="532.92999999999995"/>
    <n v="8.25"/>
    <x v="6"/>
    <x v="0"/>
    <s v="Vertex Trade"/>
    <n v="112.09"/>
    <n v="192.47"/>
    <n v="336.27"/>
    <n v="188.40999999999997"/>
    <n v="0.35353611168446136"/>
    <x v="10"/>
    <x v="1"/>
    <x v="1"/>
  </r>
  <r>
    <s v="ORD-101675"/>
    <d v="2025-09-05T00:00:00"/>
    <d v="2025-09-07T00:00:00"/>
    <x v="3"/>
    <s v="Leeds"/>
    <s v="Corporate"/>
    <s v="B2B Sales"/>
    <s v="P-012"/>
    <n v="7"/>
    <n v="0"/>
    <n v="61.53"/>
    <n v="7.65"/>
    <x v="14"/>
    <x v="2"/>
    <s v="Luma Imports"/>
    <n v="4.5"/>
    <n v="8.2899999999999991"/>
    <n v="31.5"/>
    <n v="22.380000000000003"/>
    <n v="0.36372501218917602"/>
    <x v="11"/>
    <x v="1"/>
    <x v="0"/>
  </r>
  <r>
    <s v="ORD-101676"/>
    <d v="2024-10-19T00:00:00"/>
    <d v="2024-10-24T00:00:00"/>
    <x v="2"/>
    <s v="Brighton"/>
    <s v="Small Business"/>
    <s v="B2B Sales"/>
    <s v="P-013"/>
    <n v="14"/>
    <n v="0"/>
    <n v="204.6"/>
    <n v="10.8"/>
    <x v="11"/>
    <x v="2"/>
    <s v="Apex Wholesale"/>
    <n v="6.33"/>
    <n v="12.16"/>
    <n v="88.62"/>
    <n v="105.17999999999999"/>
    <n v="0.51407624633431082"/>
    <x v="3"/>
    <x v="1"/>
    <x v="1"/>
  </r>
  <r>
    <s v="ORD-101677"/>
    <d v="2024-01-23T00:00:00"/>
    <d v="2024-01-25T00:00:00"/>
    <x v="0"/>
    <s v="Liverpool"/>
    <s v="Small Business"/>
    <s v="Retail Store"/>
    <s v="P-010"/>
    <n v="20"/>
    <n v="0"/>
    <n v="101.61"/>
    <n v="8.1"/>
    <x v="4"/>
    <x v="2"/>
    <s v="Orbit Supply Co."/>
    <n v="3.62"/>
    <n v="6.03"/>
    <n v="72.400000000000006"/>
    <n v="21.109999999999992"/>
    <n v="0.20775514221041227"/>
    <x v="18"/>
    <x v="1"/>
    <x v="1"/>
  </r>
  <r>
    <s v="ORD-101678"/>
    <d v="2025-02-10T00:00:00"/>
    <d v="2025-02-13T00:00:00"/>
    <x v="3"/>
    <s v="Manchester"/>
    <s v="Corporate"/>
    <s v="B2B Sales"/>
    <s v="P-004"/>
    <n v="2"/>
    <n v="0"/>
    <n v="186.3"/>
    <n v="5.46"/>
    <x v="5"/>
    <x v="1"/>
    <s v="Cedar Distribution"/>
    <n v="63.6"/>
    <n v="107.94"/>
    <n v="127.2"/>
    <n v="53.640000000000008"/>
    <n v="0.28792270531400971"/>
    <x v="5"/>
    <x v="1"/>
    <x v="0"/>
  </r>
  <r>
    <s v="ORD-101679"/>
    <d v="2025-11-07T00:00:00"/>
    <d v="2025-11-10T00:00:00"/>
    <x v="0"/>
    <s v="Cardiff"/>
    <s v="Small Business"/>
    <s v="Retail Store"/>
    <s v="P-013"/>
    <n v="9"/>
    <n v="0.1"/>
    <n v="125.51"/>
    <n v="5.13"/>
    <x v="11"/>
    <x v="2"/>
    <s v="Apex Wholesale"/>
    <n v="6.33"/>
    <n v="12.16"/>
    <n v="56.97"/>
    <n v="63.410000000000004"/>
    <n v="0.50521870767269539"/>
    <x v="19"/>
    <x v="0"/>
    <x v="0"/>
  </r>
  <r>
    <s v="ORD-101680"/>
    <d v="2025-06-19T00:00:00"/>
    <d v="2025-06-23T00:00:00"/>
    <x v="3"/>
    <s v="Newcastle"/>
    <s v="Home Office"/>
    <s v="B2B Sales"/>
    <s v="P-001"/>
    <n v="3"/>
    <n v="0.2"/>
    <n v="722.85"/>
    <n v="11.4"/>
    <x v="12"/>
    <x v="1"/>
    <s v="Luma Imports"/>
    <n v="173.56"/>
    <n v="286.14999999999998"/>
    <n v="520.68000000000006"/>
    <n v="190.76999999999995"/>
    <n v="0.26391367503631452"/>
    <x v="0"/>
    <x v="2"/>
    <x v="0"/>
  </r>
  <r>
    <s v="ORD-101681"/>
    <d v="2024-05-04T00:00:00"/>
    <d v="2024-05-06T00:00:00"/>
    <x v="1"/>
    <s v="Peterborough"/>
    <s v="Home Office"/>
    <s v="Online"/>
    <s v="P-012"/>
    <n v="11"/>
    <n v="0.05"/>
    <n v="92.96"/>
    <n v="5.67"/>
    <x v="14"/>
    <x v="2"/>
    <s v="Luma Imports"/>
    <n v="4.5"/>
    <n v="8.2899999999999991"/>
    <n v="49.5"/>
    <n v="37.789999999999992"/>
    <n v="0.40651893287435448"/>
    <x v="8"/>
    <x v="0"/>
    <x v="1"/>
  </r>
  <r>
    <s v="ORD-101682"/>
    <d v="2024-09-15T00:00:00"/>
    <d v="2024-09-20T00:00:00"/>
    <x v="3"/>
    <s v="Newcastle"/>
    <s v="Home Office"/>
    <s v="B2B Sales"/>
    <s v="P-010"/>
    <n v="11"/>
    <n v="0"/>
    <n v="69.44"/>
    <n v="5.67"/>
    <x v="4"/>
    <x v="2"/>
    <s v="Orbit Supply Co."/>
    <n v="3.62"/>
    <n v="6.03"/>
    <n v="39.82"/>
    <n v="23.949999999999996"/>
    <n v="0.34490207373271886"/>
    <x v="23"/>
    <x v="1"/>
    <x v="1"/>
  </r>
  <r>
    <s v="ORD-101683"/>
    <d v="2024-02-29T00:00:00"/>
    <d v="2024-03-01T00:00:00"/>
    <x v="3"/>
    <s v="Leeds"/>
    <s v="Home Office"/>
    <s v="Online"/>
    <s v="P-012"/>
    <n v="20"/>
    <n v="0"/>
    <n v="157.63999999999999"/>
    <n v="8.1"/>
    <x v="14"/>
    <x v="2"/>
    <s v="Luma Imports"/>
    <n v="4.5"/>
    <n v="8.2899999999999991"/>
    <n v="90"/>
    <n v="59.539999999999985"/>
    <n v="0.37769601623953303"/>
    <x v="12"/>
    <x v="1"/>
    <x v="1"/>
  </r>
  <r>
    <s v="ORD-101684"/>
    <d v="2024-11-29T00:00:00"/>
    <d v="2024-12-01T00:00:00"/>
    <x v="3"/>
    <s v="Newcastle"/>
    <s v="Corporate"/>
    <s v="Retail Store"/>
    <s v="P-003"/>
    <n v="3"/>
    <n v="0"/>
    <n v="479.3"/>
    <n v="6.84"/>
    <x v="1"/>
    <x v="1"/>
    <s v="Orbit Supply Co."/>
    <n v="71.489999999999995"/>
    <n v="112.88"/>
    <n v="214.46999999999997"/>
    <n v="257.99000000000007"/>
    <n v="0.53826413519716265"/>
    <x v="14"/>
    <x v="1"/>
    <x v="1"/>
  </r>
  <r>
    <s v="ORD-101685"/>
    <d v="2025-11-13T00:00:00"/>
    <d v="2025-11-17T00:00:00"/>
    <x v="0"/>
    <s v="Cardiff"/>
    <s v="Corporate"/>
    <s v="Retail Store"/>
    <s v="P-007"/>
    <n v="2"/>
    <n v="0.25"/>
    <n v="115.51"/>
    <n v="7"/>
    <x v="7"/>
    <x v="0"/>
    <s v="Luma Imports"/>
    <n v="31.34"/>
    <n v="56.49"/>
    <n v="62.68"/>
    <n v="45.830000000000005"/>
    <n v="0.39676218509219985"/>
    <x v="19"/>
    <x v="3"/>
    <x v="0"/>
  </r>
  <r>
    <s v="ORD-101686"/>
    <d v="2024-07-15T00:00:00"/>
    <d v="2024-07-17T00:00:00"/>
    <x v="0"/>
    <s v="Liverpool"/>
    <s v="Home Office"/>
    <s v="B2B Sales"/>
    <s v="P-005"/>
    <n v="1"/>
    <n v="0"/>
    <n v="49.9"/>
    <n v="5.75"/>
    <x v="13"/>
    <x v="0"/>
    <s v="Apex Wholesale"/>
    <n v="25.33"/>
    <n v="51.56"/>
    <n v="25.33"/>
    <n v="18.82"/>
    <n v="0.37715430861723448"/>
    <x v="16"/>
    <x v="1"/>
    <x v="1"/>
  </r>
  <r>
    <s v="ORD-101687"/>
    <d v="2025-01-04T00:00:00"/>
    <d v="2025-01-09T00:00:00"/>
    <x v="3"/>
    <s v="Newcastle"/>
    <s v="Corporate"/>
    <s v="Online"/>
    <s v="P-009"/>
    <n v="1"/>
    <n v="0"/>
    <n v="115.14"/>
    <n v="5.75"/>
    <x v="0"/>
    <x v="0"/>
    <s v="Apex Wholesale"/>
    <n v="63.69"/>
    <n v="125.5"/>
    <n v="63.69"/>
    <n v="45.7"/>
    <n v="0.39690811186381797"/>
    <x v="20"/>
    <x v="1"/>
    <x v="0"/>
  </r>
  <r>
    <s v="ORD-101688"/>
    <d v="2024-05-03T00:00:00"/>
    <d v="2024-05-08T00:00:00"/>
    <x v="0"/>
    <s v="Birmingham"/>
    <s v="Corporate"/>
    <s v="Online"/>
    <s v="P-002"/>
    <n v="4"/>
    <n v="0"/>
    <n v="827.8"/>
    <n v="13.7"/>
    <x v="2"/>
    <x v="1"/>
    <s v="Vertex Trade"/>
    <n v="119.02"/>
    <n v="205.39"/>
    <n v="476.08"/>
    <n v="338.02"/>
    <n v="0.40833534670210198"/>
    <x v="8"/>
    <x v="1"/>
    <x v="1"/>
  </r>
  <r>
    <s v="ORD-101689"/>
    <d v="2024-02-06T00:00:00"/>
    <d v="2024-02-11T00:00:00"/>
    <x v="0"/>
    <s v="Cardiff"/>
    <s v="Small Business"/>
    <s v="Online"/>
    <s v="P-006"/>
    <n v="4"/>
    <n v="0"/>
    <n v="387.47"/>
    <n v="9.5"/>
    <x v="10"/>
    <x v="0"/>
    <s v="Apex Wholesale"/>
    <n v="54.95"/>
    <n v="112.56"/>
    <n v="219.8"/>
    <n v="158.17000000000002"/>
    <n v="0.40821224869022121"/>
    <x v="12"/>
    <x v="1"/>
    <x v="1"/>
  </r>
  <r>
    <s v="ORD-101690"/>
    <d v="2024-07-30T00:00:00"/>
    <d v="2024-07-31T00:00:00"/>
    <x v="0"/>
    <s v="Cardiff"/>
    <s v="Corporate"/>
    <s v="Online"/>
    <s v="P-004"/>
    <n v="4"/>
    <n v="0.25"/>
    <n v="309.33"/>
    <n v="8.2200000000000006"/>
    <x v="5"/>
    <x v="1"/>
    <s v="Cedar Distribution"/>
    <n v="63.6"/>
    <n v="107.94"/>
    <n v="254.4"/>
    <n v="46.70999999999998"/>
    <n v="0.15100378236834444"/>
    <x v="16"/>
    <x v="3"/>
    <x v="1"/>
  </r>
  <r>
    <s v="ORD-101691"/>
    <d v="2024-11-23T00:00:00"/>
    <d v="2024-11-27T00:00:00"/>
    <x v="3"/>
    <s v="Manchester"/>
    <s v="Home Office"/>
    <s v="Online"/>
    <s v="P-002"/>
    <n v="2"/>
    <n v="0"/>
    <n v="563.92999999999995"/>
    <n v="9.1"/>
    <x v="2"/>
    <x v="1"/>
    <s v="Vertex Trade"/>
    <n v="119.02"/>
    <n v="205.39"/>
    <n v="238.04"/>
    <n v="316.78999999999996"/>
    <n v="0.56175411841895273"/>
    <x v="14"/>
    <x v="1"/>
    <x v="1"/>
  </r>
  <r>
    <s v="ORD-101692"/>
    <d v="2025-02-21T00:00:00"/>
    <d v="2025-02-27T00:00:00"/>
    <x v="1"/>
    <s v="Cambridge"/>
    <s v="Corporate"/>
    <s v="Online"/>
    <s v="P-007"/>
    <n v="3"/>
    <n v="0.15"/>
    <n v="136.47999999999999"/>
    <n v="8.25"/>
    <x v="7"/>
    <x v="0"/>
    <s v="Luma Imports"/>
    <n v="31.34"/>
    <n v="56.49"/>
    <n v="94.02"/>
    <n v="34.209999999999994"/>
    <n v="0.25065943728018752"/>
    <x v="5"/>
    <x v="2"/>
    <x v="0"/>
  </r>
  <r>
    <s v="ORD-101693"/>
    <d v="2024-02-19T00:00:00"/>
    <d v="2024-02-22T00:00:00"/>
    <x v="2"/>
    <s v="Brighton"/>
    <s v="Small Business"/>
    <s v="Retail Store"/>
    <s v="P-012"/>
    <n v="4"/>
    <n v="0.25"/>
    <n v="21.24"/>
    <n v="6.3"/>
    <x v="14"/>
    <x v="2"/>
    <s v="Luma Imports"/>
    <n v="4.5"/>
    <n v="8.2899999999999991"/>
    <n v="18"/>
    <n v="-3.0600000000000014"/>
    <n v="-0.14406779661016958"/>
    <x v="12"/>
    <x v="3"/>
    <x v="1"/>
  </r>
  <r>
    <s v="ORD-101694"/>
    <d v="2025-11-12T00:00:00"/>
    <d v="2025-11-15T00:00:00"/>
    <x v="0"/>
    <s v="Cardiff"/>
    <s v="Small Business"/>
    <s v="B2B Sales"/>
    <s v="P-010"/>
    <n v="12"/>
    <n v="0.25"/>
    <n v="77.34"/>
    <n v="5.94"/>
    <x v="4"/>
    <x v="2"/>
    <s v="Orbit Supply Co."/>
    <n v="3.62"/>
    <n v="6.03"/>
    <n v="43.44"/>
    <n v="27.960000000000004"/>
    <n v="0.3615205585725369"/>
    <x v="19"/>
    <x v="3"/>
    <x v="0"/>
  </r>
  <r>
    <s v="ORD-101695"/>
    <d v="2024-08-26T00:00:00"/>
    <d v="2024-09-01T00:00:00"/>
    <x v="3"/>
    <s v="Newcastle"/>
    <s v="Corporate"/>
    <s v="B2B Sales"/>
    <s v="P-011"/>
    <n v="12"/>
    <n v="0.05"/>
    <n v="165.42"/>
    <n v="9.9"/>
    <x v="9"/>
    <x v="2"/>
    <s v="Orbit Supply Co."/>
    <n v="7.93"/>
    <n v="14.78"/>
    <n v="95.16"/>
    <n v="60.359999999999992"/>
    <n v="0.36488937250634745"/>
    <x v="7"/>
    <x v="0"/>
    <x v="1"/>
  </r>
  <r>
    <s v="ORD-101696"/>
    <d v="2024-01-07T00:00:00"/>
    <d v="2024-01-11T00:00:00"/>
    <x v="3"/>
    <s v="Newcastle"/>
    <s v="Corporate"/>
    <s v="Online"/>
    <s v="P-006"/>
    <n v="4"/>
    <n v="0.05"/>
    <n v="386.73"/>
    <n v="9.5"/>
    <x v="10"/>
    <x v="0"/>
    <s v="Apex Wholesale"/>
    <n v="54.95"/>
    <n v="112.56"/>
    <n v="219.8"/>
    <n v="157.43"/>
    <n v="0.40707987484808522"/>
    <x v="18"/>
    <x v="0"/>
    <x v="1"/>
  </r>
  <r>
    <s v="ORD-101697"/>
    <d v="2024-03-05T00:00:00"/>
    <d v="2024-03-07T00:00:00"/>
    <x v="2"/>
    <s v="Brighton"/>
    <s v="Corporate"/>
    <s v="B2B Sales"/>
    <s v="P-002"/>
    <n v="2"/>
    <n v="0.15"/>
    <n v="310.36"/>
    <n v="9.1"/>
    <x v="2"/>
    <x v="1"/>
    <s v="Vertex Trade"/>
    <n v="119.02"/>
    <n v="205.39"/>
    <n v="238.04"/>
    <n v="63.22000000000002"/>
    <n v="0.20369893027451996"/>
    <x v="10"/>
    <x v="2"/>
    <x v="1"/>
  </r>
  <r>
    <s v="ORD-101698"/>
    <d v="2024-04-20T00:00:00"/>
    <d v="2024-04-22T00:00:00"/>
    <x v="3"/>
    <s v="Newcastle"/>
    <s v="Small Business"/>
    <s v="Online"/>
    <s v="P-006"/>
    <n v="3"/>
    <n v="0"/>
    <n v="337.75"/>
    <n v="4.95"/>
    <x v="10"/>
    <x v="0"/>
    <s v="Apex Wholesale"/>
    <n v="54.95"/>
    <n v="112.56"/>
    <n v="164.85000000000002"/>
    <n v="167.95"/>
    <n v="0.49726128793486302"/>
    <x v="21"/>
    <x v="1"/>
    <x v="1"/>
  </r>
  <r>
    <s v="ORD-101699"/>
    <d v="2024-06-11T00:00:00"/>
    <d v="2024-06-17T00:00:00"/>
    <x v="0"/>
    <s v="Liverpool"/>
    <s v="Home Office"/>
    <s v="Online"/>
    <s v="P-015"/>
    <n v="4"/>
    <n v="0.25"/>
    <n v="18.2"/>
    <n v="6.3"/>
    <x v="8"/>
    <x v="2"/>
    <s v="Luma Imports"/>
    <n v="3.3"/>
    <n v="6.13"/>
    <n v="13.2"/>
    <n v="-1.2999999999999998"/>
    <n v="-7.1428571428571425E-2"/>
    <x v="17"/>
    <x v="3"/>
    <x v="1"/>
  </r>
  <r>
    <s v="ORD-101700"/>
    <d v="2025-02-08T00:00:00"/>
    <d v="2025-02-10T00:00:00"/>
    <x v="3"/>
    <s v="Manchester"/>
    <s v="Small Business"/>
    <s v="B2B Sales"/>
    <s v="P-011"/>
    <n v="10"/>
    <n v="0"/>
    <n v="130.68"/>
    <n v="5.4"/>
    <x v="9"/>
    <x v="2"/>
    <s v="Orbit Supply Co."/>
    <n v="7.93"/>
    <n v="14.78"/>
    <n v="79.3"/>
    <n v="45.980000000000011"/>
    <n v="0.35185185185185192"/>
    <x v="5"/>
    <x v="1"/>
    <x v="0"/>
  </r>
  <r>
    <s v="ORD-101701"/>
    <d v="2025-08-14T00:00:00"/>
    <d v="2025-08-16T00:00:00"/>
    <x v="2"/>
    <s v="London"/>
    <s v="Corporate"/>
    <s v="B2B Sales"/>
    <s v="P-005"/>
    <n v="4"/>
    <n v="0"/>
    <n v="185.41"/>
    <n v="9.5"/>
    <x v="13"/>
    <x v="0"/>
    <s v="Apex Wholesale"/>
    <n v="25.33"/>
    <n v="51.56"/>
    <n v="101.32"/>
    <n v="74.59"/>
    <n v="0.40229761070060949"/>
    <x v="6"/>
    <x v="1"/>
    <x v="0"/>
  </r>
  <r>
    <s v="ORD-101702"/>
    <d v="2025-09-16T00:00:00"/>
    <d v="2025-09-18T00:00:00"/>
    <x v="0"/>
    <s v="Liverpool"/>
    <s v="Home Office"/>
    <s v="Online"/>
    <s v="P-003"/>
    <n v="4"/>
    <n v="0.15"/>
    <n v="431.49"/>
    <n v="13.7"/>
    <x v="1"/>
    <x v="1"/>
    <s v="Orbit Supply Co."/>
    <n v="71.489999999999995"/>
    <n v="112.88"/>
    <n v="285.95999999999998"/>
    <n v="131.83000000000004"/>
    <n v="0.3055227235857147"/>
    <x v="11"/>
    <x v="2"/>
    <x v="0"/>
  </r>
  <r>
    <s v="ORD-101703"/>
    <d v="2024-07-17T00:00:00"/>
    <d v="2024-07-23T00:00:00"/>
    <x v="3"/>
    <s v="Newcastle"/>
    <s v="Home Office"/>
    <s v="Online"/>
    <s v="P-014"/>
    <n v="7"/>
    <n v="0"/>
    <n v="172.59"/>
    <n v="7.65"/>
    <x v="3"/>
    <x v="2"/>
    <s v="Orbit Supply Co."/>
    <n v="16.760000000000002"/>
    <n v="27.71"/>
    <n v="117.32000000000001"/>
    <n v="47.62"/>
    <n v="0.27591401587577497"/>
    <x v="16"/>
    <x v="1"/>
    <x v="1"/>
  </r>
  <r>
    <s v="ORD-101704"/>
    <d v="2025-07-11T00:00:00"/>
    <d v="2025-07-17T00:00:00"/>
    <x v="3"/>
    <s v="Manchester"/>
    <s v="Small Business"/>
    <s v="Retail Store"/>
    <s v="P-013"/>
    <n v="9"/>
    <n v="0"/>
    <n v="102.31"/>
    <n v="5.13"/>
    <x v="11"/>
    <x v="2"/>
    <s v="Apex Wholesale"/>
    <n v="6.33"/>
    <n v="12.16"/>
    <n v="56.97"/>
    <n v="40.21"/>
    <n v="0.39302121004789364"/>
    <x v="4"/>
    <x v="1"/>
    <x v="0"/>
  </r>
  <r>
    <s v="ORD-101705"/>
    <d v="2025-02-13T00:00:00"/>
    <d v="2025-02-18T00:00:00"/>
    <x v="2"/>
    <s v="Bristol"/>
    <s v="Small Business"/>
    <s v="B2B Sales"/>
    <s v="P-015"/>
    <n v="7"/>
    <n v="0"/>
    <n v="39.770000000000003"/>
    <n v="4.59"/>
    <x v="8"/>
    <x v="2"/>
    <s v="Luma Imports"/>
    <n v="3.3"/>
    <n v="6.13"/>
    <n v="23.099999999999998"/>
    <n v="12.080000000000005"/>
    <n v="0.30374654262006551"/>
    <x v="5"/>
    <x v="1"/>
    <x v="0"/>
  </r>
  <r>
    <s v="ORD-101706"/>
    <d v="2024-05-31T00:00:00"/>
    <d v="2024-06-01T00:00:00"/>
    <x v="3"/>
    <s v="Newcastle"/>
    <s v="Home Office"/>
    <s v="B2B Sales"/>
    <s v="P-009"/>
    <n v="1"/>
    <n v="0"/>
    <n v="132.47999999999999"/>
    <n v="3.45"/>
    <x v="0"/>
    <x v="0"/>
    <s v="Apex Wholesale"/>
    <n v="63.69"/>
    <n v="125.5"/>
    <n v="63.69"/>
    <n v="65.339999999999989"/>
    <n v="0.49320652173913038"/>
    <x v="8"/>
    <x v="1"/>
    <x v="1"/>
  </r>
  <r>
    <s v="ORD-101707"/>
    <d v="2025-07-08T00:00:00"/>
    <d v="2025-07-14T00:00:00"/>
    <x v="3"/>
    <s v="Newcastle"/>
    <s v="Corporate"/>
    <s v="Retail Store"/>
    <s v="P-010"/>
    <n v="13"/>
    <n v="0"/>
    <n v="75.31"/>
    <n v="10.35"/>
    <x v="4"/>
    <x v="2"/>
    <s v="Orbit Supply Co."/>
    <n v="3.62"/>
    <n v="6.03"/>
    <n v="47.06"/>
    <n v="17.899999999999999"/>
    <n v="0.23768423848094539"/>
    <x v="4"/>
    <x v="1"/>
    <x v="0"/>
  </r>
  <r>
    <s v="ORD-101708"/>
    <d v="2024-07-24T00:00:00"/>
    <d v="2024-07-25T00:00:00"/>
    <x v="2"/>
    <s v="Brighton"/>
    <s v="Small Business"/>
    <s v="Online"/>
    <s v="P-015"/>
    <n v="14"/>
    <n v="0.2"/>
    <n v="64.36"/>
    <n v="6.48"/>
    <x v="8"/>
    <x v="2"/>
    <s v="Luma Imports"/>
    <n v="3.3"/>
    <n v="6.13"/>
    <n v="46.199999999999996"/>
    <n v="11.680000000000003"/>
    <n v="0.18147917961466756"/>
    <x v="16"/>
    <x v="2"/>
    <x v="1"/>
  </r>
  <r>
    <s v="ORD-101709"/>
    <d v="2024-11-03T00:00:00"/>
    <d v="2024-11-06T00:00:00"/>
    <x v="3"/>
    <s v="Newcastle"/>
    <s v="Home Office"/>
    <s v="Online"/>
    <s v="P-009"/>
    <n v="3"/>
    <n v="0"/>
    <n v="505.49"/>
    <n v="8.25"/>
    <x v="0"/>
    <x v="0"/>
    <s v="Apex Wholesale"/>
    <n v="63.69"/>
    <n v="125.5"/>
    <n v="191.07"/>
    <n v="306.17"/>
    <n v="0.60568952897188866"/>
    <x v="14"/>
    <x v="1"/>
    <x v="1"/>
  </r>
  <r>
    <s v="ORD-101710"/>
    <d v="2024-02-16T00:00:00"/>
    <d v="2024-02-17T00:00:00"/>
    <x v="1"/>
    <s v="Norwich"/>
    <s v="Corporate"/>
    <s v="B2B Sales"/>
    <s v="P-005"/>
    <n v="1"/>
    <n v="0.25"/>
    <n v="36.85"/>
    <n v="3.45"/>
    <x v="13"/>
    <x v="0"/>
    <s v="Apex Wholesale"/>
    <n v="25.33"/>
    <n v="51.56"/>
    <n v="25.33"/>
    <n v="8.0700000000000038"/>
    <n v="0.21899592944369073"/>
    <x v="12"/>
    <x v="3"/>
    <x v="1"/>
  </r>
  <r>
    <s v="ORD-101711"/>
    <d v="2024-05-21T00:00:00"/>
    <d v="2024-05-23T00:00:00"/>
    <x v="2"/>
    <s v="Bristol"/>
    <s v="Corporate"/>
    <s v="Retail Store"/>
    <s v="P-007"/>
    <n v="3"/>
    <n v="0.2"/>
    <n v="130.24"/>
    <n v="4.95"/>
    <x v="7"/>
    <x v="0"/>
    <s v="Luma Imports"/>
    <n v="31.34"/>
    <n v="56.49"/>
    <n v="94.02"/>
    <n v="31.270000000000014"/>
    <n v="0.24009520884520894"/>
    <x v="8"/>
    <x v="2"/>
    <x v="1"/>
  </r>
  <r>
    <s v="ORD-101712"/>
    <d v="2025-10-31T00:00:00"/>
    <d v="2025-11-01T00:00:00"/>
    <x v="2"/>
    <s v="Brighton"/>
    <s v="Corporate"/>
    <s v="Online"/>
    <s v="P-012"/>
    <n v="10"/>
    <n v="0"/>
    <n v="99.66"/>
    <n v="9"/>
    <x v="14"/>
    <x v="2"/>
    <s v="Luma Imports"/>
    <n v="4.5"/>
    <n v="8.2899999999999991"/>
    <n v="45"/>
    <n v="45.66"/>
    <n v="0.45815773630343165"/>
    <x v="22"/>
    <x v="1"/>
    <x v="0"/>
  </r>
  <r>
    <s v="ORD-101713"/>
    <d v="2024-02-19T00:00:00"/>
    <d v="2024-02-25T00:00:00"/>
    <x v="0"/>
    <s v="Cardiff"/>
    <s v="Small Business"/>
    <s v="Retail Store"/>
    <s v="P-014"/>
    <n v="12"/>
    <n v="0"/>
    <n v="316.56"/>
    <n v="9.9"/>
    <x v="3"/>
    <x v="2"/>
    <s v="Orbit Supply Co."/>
    <n v="16.760000000000002"/>
    <n v="27.71"/>
    <n v="201.12"/>
    <n v="105.53999999999999"/>
    <n v="0.33339651250947683"/>
    <x v="12"/>
    <x v="1"/>
    <x v="1"/>
  </r>
  <r>
    <s v="ORD-101714"/>
    <d v="2025-11-09T00:00:00"/>
    <d v="2025-11-10T00:00:00"/>
    <x v="0"/>
    <s v="Cardiff"/>
    <s v="Home Office"/>
    <s v="B2B Sales"/>
    <s v="P-013"/>
    <n v="12"/>
    <n v="0"/>
    <n v="187.67"/>
    <n v="9.9"/>
    <x v="11"/>
    <x v="2"/>
    <s v="Apex Wholesale"/>
    <n v="6.33"/>
    <n v="12.16"/>
    <n v="75.960000000000008"/>
    <n v="101.80999999999997"/>
    <n v="0.54249480471039579"/>
    <x v="19"/>
    <x v="1"/>
    <x v="0"/>
  </r>
  <r>
    <s v="ORD-101715"/>
    <d v="2024-12-15T00:00:00"/>
    <d v="2024-12-21T00:00:00"/>
    <x v="0"/>
    <s v="Cardiff"/>
    <s v="Small Business"/>
    <s v="B2B Sales"/>
    <s v="P-005"/>
    <n v="3"/>
    <n v="0"/>
    <n v="231.6"/>
    <n v="4.95"/>
    <x v="13"/>
    <x v="0"/>
    <s v="Apex Wholesale"/>
    <n v="25.33"/>
    <n v="51.56"/>
    <n v="75.989999999999995"/>
    <n v="150.66000000000003"/>
    <n v="0.65051813471502606"/>
    <x v="9"/>
    <x v="1"/>
    <x v="1"/>
  </r>
  <r>
    <s v="ORD-101716"/>
    <d v="2025-04-24T00:00:00"/>
    <d v="2025-04-29T00:00:00"/>
    <x v="3"/>
    <s v="Manchester"/>
    <s v="Home Office"/>
    <s v="B2B Sales"/>
    <s v="P-012"/>
    <n v="9"/>
    <n v="0.15"/>
    <n v="64.91"/>
    <n v="5.13"/>
    <x v="14"/>
    <x v="2"/>
    <s v="Luma Imports"/>
    <n v="4.5"/>
    <n v="8.2899999999999991"/>
    <n v="40.5"/>
    <n v="19.279999999999998"/>
    <n v="0.29702665228778308"/>
    <x v="15"/>
    <x v="2"/>
    <x v="0"/>
  </r>
  <r>
    <s v="ORD-101717"/>
    <d v="2024-12-30T00:00:00"/>
    <d v="2025-01-02T00:00:00"/>
    <x v="0"/>
    <s v="Cardiff"/>
    <s v="Home Office"/>
    <s v="Online"/>
    <s v="P-012"/>
    <n v="20"/>
    <n v="0"/>
    <n v="233.91"/>
    <n v="8.1"/>
    <x v="14"/>
    <x v="2"/>
    <s v="Luma Imports"/>
    <n v="4.5"/>
    <n v="8.2899999999999991"/>
    <n v="90"/>
    <n v="135.81"/>
    <n v="0.58060792612543288"/>
    <x v="9"/>
    <x v="1"/>
    <x v="1"/>
  </r>
  <r>
    <s v="ORD-101718"/>
    <d v="2024-01-11T00:00:00"/>
    <d v="2024-01-15T00:00:00"/>
    <x v="2"/>
    <s v="Bristol"/>
    <s v="Corporate"/>
    <s v="Retail Store"/>
    <s v="P-004"/>
    <n v="3"/>
    <n v="0"/>
    <n v="290.23"/>
    <n v="6.84"/>
    <x v="5"/>
    <x v="1"/>
    <s v="Cedar Distribution"/>
    <n v="63.6"/>
    <n v="107.94"/>
    <n v="190.8"/>
    <n v="92.59"/>
    <n v="0.31902284395134894"/>
    <x v="18"/>
    <x v="1"/>
    <x v="1"/>
  </r>
  <r>
    <s v="ORD-101719"/>
    <d v="2024-10-01T00:00:00"/>
    <d v="2024-10-04T00:00:00"/>
    <x v="1"/>
    <s v="Norwich"/>
    <s v="Home Office"/>
    <s v="Retail Store"/>
    <s v="P-013"/>
    <n v="12"/>
    <n v="0.05"/>
    <n v="152.09"/>
    <n v="9.9"/>
    <x v="11"/>
    <x v="2"/>
    <s v="Apex Wholesale"/>
    <n v="6.33"/>
    <n v="12.16"/>
    <n v="75.960000000000008"/>
    <n v="66.22999999999999"/>
    <n v="0.43546584259320131"/>
    <x v="3"/>
    <x v="0"/>
    <x v="1"/>
  </r>
  <r>
    <s v="ORD-101720"/>
    <d v="2024-09-13T00:00:00"/>
    <d v="2024-09-17T00:00:00"/>
    <x v="0"/>
    <s v="Liverpool"/>
    <s v="Corporate"/>
    <s v="Online"/>
    <s v="P-001"/>
    <n v="1"/>
    <n v="0"/>
    <n v="314.68"/>
    <n v="6.8"/>
    <x v="12"/>
    <x v="1"/>
    <s v="Luma Imports"/>
    <n v="173.56"/>
    <n v="286.14999999999998"/>
    <n v="173.56"/>
    <n v="134.32"/>
    <n v="0.42684632007118339"/>
    <x v="23"/>
    <x v="1"/>
    <x v="1"/>
  </r>
  <r>
    <s v="ORD-101721"/>
    <d v="2024-08-11T00:00:00"/>
    <d v="2024-08-13T00:00:00"/>
    <x v="3"/>
    <s v="Manchester"/>
    <s v="Small Business"/>
    <s v="Retail Store"/>
    <s v="P-008"/>
    <n v="3"/>
    <n v="0"/>
    <n v="566.70000000000005"/>
    <n v="4.95"/>
    <x v="6"/>
    <x v="0"/>
    <s v="Vertex Trade"/>
    <n v="112.09"/>
    <n v="192.47"/>
    <n v="336.27"/>
    <n v="225.48000000000008"/>
    <n v="0.39788247750132355"/>
    <x v="7"/>
    <x v="1"/>
    <x v="1"/>
  </r>
  <r>
    <s v="ORD-101722"/>
    <d v="2025-11-26T00:00:00"/>
    <d v="2025-12-01T00:00:00"/>
    <x v="3"/>
    <s v="Manchester"/>
    <s v="Small Business"/>
    <s v="Online"/>
    <s v="P-010"/>
    <n v="11"/>
    <n v="0.25"/>
    <n v="69.73"/>
    <n v="5.67"/>
    <x v="4"/>
    <x v="2"/>
    <s v="Orbit Supply Co."/>
    <n v="3.62"/>
    <n v="6.03"/>
    <n v="39.82"/>
    <n v="24.240000000000002"/>
    <n v="0.34762655958697836"/>
    <x v="19"/>
    <x v="3"/>
    <x v="0"/>
  </r>
  <r>
    <s v="ORD-101723"/>
    <d v="2024-07-06T00:00:00"/>
    <d v="2024-07-11T00:00:00"/>
    <x v="1"/>
    <s v="Norwich"/>
    <s v="Home Office"/>
    <s v="Retail Store"/>
    <s v="P-014"/>
    <n v="10"/>
    <n v="0"/>
    <n v="265.04000000000002"/>
    <n v="5.4"/>
    <x v="3"/>
    <x v="2"/>
    <s v="Orbit Supply Co."/>
    <n v="16.760000000000002"/>
    <n v="27.71"/>
    <n v="167.60000000000002"/>
    <n v="92.039999999999992"/>
    <n v="0.34726833685481429"/>
    <x v="16"/>
    <x v="1"/>
    <x v="1"/>
  </r>
  <r>
    <s v="ORD-101724"/>
    <d v="2025-08-22T00:00:00"/>
    <d v="2025-08-27T00:00:00"/>
    <x v="0"/>
    <s v="Liverpool"/>
    <s v="Home Office"/>
    <s v="Retail Store"/>
    <s v="P-013"/>
    <n v="25"/>
    <n v="0"/>
    <n v="272.45999999999998"/>
    <n v="15.75"/>
    <x v="11"/>
    <x v="2"/>
    <s v="Apex Wholesale"/>
    <n v="6.33"/>
    <n v="12.16"/>
    <n v="158.25"/>
    <n v="98.45999999999998"/>
    <n v="0.36137414666373041"/>
    <x v="6"/>
    <x v="1"/>
    <x v="0"/>
  </r>
  <r>
    <s v="ORD-101725"/>
    <d v="2024-06-22T00:00:00"/>
    <d v="2024-06-25T00:00:00"/>
    <x v="1"/>
    <s v="Norwich"/>
    <s v="Home Office"/>
    <s v="B2B Sales"/>
    <s v="P-012"/>
    <n v="3"/>
    <n v="0"/>
    <n v="26.52"/>
    <n v="3.51"/>
    <x v="14"/>
    <x v="2"/>
    <s v="Luma Imports"/>
    <n v="4.5"/>
    <n v="8.2899999999999991"/>
    <n v="13.5"/>
    <n v="9.51"/>
    <n v="0.35859728506787331"/>
    <x v="17"/>
    <x v="1"/>
    <x v="1"/>
  </r>
  <r>
    <s v="ORD-101726"/>
    <d v="2025-05-06T00:00:00"/>
    <d v="2025-05-09T00:00:00"/>
    <x v="0"/>
    <s v="Birmingham"/>
    <s v="Home Office"/>
    <s v="Online"/>
    <s v="P-002"/>
    <n v="1"/>
    <n v="0"/>
    <n v="202.23"/>
    <n v="4.08"/>
    <x v="2"/>
    <x v="1"/>
    <s v="Vertex Trade"/>
    <n v="119.02"/>
    <n v="205.39"/>
    <n v="119.02"/>
    <n v="79.13"/>
    <n v="0.39128714829649408"/>
    <x v="1"/>
    <x v="1"/>
    <x v="0"/>
  </r>
  <r>
    <s v="ORD-101727"/>
    <d v="2025-03-07T00:00:00"/>
    <d v="2025-03-13T00:00:00"/>
    <x v="0"/>
    <s v="Birmingham"/>
    <s v="Home Office"/>
    <s v="B2B Sales"/>
    <s v="P-005"/>
    <n v="2"/>
    <n v="0"/>
    <n v="92.79"/>
    <n v="4.2"/>
    <x v="13"/>
    <x v="0"/>
    <s v="Apex Wholesale"/>
    <n v="25.33"/>
    <n v="51.56"/>
    <n v="50.66"/>
    <n v="37.930000000000007"/>
    <n v="0.40877249703631863"/>
    <x v="2"/>
    <x v="1"/>
    <x v="0"/>
  </r>
  <r>
    <s v="ORD-101728"/>
    <d v="2024-03-16T00:00:00"/>
    <d v="2024-03-18T00:00:00"/>
    <x v="0"/>
    <s v="Birmingham"/>
    <s v="Small Business"/>
    <s v="Retail Store"/>
    <s v="P-005"/>
    <n v="4"/>
    <n v="0"/>
    <n v="203.94"/>
    <n v="5.7"/>
    <x v="13"/>
    <x v="0"/>
    <s v="Apex Wholesale"/>
    <n v="25.33"/>
    <n v="51.56"/>
    <n v="101.32"/>
    <n v="96.92"/>
    <n v="0.47523781504364032"/>
    <x v="10"/>
    <x v="1"/>
    <x v="1"/>
  </r>
  <r>
    <s v="ORD-101729"/>
    <d v="2024-08-02T00:00:00"/>
    <d v="2024-08-08T00:00:00"/>
    <x v="0"/>
    <s v="Liverpool"/>
    <s v="Corporate"/>
    <s v="Retail Store"/>
    <s v="P-006"/>
    <n v="4"/>
    <n v="0.1"/>
    <n v="379.5"/>
    <n v="9.5"/>
    <x v="10"/>
    <x v="0"/>
    <s v="Apex Wholesale"/>
    <n v="54.95"/>
    <n v="112.56"/>
    <n v="219.8"/>
    <n v="150.19999999999999"/>
    <n v="0.39578392621870878"/>
    <x v="7"/>
    <x v="0"/>
    <x v="1"/>
  </r>
  <r>
    <s v="ORD-101730"/>
    <d v="2025-09-09T00:00:00"/>
    <d v="2025-09-12T00:00:00"/>
    <x v="3"/>
    <s v="Manchester"/>
    <s v="Home Office"/>
    <s v="Online"/>
    <s v="P-012"/>
    <n v="8"/>
    <n v="0.05"/>
    <n v="64.42"/>
    <n v="8.1"/>
    <x v="14"/>
    <x v="2"/>
    <s v="Luma Imports"/>
    <n v="4.5"/>
    <n v="8.2899999999999991"/>
    <n v="36"/>
    <n v="20.32"/>
    <n v="0.31542999068612232"/>
    <x v="11"/>
    <x v="0"/>
    <x v="0"/>
  </r>
  <r>
    <s v="ORD-101731"/>
    <d v="2025-01-20T00:00:00"/>
    <d v="2025-01-23T00:00:00"/>
    <x v="2"/>
    <s v="Brighton"/>
    <s v="Small Business"/>
    <s v="Online"/>
    <s v="P-011"/>
    <n v="9"/>
    <n v="0.2"/>
    <n v="98.08"/>
    <n v="5.13"/>
    <x v="9"/>
    <x v="2"/>
    <s v="Orbit Supply Co."/>
    <n v="7.93"/>
    <n v="14.78"/>
    <n v="71.37"/>
    <n v="21.579999999999995"/>
    <n v="0.2200244698205546"/>
    <x v="20"/>
    <x v="2"/>
    <x v="0"/>
  </r>
  <r>
    <s v="ORD-101732"/>
    <d v="2024-12-28T00:00:00"/>
    <d v="2024-12-31T00:00:00"/>
    <x v="1"/>
    <s v="Norwich"/>
    <s v="Home Office"/>
    <s v="Online"/>
    <s v="P-010"/>
    <n v="23"/>
    <n v="0.2"/>
    <n v="167.84"/>
    <n v="14.85"/>
    <x v="4"/>
    <x v="2"/>
    <s v="Orbit Supply Co."/>
    <n v="3.62"/>
    <n v="6.03"/>
    <n v="83.26"/>
    <n v="69.73"/>
    <n v="0.41545519542421355"/>
    <x v="9"/>
    <x v="2"/>
    <x v="1"/>
  </r>
  <r>
    <s v="ORD-101733"/>
    <d v="2024-06-29T00:00:00"/>
    <d v="2024-07-05T00:00:00"/>
    <x v="1"/>
    <s v="Peterborough"/>
    <s v="Small Business"/>
    <s v="Retail Store"/>
    <s v="P-001"/>
    <n v="1"/>
    <n v="0.15"/>
    <n v="245.21"/>
    <n v="4.08"/>
    <x v="12"/>
    <x v="1"/>
    <s v="Luma Imports"/>
    <n v="173.56"/>
    <n v="286.14999999999998"/>
    <n v="173.56"/>
    <n v="67.570000000000007"/>
    <n v="0.27555972431793158"/>
    <x v="17"/>
    <x v="2"/>
    <x v="1"/>
  </r>
  <r>
    <s v="ORD-101734"/>
    <d v="2024-09-03T00:00:00"/>
    <d v="2024-09-06T00:00:00"/>
    <x v="1"/>
    <s v="Norwich"/>
    <s v="Small Business"/>
    <s v="Online"/>
    <s v="P-004"/>
    <n v="2"/>
    <n v="0"/>
    <n v="221.63"/>
    <n v="5.46"/>
    <x v="5"/>
    <x v="1"/>
    <s v="Cedar Distribution"/>
    <n v="63.6"/>
    <n v="107.94"/>
    <n v="127.2"/>
    <n v="88.97"/>
    <n v="0.40143482380544149"/>
    <x v="23"/>
    <x v="1"/>
    <x v="1"/>
  </r>
  <r>
    <s v="ORD-101735"/>
    <d v="2025-05-14T00:00:00"/>
    <d v="2025-05-17T00:00:00"/>
    <x v="2"/>
    <s v="London"/>
    <s v="Small Business"/>
    <s v="Online"/>
    <s v="P-013"/>
    <n v="11"/>
    <n v="0"/>
    <n v="137.22"/>
    <n v="5.67"/>
    <x v="11"/>
    <x v="2"/>
    <s v="Apex Wholesale"/>
    <n v="6.33"/>
    <n v="12.16"/>
    <n v="69.63"/>
    <n v="61.92"/>
    <n v="0.45124617402710976"/>
    <x v="1"/>
    <x v="1"/>
    <x v="0"/>
  </r>
  <r>
    <s v="ORD-101736"/>
    <d v="2024-10-27T00:00:00"/>
    <d v="2024-10-29T00:00:00"/>
    <x v="1"/>
    <s v="Norwich"/>
    <s v="Home Office"/>
    <s v="B2B Sales"/>
    <s v="P-009"/>
    <n v="3"/>
    <n v="0.15"/>
    <n v="388.55"/>
    <n v="4.95"/>
    <x v="0"/>
    <x v="0"/>
    <s v="Apex Wholesale"/>
    <n v="63.69"/>
    <n v="125.5"/>
    <n v="191.07"/>
    <n v="192.53000000000003"/>
    <n v="0.49550894350791408"/>
    <x v="3"/>
    <x v="2"/>
    <x v="1"/>
  </r>
  <r>
    <s v="ORD-101737"/>
    <d v="2024-12-03T00:00:00"/>
    <d v="2024-12-07T00:00:00"/>
    <x v="1"/>
    <s v="Peterborough"/>
    <s v="Home Office"/>
    <s v="B2B Sales"/>
    <s v="P-009"/>
    <n v="4"/>
    <n v="0.1"/>
    <n v="647.21"/>
    <n v="5.7"/>
    <x v="0"/>
    <x v="0"/>
    <s v="Apex Wholesale"/>
    <n v="63.69"/>
    <n v="125.5"/>
    <n v="254.76"/>
    <n v="386.75000000000006"/>
    <n v="0.59756493255666632"/>
    <x v="9"/>
    <x v="0"/>
    <x v="1"/>
  </r>
  <r>
    <s v="ORD-101738"/>
    <d v="2025-01-15T00:00:00"/>
    <d v="2025-01-21T00:00:00"/>
    <x v="2"/>
    <s v="London"/>
    <s v="Small Business"/>
    <s v="B2B Sales"/>
    <s v="P-005"/>
    <n v="3"/>
    <n v="0.1"/>
    <n v="129.77000000000001"/>
    <n v="8.25"/>
    <x v="13"/>
    <x v="0"/>
    <s v="Apex Wholesale"/>
    <n v="25.33"/>
    <n v="51.56"/>
    <n v="75.989999999999995"/>
    <n v="45.530000000000015"/>
    <n v="0.35085150651152047"/>
    <x v="20"/>
    <x v="0"/>
    <x v="0"/>
  </r>
  <r>
    <s v="ORD-101739"/>
    <d v="2025-05-31T00:00:00"/>
    <d v="2025-06-05T00:00:00"/>
    <x v="0"/>
    <s v="Liverpool"/>
    <s v="Corporate"/>
    <s v="Retail Store"/>
    <s v="P-013"/>
    <n v="11"/>
    <n v="0.25"/>
    <n v="107.33"/>
    <n v="5.67"/>
    <x v="11"/>
    <x v="2"/>
    <s v="Apex Wholesale"/>
    <n v="6.33"/>
    <n v="12.16"/>
    <n v="69.63"/>
    <n v="32.03"/>
    <n v="0.29842541693841423"/>
    <x v="1"/>
    <x v="3"/>
    <x v="0"/>
  </r>
  <r>
    <s v="ORD-101740"/>
    <d v="2024-05-13T00:00:00"/>
    <d v="2024-05-18T00:00:00"/>
    <x v="3"/>
    <s v="Leeds"/>
    <s v="Corporate"/>
    <s v="B2B Sales"/>
    <s v="P-009"/>
    <n v="4"/>
    <n v="0"/>
    <n v="511.44"/>
    <n v="5.7"/>
    <x v="0"/>
    <x v="0"/>
    <s v="Apex Wholesale"/>
    <n v="63.69"/>
    <n v="125.5"/>
    <n v="254.76"/>
    <n v="250.98000000000002"/>
    <n v="0.49073205068043174"/>
    <x v="8"/>
    <x v="1"/>
    <x v="1"/>
  </r>
  <r>
    <s v="ORD-101741"/>
    <d v="2025-11-13T00:00:00"/>
    <d v="2025-11-17T00:00:00"/>
    <x v="0"/>
    <s v="Birmingham"/>
    <s v="Small Business"/>
    <s v="B2B Sales"/>
    <s v="P-014"/>
    <n v="7"/>
    <n v="0"/>
    <n v="249.13"/>
    <n v="4.59"/>
    <x v="3"/>
    <x v="2"/>
    <s v="Orbit Supply Co."/>
    <n v="16.760000000000002"/>
    <n v="27.71"/>
    <n v="117.32000000000001"/>
    <n v="127.22"/>
    <n v="0.51065708666158227"/>
    <x v="19"/>
    <x v="1"/>
    <x v="0"/>
  </r>
  <r>
    <s v="ORD-101742"/>
    <d v="2024-02-08T00:00:00"/>
    <d v="2024-02-11T00:00:00"/>
    <x v="2"/>
    <s v="Brighton"/>
    <s v="Corporate"/>
    <s v="Retail Store"/>
    <s v="P-003"/>
    <n v="3"/>
    <n v="0.2"/>
    <n v="235.36"/>
    <n v="11.4"/>
    <x v="1"/>
    <x v="1"/>
    <s v="Orbit Supply Co."/>
    <n v="71.489999999999995"/>
    <n v="112.88"/>
    <n v="214.46999999999997"/>
    <n v="9.4900000000000428"/>
    <n v="4.0321210061183048E-2"/>
    <x v="12"/>
    <x v="2"/>
    <x v="1"/>
  </r>
  <r>
    <s v="ORD-101743"/>
    <d v="2025-10-14T00:00:00"/>
    <d v="2025-10-18T00:00:00"/>
    <x v="3"/>
    <s v="Newcastle"/>
    <s v="Corporate"/>
    <s v="Online"/>
    <s v="P-014"/>
    <n v="12"/>
    <n v="0.2"/>
    <n v="300.48"/>
    <n v="9.9"/>
    <x v="3"/>
    <x v="2"/>
    <s v="Orbit Supply Co."/>
    <n v="16.760000000000002"/>
    <n v="27.71"/>
    <n v="201.12"/>
    <n v="89.460000000000008"/>
    <n v="0.29772364217252395"/>
    <x v="22"/>
    <x v="2"/>
    <x v="0"/>
  </r>
  <r>
    <s v="ORD-101744"/>
    <d v="2025-11-06T00:00:00"/>
    <d v="2025-11-07T00:00:00"/>
    <x v="1"/>
    <s v="Norwich"/>
    <s v="Corporate"/>
    <s v="B2B Sales"/>
    <s v="P-010"/>
    <n v="5"/>
    <n v="0.15"/>
    <n v="35.65"/>
    <n v="4.05"/>
    <x v="4"/>
    <x v="2"/>
    <s v="Orbit Supply Co."/>
    <n v="3.62"/>
    <n v="6.03"/>
    <n v="18.100000000000001"/>
    <n v="13.499999999999996"/>
    <n v="0.37868162692847118"/>
    <x v="19"/>
    <x v="2"/>
    <x v="0"/>
  </r>
  <r>
    <s v="ORD-101745"/>
    <d v="2024-05-04T00:00:00"/>
    <d v="2024-05-07T00:00:00"/>
    <x v="2"/>
    <s v="Brighton"/>
    <s v="Home Office"/>
    <s v="Online"/>
    <s v="P-015"/>
    <n v="6"/>
    <n v="0.1"/>
    <n v="34.86"/>
    <n v="7.2"/>
    <x v="8"/>
    <x v="2"/>
    <s v="Luma Imports"/>
    <n v="3.3"/>
    <n v="6.13"/>
    <n v="19.799999999999997"/>
    <n v="7.8600000000000021"/>
    <n v="0.2254733218588641"/>
    <x v="8"/>
    <x v="0"/>
    <x v="1"/>
  </r>
  <r>
    <s v="ORD-101746"/>
    <d v="2024-08-23T00:00:00"/>
    <d v="2024-08-28T00:00:00"/>
    <x v="3"/>
    <s v="Leeds"/>
    <s v="Small Business"/>
    <s v="Online"/>
    <s v="P-014"/>
    <n v="14"/>
    <n v="0"/>
    <n v="350.97"/>
    <n v="10.8"/>
    <x v="3"/>
    <x v="2"/>
    <s v="Orbit Supply Co."/>
    <n v="16.760000000000002"/>
    <n v="27.71"/>
    <n v="234.64000000000001"/>
    <n v="105.53000000000002"/>
    <n v="0.30068096988346582"/>
    <x v="7"/>
    <x v="1"/>
    <x v="1"/>
  </r>
  <r>
    <s v="ORD-101747"/>
    <d v="2025-11-29T00:00:00"/>
    <d v="2025-12-02T00:00:00"/>
    <x v="1"/>
    <s v="Peterborough"/>
    <s v="Corporate"/>
    <s v="Retail Store"/>
    <s v="P-001"/>
    <n v="3"/>
    <n v="0.25"/>
    <n v="854.49"/>
    <n v="6.84"/>
    <x v="12"/>
    <x v="1"/>
    <s v="Luma Imports"/>
    <n v="173.56"/>
    <n v="286.14999999999998"/>
    <n v="520.68000000000006"/>
    <n v="326.96999999999997"/>
    <n v="0.38264929958220689"/>
    <x v="19"/>
    <x v="3"/>
    <x v="0"/>
  </r>
  <r>
    <s v="ORD-101748"/>
    <d v="2024-02-27T00:00:00"/>
    <d v="2024-02-28T00:00:00"/>
    <x v="2"/>
    <s v="London"/>
    <s v="Home Office"/>
    <s v="B2B Sales"/>
    <s v="P-011"/>
    <n v="16"/>
    <n v="0.2"/>
    <n v="179.97"/>
    <n v="11.7"/>
    <x v="9"/>
    <x v="2"/>
    <s v="Orbit Supply Co."/>
    <n v="7.93"/>
    <n v="14.78"/>
    <n v="126.88"/>
    <n v="41.39"/>
    <n v="0.22998277490692895"/>
    <x v="12"/>
    <x v="2"/>
    <x v="1"/>
  </r>
  <r>
    <s v="ORD-101749"/>
    <d v="2025-02-20T00:00:00"/>
    <d v="2025-02-24T00:00:00"/>
    <x v="2"/>
    <s v="London"/>
    <s v="Home Office"/>
    <s v="Retail Store"/>
    <s v="P-011"/>
    <n v="12"/>
    <n v="0.05"/>
    <n v="160.66"/>
    <n v="9.9"/>
    <x v="9"/>
    <x v="2"/>
    <s v="Orbit Supply Co."/>
    <n v="7.93"/>
    <n v="14.78"/>
    <n v="95.16"/>
    <n v="55.6"/>
    <n v="0.34607245113905144"/>
    <x v="5"/>
    <x v="0"/>
    <x v="0"/>
  </r>
  <r>
    <s v="ORD-101750"/>
    <d v="2025-07-09T00:00:00"/>
    <d v="2025-07-10T00:00:00"/>
    <x v="3"/>
    <s v="Manchester"/>
    <s v="Home Office"/>
    <s v="Retail Store"/>
    <s v="P-011"/>
    <n v="14"/>
    <n v="0"/>
    <n v="182.66"/>
    <n v="6.48"/>
    <x v="9"/>
    <x v="2"/>
    <s v="Orbit Supply Co."/>
    <n v="7.93"/>
    <n v="14.78"/>
    <n v="111.02"/>
    <n v="65.16"/>
    <n v="0.35672834774991785"/>
    <x v="4"/>
    <x v="1"/>
    <x v="0"/>
  </r>
  <r>
    <s v="ORD-101751"/>
    <d v="2024-08-11T00:00:00"/>
    <d v="2024-08-12T00:00:00"/>
    <x v="0"/>
    <s v="Birmingham"/>
    <s v="Home Office"/>
    <s v="Online"/>
    <s v="P-007"/>
    <n v="2"/>
    <n v="0.05"/>
    <n v="97.96"/>
    <n v="4.2"/>
    <x v="7"/>
    <x v="0"/>
    <s v="Luma Imports"/>
    <n v="31.34"/>
    <n v="56.49"/>
    <n v="62.68"/>
    <n v="31.079999999999995"/>
    <n v="0.31727235606369941"/>
    <x v="7"/>
    <x v="0"/>
    <x v="1"/>
  </r>
  <r>
    <s v="ORD-101752"/>
    <d v="2024-02-10T00:00:00"/>
    <d v="2024-02-12T00:00:00"/>
    <x v="0"/>
    <s v="Birmingham"/>
    <s v="Home Office"/>
    <s v="Retail Store"/>
    <s v="P-011"/>
    <n v="13"/>
    <n v="0.1"/>
    <n v="159.04"/>
    <n v="10.35"/>
    <x v="9"/>
    <x v="2"/>
    <s v="Orbit Supply Co."/>
    <n v="7.93"/>
    <n v="14.78"/>
    <n v="103.09"/>
    <n v="45.599999999999987"/>
    <n v="0.28672032193158947"/>
    <x v="12"/>
    <x v="0"/>
    <x v="1"/>
  </r>
  <r>
    <s v="ORD-101753"/>
    <d v="2025-01-05T00:00:00"/>
    <d v="2025-01-07T00:00:00"/>
    <x v="0"/>
    <s v="Liverpool"/>
    <s v="Small Business"/>
    <s v="Online"/>
    <s v="P-010"/>
    <n v="20"/>
    <n v="0.15"/>
    <n v="93.28"/>
    <n v="13.5"/>
    <x v="4"/>
    <x v="2"/>
    <s v="Orbit Supply Co."/>
    <n v="3.62"/>
    <n v="6.03"/>
    <n v="72.400000000000006"/>
    <n v="7.3799999999999955"/>
    <n v="7.9116638078902179E-2"/>
    <x v="20"/>
    <x v="2"/>
    <x v="0"/>
  </r>
  <r>
    <s v="ORD-101754"/>
    <d v="2024-01-21T00:00:00"/>
    <d v="2024-01-22T00:00:00"/>
    <x v="2"/>
    <s v="Brighton"/>
    <s v="Corporate"/>
    <s v="B2B Sales"/>
    <s v="P-003"/>
    <n v="5"/>
    <n v="0.2"/>
    <n v="379.67"/>
    <n v="9.6"/>
    <x v="1"/>
    <x v="1"/>
    <s v="Orbit Supply Co."/>
    <n v="71.489999999999995"/>
    <n v="112.88"/>
    <n v="357.45"/>
    <n v="12.620000000000028"/>
    <n v="3.3239392103669045E-2"/>
    <x v="18"/>
    <x v="2"/>
    <x v="1"/>
  </r>
  <r>
    <s v="ORD-101755"/>
    <d v="2025-11-07T00:00:00"/>
    <d v="2025-11-13T00:00:00"/>
    <x v="1"/>
    <s v="Peterborough"/>
    <s v="Corporate"/>
    <s v="Retail Store"/>
    <s v="P-011"/>
    <n v="6"/>
    <n v="0.25"/>
    <n v="87.95"/>
    <n v="7.2"/>
    <x v="9"/>
    <x v="2"/>
    <s v="Orbit Supply Co."/>
    <n v="7.93"/>
    <n v="14.78"/>
    <n v="47.58"/>
    <n v="33.17"/>
    <n v="0.37714610574189883"/>
    <x v="19"/>
    <x v="3"/>
    <x v="0"/>
  </r>
  <r>
    <s v="ORD-101756"/>
    <d v="2024-12-11T00:00:00"/>
    <d v="2024-12-16T00:00:00"/>
    <x v="1"/>
    <s v="Norwich"/>
    <s v="Corporate"/>
    <s v="Retail Store"/>
    <s v="P-011"/>
    <n v="12"/>
    <n v="0"/>
    <n v="263.70999999999998"/>
    <n v="5.94"/>
    <x v="9"/>
    <x v="2"/>
    <s v="Orbit Supply Co."/>
    <n v="7.93"/>
    <n v="14.78"/>
    <n v="95.16"/>
    <n v="162.60999999999999"/>
    <n v="0.61662432217208296"/>
    <x v="9"/>
    <x v="1"/>
    <x v="1"/>
  </r>
  <r>
    <s v="ORD-101757"/>
    <d v="2025-12-01T00:00:00"/>
    <d v="2025-12-03T00:00:00"/>
    <x v="0"/>
    <s v="Liverpool"/>
    <s v="Home Office"/>
    <s v="Online"/>
    <s v="P-007"/>
    <n v="1"/>
    <n v="0"/>
    <n v="80.290000000000006"/>
    <n v="5.75"/>
    <x v="7"/>
    <x v="0"/>
    <s v="Luma Imports"/>
    <n v="31.34"/>
    <n v="56.49"/>
    <n v="31.34"/>
    <n v="43.2"/>
    <n v="0.53804957030763478"/>
    <x v="13"/>
    <x v="1"/>
    <x v="0"/>
  </r>
  <r>
    <s v="ORD-101758"/>
    <d v="2025-10-21T00:00:00"/>
    <d v="2025-10-23T00:00:00"/>
    <x v="0"/>
    <s v="Birmingham"/>
    <s v="Corporate"/>
    <s v="Retail Store"/>
    <s v="P-001"/>
    <n v="3"/>
    <n v="0"/>
    <n v="978.09"/>
    <n v="6.84"/>
    <x v="12"/>
    <x v="1"/>
    <s v="Luma Imports"/>
    <n v="173.56"/>
    <n v="286.14999999999998"/>
    <n v="520.68000000000006"/>
    <n v="450.57"/>
    <n v="0.46066312915989321"/>
    <x v="22"/>
    <x v="1"/>
    <x v="0"/>
  </r>
  <r>
    <s v="ORD-101759"/>
    <d v="2024-09-15T00:00:00"/>
    <d v="2024-09-17T00:00:00"/>
    <x v="0"/>
    <s v="Birmingham"/>
    <s v="Small Business"/>
    <s v="Online"/>
    <s v="P-010"/>
    <n v="10"/>
    <n v="0"/>
    <n v="61.58"/>
    <n v="9"/>
    <x v="4"/>
    <x v="2"/>
    <s v="Orbit Supply Co."/>
    <n v="3.62"/>
    <n v="6.03"/>
    <n v="36.200000000000003"/>
    <n v="16.379999999999995"/>
    <n v="0.26599545306917821"/>
    <x v="23"/>
    <x v="1"/>
    <x v="1"/>
  </r>
  <r>
    <s v="ORD-101760"/>
    <d v="2025-06-27T00:00:00"/>
    <d v="2025-06-30T00:00:00"/>
    <x v="2"/>
    <s v="Bristol"/>
    <s v="Home Office"/>
    <s v="Online"/>
    <s v="P-014"/>
    <n v="12"/>
    <n v="0.2"/>
    <n v="271.77"/>
    <n v="9.9"/>
    <x v="3"/>
    <x v="2"/>
    <s v="Orbit Supply Co."/>
    <n v="16.760000000000002"/>
    <n v="27.71"/>
    <n v="201.12"/>
    <n v="60.749999999999979"/>
    <n v="0.2235346064687051"/>
    <x v="0"/>
    <x v="2"/>
    <x v="0"/>
  </r>
  <r>
    <s v="ORD-101761"/>
    <d v="2025-11-07T00:00:00"/>
    <d v="2025-11-11T00:00:00"/>
    <x v="2"/>
    <s v="Brighton"/>
    <s v="Small Business"/>
    <s v="Online"/>
    <s v="P-014"/>
    <n v="9"/>
    <n v="0"/>
    <n v="328.4"/>
    <n v="5.13"/>
    <x v="3"/>
    <x v="2"/>
    <s v="Orbit Supply Co."/>
    <n v="16.760000000000002"/>
    <n v="27.71"/>
    <n v="150.84"/>
    <n v="172.42999999999998"/>
    <n v="0.52506090133982941"/>
    <x v="19"/>
    <x v="1"/>
    <x v="0"/>
  </r>
  <r>
    <s v="ORD-101762"/>
    <d v="2024-09-14T00:00:00"/>
    <d v="2024-09-20T00:00:00"/>
    <x v="1"/>
    <s v="Peterborough"/>
    <s v="Small Business"/>
    <s v="Online"/>
    <s v="P-003"/>
    <n v="1"/>
    <n v="0.15"/>
    <n v="106.01"/>
    <n v="4.08"/>
    <x v="1"/>
    <x v="1"/>
    <s v="Orbit Supply Co."/>
    <n v="71.489999999999995"/>
    <n v="112.88"/>
    <n v="71.489999999999995"/>
    <n v="30.440000000000012"/>
    <n v="0.2871427223846808"/>
    <x v="23"/>
    <x v="2"/>
    <x v="1"/>
  </r>
  <r>
    <s v="ORD-101763"/>
    <d v="2024-06-30T00:00:00"/>
    <d v="2024-07-04T00:00:00"/>
    <x v="3"/>
    <s v="Leeds"/>
    <s v="Small Business"/>
    <s v="B2B Sales"/>
    <s v="P-009"/>
    <n v="2"/>
    <n v="0.1"/>
    <n v="229.62"/>
    <n v="7"/>
    <x v="0"/>
    <x v="0"/>
    <s v="Apex Wholesale"/>
    <n v="63.69"/>
    <n v="125.5"/>
    <n v="127.38"/>
    <n v="95.240000000000009"/>
    <n v="0.41477223238393873"/>
    <x v="17"/>
    <x v="0"/>
    <x v="1"/>
  </r>
  <r>
    <s v="ORD-101764"/>
    <d v="2025-03-15T00:00:00"/>
    <d v="2025-03-21T00:00:00"/>
    <x v="1"/>
    <s v="Norwich"/>
    <s v="Small Business"/>
    <s v="B2B Sales"/>
    <s v="P-004"/>
    <n v="4"/>
    <n v="0"/>
    <n v="408.22"/>
    <n v="8.2200000000000006"/>
    <x v="5"/>
    <x v="1"/>
    <s v="Cedar Distribution"/>
    <n v="63.6"/>
    <n v="107.94"/>
    <n v="254.4"/>
    <n v="145.60000000000002"/>
    <n v="0.35667042281122929"/>
    <x v="2"/>
    <x v="1"/>
    <x v="0"/>
  </r>
  <r>
    <s v="ORD-101765"/>
    <d v="2025-08-03T00:00:00"/>
    <d v="2025-08-04T00:00:00"/>
    <x v="1"/>
    <s v="Norwich"/>
    <s v="Home Office"/>
    <s v="Online"/>
    <s v="P-007"/>
    <n v="3"/>
    <n v="0"/>
    <n v="159.91"/>
    <n v="4.95"/>
    <x v="7"/>
    <x v="0"/>
    <s v="Luma Imports"/>
    <n v="31.34"/>
    <n v="56.49"/>
    <n v="94.02"/>
    <n v="60.94"/>
    <n v="0.38108936276655619"/>
    <x v="6"/>
    <x v="1"/>
    <x v="0"/>
  </r>
  <r>
    <s v="ORD-101766"/>
    <d v="2024-12-17T00:00:00"/>
    <d v="2024-12-19T00:00:00"/>
    <x v="2"/>
    <s v="London"/>
    <s v="Home Office"/>
    <s v="B2B Sales"/>
    <s v="P-001"/>
    <n v="2"/>
    <n v="0.1"/>
    <n v="717.56"/>
    <n v="9.1"/>
    <x v="12"/>
    <x v="1"/>
    <s v="Luma Imports"/>
    <n v="173.56"/>
    <n v="286.14999999999998"/>
    <n v="347.12"/>
    <n v="361.33999999999992"/>
    <n v="0.50356764591114322"/>
    <x v="9"/>
    <x v="0"/>
    <x v="1"/>
  </r>
  <r>
    <s v="ORD-101767"/>
    <d v="2024-01-29T00:00:00"/>
    <d v="2024-02-01T00:00:00"/>
    <x v="1"/>
    <s v="Peterborough"/>
    <s v="Corporate"/>
    <s v="Online"/>
    <s v="P-009"/>
    <n v="4"/>
    <n v="0"/>
    <n v="415.52"/>
    <n v="9.5"/>
    <x v="0"/>
    <x v="0"/>
    <s v="Apex Wholesale"/>
    <n v="63.69"/>
    <n v="125.5"/>
    <n v="254.76"/>
    <n v="151.26"/>
    <n v="0.3640257989988448"/>
    <x v="18"/>
    <x v="1"/>
    <x v="1"/>
  </r>
  <r>
    <s v="ORD-101768"/>
    <d v="2024-12-02T00:00:00"/>
    <d v="2024-12-05T00:00:00"/>
    <x v="0"/>
    <s v="Cardiff"/>
    <s v="Corporate"/>
    <s v="B2B Sales"/>
    <s v="P-015"/>
    <n v="12"/>
    <n v="0"/>
    <n v="110.82"/>
    <n v="9.9"/>
    <x v="8"/>
    <x v="2"/>
    <s v="Luma Imports"/>
    <n v="3.3"/>
    <n v="6.13"/>
    <n v="39.599999999999994"/>
    <n v="61.32"/>
    <n v="0.55332972387655666"/>
    <x v="9"/>
    <x v="1"/>
    <x v="1"/>
  </r>
  <r>
    <s v="ORD-101769"/>
    <d v="2024-08-12T00:00:00"/>
    <d v="2024-08-16T00:00:00"/>
    <x v="1"/>
    <s v="Peterborough"/>
    <s v="Small Business"/>
    <s v="Online"/>
    <s v="P-001"/>
    <n v="1"/>
    <n v="0.1"/>
    <n v="248.32"/>
    <n v="6.8"/>
    <x v="12"/>
    <x v="1"/>
    <s v="Luma Imports"/>
    <n v="173.56"/>
    <n v="286.14999999999998"/>
    <n v="173.56"/>
    <n v="67.959999999999994"/>
    <n v="0.27367912371134018"/>
    <x v="7"/>
    <x v="0"/>
    <x v="1"/>
  </r>
  <r>
    <s v="ORD-101770"/>
    <d v="2025-11-10T00:00:00"/>
    <d v="2025-11-15T00:00:00"/>
    <x v="0"/>
    <s v="Liverpool"/>
    <s v="Small Business"/>
    <s v="B2B Sales"/>
    <s v="P-004"/>
    <n v="2"/>
    <n v="0"/>
    <n v="282.39"/>
    <n v="5.46"/>
    <x v="5"/>
    <x v="1"/>
    <s v="Cedar Distribution"/>
    <n v="63.6"/>
    <n v="107.94"/>
    <n v="127.2"/>
    <n v="149.72999999999999"/>
    <n v="0.53022415807925205"/>
    <x v="19"/>
    <x v="1"/>
    <x v="0"/>
  </r>
  <r>
    <s v="ORD-101771"/>
    <d v="2025-09-23T00:00:00"/>
    <d v="2025-09-25T00:00:00"/>
    <x v="2"/>
    <s v="London"/>
    <s v="Corporate"/>
    <s v="Retail Store"/>
    <s v="P-003"/>
    <n v="2"/>
    <n v="0"/>
    <n v="249.29"/>
    <n v="9.1"/>
    <x v="1"/>
    <x v="1"/>
    <s v="Orbit Supply Co."/>
    <n v="71.489999999999995"/>
    <n v="112.88"/>
    <n v="142.97999999999999"/>
    <n v="97.210000000000008"/>
    <n v="0.38994745076015891"/>
    <x v="11"/>
    <x v="1"/>
    <x v="0"/>
  </r>
  <r>
    <s v="ORD-101772"/>
    <d v="2025-11-27T00:00:00"/>
    <d v="2025-12-03T00:00:00"/>
    <x v="0"/>
    <s v="Liverpool"/>
    <s v="Small Business"/>
    <s v="Online"/>
    <s v="P-012"/>
    <n v="12"/>
    <n v="0"/>
    <n v="131.41"/>
    <n v="9.9"/>
    <x v="14"/>
    <x v="2"/>
    <s v="Luma Imports"/>
    <n v="4.5"/>
    <n v="8.2899999999999991"/>
    <n v="54"/>
    <n v="67.509999999999991"/>
    <n v="0.51373563655733956"/>
    <x v="19"/>
    <x v="1"/>
    <x v="0"/>
  </r>
  <r>
    <s v="ORD-101773"/>
    <d v="2024-11-27T00:00:00"/>
    <d v="2024-11-29T00:00:00"/>
    <x v="2"/>
    <s v="Bristol"/>
    <s v="Home Office"/>
    <s v="B2B Sales"/>
    <s v="P-013"/>
    <n v="3"/>
    <n v="0"/>
    <n v="47.15"/>
    <n v="5.85"/>
    <x v="11"/>
    <x v="2"/>
    <s v="Apex Wholesale"/>
    <n v="6.33"/>
    <n v="12.16"/>
    <n v="18.990000000000002"/>
    <n v="22.309999999999995"/>
    <n v="0.47317073170731699"/>
    <x v="14"/>
    <x v="1"/>
    <x v="1"/>
  </r>
  <r>
    <s v="ORD-101774"/>
    <d v="2024-09-08T00:00:00"/>
    <d v="2024-09-09T00:00:00"/>
    <x v="0"/>
    <s v="Cardiff"/>
    <s v="Small Business"/>
    <s v="Online"/>
    <s v="P-012"/>
    <n v="8"/>
    <n v="0.25"/>
    <n v="53.34"/>
    <n v="8.1"/>
    <x v="14"/>
    <x v="2"/>
    <s v="Luma Imports"/>
    <n v="4.5"/>
    <n v="8.2899999999999991"/>
    <n v="36"/>
    <n v="9.2400000000000038"/>
    <n v="0.17322834645669297"/>
    <x v="23"/>
    <x v="3"/>
    <x v="1"/>
  </r>
  <r>
    <s v="ORD-101775"/>
    <d v="2024-07-29T00:00:00"/>
    <d v="2024-08-03T00:00:00"/>
    <x v="3"/>
    <s v="Leeds"/>
    <s v="Corporate"/>
    <s v="Retail Store"/>
    <s v="P-011"/>
    <n v="5"/>
    <n v="0"/>
    <n v="68.37"/>
    <n v="4.05"/>
    <x v="9"/>
    <x v="2"/>
    <s v="Orbit Supply Co."/>
    <n v="7.93"/>
    <n v="14.78"/>
    <n v="39.65"/>
    <n v="24.670000000000005"/>
    <n v="0.36083077373116867"/>
    <x v="16"/>
    <x v="1"/>
    <x v="1"/>
  </r>
  <r>
    <s v="ORD-101776"/>
    <d v="2024-06-23T00:00:00"/>
    <d v="2024-06-28T00:00:00"/>
    <x v="0"/>
    <s v="Cardiff"/>
    <s v="Home Office"/>
    <s v="B2B Sales"/>
    <s v="P-014"/>
    <n v="6"/>
    <n v="0.1"/>
    <n v="162.13"/>
    <n v="4.32"/>
    <x v="3"/>
    <x v="2"/>
    <s v="Orbit Supply Co."/>
    <n v="16.760000000000002"/>
    <n v="27.71"/>
    <n v="100.56"/>
    <n v="57.249999999999993"/>
    <n v="0.35311170048726326"/>
    <x v="17"/>
    <x v="0"/>
    <x v="1"/>
  </r>
  <r>
    <s v="ORD-101777"/>
    <d v="2025-08-05T00:00:00"/>
    <d v="2025-08-07T00:00:00"/>
    <x v="2"/>
    <s v="London"/>
    <s v="Home Office"/>
    <s v="Online"/>
    <s v="P-013"/>
    <n v="5"/>
    <n v="0"/>
    <n v="55.54"/>
    <n v="4.05"/>
    <x v="11"/>
    <x v="2"/>
    <s v="Apex Wholesale"/>
    <n v="6.33"/>
    <n v="12.16"/>
    <n v="31.65"/>
    <n v="19.84"/>
    <n v="0.35722002160604971"/>
    <x v="6"/>
    <x v="1"/>
    <x v="0"/>
  </r>
  <r>
    <s v="ORD-101778"/>
    <d v="2024-11-29T00:00:00"/>
    <d v="2024-12-02T00:00:00"/>
    <x v="0"/>
    <s v="Birmingham"/>
    <s v="Corporate"/>
    <s v="Online"/>
    <s v="P-009"/>
    <n v="1"/>
    <n v="0.05"/>
    <n v="167.4"/>
    <n v="5.75"/>
    <x v="0"/>
    <x v="0"/>
    <s v="Apex Wholesale"/>
    <n v="63.69"/>
    <n v="125.5"/>
    <n v="63.69"/>
    <n v="97.960000000000008"/>
    <n v="0.58518518518518525"/>
    <x v="14"/>
    <x v="0"/>
    <x v="1"/>
  </r>
  <r>
    <s v="ORD-101779"/>
    <d v="2025-11-12T00:00:00"/>
    <d v="2025-11-15T00:00:00"/>
    <x v="3"/>
    <s v="Newcastle"/>
    <s v="Corporate"/>
    <s v="Retail Store"/>
    <s v="P-009"/>
    <n v="3"/>
    <n v="0.15"/>
    <n v="409.61"/>
    <n v="4.95"/>
    <x v="0"/>
    <x v="0"/>
    <s v="Apex Wholesale"/>
    <n v="63.69"/>
    <n v="125.5"/>
    <n v="191.07"/>
    <n v="213.59000000000003"/>
    <n v="0.52144723029222928"/>
    <x v="19"/>
    <x v="2"/>
    <x v="0"/>
  </r>
  <r>
    <s v="ORD-101780"/>
    <d v="2025-07-12T00:00:00"/>
    <d v="2025-07-16T00:00:00"/>
    <x v="2"/>
    <s v="London"/>
    <s v="Small Business"/>
    <s v="B2B Sales"/>
    <s v="P-009"/>
    <n v="2"/>
    <n v="0.05"/>
    <n v="207.51"/>
    <n v="7"/>
    <x v="0"/>
    <x v="0"/>
    <s v="Apex Wholesale"/>
    <n v="63.69"/>
    <n v="125.5"/>
    <n v="127.38"/>
    <n v="73.13"/>
    <n v="0.35241675099995179"/>
    <x v="4"/>
    <x v="0"/>
    <x v="0"/>
  </r>
  <r>
    <s v="ORD-101781"/>
    <d v="2025-04-17T00:00:00"/>
    <d v="2025-04-23T00:00:00"/>
    <x v="3"/>
    <s v="Manchester"/>
    <s v="Corporate"/>
    <s v="Online"/>
    <s v="P-011"/>
    <n v="8"/>
    <n v="0.05"/>
    <n v="110.76"/>
    <n v="4.8600000000000003"/>
    <x v="9"/>
    <x v="2"/>
    <s v="Orbit Supply Co."/>
    <n v="7.93"/>
    <n v="14.78"/>
    <n v="63.44"/>
    <n v="42.460000000000008"/>
    <n v="0.38335139039364396"/>
    <x v="15"/>
    <x v="0"/>
    <x v="0"/>
  </r>
  <r>
    <s v="ORD-101782"/>
    <d v="2025-01-20T00:00:00"/>
    <d v="2025-01-21T00:00:00"/>
    <x v="2"/>
    <s v="Brighton"/>
    <s v="Small Business"/>
    <s v="Retail Store"/>
    <s v="P-009"/>
    <n v="4"/>
    <n v="0"/>
    <n v="449.69"/>
    <n v="5.7"/>
    <x v="0"/>
    <x v="0"/>
    <s v="Apex Wholesale"/>
    <n v="63.69"/>
    <n v="125.5"/>
    <n v="254.76"/>
    <n v="189.23000000000002"/>
    <n v="0.42080099624185552"/>
    <x v="20"/>
    <x v="1"/>
    <x v="0"/>
  </r>
  <r>
    <s v="ORD-101783"/>
    <d v="2024-04-11T00:00:00"/>
    <d v="2024-04-16T00:00:00"/>
    <x v="1"/>
    <s v="Norwich"/>
    <s v="Corporate"/>
    <s v="B2B Sales"/>
    <s v="P-001"/>
    <n v="4"/>
    <n v="0.15"/>
    <n v="924.9"/>
    <n v="13.7"/>
    <x v="12"/>
    <x v="1"/>
    <s v="Luma Imports"/>
    <n v="173.56"/>
    <n v="286.14999999999998"/>
    <n v="694.24"/>
    <n v="216.95999999999998"/>
    <n v="0.23457671099578331"/>
    <x v="21"/>
    <x v="2"/>
    <x v="1"/>
  </r>
  <r>
    <s v="ORD-101784"/>
    <d v="2025-05-30T00:00:00"/>
    <d v="2025-06-05T00:00:00"/>
    <x v="2"/>
    <s v="Brighton"/>
    <s v="Home Office"/>
    <s v="Online"/>
    <s v="P-009"/>
    <n v="4"/>
    <n v="0.05"/>
    <n v="508.53"/>
    <n v="5.7"/>
    <x v="0"/>
    <x v="0"/>
    <s v="Apex Wholesale"/>
    <n v="63.69"/>
    <n v="125.5"/>
    <n v="254.76"/>
    <n v="248.07"/>
    <n v="0.48781782785676364"/>
    <x v="1"/>
    <x v="0"/>
    <x v="0"/>
  </r>
  <r>
    <s v="ORD-101785"/>
    <d v="2025-12-13T00:00:00"/>
    <d v="2025-12-15T00:00:00"/>
    <x v="1"/>
    <s v="Norwich"/>
    <s v="Home Office"/>
    <s v="Online"/>
    <s v="P-010"/>
    <n v="14"/>
    <n v="0"/>
    <n v="113.94"/>
    <n v="6.48"/>
    <x v="4"/>
    <x v="2"/>
    <s v="Orbit Supply Co."/>
    <n v="3.62"/>
    <n v="6.03"/>
    <n v="50.68"/>
    <n v="56.78"/>
    <n v="0.49833245567842727"/>
    <x v="13"/>
    <x v="1"/>
    <x v="0"/>
  </r>
  <r>
    <s v="ORD-101786"/>
    <d v="2024-02-29T00:00:00"/>
    <d v="2024-03-02T00:00:00"/>
    <x v="3"/>
    <s v="Manchester"/>
    <s v="Corporate"/>
    <s v="Retail Store"/>
    <s v="P-005"/>
    <n v="5"/>
    <n v="0.1"/>
    <n v="204.83"/>
    <n v="10.75"/>
    <x v="13"/>
    <x v="0"/>
    <s v="Apex Wholesale"/>
    <n v="25.33"/>
    <n v="51.56"/>
    <n v="126.64999999999999"/>
    <n v="67.430000000000021"/>
    <n v="0.32919982424449551"/>
    <x v="12"/>
    <x v="0"/>
    <x v="1"/>
  </r>
  <r>
    <s v="ORD-101787"/>
    <d v="2024-07-20T00:00:00"/>
    <d v="2024-07-26T00:00:00"/>
    <x v="3"/>
    <s v="Newcastle"/>
    <s v="Small Business"/>
    <s v="Retail Store"/>
    <s v="P-008"/>
    <n v="4"/>
    <n v="0"/>
    <n v="679.78"/>
    <n v="9.5"/>
    <x v="6"/>
    <x v="0"/>
    <s v="Vertex Trade"/>
    <n v="112.09"/>
    <n v="192.47"/>
    <n v="448.36"/>
    <n v="221.91999999999996"/>
    <n v="0.32645856012239249"/>
    <x v="16"/>
    <x v="1"/>
    <x v="1"/>
  </r>
  <r>
    <s v="ORD-101788"/>
    <d v="2025-03-09T00:00:00"/>
    <d v="2025-03-14T00:00:00"/>
    <x v="2"/>
    <s v="Brighton"/>
    <s v="Home Office"/>
    <s v="Online"/>
    <s v="P-006"/>
    <n v="2"/>
    <n v="0"/>
    <n v="217.19"/>
    <n v="7"/>
    <x v="10"/>
    <x v="0"/>
    <s v="Apex Wholesale"/>
    <n v="54.95"/>
    <n v="112.56"/>
    <n v="109.9"/>
    <n v="100.28999999999999"/>
    <n v="0.46176159123348215"/>
    <x v="2"/>
    <x v="1"/>
    <x v="0"/>
  </r>
  <r>
    <s v="ORD-101789"/>
    <d v="2025-03-26T00:00:00"/>
    <d v="2025-04-01T00:00:00"/>
    <x v="3"/>
    <s v="Leeds"/>
    <s v="Corporate"/>
    <s v="Retail Store"/>
    <s v="P-004"/>
    <n v="3"/>
    <n v="0.05"/>
    <n v="286.14999999999998"/>
    <n v="6.84"/>
    <x v="5"/>
    <x v="1"/>
    <s v="Cedar Distribution"/>
    <n v="63.6"/>
    <n v="107.94"/>
    <n v="190.8"/>
    <n v="88.509999999999962"/>
    <n v="0.30931329722173673"/>
    <x v="2"/>
    <x v="0"/>
    <x v="0"/>
  </r>
  <r>
    <s v="ORD-101790"/>
    <d v="2025-07-26T00:00:00"/>
    <d v="2025-07-30T00:00:00"/>
    <x v="2"/>
    <s v="London"/>
    <s v="Small Business"/>
    <s v="B2B Sales"/>
    <s v="P-008"/>
    <n v="3"/>
    <n v="0"/>
    <n v="506.76"/>
    <n v="8.25"/>
    <x v="6"/>
    <x v="0"/>
    <s v="Vertex Trade"/>
    <n v="112.09"/>
    <n v="192.47"/>
    <n v="336.27"/>
    <n v="162.24"/>
    <n v="0.32015155103007342"/>
    <x v="4"/>
    <x v="1"/>
    <x v="0"/>
  </r>
  <r>
    <s v="ORD-101791"/>
    <d v="2024-09-08T00:00:00"/>
    <d v="2024-09-10T00:00:00"/>
    <x v="3"/>
    <s v="Manchester"/>
    <s v="Home Office"/>
    <s v="Online"/>
    <s v="P-006"/>
    <n v="2"/>
    <n v="0.25"/>
    <n v="190.49"/>
    <n v="7"/>
    <x v="10"/>
    <x v="0"/>
    <s v="Apex Wholesale"/>
    <n v="54.95"/>
    <n v="112.56"/>
    <n v="109.9"/>
    <n v="73.59"/>
    <n v="0.38631949183684183"/>
    <x v="23"/>
    <x v="3"/>
    <x v="1"/>
  </r>
  <r>
    <s v="ORD-101792"/>
    <d v="2025-08-16T00:00:00"/>
    <d v="2025-08-19T00:00:00"/>
    <x v="2"/>
    <s v="London"/>
    <s v="Corporate"/>
    <s v="Online"/>
    <s v="P-014"/>
    <n v="7"/>
    <n v="0.15"/>
    <n v="158.41"/>
    <n v="4.59"/>
    <x v="3"/>
    <x v="2"/>
    <s v="Orbit Supply Co."/>
    <n v="16.760000000000002"/>
    <n v="27.71"/>
    <n v="117.32000000000001"/>
    <n v="36.499999999999986"/>
    <n v="0.23041474654377872"/>
    <x v="6"/>
    <x v="2"/>
    <x v="0"/>
  </r>
  <r>
    <s v="ORD-101793"/>
    <d v="2024-02-21T00:00:00"/>
    <d v="2024-02-26T00:00:00"/>
    <x v="2"/>
    <s v="Brighton"/>
    <s v="Home Office"/>
    <s v="Online"/>
    <s v="P-013"/>
    <n v="10"/>
    <n v="0.2"/>
    <n v="82.57"/>
    <n v="9"/>
    <x v="11"/>
    <x v="2"/>
    <s v="Apex Wholesale"/>
    <n v="6.33"/>
    <n v="12.16"/>
    <n v="63.3"/>
    <n v="10.269999999999996"/>
    <n v="0.12437931452101243"/>
    <x v="12"/>
    <x v="2"/>
    <x v="1"/>
  </r>
  <r>
    <s v="ORD-101794"/>
    <d v="2024-08-02T00:00:00"/>
    <d v="2024-08-03T00:00:00"/>
    <x v="0"/>
    <s v="Birmingham"/>
    <s v="Home Office"/>
    <s v="B2B Sales"/>
    <s v="P-011"/>
    <n v="23"/>
    <n v="0"/>
    <n v="335.15"/>
    <n v="14.85"/>
    <x v="9"/>
    <x v="2"/>
    <s v="Orbit Supply Co."/>
    <n v="7.93"/>
    <n v="14.78"/>
    <n v="182.39"/>
    <n v="137.91"/>
    <n v="0.41148739370431153"/>
    <x v="7"/>
    <x v="1"/>
    <x v="1"/>
  </r>
  <r>
    <s v="ORD-101795"/>
    <d v="2024-06-02T00:00:00"/>
    <d v="2024-06-03T00:00:00"/>
    <x v="1"/>
    <s v="Cambridge"/>
    <s v="Small Business"/>
    <s v="Online"/>
    <s v="P-009"/>
    <n v="2"/>
    <n v="0"/>
    <n v="263.14999999999998"/>
    <n v="7"/>
    <x v="0"/>
    <x v="0"/>
    <s v="Apex Wholesale"/>
    <n v="63.69"/>
    <n v="125.5"/>
    <n v="127.38"/>
    <n v="128.76999999999998"/>
    <n v="0.48934068022040661"/>
    <x v="17"/>
    <x v="1"/>
    <x v="1"/>
  </r>
  <r>
    <s v="ORD-101796"/>
    <d v="2025-12-29T00:00:00"/>
    <d v="2025-12-31T00:00:00"/>
    <x v="0"/>
    <s v="Birmingham"/>
    <s v="Small Business"/>
    <s v="Online"/>
    <s v="P-015"/>
    <n v="5"/>
    <n v="0"/>
    <n v="44.81"/>
    <n v="6.75"/>
    <x v="8"/>
    <x v="2"/>
    <s v="Luma Imports"/>
    <n v="3.3"/>
    <n v="6.13"/>
    <n v="16.5"/>
    <n v="21.560000000000002"/>
    <n v="0.48114260209774606"/>
    <x v="13"/>
    <x v="1"/>
    <x v="0"/>
  </r>
  <r>
    <s v="ORD-101797"/>
    <d v="2025-05-29T00:00:00"/>
    <d v="2025-05-31T00:00:00"/>
    <x v="2"/>
    <s v="Brighton"/>
    <s v="Small Business"/>
    <s v="B2B Sales"/>
    <s v="P-010"/>
    <n v="4"/>
    <n v="0.15"/>
    <n v="19.71"/>
    <n v="6.3"/>
    <x v="4"/>
    <x v="2"/>
    <s v="Orbit Supply Co."/>
    <n v="3.62"/>
    <n v="6.03"/>
    <n v="14.48"/>
    <n v="-1.0699999999999994"/>
    <n v="-5.4287163876204941E-2"/>
    <x v="1"/>
    <x v="2"/>
    <x v="0"/>
  </r>
  <r>
    <s v="ORD-101798"/>
    <d v="2024-06-01T00:00:00"/>
    <d v="2024-06-05T00:00:00"/>
    <x v="0"/>
    <s v="Birmingham"/>
    <s v="Corporate"/>
    <s v="B2B Sales"/>
    <s v="P-004"/>
    <n v="2"/>
    <n v="0"/>
    <n v="232.41"/>
    <n v="5.46"/>
    <x v="5"/>
    <x v="1"/>
    <s v="Cedar Distribution"/>
    <n v="63.6"/>
    <n v="107.94"/>
    <n v="127.2"/>
    <n v="99.75"/>
    <n v="0.42919839938040533"/>
    <x v="17"/>
    <x v="1"/>
    <x v="1"/>
  </r>
  <r>
    <s v="ORD-101799"/>
    <d v="2025-07-27T00:00:00"/>
    <d v="2025-07-29T00:00:00"/>
    <x v="2"/>
    <s v="Brighton"/>
    <s v="Home Office"/>
    <s v="Retail Store"/>
    <s v="P-007"/>
    <n v="2"/>
    <n v="0.1"/>
    <n v="98.38"/>
    <n v="4.2"/>
    <x v="7"/>
    <x v="0"/>
    <s v="Luma Imports"/>
    <n v="31.34"/>
    <n v="56.49"/>
    <n v="62.68"/>
    <n v="31.499999999999996"/>
    <n v="0.32018702988412279"/>
    <x v="4"/>
    <x v="0"/>
    <x v="0"/>
  </r>
  <r>
    <s v="ORD-101800"/>
    <d v="2024-11-26T00:00:00"/>
    <d v="2024-12-01T00:00:00"/>
    <x v="3"/>
    <s v="Newcastle"/>
    <s v="Corporate"/>
    <s v="Online"/>
    <s v="P-013"/>
    <n v="9"/>
    <n v="0.25"/>
    <n v="105.21"/>
    <n v="8.5500000000000007"/>
    <x v="11"/>
    <x v="2"/>
    <s v="Apex Wholesale"/>
    <n v="6.33"/>
    <n v="12.16"/>
    <n v="56.97"/>
    <n v="39.69"/>
    <n v="0.3772455089820359"/>
    <x v="14"/>
    <x v="3"/>
    <x v="1"/>
  </r>
  <r>
    <s v="ORD-101801"/>
    <d v="2024-05-20T00:00:00"/>
    <d v="2024-05-25T00:00:00"/>
    <x v="3"/>
    <s v="Leeds"/>
    <s v="Home Office"/>
    <s v="Online"/>
    <s v="P-002"/>
    <n v="4"/>
    <n v="0"/>
    <n v="807.81"/>
    <n v="13.7"/>
    <x v="2"/>
    <x v="1"/>
    <s v="Vertex Trade"/>
    <n v="119.02"/>
    <n v="205.39"/>
    <n v="476.08"/>
    <n v="318.02999999999997"/>
    <n v="0.39369406172243471"/>
    <x v="8"/>
    <x v="1"/>
    <x v="1"/>
  </r>
  <r>
    <s v="ORD-101802"/>
    <d v="2024-10-18T00:00:00"/>
    <d v="2024-10-23T00:00:00"/>
    <x v="1"/>
    <s v="Peterborough"/>
    <s v="Small Business"/>
    <s v="Online"/>
    <s v="P-004"/>
    <n v="4"/>
    <n v="0.1"/>
    <n v="452.44"/>
    <n v="8.2200000000000006"/>
    <x v="5"/>
    <x v="1"/>
    <s v="Cedar Distribution"/>
    <n v="63.6"/>
    <n v="107.94"/>
    <n v="254.4"/>
    <n v="189.82"/>
    <n v="0.41954734329413845"/>
    <x v="3"/>
    <x v="0"/>
    <x v="1"/>
  </r>
  <r>
    <s v="ORD-101803"/>
    <d v="2024-04-25T00:00:00"/>
    <d v="2024-04-30T00:00:00"/>
    <x v="1"/>
    <s v="Cambridge"/>
    <s v="Home Office"/>
    <s v="Online"/>
    <s v="P-009"/>
    <n v="7"/>
    <n v="0"/>
    <n v="844.58"/>
    <n v="7.95"/>
    <x v="0"/>
    <x v="0"/>
    <s v="Apex Wholesale"/>
    <n v="63.69"/>
    <n v="125.5"/>
    <n v="445.83"/>
    <n v="390.80000000000007"/>
    <n v="0.46271519571858205"/>
    <x v="21"/>
    <x v="1"/>
    <x v="1"/>
  </r>
  <r>
    <s v="ORD-101804"/>
    <d v="2025-10-01T00:00:00"/>
    <d v="2025-10-06T00:00:00"/>
    <x v="2"/>
    <s v="Bristol"/>
    <s v="Small Business"/>
    <s v="Retail Store"/>
    <s v="P-007"/>
    <n v="7"/>
    <n v="0"/>
    <n v="441.5"/>
    <n v="7.95"/>
    <x v="7"/>
    <x v="0"/>
    <s v="Luma Imports"/>
    <n v="31.34"/>
    <n v="56.49"/>
    <n v="219.38"/>
    <n v="214.17000000000002"/>
    <n v="0.48509626274065687"/>
    <x v="22"/>
    <x v="1"/>
    <x v="0"/>
  </r>
  <r>
    <s v="ORD-101805"/>
    <d v="2025-11-27T00:00:00"/>
    <d v="2025-11-29T00:00:00"/>
    <x v="2"/>
    <s v="London"/>
    <s v="Small Business"/>
    <s v="B2B Sales"/>
    <s v="P-006"/>
    <n v="4"/>
    <n v="0.05"/>
    <n v="551.03"/>
    <n v="9.5"/>
    <x v="10"/>
    <x v="0"/>
    <s v="Apex Wholesale"/>
    <n v="54.95"/>
    <n v="112.56"/>
    <n v="219.8"/>
    <n v="321.72999999999996"/>
    <n v="0.58387020670380918"/>
    <x v="19"/>
    <x v="0"/>
    <x v="0"/>
  </r>
  <r>
    <s v="ORD-101806"/>
    <d v="2025-05-30T00:00:00"/>
    <d v="2025-05-31T00:00:00"/>
    <x v="1"/>
    <s v="Peterborough"/>
    <s v="Home Office"/>
    <s v="Online"/>
    <s v="P-007"/>
    <n v="1"/>
    <n v="0.15"/>
    <n v="49.11"/>
    <n v="5.75"/>
    <x v="7"/>
    <x v="0"/>
    <s v="Luma Imports"/>
    <n v="31.34"/>
    <n v="56.49"/>
    <n v="31.34"/>
    <n v="12.02"/>
    <n v="0.24475666870291182"/>
    <x v="1"/>
    <x v="2"/>
    <x v="0"/>
  </r>
  <r>
    <s v="ORD-101807"/>
    <d v="2024-01-17T00:00:00"/>
    <d v="2024-01-20T00:00:00"/>
    <x v="2"/>
    <s v="Bristol"/>
    <s v="Corporate"/>
    <s v="B2B Sales"/>
    <s v="P-005"/>
    <n v="5"/>
    <n v="0.25"/>
    <n v="180.23"/>
    <n v="10.75"/>
    <x v="13"/>
    <x v="0"/>
    <s v="Apex Wholesale"/>
    <n v="25.33"/>
    <n v="51.56"/>
    <n v="126.64999999999999"/>
    <n v="42.83"/>
    <n v="0.23764079232092328"/>
    <x v="18"/>
    <x v="3"/>
    <x v="1"/>
  </r>
  <r>
    <s v="ORD-101808"/>
    <d v="2024-05-25T00:00:00"/>
    <d v="2024-05-30T00:00:00"/>
    <x v="2"/>
    <s v="Brighton"/>
    <s v="Small Business"/>
    <s v="Retail Store"/>
    <s v="P-007"/>
    <n v="3"/>
    <n v="0.15"/>
    <n v="140.75"/>
    <n v="4.95"/>
    <x v="7"/>
    <x v="0"/>
    <s v="Luma Imports"/>
    <n v="31.34"/>
    <n v="56.49"/>
    <n v="94.02"/>
    <n v="41.78"/>
    <n v="0.29683836589698048"/>
    <x v="8"/>
    <x v="2"/>
    <x v="1"/>
  </r>
  <r>
    <s v="ORD-101809"/>
    <d v="2025-02-14T00:00:00"/>
    <d v="2025-02-16T00:00:00"/>
    <x v="3"/>
    <s v="Newcastle"/>
    <s v="Corporate"/>
    <s v="Online"/>
    <s v="P-003"/>
    <n v="5"/>
    <n v="0"/>
    <n v="503.31"/>
    <n v="9.6"/>
    <x v="1"/>
    <x v="1"/>
    <s v="Orbit Supply Co."/>
    <n v="71.489999999999995"/>
    <n v="112.88"/>
    <n v="357.45"/>
    <n v="136.26000000000002"/>
    <n v="0.27072778208261311"/>
    <x v="5"/>
    <x v="1"/>
    <x v="0"/>
  </r>
  <r>
    <s v="ORD-101810"/>
    <d v="2025-02-25T00:00:00"/>
    <d v="2025-02-28T00:00:00"/>
    <x v="0"/>
    <s v="Liverpool"/>
    <s v="Corporate"/>
    <s v="Online"/>
    <s v="P-008"/>
    <n v="4"/>
    <n v="0"/>
    <n v="664.82"/>
    <n v="9.5"/>
    <x v="6"/>
    <x v="0"/>
    <s v="Vertex Trade"/>
    <n v="112.09"/>
    <n v="192.47"/>
    <n v="448.36"/>
    <n v="206.96000000000004"/>
    <n v="0.31130230739147441"/>
    <x v="5"/>
    <x v="1"/>
    <x v="0"/>
  </r>
  <r>
    <s v="ORD-101811"/>
    <d v="2024-03-28T00:00:00"/>
    <d v="2024-03-30T00:00:00"/>
    <x v="3"/>
    <s v="Newcastle"/>
    <s v="Corporate"/>
    <s v="Online"/>
    <s v="P-008"/>
    <n v="7"/>
    <n v="0"/>
    <n v="1221.3900000000001"/>
    <n v="13.25"/>
    <x v="6"/>
    <x v="0"/>
    <s v="Vertex Trade"/>
    <n v="112.09"/>
    <n v="192.47"/>
    <n v="784.63"/>
    <n v="423.5100000000001"/>
    <n v="0.34674428315280137"/>
    <x v="10"/>
    <x v="1"/>
    <x v="1"/>
  </r>
  <r>
    <s v="ORD-101812"/>
    <d v="2025-06-29T00:00:00"/>
    <d v="2025-07-03T00:00:00"/>
    <x v="3"/>
    <s v="Newcastle"/>
    <s v="Corporate"/>
    <s v="Retail Store"/>
    <s v="P-002"/>
    <n v="4"/>
    <n v="0.25"/>
    <n v="670.98"/>
    <n v="13.7"/>
    <x v="2"/>
    <x v="1"/>
    <s v="Vertex Trade"/>
    <n v="119.02"/>
    <n v="205.39"/>
    <n v="476.08"/>
    <n v="181.20000000000005"/>
    <n v="0.27005275865152467"/>
    <x v="0"/>
    <x v="3"/>
    <x v="0"/>
  </r>
  <r>
    <s v="ORD-101813"/>
    <d v="2025-08-27T00:00:00"/>
    <d v="2025-09-02T00:00:00"/>
    <x v="0"/>
    <s v="Birmingham"/>
    <s v="Home Office"/>
    <s v="Retail Store"/>
    <s v="P-003"/>
    <n v="1"/>
    <n v="0"/>
    <n v="101.48"/>
    <n v="4.08"/>
    <x v="1"/>
    <x v="1"/>
    <s v="Orbit Supply Co."/>
    <n v="71.489999999999995"/>
    <n v="112.88"/>
    <n v="71.489999999999995"/>
    <n v="25.910000000000011"/>
    <n v="0.2553212455656288"/>
    <x v="6"/>
    <x v="1"/>
    <x v="0"/>
  </r>
  <r>
    <s v="ORD-101814"/>
    <d v="2025-02-21T00:00:00"/>
    <d v="2025-02-22T00:00:00"/>
    <x v="3"/>
    <s v="Newcastle"/>
    <s v="Small Business"/>
    <s v="Retail Store"/>
    <s v="P-011"/>
    <n v="10"/>
    <n v="0.25"/>
    <n v="104.31"/>
    <n v="5.4"/>
    <x v="9"/>
    <x v="2"/>
    <s v="Orbit Supply Co."/>
    <n v="7.93"/>
    <n v="14.78"/>
    <n v="79.3"/>
    <n v="19.610000000000007"/>
    <n v="0.18799731569360567"/>
    <x v="5"/>
    <x v="3"/>
    <x v="0"/>
  </r>
  <r>
    <s v="ORD-101815"/>
    <d v="2024-08-27T00:00:00"/>
    <d v="2024-08-28T00:00:00"/>
    <x v="0"/>
    <s v="Birmingham"/>
    <s v="Corporate"/>
    <s v="Online"/>
    <s v="P-014"/>
    <n v="4"/>
    <n v="0"/>
    <n v="106.96"/>
    <n v="3.78"/>
    <x v="3"/>
    <x v="2"/>
    <s v="Orbit Supply Co."/>
    <n v="16.760000000000002"/>
    <n v="27.71"/>
    <n v="67.040000000000006"/>
    <n v="36.139999999999986"/>
    <n v="0.33788332086761397"/>
    <x v="7"/>
    <x v="1"/>
    <x v="1"/>
  </r>
  <r>
    <s v="ORD-101816"/>
    <d v="2025-06-21T00:00:00"/>
    <d v="2025-06-25T00:00:00"/>
    <x v="0"/>
    <s v="Cardiff"/>
    <s v="Home Office"/>
    <s v="Online"/>
    <s v="P-008"/>
    <n v="4"/>
    <n v="0"/>
    <n v="837.03"/>
    <n v="5.7"/>
    <x v="6"/>
    <x v="0"/>
    <s v="Vertex Trade"/>
    <n v="112.09"/>
    <n v="192.47"/>
    <n v="448.36"/>
    <n v="382.96999999999997"/>
    <n v="0.45753437750140374"/>
    <x v="0"/>
    <x v="1"/>
    <x v="0"/>
  </r>
  <r>
    <s v="ORD-101817"/>
    <d v="2025-06-01T00:00:00"/>
    <d v="2025-06-07T00:00:00"/>
    <x v="2"/>
    <s v="Brighton"/>
    <s v="Home Office"/>
    <s v="B2B Sales"/>
    <s v="P-012"/>
    <n v="14"/>
    <n v="0.05"/>
    <n v="110.64"/>
    <n v="10.8"/>
    <x v="14"/>
    <x v="2"/>
    <s v="Luma Imports"/>
    <n v="4.5"/>
    <n v="8.2899999999999991"/>
    <n v="63"/>
    <n v="36.840000000000003"/>
    <n v="0.3329718004338395"/>
    <x v="0"/>
    <x v="0"/>
    <x v="0"/>
  </r>
  <r>
    <s v="ORD-101818"/>
    <d v="2025-08-18T00:00:00"/>
    <d v="2025-08-21T00:00:00"/>
    <x v="3"/>
    <s v="Manchester"/>
    <s v="Home Office"/>
    <s v="B2B Sales"/>
    <s v="P-005"/>
    <n v="2"/>
    <n v="0"/>
    <n v="94.14"/>
    <n v="4.2"/>
    <x v="13"/>
    <x v="0"/>
    <s v="Apex Wholesale"/>
    <n v="25.33"/>
    <n v="51.56"/>
    <n v="50.66"/>
    <n v="39.28"/>
    <n v="0.41725090291055877"/>
    <x v="6"/>
    <x v="1"/>
    <x v="0"/>
  </r>
  <r>
    <s v="ORD-101819"/>
    <d v="2025-05-09T00:00:00"/>
    <d v="2025-05-15T00:00:00"/>
    <x v="1"/>
    <s v="Peterborough"/>
    <s v="Corporate"/>
    <s v="Retail Store"/>
    <s v="P-009"/>
    <n v="2"/>
    <n v="0"/>
    <n v="262.54000000000002"/>
    <n v="4.2"/>
    <x v="0"/>
    <x v="0"/>
    <s v="Apex Wholesale"/>
    <n v="63.69"/>
    <n v="125.5"/>
    <n v="127.38"/>
    <n v="130.96000000000004"/>
    <n v="0.49881922754627878"/>
    <x v="1"/>
    <x v="1"/>
    <x v="0"/>
  </r>
  <r>
    <s v="ORD-101820"/>
    <d v="2024-12-15T00:00:00"/>
    <d v="2024-12-18T00:00:00"/>
    <x v="3"/>
    <s v="Leeds"/>
    <s v="Small Business"/>
    <s v="Online"/>
    <s v="P-011"/>
    <n v="14"/>
    <n v="0"/>
    <n v="285.92"/>
    <n v="10.8"/>
    <x v="9"/>
    <x v="2"/>
    <s v="Orbit Supply Co."/>
    <n v="7.93"/>
    <n v="14.78"/>
    <n v="111.02"/>
    <n v="164.10000000000002"/>
    <n v="0.57393676552881934"/>
    <x v="9"/>
    <x v="1"/>
    <x v="1"/>
  </r>
  <r>
    <s v="ORD-101821"/>
    <d v="2025-03-17T00:00:00"/>
    <d v="2025-03-22T00:00:00"/>
    <x v="0"/>
    <s v="Liverpool"/>
    <s v="Corporate"/>
    <s v="B2B Sales"/>
    <s v="P-007"/>
    <n v="2"/>
    <n v="0.2"/>
    <n v="80.12"/>
    <n v="4.2"/>
    <x v="7"/>
    <x v="0"/>
    <s v="Luma Imports"/>
    <n v="31.34"/>
    <n v="56.49"/>
    <n v="62.68"/>
    <n v="13.240000000000006"/>
    <n v="0.16525212181727414"/>
    <x v="2"/>
    <x v="2"/>
    <x v="0"/>
  </r>
  <r>
    <s v="ORD-101822"/>
    <d v="2024-08-12T00:00:00"/>
    <d v="2024-08-13T00:00:00"/>
    <x v="2"/>
    <s v="Brighton"/>
    <s v="Home Office"/>
    <s v="B2B Sales"/>
    <s v="P-005"/>
    <n v="2"/>
    <n v="0.25"/>
    <n v="76.45"/>
    <n v="4.2"/>
    <x v="13"/>
    <x v="0"/>
    <s v="Apex Wholesale"/>
    <n v="25.33"/>
    <n v="51.56"/>
    <n v="50.66"/>
    <n v="21.590000000000007"/>
    <n v="0.28240680183126232"/>
    <x v="7"/>
    <x v="3"/>
    <x v="1"/>
  </r>
  <r>
    <s v="ORD-101823"/>
    <d v="2024-07-01T00:00:00"/>
    <d v="2024-07-05T00:00:00"/>
    <x v="1"/>
    <s v="Cambridge"/>
    <s v="Small Business"/>
    <s v="Online"/>
    <s v="P-008"/>
    <n v="3"/>
    <n v="0.1"/>
    <n v="478.83"/>
    <n v="8.25"/>
    <x v="6"/>
    <x v="0"/>
    <s v="Vertex Trade"/>
    <n v="112.09"/>
    <n v="192.47"/>
    <n v="336.27"/>
    <n v="134.31"/>
    <n v="0.28049620951068233"/>
    <x v="16"/>
    <x v="0"/>
    <x v="1"/>
  </r>
  <r>
    <s v="ORD-101824"/>
    <d v="2025-03-10T00:00:00"/>
    <d v="2025-03-16T00:00:00"/>
    <x v="3"/>
    <s v="Newcastle"/>
    <s v="Corporate"/>
    <s v="Retail Store"/>
    <s v="P-013"/>
    <n v="6"/>
    <n v="0.15"/>
    <n v="56.18"/>
    <n v="7.2"/>
    <x v="11"/>
    <x v="2"/>
    <s v="Apex Wholesale"/>
    <n v="6.33"/>
    <n v="12.16"/>
    <n v="37.980000000000004"/>
    <n v="10.999999999999996"/>
    <n v="0.19579921680313273"/>
    <x v="2"/>
    <x v="2"/>
    <x v="0"/>
  </r>
  <r>
    <s v="ORD-101825"/>
    <d v="2025-05-27T00:00:00"/>
    <d v="2025-05-28T00:00:00"/>
    <x v="2"/>
    <s v="Brighton"/>
    <s v="Small Business"/>
    <s v="B2B Sales"/>
    <s v="P-010"/>
    <n v="14"/>
    <n v="0.2"/>
    <n v="69.97"/>
    <n v="10.8"/>
    <x v="4"/>
    <x v="2"/>
    <s v="Orbit Supply Co."/>
    <n v="3.62"/>
    <n v="6.03"/>
    <n v="50.68"/>
    <n v="8.4899999999999984"/>
    <n v="0.1213377161640703"/>
    <x v="1"/>
    <x v="2"/>
    <x v="0"/>
  </r>
  <r>
    <s v="ORD-101826"/>
    <d v="2025-06-06T00:00:00"/>
    <d v="2025-06-12T00:00:00"/>
    <x v="0"/>
    <s v="Cardiff"/>
    <s v="Small Business"/>
    <s v="Online"/>
    <s v="P-014"/>
    <n v="22"/>
    <n v="0"/>
    <n v="663.78"/>
    <n v="8.64"/>
    <x v="3"/>
    <x v="2"/>
    <s v="Orbit Supply Co."/>
    <n v="16.760000000000002"/>
    <n v="27.71"/>
    <n v="368.72"/>
    <n v="286.41999999999996"/>
    <n v="0.43149838802012713"/>
    <x v="0"/>
    <x v="1"/>
    <x v="0"/>
  </r>
  <r>
    <s v="ORD-101827"/>
    <d v="2025-10-27T00:00:00"/>
    <d v="2025-10-31T00:00:00"/>
    <x v="3"/>
    <s v="Manchester"/>
    <s v="Home Office"/>
    <s v="B2B Sales"/>
    <s v="P-003"/>
    <n v="1"/>
    <n v="0"/>
    <n v="134.28"/>
    <n v="6.8"/>
    <x v="1"/>
    <x v="1"/>
    <s v="Orbit Supply Co."/>
    <n v="71.489999999999995"/>
    <n v="112.88"/>
    <n v="71.489999999999995"/>
    <n v="55.990000000000009"/>
    <n v="0.41696455168305041"/>
    <x v="22"/>
    <x v="1"/>
    <x v="0"/>
  </r>
  <r>
    <s v="ORD-101828"/>
    <d v="2024-08-26T00:00:00"/>
    <d v="2024-08-31T00:00:00"/>
    <x v="2"/>
    <s v="London"/>
    <s v="Corporate"/>
    <s v="B2B Sales"/>
    <s v="P-014"/>
    <n v="5"/>
    <n v="0.1"/>
    <n v="123.07"/>
    <n v="4.05"/>
    <x v="3"/>
    <x v="2"/>
    <s v="Orbit Supply Co."/>
    <n v="16.760000000000002"/>
    <n v="27.71"/>
    <n v="83.800000000000011"/>
    <n v="35.219999999999985"/>
    <n v="0.28617859754611186"/>
    <x v="7"/>
    <x v="0"/>
    <x v="1"/>
  </r>
  <r>
    <s v="ORD-101829"/>
    <d v="2025-04-11T00:00:00"/>
    <d v="2025-04-15T00:00:00"/>
    <x v="1"/>
    <s v="Cambridge"/>
    <s v="Home Office"/>
    <s v="Retail Store"/>
    <s v="P-012"/>
    <n v="10"/>
    <n v="0.25"/>
    <n v="61.66"/>
    <n v="9"/>
    <x v="14"/>
    <x v="2"/>
    <s v="Luma Imports"/>
    <n v="4.5"/>
    <n v="8.2899999999999991"/>
    <n v="45"/>
    <n v="7.6599999999999966"/>
    <n v="0.12422964644826463"/>
    <x v="15"/>
    <x v="3"/>
    <x v="0"/>
  </r>
  <r>
    <s v="ORD-101830"/>
    <d v="2024-02-18T00:00:00"/>
    <d v="2024-02-22T00:00:00"/>
    <x v="2"/>
    <s v="London"/>
    <s v="Small Business"/>
    <s v="Retail Store"/>
    <s v="P-001"/>
    <n v="2"/>
    <n v="0"/>
    <n v="543.52"/>
    <n v="5.46"/>
    <x v="12"/>
    <x v="1"/>
    <s v="Luma Imports"/>
    <n v="173.56"/>
    <n v="286.14999999999998"/>
    <n v="347.12"/>
    <n v="190.93999999999997"/>
    <n v="0.35130261995878714"/>
    <x v="12"/>
    <x v="1"/>
    <x v="1"/>
  </r>
  <r>
    <s v="ORD-101831"/>
    <d v="2024-05-20T00:00:00"/>
    <d v="2024-05-25T00:00:00"/>
    <x v="2"/>
    <s v="Brighton"/>
    <s v="Corporate"/>
    <s v="B2B Sales"/>
    <s v="P-005"/>
    <n v="2"/>
    <n v="0"/>
    <n v="106.32"/>
    <n v="4.2"/>
    <x v="13"/>
    <x v="0"/>
    <s v="Apex Wholesale"/>
    <n v="25.33"/>
    <n v="51.56"/>
    <n v="50.66"/>
    <n v="51.459999999999994"/>
    <n v="0.48401053423626783"/>
    <x v="8"/>
    <x v="1"/>
    <x v="1"/>
  </r>
  <r>
    <s v="ORD-101832"/>
    <d v="2024-06-04T00:00:00"/>
    <d v="2024-06-05T00:00:00"/>
    <x v="3"/>
    <s v="Manchester"/>
    <s v="Home Office"/>
    <s v="Retail Store"/>
    <s v="P-002"/>
    <n v="2"/>
    <n v="0.15"/>
    <n v="366.82"/>
    <n v="5.46"/>
    <x v="2"/>
    <x v="1"/>
    <s v="Vertex Trade"/>
    <n v="119.02"/>
    <n v="205.39"/>
    <n v="238.04"/>
    <n v="123.32000000000001"/>
    <n v="0.33618668556785347"/>
    <x v="17"/>
    <x v="2"/>
    <x v="1"/>
  </r>
  <r>
    <s v="ORD-101833"/>
    <d v="2024-05-03T00:00:00"/>
    <d v="2024-05-06T00:00:00"/>
    <x v="3"/>
    <s v="Manchester"/>
    <s v="Home Office"/>
    <s v="B2B Sales"/>
    <s v="P-007"/>
    <n v="1"/>
    <n v="0"/>
    <n v="56.02"/>
    <n v="3.45"/>
    <x v="7"/>
    <x v="0"/>
    <s v="Luma Imports"/>
    <n v="31.34"/>
    <n v="56.49"/>
    <n v="31.34"/>
    <n v="21.230000000000004"/>
    <n v="0.3789717957872189"/>
    <x v="8"/>
    <x v="1"/>
    <x v="1"/>
  </r>
  <r>
    <s v="ORD-101834"/>
    <d v="2024-02-09T00:00:00"/>
    <d v="2024-02-13T00:00:00"/>
    <x v="0"/>
    <s v="Cardiff"/>
    <s v="Corporate"/>
    <s v="Retail Store"/>
    <s v="P-007"/>
    <n v="3"/>
    <n v="0"/>
    <n v="160.47"/>
    <n v="4.95"/>
    <x v="7"/>
    <x v="0"/>
    <s v="Luma Imports"/>
    <n v="31.34"/>
    <n v="56.49"/>
    <n v="94.02"/>
    <n v="61.5"/>
    <n v="0.38324920545896429"/>
    <x v="12"/>
    <x v="1"/>
    <x v="1"/>
  </r>
  <r>
    <s v="ORD-101835"/>
    <d v="2025-09-20T00:00:00"/>
    <d v="2025-09-23T00:00:00"/>
    <x v="0"/>
    <s v="Liverpool"/>
    <s v="Home Office"/>
    <s v="Online"/>
    <s v="P-014"/>
    <n v="13"/>
    <n v="0"/>
    <n v="404.02"/>
    <n v="10.35"/>
    <x v="3"/>
    <x v="2"/>
    <s v="Orbit Supply Co."/>
    <n v="16.760000000000002"/>
    <n v="27.71"/>
    <n v="217.88000000000002"/>
    <n v="175.78999999999996"/>
    <n v="0.43510222266224435"/>
    <x v="11"/>
    <x v="1"/>
    <x v="0"/>
  </r>
  <r>
    <s v="ORD-101836"/>
    <d v="2024-07-04T00:00:00"/>
    <d v="2024-07-10T00:00:00"/>
    <x v="0"/>
    <s v="Liverpool"/>
    <s v="Small Business"/>
    <s v="B2B Sales"/>
    <s v="P-009"/>
    <n v="5"/>
    <n v="0.1"/>
    <n v="528.6"/>
    <n v="6.45"/>
    <x v="0"/>
    <x v="0"/>
    <s v="Apex Wholesale"/>
    <n v="63.69"/>
    <n v="125.5"/>
    <n v="318.45"/>
    <n v="203.70000000000005"/>
    <n v="0.38535754824063573"/>
    <x v="16"/>
    <x v="0"/>
    <x v="1"/>
  </r>
  <r>
    <s v="ORD-101837"/>
    <d v="2024-05-02T00:00:00"/>
    <d v="2024-05-03T00:00:00"/>
    <x v="1"/>
    <s v="Peterborough"/>
    <s v="Home Office"/>
    <s v="Retail Store"/>
    <s v="P-005"/>
    <n v="3"/>
    <n v="0"/>
    <n v="153.53"/>
    <n v="4.95"/>
    <x v="13"/>
    <x v="0"/>
    <s v="Apex Wholesale"/>
    <n v="25.33"/>
    <n v="51.56"/>
    <n v="75.989999999999995"/>
    <n v="72.59"/>
    <n v="0.47280661759916631"/>
    <x v="8"/>
    <x v="1"/>
    <x v="1"/>
  </r>
  <r>
    <s v="ORD-101838"/>
    <d v="2025-04-03T00:00:00"/>
    <d v="2025-04-07T00:00:00"/>
    <x v="3"/>
    <s v="Leeds"/>
    <s v="Corporate"/>
    <s v="Retail Store"/>
    <s v="P-005"/>
    <n v="4"/>
    <n v="0.15"/>
    <n v="181.83"/>
    <n v="5.7"/>
    <x v="13"/>
    <x v="0"/>
    <s v="Apex Wholesale"/>
    <n v="25.33"/>
    <n v="51.56"/>
    <n v="101.32"/>
    <n v="74.810000000000016"/>
    <n v="0.41142825716328446"/>
    <x v="15"/>
    <x v="2"/>
    <x v="0"/>
  </r>
  <r>
    <s v="ORD-101839"/>
    <d v="2024-05-06T00:00:00"/>
    <d v="2024-05-12T00:00:00"/>
    <x v="1"/>
    <s v="Cambridge"/>
    <s v="Home Office"/>
    <s v="Online"/>
    <s v="P-001"/>
    <n v="2"/>
    <n v="0"/>
    <n v="549.07000000000005"/>
    <n v="9.1"/>
    <x v="12"/>
    <x v="1"/>
    <s v="Luma Imports"/>
    <n v="173.56"/>
    <n v="286.14999999999998"/>
    <n v="347.12"/>
    <n v="192.85000000000005"/>
    <n v="0.35123026207951635"/>
    <x v="8"/>
    <x v="1"/>
    <x v="1"/>
  </r>
  <r>
    <s v="ORD-101840"/>
    <d v="2024-05-28T00:00:00"/>
    <d v="2024-05-31T00:00:00"/>
    <x v="2"/>
    <s v="London"/>
    <s v="Home Office"/>
    <s v="Online"/>
    <s v="P-008"/>
    <n v="4"/>
    <n v="0"/>
    <n v="806.43"/>
    <n v="5.7"/>
    <x v="6"/>
    <x v="0"/>
    <s v="Vertex Trade"/>
    <n v="112.09"/>
    <n v="192.47"/>
    <n v="448.36"/>
    <n v="352.36999999999995"/>
    <n v="0.43695051027367532"/>
    <x v="8"/>
    <x v="1"/>
    <x v="1"/>
  </r>
  <r>
    <s v="ORD-101841"/>
    <d v="2025-09-15T00:00:00"/>
    <d v="2025-09-19T00:00:00"/>
    <x v="0"/>
    <s v="Liverpool"/>
    <s v="Small Business"/>
    <s v="Retail Store"/>
    <s v="P-014"/>
    <n v="14"/>
    <n v="0"/>
    <n v="419.74"/>
    <n v="6.48"/>
    <x v="3"/>
    <x v="2"/>
    <s v="Orbit Supply Co."/>
    <n v="16.760000000000002"/>
    <n v="27.71"/>
    <n v="234.64000000000001"/>
    <n v="178.62"/>
    <n v="0.4255491494734836"/>
    <x v="11"/>
    <x v="1"/>
    <x v="0"/>
  </r>
  <r>
    <s v="ORD-101842"/>
    <d v="2025-10-24T00:00:00"/>
    <d v="2025-10-26T00:00:00"/>
    <x v="3"/>
    <s v="Newcastle"/>
    <s v="Small Business"/>
    <s v="Retail Store"/>
    <s v="P-004"/>
    <n v="3"/>
    <n v="0"/>
    <n v="358.07"/>
    <n v="11.4"/>
    <x v="5"/>
    <x v="1"/>
    <s v="Cedar Distribution"/>
    <n v="63.6"/>
    <n v="107.94"/>
    <n v="190.8"/>
    <n v="155.86999999999998"/>
    <n v="0.43530594576479453"/>
    <x v="22"/>
    <x v="1"/>
    <x v="0"/>
  </r>
  <r>
    <s v="ORD-101843"/>
    <d v="2025-04-22T00:00:00"/>
    <d v="2025-04-26T00:00:00"/>
    <x v="1"/>
    <s v="Peterborough"/>
    <s v="Home Office"/>
    <s v="Online"/>
    <s v="P-015"/>
    <n v="10"/>
    <n v="0.2"/>
    <n v="50.51"/>
    <n v="9"/>
    <x v="8"/>
    <x v="2"/>
    <s v="Luma Imports"/>
    <n v="3.3"/>
    <n v="6.13"/>
    <n v="33"/>
    <n v="8.509999999999998"/>
    <n v="0.16848148881409619"/>
    <x v="15"/>
    <x v="2"/>
    <x v="0"/>
  </r>
  <r>
    <s v="ORD-101844"/>
    <d v="2024-07-27T00:00:00"/>
    <d v="2024-07-29T00:00:00"/>
    <x v="1"/>
    <s v="Norwich"/>
    <s v="Small Business"/>
    <s v="Online"/>
    <s v="P-009"/>
    <n v="7"/>
    <n v="0"/>
    <n v="849.23"/>
    <n v="13.25"/>
    <x v="0"/>
    <x v="0"/>
    <s v="Apex Wholesale"/>
    <n v="63.69"/>
    <n v="125.5"/>
    <n v="445.83"/>
    <n v="390.15000000000003"/>
    <n v="0.45941617700740672"/>
    <x v="16"/>
    <x v="1"/>
    <x v="1"/>
  </r>
  <r>
    <s v="ORD-101845"/>
    <d v="2025-05-23T00:00:00"/>
    <d v="2025-05-26T00:00:00"/>
    <x v="0"/>
    <s v="Cardiff"/>
    <s v="Corporate"/>
    <s v="Retail Store"/>
    <s v="P-005"/>
    <n v="3"/>
    <n v="0"/>
    <n v="151.84"/>
    <n v="4.95"/>
    <x v="13"/>
    <x v="0"/>
    <s v="Apex Wholesale"/>
    <n v="25.33"/>
    <n v="51.56"/>
    <n v="75.989999999999995"/>
    <n v="70.900000000000006"/>
    <n v="0.46693888303477349"/>
    <x v="1"/>
    <x v="1"/>
    <x v="0"/>
  </r>
  <r>
    <s v="ORD-101846"/>
    <d v="2025-01-18T00:00:00"/>
    <d v="2025-01-22T00:00:00"/>
    <x v="1"/>
    <s v="Peterborough"/>
    <s v="Small Business"/>
    <s v="B2B Sales"/>
    <s v="P-001"/>
    <n v="2"/>
    <n v="0.15"/>
    <n v="410.16"/>
    <n v="9.1"/>
    <x v="12"/>
    <x v="1"/>
    <s v="Luma Imports"/>
    <n v="173.56"/>
    <n v="286.14999999999998"/>
    <n v="347.12"/>
    <n v="53.940000000000019"/>
    <n v="0.13150965476887072"/>
    <x v="20"/>
    <x v="2"/>
    <x v="0"/>
  </r>
  <r>
    <s v="ORD-101847"/>
    <d v="2024-11-03T00:00:00"/>
    <d v="2024-11-07T00:00:00"/>
    <x v="2"/>
    <s v="Brighton"/>
    <s v="Small Business"/>
    <s v="Retail Store"/>
    <s v="P-002"/>
    <n v="2"/>
    <n v="0.2"/>
    <n v="425.16"/>
    <n v="5.46"/>
    <x v="2"/>
    <x v="1"/>
    <s v="Vertex Trade"/>
    <n v="119.02"/>
    <n v="205.39"/>
    <n v="238.04"/>
    <n v="181.66000000000003"/>
    <n v="0.42727443785868852"/>
    <x v="14"/>
    <x v="2"/>
    <x v="1"/>
  </r>
  <r>
    <s v="ORD-101848"/>
    <d v="2025-01-08T00:00:00"/>
    <d v="2025-01-14T00:00:00"/>
    <x v="2"/>
    <s v="London"/>
    <s v="Home Office"/>
    <s v="Retail Store"/>
    <s v="P-014"/>
    <n v="9"/>
    <n v="0"/>
    <n v="215.3"/>
    <n v="5.13"/>
    <x v="3"/>
    <x v="2"/>
    <s v="Orbit Supply Co."/>
    <n v="16.760000000000002"/>
    <n v="27.71"/>
    <n v="150.84"/>
    <n v="59.330000000000005"/>
    <n v="0.27556897352531351"/>
    <x v="20"/>
    <x v="1"/>
    <x v="0"/>
  </r>
  <r>
    <s v="ORD-101849"/>
    <d v="2025-08-05T00:00:00"/>
    <d v="2025-08-06T00:00:00"/>
    <x v="1"/>
    <s v="Peterborough"/>
    <s v="Home Office"/>
    <s v="Online"/>
    <s v="P-014"/>
    <n v="8"/>
    <n v="0"/>
    <n v="210.35"/>
    <n v="8.1"/>
    <x v="3"/>
    <x v="2"/>
    <s v="Orbit Supply Co."/>
    <n v="16.760000000000002"/>
    <n v="27.71"/>
    <n v="134.08000000000001"/>
    <n v="68.169999999999987"/>
    <n v="0.32407891609222717"/>
    <x v="6"/>
    <x v="1"/>
    <x v="0"/>
  </r>
  <r>
    <s v="ORD-101850"/>
    <d v="2024-08-16T00:00:00"/>
    <d v="2024-08-22T00:00:00"/>
    <x v="3"/>
    <s v="Manchester"/>
    <s v="Small Business"/>
    <s v="Online"/>
    <s v="P-007"/>
    <n v="3"/>
    <n v="0.1"/>
    <n v="140.27000000000001"/>
    <n v="4.95"/>
    <x v="7"/>
    <x v="0"/>
    <s v="Luma Imports"/>
    <n v="31.34"/>
    <n v="56.49"/>
    <n v="94.02"/>
    <n v="41.300000000000011"/>
    <n v="0.29443216653596643"/>
    <x v="7"/>
    <x v="0"/>
    <x v="1"/>
  </r>
  <r>
    <s v="ORD-101851"/>
    <d v="2024-05-11T00:00:00"/>
    <d v="2024-05-15T00:00:00"/>
    <x v="2"/>
    <s v="Brighton"/>
    <s v="Small Business"/>
    <s v="Online"/>
    <s v="P-005"/>
    <n v="3"/>
    <n v="0"/>
    <n v="156.16999999999999"/>
    <n v="8.25"/>
    <x v="13"/>
    <x v="0"/>
    <s v="Apex Wholesale"/>
    <n v="25.33"/>
    <n v="51.56"/>
    <n v="75.989999999999995"/>
    <n v="71.929999999999993"/>
    <n v="0.46058782096433371"/>
    <x v="8"/>
    <x v="1"/>
    <x v="1"/>
  </r>
  <r>
    <s v="ORD-101852"/>
    <d v="2025-05-11T00:00:00"/>
    <d v="2025-05-13T00:00:00"/>
    <x v="0"/>
    <s v="Cardiff"/>
    <s v="Home Office"/>
    <s v="B2B Sales"/>
    <s v="P-004"/>
    <n v="4"/>
    <n v="0"/>
    <n v="443.73"/>
    <n v="13.7"/>
    <x v="5"/>
    <x v="1"/>
    <s v="Cedar Distribution"/>
    <n v="63.6"/>
    <n v="107.94"/>
    <n v="254.4"/>
    <n v="175.63000000000002"/>
    <n v="0.39580375453541572"/>
    <x v="1"/>
    <x v="1"/>
    <x v="0"/>
  </r>
  <r>
    <s v="ORD-101853"/>
    <d v="2024-02-21T00:00:00"/>
    <d v="2024-02-23T00:00:00"/>
    <x v="0"/>
    <s v="Cardiff"/>
    <s v="Home Office"/>
    <s v="Retail Store"/>
    <s v="P-009"/>
    <n v="2"/>
    <n v="0.1"/>
    <n v="194.97"/>
    <n v="7"/>
    <x v="0"/>
    <x v="0"/>
    <s v="Apex Wholesale"/>
    <n v="63.69"/>
    <n v="125.5"/>
    <n v="127.38"/>
    <n v="60.59"/>
    <n v="0.31076575883469254"/>
    <x v="12"/>
    <x v="0"/>
    <x v="1"/>
  </r>
  <r>
    <s v="ORD-101854"/>
    <d v="2025-06-23T00:00:00"/>
    <d v="2025-06-26T00:00:00"/>
    <x v="1"/>
    <s v="Peterborough"/>
    <s v="Home Office"/>
    <s v="Online"/>
    <s v="P-015"/>
    <n v="6"/>
    <n v="0"/>
    <n v="37.56"/>
    <n v="7.2"/>
    <x v="8"/>
    <x v="2"/>
    <s v="Luma Imports"/>
    <n v="3.3"/>
    <n v="6.13"/>
    <n v="19.799999999999997"/>
    <n v="10.560000000000006"/>
    <n v="0.2811501597444091"/>
    <x v="0"/>
    <x v="1"/>
    <x v="0"/>
  </r>
  <r>
    <s v="ORD-101855"/>
    <d v="2025-03-16T00:00:00"/>
    <d v="2025-03-21T00:00:00"/>
    <x v="2"/>
    <s v="Bristol"/>
    <s v="Home Office"/>
    <s v="B2B Sales"/>
    <s v="P-002"/>
    <n v="2"/>
    <n v="0"/>
    <n v="406.27"/>
    <n v="9.1"/>
    <x v="2"/>
    <x v="1"/>
    <s v="Vertex Trade"/>
    <n v="119.02"/>
    <n v="205.39"/>
    <n v="238.04"/>
    <n v="159.13"/>
    <n v="0.39168533241440423"/>
    <x v="2"/>
    <x v="1"/>
    <x v="0"/>
  </r>
  <r>
    <s v="ORD-101856"/>
    <d v="2024-02-19T00:00:00"/>
    <d v="2024-02-20T00:00:00"/>
    <x v="2"/>
    <s v="Bristol"/>
    <s v="Small Business"/>
    <s v="Online"/>
    <s v="P-003"/>
    <n v="3"/>
    <n v="0.1"/>
    <n v="273.97000000000003"/>
    <n v="6.84"/>
    <x v="1"/>
    <x v="1"/>
    <s v="Orbit Supply Co."/>
    <n v="71.489999999999995"/>
    <n v="112.88"/>
    <n v="214.46999999999997"/>
    <n v="52.660000000000053"/>
    <n v="0.1922108260028472"/>
    <x v="12"/>
    <x v="0"/>
    <x v="1"/>
  </r>
  <r>
    <s v="ORD-101857"/>
    <d v="2025-04-19T00:00:00"/>
    <d v="2025-04-24T00:00:00"/>
    <x v="2"/>
    <s v="London"/>
    <s v="Corporate"/>
    <s v="B2B Sales"/>
    <s v="P-004"/>
    <n v="4"/>
    <n v="0"/>
    <n v="417.75"/>
    <n v="8.2200000000000006"/>
    <x v="5"/>
    <x v="1"/>
    <s v="Cedar Distribution"/>
    <n v="63.6"/>
    <n v="107.94"/>
    <n v="254.4"/>
    <n v="155.13"/>
    <n v="0.37134649910233392"/>
    <x v="15"/>
    <x v="1"/>
    <x v="0"/>
  </r>
  <r>
    <s v="ORD-101858"/>
    <d v="2025-03-15T00:00:00"/>
    <d v="2025-03-20T00:00:00"/>
    <x v="3"/>
    <s v="Newcastle"/>
    <s v="Corporate"/>
    <s v="Retail Store"/>
    <s v="P-015"/>
    <n v="4"/>
    <n v="0.05"/>
    <n v="22.76"/>
    <n v="3.78"/>
    <x v="8"/>
    <x v="2"/>
    <s v="Luma Imports"/>
    <n v="3.3"/>
    <n v="6.13"/>
    <n v="13.2"/>
    <n v="5.7800000000000029"/>
    <n v="0.25395430579964862"/>
    <x v="2"/>
    <x v="0"/>
    <x v="0"/>
  </r>
  <r>
    <s v="ORD-101859"/>
    <d v="2024-03-12T00:00:00"/>
    <d v="2024-03-17T00:00:00"/>
    <x v="3"/>
    <s v="Newcastle"/>
    <s v="Corporate"/>
    <s v="Online"/>
    <s v="P-005"/>
    <n v="2"/>
    <n v="0"/>
    <n v="96.4"/>
    <n v="7"/>
    <x v="13"/>
    <x v="0"/>
    <s v="Apex Wholesale"/>
    <n v="25.33"/>
    <n v="51.56"/>
    <n v="50.66"/>
    <n v="38.740000000000009"/>
    <n v="0.40186721991701252"/>
    <x v="10"/>
    <x v="1"/>
    <x v="1"/>
  </r>
  <r>
    <s v="ORD-101860"/>
    <d v="2024-05-13T00:00:00"/>
    <d v="2024-05-15T00:00:00"/>
    <x v="3"/>
    <s v="Newcastle"/>
    <s v="Home Office"/>
    <s v="Retail Store"/>
    <s v="P-009"/>
    <n v="4"/>
    <n v="0"/>
    <n v="516.57000000000005"/>
    <n v="5.7"/>
    <x v="0"/>
    <x v="0"/>
    <s v="Apex Wholesale"/>
    <n v="63.69"/>
    <n v="125.5"/>
    <n v="254.76"/>
    <n v="256.11000000000007"/>
    <n v="0.49578953481619148"/>
    <x v="8"/>
    <x v="1"/>
    <x v="1"/>
  </r>
  <r>
    <s v="ORD-101861"/>
    <d v="2025-08-11T00:00:00"/>
    <d v="2025-08-14T00:00:00"/>
    <x v="2"/>
    <s v="Bristol"/>
    <s v="Home Office"/>
    <s v="B2B Sales"/>
    <s v="P-008"/>
    <n v="4"/>
    <n v="0"/>
    <n v="735.06"/>
    <n v="5.7"/>
    <x v="6"/>
    <x v="0"/>
    <s v="Vertex Trade"/>
    <n v="112.09"/>
    <n v="192.47"/>
    <n v="448.36"/>
    <n v="280.99999999999994"/>
    <n v="0.38228171849917009"/>
    <x v="6"/>
    <x v="1"/>
    <x v="0"/>
  </r>
  <r>
    <s v="ORD-101862"/>
    <d v="2025-11-11T00:00:00"/>
    <d v="2025-11-16T00:00:00"/>
    <x v="0"/>
    <s v="Birmingham"/>
    <s v="Small Business"/>
    <s v="B2B Sales"/>
    <s v="P-013"/>
    <n v="7"/>
    <n v="0"/>
    <n v="121.73"/>
    <n v="7.65"/>
    <x v="11"/>
    <x v="2"/>
    <s v="Apex Wholesale"/>
    <n v="6.33"/>
    <n v="12.16"/>
    <n v="44.31"/>
    <n v="69.77"/>
    <n v="0.57315370081327521"/>
    <x v="19"/>
    <x v="1"/>
    <x v="0"/>
  </r>
  <r>
    <s v="ORD-101863"/>
    <d v="2024-04-03T00:00:00"/>
    <d v="2024-04-04T00:00:00"/>
    <x v="1"/>
    <s v="Peterborough"/>
    <s v="Corporate"/>
    <s v="Online"/>
    <s v="P-006"/>
    <n v="2"/>
    <n v="0"/>
    <n v="220.44"/>
    <n v="4.2"/>
    <x v="10"/>
    <x v="0"/>
    <s v="Apex Wholesale"/>
    <n v="54.95"/>
    <n v="112.56"/>
    <n v="109.9"/>
    <n v="106.33999999999999"/>
    <n v="0.48239883868626376"/>
    <x v="21"/>
    <x v="1"/>
    <x v="1"/>
  </r>
  <r>
    <s v="ORD-101864"/>
    <d v="2024-05-05T00:00:00"/>
    <d v="2024-05-10T00:00:00"/>
    <x v="1"/>
    <s v="Cambridge"/>
    <s v="Corporate"/>
    <s v="B2B Sales"/>
    <s v="P-010"/>
    <n v="13"/>
    <n v="0.15"/>
    <n v="68.010000000000005"/>
    <n v="6.21"/>
    <x v="4"/>
    <x v="2"/>
    <s v="Orbit Supply Co."/>
    <n v="3.62"/>
    <n v="6.03"/>
    <n v="47.06"/>
    <n v="14.740000000000002"/>
    <n v="0.21673283340685195"/>
    <x v="8"/>
    <x v="2"/>
    <x v="1"/>
  </r>
  <r>
    <s v="ORD-101865"/>
    <d v="2024-05-02T00:00:00"/>
    <d v="2024-05-08T00:00:00"/>
    <x v="2"/>
    <s v="Bristol"/>
    <s v="Small Business"/>
    <s v="B2B Sales"/>
    <s v="P-009"/>
    <n v="4"/>
    <n v="0"/>
    <n v="529.55999999999995"/>
    <n v="5.7"/>
    <x v="0"/>
    <x v="0"/>
    <s v="Apex Wholesale"/>
    <n v="63.69"/>
    <n v="125.5"/>
    <n v="254.76"/>
    <n v="269.09999999999997"/>
    <n v="0.50815771583956493"/>
    <x v="8"/>
    <x v="1"/>
    <x v="1"/>
  </r>
  <r>
    <s v="ORD-101866"/>
    <d v="2025-11-06T00:00:00"/>
    <d v="2025-11-07T00:00:00"/>
    <x v="0"/>
    <s v="Liverpool"/>
    <s v="Home Office"/>
    <s v="B2B Sales"/>
    <s v="P-006"/>
    <n v="7"/>
    <n v="0.2"/>
    <n v="817.76"/>
    <n v="13.25"/>
    <x v="10"/>
    <x v="0"/>
    <s v="Apex Wholesale"/>
    <n v="54.95"/>
    <n v="112.56"/>
    <n v="384.65000000000003"/>
    <n v="419.85999999999996"/>
    <n v="0.51342692232439835"/>
    <x v="19"/>
    <x v="2"/>
    <x v="0"/>
  </r>
  <r>
    <s v="ORD-101867"/>
    <d v="2024-02-03T00:00:00"/>
    <d v="2024-02-04T00:00:00"/>
    <x v="1"/>
    <s v="Peterborough"/>
    <s v="Corporate"/>
    <s v="B2B Sales"/>
    <s v="P-004"/>
    <n v="3"/>
    <n v="0"/>
    <n v="284.95"/>
    <n v="11.4"/>
    <x v="5"/>
    <x v="1"/>
    <s v="Cedar Distribution"/>
    <n v="63.6"/>
    <n v="107.94"/>
    <n v="190.8"/>
    <n v="82.749999999999972"/>
    <n v="0.29040182488155808"/>
    <x v="12"/>
    <x v="1"/>
    <x v="1"/>
  </r>
  <r>
    <s v="ORD-101868"/>
    <d v="2024-01-03T00:00:00"/>
    <d v="2024-01-07T00:00:00"/>
    <x v="2"/>
    <s v="Brighton"/>
    <s v="Small Business"/>
    <s v="Online"/>
    <s v="P-014"/>
    <n v="8"/>
    <n v="0"/>
    <n v="191.66"/>
    <n v="4.8600000000000003"/>
    <x v="3"/>
    <x v="2"/>
    <s v="Orbit Supply Co."/>
    <n v="16.760000000000002"/>
    <n v="27.71"/>
    <n v="134.08000000000001"/>
    <n v="52.719999999999985"/>
    <n v="0.27507043723259933"/>
    <x v="18"/>
    <x v="1"/>
    <x v="1"/>
  </r>
  <r>
    <s v="ORD-101869"/>
    <d v="2024-07-16T00:00:00"/>
    <d v="2024-07-18T00:00:00"/>
    <x v="1"/>
    <s v="Norwich"/>
    <s v="Home Office"/>
    <s v="B2B Sales"/>
    <s v="P-004"/>
    <n v="2"/>
    <n v="0.2"/>
    <n v="159.24"/>
    <n v="9.1"/>
    <x v="5"/>
    <x v="1"/>
    <s v="Cedar Distribution"/>
    <n v="63.6"/>
    <n v="107.94"/>
    <n v="127.2"/>
    <n v="22.940000000000005"/>
    <n v="0.14405928158754083"/>
    <x v="16"/>
    <x v="2"/>
    <x v="1"/>
  </r>
  <r>
    <s v="ORD-101870"/>
    <d v="2025-06-16T00:00:00"/>
    <d v="2025-06-21T00:00:00"/>
    <x v="0"/>
    <s v="Liverpool"/>
    <s v="Small Business"/>
    <s v="Online"/>
    <s v="P-007"/>
    <n v="4"/>
    <n v="0"/>
    <n v="248.28"/>
    <n v="5.7"/>
    <x v="7"/>
    <x v="0"/>
    <s v="Luma Imports"/>
    <n v="31.34"/>
    <n v="56.49"/>
    <n v="125.36"/>
    <n v="117.22"/>
    <n v="0.47212824230707268"/>
    <x v="0"/>
    <x v="1"/>
    <x v="0"/>
  </r>
  <r>
    <s v="ORD-101871"/>
    <d v="2024-01-07T00:00:00"/>
    <d v="2024-01-12T00:00:00"/>
    <x v="3"/>
    <s v="Newcastle"/>
    <s v="Home Office"/>
    <s v="Retail Store"/>
    <s v="P-001"/>
    <n v="3"/>
    <n v="0.25"/>
    <n v="552.08000000000004"/>
    <n v="6.84"/>
    <x v="12"/>
    <x v="1"/>
    <s v="Luma Imports"/>
    <n v="173.56"/>
    <n v="286.14999999999998"/>
    <n v="520.68000000000006"/>
    <n v="24.559999999999977"/>
    <n v="4.448630633241555E-2"/>
    <x v="18"/>
    <x v="3"/>
    <x v="1"/>
  </r>
  <r>
    <s v="ORD-101872"/>
    <d v="2025-09-19T00:00:00"/>
    <d v="2025-09-21T00:00:00"/>
    <x v="0"/>
    <s v="Cardiff"/>
    <s v="Home Office"/>
    <s v="Online"/>
    <s v="P-012"/>
    <n v="14"/>
    <n v="0"/>
    <n v="117.98"/>
    <n v="10.8"/>
    <x v="14"/>
    <x v="2"/>
    <s v="Luma Imports"/>
    <n v="4.5"/>
    <n v="8.2899999999999991"/>
    <n v="63"/>
    <n v="44.180000000000007"/>
    <n v="0.37447024919477884"/>
    <x v="11"/>
    <x v="1"/>
    <x v="0"/>
  </r>
  <r>
    <s v="ORD-101873"/>
    <d v="2024-11-27T00:00:00"/>
    <d v="2024-12-02T00:00:00"/>
    <x v="3"/>
    <s v="Leeds"/>
    <s v="Home Office"/>
    <s v="B2B Sales"/>
    <s v="P-013"/>
    <n v="14"/>
    <n v="0"/>
    <n v="223.8"/>
    <n v="10.8"/>
    <x v="11"/>
    <x v="2"/>
    <s v="Apex Wholesale"/>
    <n v="6.33"/>
    <n v="12.16"/>
    <n v="88.62"/>
    <n v="124.38000000000001"/>
    <n v="0.55576407506702419"/>
    <x v="14"/>
    <x v="1"/>
    <x v="1"/>
  </r>
  <r>
    <s v="ORD-101874"/>
    <d v="2024-05-28T00:00:00"/>
    <d v="2024-06-02T00:00:00"/>
    <x v="0"/>
    <s v="Cardiff"/>
    <s v="Small Business"/>
    <s v="B2B Sales"/>
    <s v="P-001"/>
    <n v="4"/>
    <n v="0"/>
    <n v="1179.8699999999999"/>
    <n v="13.7"/>
    <x v="12"/>
    <x v="1"/>
    <s v="Luma Imports"/>
    <n v="173.56"/>
    <n v="286.14999999999998"/>
    <n v="694.24"/>
    <n v="471.92999999999989"/>
    <n v="0.3999847440819751"/>
    <x v="8"/>
    <x v="1"/>
    <x v="1"/>
  </r>
  <r>
    <s v="ORD-101875"/>
    <d v="2025-01-25T00:00:00"/>
    <d v="2025-01-27T00:00:00"/>
    <x v="1"/>
    <s v="Cambridge"/>
    <s v="Home Office"/>
    <s v="Online"/>
    <s v="P-011"/>
    <n v="14"/>
    <n v="0.25"/>
    <n v="131.13999999999999"/>
    <n v="6.48"/>
    <x v="9"/>
    <x v="2"/>
    <s v="Orbit Supply Co."/>
    <n v="7.93"/>
    <n v="14.78"/>
    <n v="111.02"/>
    <n v="13.63999999999999"/>
    <n v="0.10401098063138624"/>
    <x v="20"/>
    <x v="3"/>
    <x v="0"/>
  </r>
  <r>
    <s v="ORD-101876"/>
    <d v="2024-08-26T00:00:00"/>
    <d v="2024-08-29T00:00:00"/>
    <x v="2"/>
    <s v="London"/>
    <s v="Corporate"/>
    <s v="Retail Store"/>
    <s v="P-015"/>
    <n v="11"/>
    <n v="0.05"/>
    <n v="60.33"/>
    <n v="9.4499999999999993"/>
    <x v="8"/>
    <x v="2"/>
    <s v="Luma Imports"/>
    <n v="3.3"/>
    <n v="6.13"/>
    <n v="36.299999999999997"/>
    <n v="14.580000000000002"/>
    <n v="0.24167081054201894"/>
    <x v="7"/>
    <x v="0"/>
    <x v="1"/>
  </r>
  <r>
    <s v="ORD-101877"/>
    <d v="2024-07-29T00:00:00"/>
    <d v="2024-08-02T00:00:00"/>
    <x v="1"/>
    <s v="Norwich"/>
    <s v="Corporate"/>
    <s v="Retail Store"/>
    <s v="P-013"/>
    <n v="13"/>
    <n v="0"/>
    <n v="148.59"/>
    <n v="6.21"/>
    <x v="11"/>
    <x v="2"/>
    <s v="Apex Wholesale"/>
    <n v="6.33"/>
    <n v="12.16"/>
    <n v="82.29"/>
    <n v="60.089999999999996"/>
    <n v="0.40440137290530986"/>
    <x v="16"/>
    <x v="1"/>
    <x v="1"/>
  </r>
  <r>
    <s v="ORD-101878"/>
    <d v="2024-05-24T00:00:00"/>
    <d v="2024-05-28T00:00:00"/>
    <x v="1"/>
    <s v="Norwich"/>
    <s v="Home Office"/>
    <s v="Online"/>
    <s v="P-006"/>
    <n v="5"/>
    <n v="0.2"/>
    <n v="461.2"/>
    <n v="6.45"/>
    <x v="10"/>
    <x v="0"/>
    <s v="Apex Wholesale"/>
    <n v="54.95"/>
    <n v="112.56"/>
    <n v="274.75"/>
    <n v="180"/>
    <n v="0.39028620988725066"/>
    <x v="8"/>
    <x v="2"/>
    <x v="1"/>
  </r>
  <r>
    <s v="ORD-101879"/>
    <d v="2025-06-13T00:00:00"/>
    <d v="2025-06-14T00:00:00"/>
    <x v="2"/>
    <s v="London"/>
    <s v="Corporate"/>
    <s v="B2B Sales"/>
    <s v="P-009"/>
    <n v="2"/>
    <n v="0.15"/>
    <n v="219.62"/>
    <n v="7"/>
    <x v="0"/>
    <x v="0"/>
    <s v="Apex Wholesale"/>
    <n v="63.69"/>
    <n v="125.5"/>
    <n v="127.38"/>
    <n v="85.240000000000009"/>
    <n v="0.38812494308350792"/>
    <x v="0"/>
    <x v="2"/>
    <x v="0"/>
  </r>
  <r>
    <s v="ORD-101880"/>
    <d v="2024-12-02T00:00:00"/>
    <d v="2024-12-07T00:00:00"/>
    <x v="1"/>
    <s v="Norwich"/>
    <s v="Small Business"/>
    <s v="Online"/>
    <s v="P-013"/>
    <n v="7"/>
    <n v="0"/>
    <n v="116.03"/>
    <n v="7.65"/>
    <x v="11"/>
    <x v="2"/>
    <s v="Apex Wholesale"/>
    <n v="6.33"/>
    <n v="12.16"/>
    <n v="44.31"/>
    <n v="64.069999999999993"/>
    <n v="0.55218477979832792"/>
    <x v="9"/>
    <x v="1"/>
    <x v="1"/>
  </r>
  <r>
    <s v="ORD-101881"/>
    <d v="2024-02-16T00:00:00"/>
    <d v="2024-02-19T00:00:00"/>
    <x v="0"/>
    <s v="Liverpool"/>
    <s v="Small Business"/>
    <s v="B2B Sales"/>
    <s v="P-010"/>
    <n v="13"/>
    <n v="0.05"/>
    <n v="63.94"/>
    <n v="10.35"/>
    <x v="4"/>
    <x v="2"/>
    <s v="Orbit Supply Co."/>
    <n v="3.62"/>
    <n v="6.03"/>
    <n v="47.06"/>
    <n v="6.5299999999999958"/>
    <n v="0.10212699405692831"/>
    <x v="12"/>
    <x v="0"/>
    <x v="1"/>
  </r>
  <r>
    <s v="ORD-101882"/>
    <d v="2025-09-02T00:00:00"/>
    <d v="2025-09-04T00:00:00"/>
    <x v="0"/>
    <s v="Liverpool"/>
    <s v="Home Office"/>
    <s v="Retail Store"/>
    <s v="P-009"/>
    <n v="2"/>
    <n v="0"/>
    <n v="271.83999999999997"/>
    <n v="7"/>
    <x v="0"/>
    <x v="0"/>
    <s v="Apex Wholesale"/>
    <n v="63.69"/>
    <n v="125.5"/>
    <n v="127.38"/>
    <n v="137.45999999999998"/>
    <n v="0.50566509711595053"/>
    <x v="11"/>
    <x v="1"/>
    <x v="0"/>
  </r>
  <r>
    <s v="ORD-101883"/>
    <d v="2025-11-23T00:00:00"/>
    <d v="2025-11-27T00:00:00"/>
    <x v="0"/>
    <s v="Birmingham"/>
    <s v="Small Business"/>
    <s v="Retail Store"/>
    <s v="P-010"/>
    <n v="4"/>
    <n v="0.15"/>
    <n v="28.13"/>
    <n v="6.3"/>
    <x v="4"/>
    <x v="2"/>
    <s v="Orbit Supply Co."/>
    <n v="3.62"/>
    <n v="6.03"/>
    <n v="14.48"/>
    <n v="7.3499999999999988"/>
    <n v="0.26128688233202985"/>
    <x v="19"/>
    <x v="2"/>
    <x v="0"/>
  </r>
  <r>
    <s v="ORD-101884"/>
    <d v="2024-05-28T00:00:00"/>
    <d v="2024-06-03T00:00:00"/>
    <x v="1"/>
    <s v="Peterborough"/>
    <s v="Home Office"/>
    <s v="B2B Sales"/>
    <s v="P-008"/>
    <n v="2"/>
    <n v="0.25"/>
    <n v="307.74"/>
    <n v="4.2"/>
    <x v="6"/>
    <x v="0"/>
    <s v="Vertex Trade"/>
    <n v="112.09"/>
    <n v="192.47"/>
    <n v="224.18"/>
    <n v="79.36"/>
    <n v="0.25788002859556769"/>
    <x v="8"/>
    <x v="3"/>
    <x v="1"/>
  </r>
  <r>
    <s v="ORD-101885"/>
    <d v="2024-08-14T00:00:00"/>
    <d v="2024-08-17T00:00:00"/>
    <x v="0"/>
    <s v="Birmingham"/>
    <s v="Corporate"/>
    <s v="Online"/>
    <s v="P-014"/>
    <n v="10"/>
    <n v="0.2"/>
    <n v="222.14"/>
    <n v="9"/>
    <x v="3"/>
    <x v="2"/>
    <s v="Orbit Supply Co."/>
    <n v="16.760000000000002"/>
    <n v="27.71"/>
    <n v="167.60000000000002"/>
    <n v="45.539999999999964"/>
    <n v="0.20500585216530101"/>
    <x v="7"/>
    <x v="2"/>
    <x v="1"/>
  </r>
  <r>
    <s v="ORD-101886"/>
    <d v="2025-09-05T00:00:00"/>
    <d v="2025-09-07T00:00:00"/>
    <x v="3"/>
    <s v="Manchester"/>
    <s v="Small Business"/>
    <s v="B2B Sales"/>
    <s v="P-003"/>
    <n v="2"/>
    <n v="0"/>
    <n v="243.41"/>
    <n v="5.46"/>
    <x v="1"/>
    <x v="1"/>
    <s v="Orbit Supply Co."/>
    <n v="71.489999999999995"/>
    <n v="112.88"/>
    <n v="142.97999999999999"/>
    <n v="94.970000000000013"/>
    <n v="0.39016474261534045"/>
    <x v="11"/>
    <x v="1"/>
    <x v="0"/>
  </r>
  <r>
    <s v="ORD-101887"/>
    <d v="2024-05-30T00:00:00"/>
    <d v="2024-06-03T00:00:00"/>
    <x v="1"/>
    <s v="Norwich"/>
    <s v="Corporate"/>
    <s v="Online"/>
    <s v="P-001"/>
    <n v="5"/>
    <n v="0"/>
    <n v="1387.82"/>
    <n v="9.6"/>
    <x v="12"/>
    <x v="1"/>
    <s v="Luma Imports"/>
    <n v="173.56"/>
    <n v="286.14999999999998"/>
    <n v="867.8"/>
    <n v="510.41999999999996"/>
    <n v="0.36778544768053495"/>
    <x v="8"/>
    <x v="1"/>
    <x v="1"/>
  </r>
  <r>
    <s v="ORD-101888"/>
    <d v="2025-08-06T00:00:00"/>
    <d v="2025-08-08T00:00:00"/>
    <x v="3"/>
    <s v="Manchester"/>
    <s v="Small Business"/>
    <s v="B2B Sales"/>
    <s v="P-002"/>
    <n v="7"/>
    <n v="0.25"/>
    <n v="1027.42"/>
    <n v="20.6"/>
    <x v="2"/>
    <x v="1"/>
    <s v="Vertex Trade"/>
    <n v="119.02"/>
    <n v="205.39"/>
    <n v="833.14"/>
    <n v="173.68000000000009"/>
    <n v="0.16904479180860804"/>
    <x v="6"/>
    <x v="3"/>
    <x v="0"/>
  </r>
  <r>
    <s v="ORD-101889"/>
    <d v="2024-08-08T00:00:00"/>
    <d v="2024-08-14T00:00:00"/>
    <x v="0"/>
    <s v="Cardiff"/>
    <s v="Corporate"/>
    <s v="Retail Store"/>
    <s v="P-007"/>
    <n v="2"/>
    <n v="0"/>
    <n v="101.85"/>
    <n v="4.2"/>
    <x v="7"/>
    <x v="0"/>
    <s v="Luma Imports"/>
    <n v="31.34"/>
    <n v="56.49"/>
    <n v="62.68"/>
    <n v="34.969999999999992"/>
    <n v="0.34334806087383402"/>
    <x v="7"/>
    <x v="1"/>
    <x v="1"/>
  </r>
  <r>
    <s v="ORD-101890"/>
    <d v="2025-11-30T00:00:00"/>
    <d v="2025-12-02T00:00:00"/>
    <x v="0"/>
    <s v="Liverpool"/>
    <s v="Home Office"/>
    <s v="B2B Sales"/>
    <s v="P-001"/>
    <n v="3"/>
    <n v="0"/>
    <n v="1124.7"/>
    <n v="6.84"/>
    <x v="12"/>
    <x v="1"/>
    <s v="Luma Imports"/>
    <n v="173.56"/>
    <n v="286.14999999999998"/>
    <n v="520.68000000000006"/>
    <n v="597.17999999999995"/>
    <n v="0.53096825820218718"/>
    <x v="19"/>
    <x v="1"/>
    <x v="0"/>
  </r>
  <r>
    <s v="ORD-101891"/>
    <d v="2024-04-29T00:00:00"/>
    <d v="2024-05-05T00:00:00"/>
    <x v="2"/>
    <s v="Bristol"/>
    <s v="Small Business"/>
    <s v="Online"/>
    <s v="P-007"/>
    <n v="7"/>
    <n v="0.05"/>
    <n v="371.51"/>
    <n v="7.95"/>
    <x v="7"/>
    <x v="0"/>
    <s v="Luma Imports"/>
    <n v="31.34"/>
    <n v="56.49"/>
    <n v="219.38"/>
    <n v="144.18"/>
    <n v="0.38809184140399994"/>
    <x v="21"/>
    <x v="0"/>
    <x v="1"/>
  </r>
  <r>
    <s v="ORD-101892"/>
    <d v="2025-01-09T00:00:00"/>
    <d v="2025-01-11T00:00:00"/>
    <x v="1"/>
    <s v="Peterborough"/>
    <s v="Corporate"/>
    <s v="B2B Sales"/>
    <s v="P-007"/>
    <n v="3"/>
    <n v="0.2"/>
    <n v="126.32"/>
    <n v="8.25"/>
    <x v="7"/>
    <x v="0"/>
    <s v="Luma Imports"/>
    <n v="31.34"/>
    <n v="56.49"/>
    <n v="94.02"/>
    <n v="24.049999999999997"/>
    <n v="0.19038948701709943"/>
    <x v="20"/>
    <x v="2"/>
    <x v="0"/>
  </r>
  <r>
    <s v="ORD-101893"/>
    <d v="2024-06-06T00:00:00"/>
    <d v="2024-06-07T00:00:00"/>
    <x v="3"/>
    <s v="Newcastle"/>
    <s v="Home Office"/>
    <s v="Online"/>
    <s v="P-003"/>
    <n v="3"/>
    <n v="0"/>
    <n v="348.85"/>
    <n v="11.4"/>
    <x v="1"/>
    <x v="1"/>
    <s v="Orbit Supply Co."/>
    <n v="71.489999999999995"/>
    <n v="112.88"/>
    <n v="214.46999999999997"/>
    <n v="122.98000000000005"/>
    <n v="0.35252974057617897"/>
    <x v="17"/>
    <x v="1"/>
    <x v="1"/>
  </r>
  <r>
    <s v="ORD-101894"/>
    <d v="2024-02-28T00:00:00"/>
    <d v="2024-03-02T00:00:00"/>
    <x v="1"/>
    <s v="Norwich"/>
    <s v="Home Office"/>
    <s v="Online"/>
    <s v="P-014"/>
    <n v="9"/>
    <n v="0"/>
    <n v="215.96"/>
    <n v="5.13"/>
    <x v="3"/>
    <x v="2"/>
    <s v="Orbit Supply Co."/>
    <n v="16.760000000000002"/>
    <n v="27.71"/>
    <n v="150.84"/>
    <n v="59.99"/>
    <n v="0.27778292276347472"/>
    <x v="12"/>
    <x v="1"/>
    <x v="1"/>
  </r>
  <r>
    <s v="ORD-101895"/>
    <d v="2024-02-21T00:00:00"/>
    <d v="2024-02-26T00:00:00"/>
    <x v="2"/>
    <s v="Bristol"/>
    <s v="Home Office"/>
    <s v="B2B Sales"/>
    <s v="P-005"/>
    <n v="3"/>
    <n v="0.25"/>
    <n v="103.4"/>
    <n v="8.25"/>
    <x v="13"/>
    <x v="0"/>
    <s v="Apex Wholesale"/>
    <n v="25.33"/>
    <n v="51.56"/>
    <n v="75.989999999999995"/>
    <n v="19.160000000000011"/>
    <n v="0.18529980657640241"/>
    <x v="12"/>
    <x v="3"/>
    <x v="1"/>
  </r>
  <r>
    <s v="ORD-101896"/>
    <d v="2025-07-31T00:00:00"/>
    <d v="2025-08-01T00:00:00"/>
    <x v="3"/>
    <s v="Leeds"/>
    <s v="Small Business"/>
    <s v="Retail Store"/>
    <s v="P-007"/>
    <n v="4"/>
    <n v="0"/>
    <n v="216.32"/>
    <n v="9.5"/>
    <x v="7"/>
    <x v="0"/>
    <s v="Luma Imports"/>
    <n v="31.34"/>
    <n v="56.49"/>
    <n v="125.36"/>
    <n v="81.459999999999994"/>
    <n v="0.37657174556213013"/>
    <x v="4"/>
    <x v="1"/>
    <x v="0"/>
  </r>
  <r>
    <s v="ORD-101897"/>
    <d v="2025-06-14T00:00:00"/>
    <d v="2025-06-18T00:00:00"/>
    <x v="0"/>
    <s v="Cardiff"/>
    <s v="Small Business"/>
    <s v="B2B Sales"/>
    <s v="P-003"/>
    <n v="1"/>
    <n v="0.05"/>
    <n v="112.09"/>
    <n v="6.8"/>
    <x v="1"/>
    <x v="1"/>
    <s v="Orbit Supply Co."/>
    <n v="71.489999999999995"/>
    <n v="112.88"/>
    <n v="71.489999999999995"/>
    <n v="33.800000000000011"/>
    <n v="0.30154340262289242"/>
    <x v="0"/>
    <x v="0"/>
    <x v="0"/>
  </r>
  <r>
    <s v="ORD-101898"/>
    <d v="2024-03-16T00:00:00"/>
    <d v="2024-03-21T00:00:00"/>
    <x v="2"/>
    <s v="Bristol"/>
    <s v="Small Business"/>
    <s v="Retail Store"/>
    <s v="P-010"/>
    <n v="5"/>
    <n v="0.1"/>
    <n v="24.45"/>
    <n v="4.05"/>
    <x v="4"/>
    <x v="2"/>
    <s v="Orbit Supply Co."/>
    <n v="3.62"/>
    <n v="6.03"/>
    <n v="18.100000000000001"/>
    <n v="2.299999999999998"/>
    <n v="9.4069529652351658E-2"/>
    <x v="10"/>
    <x v="0"/>
    <x v="1"/>
  </r>
  <r>
    <s v="ORD-101899"/>
    <d v="2024-01-21T00:00:00"/>
    <d v="2024-01-26T00:00:00"/>
    <x v="0"/>
    <s v="Liverpool"/>
    <s v="Home Office"/>
    <s v="B2B Sales"/>
    <s v="P-005"/>
    <n v="3"/>
    <n v="0.2"/>
    <n v="109.06"/>
    <n v="4.95"/>
    <x v="13"/>
    <x v="0"/>
    <s v="Apex Wholesale"/>
    <n v="25.33"/>
    <n v="51.56"/>
    <n v="75.989999999999995"/>
    <n v="28.120000000000008"/>
    <n v="0.25783972125435545"/>
    <x v="18"/>
    <x v="2"/>
    <x v="1"/>
  </r>
  <r>
    <s v="ORD-101900"/>
    <d v="2024-07-21T00:00:00"/>
    <d v="2024-07-26T00:00:00"/>
    <x v="0"/>
    <s v="Cardiff"/>
    <s v="Corporate"/>
    <s v="Online"/>
    <s v="P-008"/>
    <n v="4"/>
    <n v="0"/>
    <n v="718.62"/>
    <n v="5.7"/>
    <x v="6"/>
    <x v="0"/>
    <s v="Vertex Trade"/>
    <n v="112.09"/>
    <n v="192.47"/>
    <n v="448.36"/>
    <n v="264.56"/>
    <n v="0.36815006540313377"/>
    <x v="16"/>
    <x v="1"/>
    <x v="1"/>
  </r>
  <r>
    <s v="ORD-101901"/>
    <d v="2024-07-13T00:00:00"/>
    <d v="2024-07-17T00:00:00"/>
    <x v="1"/>
    <s v="Norwich"/>
    <s v="Home Office"/>
    <s v="Online"/>
    <s v="P-014"/>
    <n v="14"/>
    <n v="0.15"/>
    <n v="289.76"/>
    <n v="6.48"/>
    <x v="3"/>
    <x v="2"/>
    <s v="Orbit Supply Co."/>
    <n v="16.760000000000002"/>
    <n v="27.71"/>
    <n v="234.64000000000001"/>
    <n v="48.639999999999972"/>
    <n v="0.16786305908337926"/>
    <x v="16"/>
    <x v="2"/>
    <x v="1"/>
  </r>
  <r>
    <s v="ORD-101902"/>
    <d v="2025-11-16T00:00:00"/>
    <d v="2025-11-17T00:00:00"/>
    <x v="1"/>
    <s v="Peterborough"/>
    <s v="Corporate"/>
    <s v="Online"/>
    <s v="P-004"/>
    <n v="1"/>
    <n v="0.15"/>
    <n v="128.27000000000001"/>
    <n v="4.08"/>
    <x v="5"/>
    <x v="1"/>
    <s v="Cedar Distribution"/>
    <n v="63.6"/>
    <n v="107.94"/>
    <n v="63.6"/>
    <n v="60.590000000000018"/>
    <n v="0.47236298432992918"/>
    <x v="19"/>
    <x v="2"/>
    <x v="0"/>
  </r>
  <r>
    <s v="ORD-101903"/>
    <d v="2024-03-16T00:00:00"/>
    <d v="2024-03-20T00:00:00"/>
    <x v="3"/>
    <s v="Newcastle"/>
    <s v="Home Office"/>
    <s v="B2B Sales"/>
    <s v="P-012"/>
    <n v="6"/>
    <n v="0"/>
    <n v="47.79"/>
    <n v="4.32"/>
    <x v="14"/>
    <x v="2"/>
    <s v="Luma Imports"/>
    <n v="4.5"/>
    <n v="8.2899999999999991"/>
    <n v="27"/>
    <n v="16.47"/>
    <n v="0.34463276836158191"/>
    <x v="10"/>
    <x v="1"/>
    <x v="1"/>
  </r>
  <r>
    <s v="ORD-101904"/>
    <d v="2025-01-20T00:00:00"/>
    <d v="2025-01-25T00:00:00"/>
    <x v="2"/>
    <s v="London"/>
    <s v="Corporate"/>
    <s v="Retail Store"/>
    <s v="P-007"/>
    <n v="4"/>
    <n v="0"/>
    <n v="205.2"/>
    <n v="9.5"/>
    <x v="7"/>
    <x v="0"/>
    <s v="Luma Imports"/>
    <n v="31.34"/>
    <n v="56.49"/>
    <n v="125.36"/>
    <n v="70.339999999999989"/>
    <n v="0.3427875243664717"/>
    <x v="20"/>
    <x v="1"/>
    <x v="0"/>
  </r>
  <r>
    <s v="ORD-101905"/>
    <d v="2024-02-06T00:00:00"/>
    <d v="2024-02-08T00:00:00"/>
    <x v="2"/>
    <s v="Brighton"/>
    <s v="Home Office"/>
    <s v="Online"/>
    <s v="P-009"/>
    <n v="2"/>
    <n v="0.25"/>
    <n v="160.28"/>
    <n v="7"/>
    <x v="0"/>
    <x v="0"/>
    <s v="Apex Wholesale"/>
    <n v="63.69"/>
    <n v="125.5"/>
    <n v="127.38"/>
    <n v="25.900000000000006"/>
    <n v="0.16159221362615425"/>
    <x v="12"/>
    <x v="3"/>
    <x v="1"/>
  </r>
  <r>
    <s v="ORD-101906"/>
    <d v="2025-08-12T00:00:00"/>
    <d v="2025-08-14T00:00:00"/>
    <x v="0"/>
    <s v="Cardiff"/>
    <s v="Small Business"/>
    <s v="Retail Store"/>
    <s v="P-010"/>
    <n v="9"/>
    <n v="0.05"/>
    <n v="49.4"/>
    <n v="8.5500000000000007"/>
    <x v="4"/>
    <x v="2"/>
    <s v="Orbit Supply Co."/>
    <n v="3.62"/>
    <n v="6.03"/>
    <n v="32.58"/>
    <n v="8.27"/>
    <n v="0.16740890688259108"/>
    <x v="6"/>
    <x v="0"/>
    <x v="0"/>
  </r>
  <r>
    <s v="ORD-101907"/>
    <d v="2025-12-27T00:00:00"/>
    <d v="2025-12-30T00:00:00"/>
    <x v="2"/>
    <s v="London"/>
    <s v="Corporate"/>
    <s v="Retail Store"/>
    <s v="P-006"/>
    <n v="1"/>
    <n v="0.25"/>
    <n v="120.88"/>
    <n v="5.75"/>
    <x v="10"/>
    <x v="0"/>
    <s v="Apex Wholesale"/>
    <n v="54.95"/>
    <n v="112.56"/>
    <n v="54.95"/>
    <n v="60.179999999999993"/>
    <n v="0.4978491065519523"/>
    <x v="13"/>
    <x v="3"/>
    <x v="0"/>
  </r>
  <r>
    <s v="ORD-101908"/>
    <d v="2025-11-26T00:00:00"/>
    <d v="2025-11-30T00:00:00"/>
    <x v="0"/>
    <s v="Birmingham"/>
    <s v="Corporate"/>
    <s v="Retail Store"/>
    <s v="P-005"/>
    <n v="3"/>
    <n v="0.05"/>
    <n v="189.35"/>
    <n v="8.25"/>
    <x v="13"/>
    <x v="0"/>
    <s v="Apex Wholesale"/>
    <n v="25.33"/>
    <n v="51.56"/>
    <n v="75.989999999999995"/>
    <n v="105.11"/>
    <n v="0.55510958542381839"/>
    <x v="19"/>
    <x v="0"/>
    <x v="0"/>
  </r>
  <r>
    <s v="ORD-101909"/>
    <d v="2025-07-14T00:00:00"/>
    <d v="2025-07-15T00:00:00"/>
    <x v="2"/>
    <s v="Brighton"/>
    <s v="Home Office"/>
    <s v="Retail Store"/>
    <s v="P-009"/>
    <n v="2"/>
    <n v="0.05"/>
    <n v="216.24"/>
    <n v="4.2"/>
    <x v="0"/>
    <x v="0"/>
    <s v="Apex Wholesale"/>
    <n v="63.69"/>
    <n v="125.5"/>
    <n v="127.38"/>
    <n v="84.660000000000011"/>
    <n v="0.39150943396226418"/>
    <x v="4"/>
    <x v="0"/>
    <x v="0"/>
  </r>
  <r>
    <s v="ORD-101910"/>
    <d v="2025-12-01T00:00:00"/>
    <d v="2025-12-04T00:00:00"/>
    <x v="1"/>
    <s v="Norwich"/>
    <s v="Home Office"/>
    <s v="Online"/>
    <s v="P-005"/>
    <n v="1"/>
    <n v="0.1"/>
    <n v="69.599999999999994"/>
    <n v="5.75"/>
    <x v="13"/>
    <x v="0"/>
    <s v="Apex Wholesale"/>
    <n v="25.33"/>
    <n v="51.56"/>
    <n v="25.33"/>
    <n v="38.519999999999996"/>
    <n v="0.55344827586206891"/>
    <x v="13"/>
    <x v="0"/>
    <x v="0"/>
  </r>
  <r>
    <s v="ORD-101911"/>
    <d v="2025-09-04T00:00:00"/>
    <d v="2025-09-05T00:00:00"/>
    <x v="3"/>
    <s v="Newcastle"/>
    <s v="Corporate"/>
    <s v="B2B Sales"/>
    <s v="P-003"/>
    <n v="7"/>
    <n v="0.15"/>
    <n v="709.93"/>
    <n v="20.6"/>
    <x v="1"/>
    <x v="1"/>
    <s v="Orbit Supply Co."/>
    <n v="71.489999999999995"/>
    <n v="112.88"/>
    <n v="500.42999999999995"/>
    <n v="188.9"/>
    <n v="0.2660825715211359"/>
    <x v="11"/>
    <x v="2"/>
    <x v="0"/>
  </r>
  <r>
    <s v="ORD-101912"/>
    <d v="2024-04-04T00:00:00"/>
    <d v="2024-04-09T00:00:00"/>
    <x v="2"/>
    <s v="London"/>
    <s v="Corporate"/>
    <s v="Retail Store"/>
    <s v="P-015"/>
    <n v="14"/>
    <n v="0"/>
    <n v="80.290000000000006"/>
    <n v="10.8"/>
    <x v="8"/>
    <x v="2"/>
    <s v="Luma Imports"/>
    <n v="3.3"/>
    <n v="6.13"/>
    <n v="46.199999999999996"/>
    <n v="23.29000000000001"/>
    <n v="0.2900734836218708"/>
    <x v="21"/>
    <x v="1"/>
    <x v="1"/>
  </r>
  <r>
    <s v="ORD-101913"/>
    <d v="2025-04-30T00:00:00"/>
    <d v="2025-05-05T00:00:00"/>
    <x v="1"/>
    <s v="Norwich"/>
    <s v="Home Office"/>
    <s v="Online"/>
    <s v="P-011"/>
    <n v="10"/>
    <n v="0"/>
    <n v="148.44999999999999"/>
    <n v="5.4"/>
    <x v="9"/>
    <x v="2"/>
    <s v="Orbit Supply Co."/>
    <n v="7.93"/>
    <n v="14.78"/>
    <n v="79.3"/>
    <n v="63.749999999999993"/>
    <n v="0.42943752105085886"/>
    <x v="15"/>
    <x v="1"/>
    <x v="0"/>
  </r>
  <r>
    <s v="ORD-101914"/>
    <d v="2025-02-26T00:00:00"/>
    <d v="2025-02-28T00:00:00"/>
    <x v="3"/>
    <s v="Newcastle"/>
    <s v="Small Business"/>
    <s v="Retail Store"/>
    <s v="P-006"/>
    <n v="1"/>
    <n v="0.1"/>
    <n v="87.45"/>
    <n v="5.75"/>
    <x v="10"/>
    <x v="0"/>
    <s v="Apex Wholesale"/>
    <n v="54.95"/>
    <n v="112.56"/>
    <n v="54.95"/>
    <n v="26.75"/>
    <n v="0.30588907947398514"/>
    <x v="5"/>
    <x v="0"/>
    <x v="0"/>
  </r>
  <r>
    <s v="ORD-101915"/>
    <d v="2024-08-03T00:00:00"/>
    <d v="2024-08-04T00:00:00"/>
    <x v="3"/>
    <s v="Manchester"/>
    <s v="Small Business"/>
    <s v="B2B Sales"/>
    <s v="P-015"/>
    <n v="10"/>
    <n v="0"/>
    <n v="61.31"/>
    <n v="5.4"/>
    <x v="8"/>
    <x v="2"/>
    <s v="Luma Imports"/>
    <n v="3.3"/>
    <n v="6.13"/>
    <n v="33"/>
    <n v="22.910000000000004"/>
    <n v="0.37367476757462081"/>
    <x v="7"/>
    <x v="1"/>
    <x v="1"/>
  </r>
  <r>
    <s v="ORD-101916"/>
    <d v="2024-05-23T00:00:00"/>
    <d v="2024-05-26T00:00:00"/>
    <x v="1"/>
    <s v="Peterborough"/>
    <s v="Small Business"/>
    <s v="Online"/>
    <s v="P-002"/>
    <n v="3"/>
    <n v="0"/>
    <n v="600.98"/>
    <n v="6.84"/>
    <x v="2"/>
    <x v="1"/>
    <s v="Vertex Trade"/>
    <n v="119.02"/>
    <n v="205.39"/>
    <n v="357.06"/>
    <n v="237.08"/>
    <n v="0.39448900129788012"/>
    <x v="8"/>
    <x v="1"/>
    <x v="1"/>
  </r>
  <r>
    <s v="ORD-101917"/>
    <d v="2024-10-02T00:00:00"/>
    <d v="2024-10-04T00:00:00"/>
    <x v="3"/>
    <s v="Leeds"/>
    <s v="Home Office"/>
    <s v="Retail Store"/>
    <s v="P-008"/>
    <n v="3"/>
    <n v="0"/>
    <n v="650.86"/>
    <n v="4.95"/>
    <x v="6"/>
    <x v="0"/>
    <s v="Vertex Trade"/>
    <n v="112.09"/>
    <n v="192.47"/>
    <n v="336.27"/>
    <n v="309.64000000000004"/>
    <n v="0.47573979043112197"/>
    <x v="3"/>
    <x v="1"/>
    <x v="1"/>
  </r>
  <r>
    <s v="ORD-101918"/>
    <d v="2025-11-25T00:00:00"/>
    <d v="2025-11-30T00:00:00"/>
    <x v="3"/>
    <s v="Newcastle"/>
    <s v="Corporate"/>
    <s v="Online"/>
    <s v="P-010"/>
    <n v="11"/>
    <n v="0"/>
    <n v="91.73"/>
    <n v="5.67"/>
    <x v="4"/>
    <x v="2"/>
    <s v="Orbit Supply Co."/>
    <n v="3.62"/>
    <n v="6.03"/>
    <n v="39.82"/>
    <n v="46.24"/>
    <n v="0.50408808459609722"/>
    <x v="19"/>
    <x v="1"/>
    <x v="0"/>
  </r>
  <r>
    <s v="ORD-101919"/>
    <d v="2024-01-20T00:00:00"/>
    <d v="2024-01-26T00:00:00"/>
    <x v="2"/>
    <s v="Brighton"/>
    <s v="Small Business"/>
    <s v="Retail Store"/>
    <s v="P-010"/>
    <n v="11"/>
    <n v="0"/>
    <n v="61.12"/>
    <n v="5.67"/>
    <x v="4"/>
    <x v="2"/>
    <s v="Orbit Supply Co."/>
    <n v="3.62"/>
    <n v="6.03"/>
    <n v="39.82"/>
    <n v="15.629999999999997"/>
    <n v="0.25572643979057585"/>
    <x v="18"/>
    <x v="1"/>
    <x v="1"/>
  </r>
  <r>
    <s v="ORD-101920"/>
    <d v="2025-01-21T00:00:00"/>
    <d v="2025-01-22T00:00:00"/>
    <x v="2"/>
    <s v="Brighton"/>
    <s v="Corporate"/>
    <s v="B2B Sales"/>
    <s v="P-009"/>
    <n v="2"/>
    <n v="0"/>
    <n v="212.29"/>
    <n v="4.2"/>
    <x v="0"/>
    <x v="0"/>
    <s v="Apex Wholesale"/>
    <n v="63.69"/>
    <n v="125.5"/>
    <n v="127.38"/>
    <n v="80.709999999999994"/>
    <n v="0.38018747939139852"/>
    <x v="20"/>
    <x v="1"/>
    <x v="0"/>
  </r>
  <r>
    <s v="ORD-101921"/>
    <d v="2025-09-05T00:00:00"/>
    <d v="2025-09-08T00:00:00"/>
    <x v="0"/>
    <s v="Birmingham"/>
    <s v="Home Office"/>
    <s v="Retail Store"/>
    <s v="P-013"/>
    <n v="7"/>
    <n v="0.25"/>
    <n v="72.900000000000006"/>
    <n v="4.59"/>
    <x v="11"/>
    <x v="2"/>
    <s v="Apex Wholesale"/>
    <n v="6.33"/>
    <n v="12.16"/>
    <n v="44.31"/>
    <n v="24.000000000000004"/>
    <n v="0.32921810699588477"/>
    <x v="11"/>
    <x v="3"/>
    <x v="0"/>
  </r>
  <r>
    <s v="ORD-101922"/>
    <d v="2024-04-27T00:00:00"/>
    <d v="2024-05-01T00:00:00"/>
    <x v="1"/>
    <s v="Peterborough"/>
    <s v="Home Office"/>
    <s v="Retail Store"/>
    <s v="P-002"/>
    <n v="2"/>
    <n v="0.1"/>
    <n v="345.97"/>
    <n v="5.46"/>
    <x v="2"/>
    <x v="1"/>
    <s v="Vertex Trade"/>
    <n v="119.02"/>
    <n v="205.39"/>
    <n v="238.04"/>
    <n v="102.47000000000004"/>
    <n v="0.29618174986270496"/>
    <x v="21"/>
    <x v="0"/>
    <x v="1"/>
  </r>
  <r>
    <s v="ORD-101923"/>
    <d v="2025-10-05T00:00:00"/>
    <d v="2025-10-06T00:00:00"/>
    <x v="3"/>
    <s v="Leeds"/>
    <s v="Small Business"/>
    <s v="Online"/>
    <s v="P-003"/>
    <n v="2"/>
    <n v="0"/>
    <n v="270.19"/>
    <n v="5.46"/>
    <x v="1"/>
    <x v="1"/>
    <s v="Orbit Supply Co."/>
    <n v="71.489999999999995"/>
    <n v="112.88"/>
    <n v="142.97999999999999"/>
    <n v="121.75000000000001"/>
    <n v="0.45060883082275444"/>
    <x v="22"/>
    <x v="1"/>
    <x v="0"/>
  </r>
  <r>
    <s v="ORD-101924"/>
    <d v="2025-10-08T00:00:00"/>
    <d v="2025-10-11T00:00:00"/>
    <x v="3"/>
    <s v="Leeds"/>
    <s v="Small Business"/>
    <s v="B2B Sales"/>
    <s v="P-011"/>
    <n v="13"/>
    <n v="0.1"/>
    <n v="198.91"/>
    <n v="6.21"/>
    <x v="9"/>
    <x v="2"/>
    <s v="Orbit Supply Co."/>
    <n v="7.93"/>
    <n v="14.78"/>
    <n v="103.09"/>
    <n v="89.61"/>
    <n v="0.45050525363229604"/>
    <x v="22"/>
    <x v="0"/>
    <x v="0"/>
  </r>
  <r>
    <s v="ORD-101925"/>
    <d v="2024-02-12T00:00:00"/>
    <d v="2024-02-17T00:00:00"/>
    <x v="2"/>
    <s v="London"/>
    <s v="Corporate"/>
    <s v="Retail Store"/>
    <s v="P-007"/>
    <n v="3"/>
    <n v="0.1"/>
    <n v="132.82"/>
    <n v="4.95"/>
    <x v="7"/>
    <x v="0"/>
    <s v="Luma Imports"/>
    <n v="31.34"/>
    <n v="56.49"/>
    <n v="94.02"/>
    <n v="33.849999999999994"/>
    <n v="0.25485619635597045"/>
    <x v="12"/>
    <x v="0"/>
    <x v="1"/>
  </r>
  <r>
    <s v="ORD-101926"/>
    <d v="2024-06-20T00:00:00"/>
    <d v="2024-06-26T00:00:00"/>
    <x v="1"/>
    <s v="Peterborough"/>
    <s v="Small Business"/>
    <s v="Retail Store"/>
    <s v="P-004"/>
    <n v="5"/>
    <n v="0.25"/>
    <n v="397.26"/>
    <n v="9.6"/>
    <x v="5"/>
    <x v="1"/>
    <s v="Cedar Distribution"/>
    <n v="63.6"/>
    <n v="107.94"/>
    <n v="318"/>
    <n v="69.66"/>
    <n v="0.17535115541458993"/>
    <x v="17"/>
    <x v="3"/>
    <x v="1"/>
  </r>
  <r>
    <s v="ORD-101927"/>
    <d v="2025-05-21T00:00:00"/>
    <d v="2025-05-24T00:00:00"/>
    <x v="3"/>
    <s v="Leeds"/>
    <s v="Small Business"/>
    <s v="B2B Sales"/>
    <s v="P-009"/>
    <n v="1"/>
    <n v="0.05"/>
    <n v="119.12"/>
    <n v="3.45"/>
    <x v="0"/>
    <x v="0"/>
    <s v="Apex Wholesale"/>
    <n v="63.69"/>
    <n v="125.5"/>
    <n v="63.69"/>
    <n v="51.980000000000004"/>
    <n v="0.43636668905305576"/>
    <x v="1"/>
    <x v="0"/>
    <x v="0"/>
  </r>
  <r>
    <s v="ORD-101928"/>
    <d v="2024-02-18T00:00:00"/>
    <d v="2024-02-19T00:00:00"/>
    <x v="1"/>
    <s v="Cambridge"/>
    <s v="Home Office"/>
    <s v="Retail Store"/>
    <s v="P-011"/>
    <n v="8"/>
    <n v="0"/>
    <n v="105.41"/>
    <n v="8.1"/>
    <x v="9"/>
    <x v="2"/>
    <s v="Orbit Supply Co."/>
    <n v="7.93"/>
    <n v="14.78"/>
    <n v="63.44"/>
    <n v="33.869999999999997"/>
    <n v="0.32131676311545393"/>
    <x v="12"/>
    <x v="1"/>
    <x v="1"/>
  </r>
  <r>
    <s v="ORD-101929"/>
    <d v="2025-12-11T00:00:00"/>
    <d v="2025-12-15T00:00:00"/>
    <x v="3"/>
    <s v="Newcastle"/>
    <s v="Corporate"/>
    <s v="Retail Store"/>
    <s v="P-009"/>
    <n v="2"/>
    <n v="0"/>
    <n v="359.04"/>
    <n v="7"/>
    <x v="0"/>
    <x v="0"/>
    <s v="Apex Wholesale"/>
    <n v="63.69"/>
    <n v="125.5"/>
    <n v="127.38"/>
    <n v="224.66000000000003"/>
    <n v="0.62572415329768272"/>
    <x v="13"/>
    <x v="1"/>
    <x v="0"/>
  </r>
  <r>
    <s v="ORD-101930"/>
    <d v="2024-05-18T00:00:00"/>
    <d v="2024-05-21T00:00:00"/>
    <x v="1"/>
    <s v="Peterborough"/>
    <s v="Corporate"/>
    <s v="Online"/>
    <s v="P-015"/>
    <n v="11"/>
    <n v="0"/>
    <n v="72.650000000000006"/>
    <n v="5.67"/>
    <x v="8"/>
    <x v="2"/>
    <s v="Luma Imports"/>
    <n v="3.3"/>
    <n v="6.13"/>
    <n v="36.299999999999997"/>
    <n v="30.680000000000007"/>
    <n v="0.42229869236063322"/>
    <x v="8"/>
    <x v="1"/>
    <x v="1"/>
  </r>
  <r>
    <s v="ORD-101931"/>
    <d v="2025-12-02T00:00:00"/>
    <d v="2025-12-03T00:00:00"/>
    <x v="1"/>
    <s v="Cambridge"/>
    <s v="Corporate"/>
    <s v="Online"/>
    <s v="P-012"/>
    <n v="5"/>
    <n v="0"/>
    <n v="59.2"/>
    <n v="6.75"/>
    <x v="14"/>
    <x v="2"/>
    <s v="Luma Imports"/>
    <n v="4.5"/>
    <n v="8.2899999999999991"/>
    <n v="22.5"/>
    <n v="29.950000000000003"/>
    <n v="0.50591216216216217"/>
    <x v="13"/>
    <x v="1"/>
    <x v="0"/>
  </r>
  <r>
    <s v="ORD-101932"/>
    <d v="2024-08-15T00:00:00"/>
    <d v="2024-08-19T00:00:00"/>
    <x v="1"/>
    <s v="Cambridge"/>
    <s v="Small Business"/>
    <s v="Retail Store"/>
    <s v="P-013"/>
    <n v="25"/>
    <n v="0"/>
    <n v="272.11"/>
    <n v="9.4499999999999993"/>
    <x v="11"/>
    <x v="2"/>
    <s v="Apex Wholesale"/>
    <n v="6.33"/>
    <n v="12.16"/>
    <n v="158.25"/>
    <n v="104.41000000000001"/>
    <n v="0.38370511925324319"/>
    <x v="7"/>
    <x v="1"/>
    <x v="1"/>
  </r>
  <r>
    <s v="ORD-101933"/>
    <d v="2025-01-03T00:00:00"/>
    <d v="2025-01-09T00:00:00"/>
    <x v="2"/>
    <s v="Bristol"/>
    <s v="Corporate"/>
    <s v="Online"/>
    <s v="P-010"/>
    <n v="6"/>
    <n v="0.2"/>
    <n v="25.87"/>
    <n v="7.2"/>
    <x v="4"/>
    <x v="2"/>
    <s v="Orbit Supply Co."/>
    <n v="3.62"/>
    <n v="6.03"/>
    <n v="21.72"/>
    <n v="-3.049999999999998"/>
    <n v="-0.11789717819868566"/>
    <x v="20"/>
    <x v="2"/>
    <x v="0"/>
  </r>
  <r>
    <s v="ORD-101934"/>
    <d v="2024-01-20T00:00:00"/>
    <d v="2024-01-23T00:00:00"/>
    <x v="0"/>
    <s v="Cardiff"/>
    <s v="Corporate"/>
    <s v="B2B Sales"/>
    <s v="P-001"/>
    <n v="4"/>
    <n v="0.1"/>
    <n v="866.39"/>
    <n v="8.2200000000000006"/>
    <x v="12"/>
    <x v="1"/>
    <s v="Luma Imports"/>
    <n v="173.56"/>
    <n v="286.14999999999998"/>
    <n v="694.24"/>
    <n v="163.92999999999998"/>
    <n v="0.18921040178210735"/>
    <x v="18"/>
    <x v="0"/>
    <x v="1"/>
  </r>
  <r>
    <s v="ORD-101935"/>
    <d v="2025-02-02T00:00:00"/>
    <d v="2025-02-04T00:00:00"/>
    <x v="1"/>
    <s v="Norwich"/>
    <s v="Small Business"/>
    <s v="Online"/>
    <s v="P-015"/>
    <n v="20"/>
    <n v="0"/>
    <n v="108.68"/>
    <n v="8.1"/>
    <x v="8"/>
    <x v="2"/>
    <s v="Luma Imports"/>
    <n v="3.3"/>
    <n v="6.13"/>
    <n v="66"/>
    <n v="34.580000000000005"/>
    <n v="0.31818181818181823"/>
    <x v="5"/>
    <x v="1"/>
    <x v="0"/>
  </r>
  <r>
    <s v="ORD-101936"/>
    <d v="2024-11-28T00:00:00"/>
    <d v="2024-12-02T00:00:00"/>
    <x v="0"/>
    <s v="Liverpool"/>
    <s v="Corporate"/>
    <s v="Online"/>
    <s v="P-007"/>
    <n v="3"/>
    <n v="0.05"/>
    <n v="217.96"/>
    <n v="8.25"/>
    <x v="7"/>
    <x v="0"/>
    <s v="Luma Imports"/>
    <n v="31.34"/>
    <n v="56.49"/>
    <n v="94.02"/>
    <n v="115.69000000000001"/>
    <n v="0.53078546522297676"/>
    <x v="14"/>
    <x v="0"/>
    <x v="1"/>
  </r>
  <r>
    <s v="ORD-101937"/>
    <d v="2024-12-09T00:00:00"/>
    <d v="2024-12-12T00:00:00"/>
    <x v="1"/>
    <s v="Norwich"/>
    <s v="Small Business"/>
    <s v="Retail Store"/>
    <s v="P-008"/>
    <n v="4"/>
    <n v="0"/>
    <n v="1051.6300000000001"/>
    <n v="5.7"/>
    <x v="6"/>
    <x v="0"/>
    <s v="Vertex Trade"/>
    <n v="112.09"/>
    <n v="192.47"/>
    <n v="448.36"/>
    <n v="597.57000000000005"/>
    <n v="0.56823217291252626"/>
    <x v="9"/>
    <x v="1"/>
    <x v="1"/>
  </r>
  <r>
    <s v="ORD-101938"/>
    <d v="2024-09-24T00:00:00"/>
    <d v="2024-09-26T00:00:00"/>
    <x v="3"/>
    <s v="Manchester"/>
    <s v="Corporate"/>
    <s v="Retail Store"/>
    <s v="P-001"/>
    <n v="3"/>
    <n v="0.25"/>
    <n v="680.34"/>
    <n v="6.84"/>
    <x v="12"/>
    <x v="1"/>
    <s v="Luma Imports"/>
    <n v="173.56"/>
    <n v="286.14999999999998"/>
    <n v="520.68000000000006"/>
    <n v="152.81999999999996"/>
    <n v="0.22462298262633382"/>
    <x v="23"/>
    <x v="3"/>
    <x v="1"/>
  </r>
  <r>
    <s v="ORD-101939"/>
    <d v="2024-01-19T00:00:00"/>
    <d v="2024-01-23T00:00:00"/>
    <x v="3"/>
    <s v="Leeds"/>
    <s v="Corporate"/>
    <s v="Retail Store"/>
    <s v="P-011"/>
    <n v="13"/>
    <n v="0"/>
    <n v="175.1"/>
    <n v="10.35"/>
    <x v="9"/>
    <x v="2"/>
    <s v="Orbit Supply Co."/>
    <n v="7.93"/>
    <n v="14.78"/>
    <n v="103.09"/>
    <n v="61.659999999999989"/>
    <n v="0.35214163335237003"/>
    <x v="18"/>
    <x v="1"/>
    <x v="1"/>
  </r>
  <r>
    <s v="ORD-101940"/>
    <d v="2025-11-09T00:00:00"/>
    <d v="2025-11-12T00:00:00"/>
    <x v="2"/>
    <s v="London"/>
    <s v="Home Office"/>
    <s v="Online"/>
    <s v="P-012"/>
    <n v="12"/>
    <n v="0.2"/>
    <n v="110.11"/>
    <n v="5.94"/>
    <x v="14"/>
    <x v="2"/>
    <s v="Luma Imports"/>
    <n v="4.5"/>
    <n v="8.2899999999999991"/>
    <n v="54"/>
    <n v="50.17"/>
    <n v="0.45563527381709201"/>
    <x v="19"/>
    <x v="2"/>
    <x v="0"/>
  </r>
  <r>
    <s v="ORD-101941"/>
    <d v="2025-09-26T00:00:00"/>
    <d v="2025-09-28T00:00:00"/>
    <x v="3"/>
    <s v="Newcastle"/>
    <s v="Home Office"/>
    <s v="B2B Sales"/>
    <s v="P-010"/>
    <n v="8"/>
    <n v="0.1"/>
    <n v="47.08"/>
    <n v="4.8600000000000003"/>
    <x v="4"/>
    <x v="2"/>
    <s v="Orbit Supply Co."/>
    <n v="3.62"/>
    <n v="6.03"/>
    <n v="28.96"/>
    <n v="13.259999999999998"/>
    <n v="0.28164825828377227"/>
    <x v="11"/>
    <x v="0"/>
    <x v="0"/>
  </r>
  <r>
    <s v="ORD-101942"/>
    <d v="2024-08-31T00:00:00"/>
    <d v="2024-09-03T00:00:00"/>
    <x v="0"/>
    <s v="Cardiff"/>
    <s v="Corporate"/>
    <s v="B2B Sales"/>
    <s v="P-005"/>
    <n v="1"/>
    <n v="0.2"/>
    <n v="40.54"/>
    <n v="5.75"/>
    <x v="13"/>
    <x v="0"/>
    <s v="Apex Wholesale"/>
    <n v="25.33"/>
    <n v="51.56"/>
    <n v="25.33"/>
    <n v="9.4600000000000009"/>
    <n v="0.23334977799703999"/>
    <x v="7"/>
    <x v="2"/>
    <x v="1"/>
  </r>
  <r>
    <s v="ORD-101943"/>
    <d v="2025-05-17T00:00:00"/>
    <d v="2025-05-22T00:00:00"/>
    <x v="2"/>
    <s v="Brighton"/>
    <s v="Small Business"/>
    <s v="Online"/>
    <s v="P-008"/>
    <n v="2"/>
    <n v="0"/>
    <n v="413.04"/>
    <n v="4.2"/>
    <x v="6"/>
    <x v="0"/>
    <s v="Vertex Trade"/>
    <n v="112.09"/>
    <n v="192.47"/>
    <n v="224.18"/>
    <n v="184.66000000000003"/>
    <n v="0.4470753437923688"/>
    <x v="1"/>
    <x v="1"/>
    <x v="0"/>
  </r>
  <r>
    <s v="ORD-101944"/>
    <d v="2024-11-25T00:00:00"/>
    <d v="2024-11-28T00:00:00"/>
    <x v="1"/>
    <s v="Cambridge"/>
    <s v="Small Business"/>
    <s v="B2B Sales"/>
    <s v="P-012"/>
    <n v="13"/>
    <n v="0"/>
    <n v="142.02000000000001"/>
    <n v="10.35"/>
    <x v="14"/>
    <x v="2"/>
    <s v="Luma Imports"/>
    <n v="4.5"/>
    <n v="8.2899999999999991"/>
    <n v="58.5"/>
    <n v="73.170000000000016"/>
    <n v="0.5152091254752853"/>
    <x v="14"/>
    <x v="1"/>
    <x v="1"/>
  </r>
  <r>
    <s v="ORD-101945"/>
    <d v="2024-02-19T00:00:00"/>
    <d v="2024-02-20T00:00:00"/>
    <x v="2"/>
    <s v="Bristol"/>
    <s v="Corporate"/>
    <s v="Online"/>
    <s v="P-010"/>
    <n v="9"/>
    <n v="0.05"/>
    <n v="48.01"/>
    <n v="8.5500000000000007"/>
    <x v="4"/>
    <x v="2"/>
    <s v="Orbit Supply Co."/>
    <n v="3.62"/>
    <n v="6.03"/>
    <n v="32.58"/>
    <n v="6.879999999999999"/>
    <n v="0.14330347844199123"/>
    <x v="12"/>
    <x v="0"/>
    <x v="1"/>
  </r>
  <r>
    <s v="ORD-101946"/>
    <d v="2025-05-28T00:00:00"/>
    <d v="2025-06-02T00:00:00"/>
    <x v="1"/>
    <s v="Norwich"/>
    <s v="Home Office"/>
    <s v="Online"/>
    <s v="P-015"/>
    <n v="7"/>
    <n v="0.1"/>
    <n v="39.369999999999997"/>
    <n v="4.59"/>
    <x v="8"/>
    <x v="2"/>
    <s v="Luma Imports"/>
    <n v="3.3"/>
    <n v="6.13"/>
    <n v="23.099999999999998"/>
    <n v="11.68"/>
    <n v="0.2966725933451867"/>
    <x v="1"/>
    <x v="0"/>
    <x v="0"/>
  </r>
  <r>
    <s v="ORD-101947"/>
    <d v="2025-10-23T00:00:00"/>
    <d v="2025-10-26T00:00:00"/>
    <x v="0"/>
    <s v="Liverpool"/>
    <s v="Corporate"/>
    <s v="B2B Sales"/>
    <s v="P-015"/>
    <n v="18"/>
    <n v="0"/>
    <n v="134.76"/>
    <n v="12.6"/>
    <x v="8"/>
    <x v="2"/>
    <s v="Luma Imports"/>
    <n v="3.3"/>
    <n v="6.13"/>
    <n v="59.4"/>
    <n v="62.759999999999984"/>
    <n v="0.46571682991985741"/>
    <x v="22"/>
    <x v="1"/>
    <x v="0"/>
  </r>
  <r>
    <s v="ORD-101948"/>
    <d v="2025-07-29T00:00:00"/>
    <d v="2025-08-04T00:00:00"/>
    <x v="2"/>
    <s v="Brighton"/>
    <s v="Corporate"/>
    <s v="Retail Store"/>
    <s v="P-001"/>
    <n v="3"/>
    <n v="0"/>
    <n v="778.07"/>
    <n v="6.84"/>
    <x v="12"/>
    <x v="1"/>
    <s v="Luma Imports"/>
    <n v="173.56"/>
    <n v="286.14999999999998"/>
    <n v="520.68000000000006"/>
    <n v="250.54999999999998"/>
    <n v="0.32201472875191173"/>
    <x v="4"/>
    <x v="1"/>
    <x v="0"/>
  </r>
  <r>
    <s v="ORD-101949"/>
    <d v="2025-06-24T00:00:00"/>
    <d v="2025-06-25T00:00:00"/>
    <x v="1"/>
    <s v="Norwich"/>
    <s v="Corporate"/>
    <s v="Retail Store"/>
    <s v="P-006"/>
    <n v="1"/>
    <n v="0"/>
    <n v="111.99"/>
    <n v="3.45"/>
    <x v="10"/>
    <x v="0"/>
    <s v="Apex Wholesale"/>
    <n v="54.95"/>
    <n v="112.56"/>
    <n v="54.95"/>
    <n v="53.589999999999989"/>
    <n v="0.47852486829181168"/>
    <x v="0"/>
    <x v="1"/>
    <x v="0"/>
  </r>
  <r>
    <s v="ORD-101950"/>
    <d v="2024-07-10T00:00:00"/>
    <d v="2024-07-13T00:00:00"/>
    <x v="1"/>
    <s v="Norwich"/>
    <s v="Home Office"/>
    <s v="Online"/>
    <s v="P-011"/>
    <n v="10"/>
    <n v="0"/>
    <n v="134.88"/>
    <n v="9"/>
    <x v="9"/>
    <x v="2"/>
    <s v="Orbit Supply Co."/>
    <n v="7.93"/>
    <n v="14.78"/>
    <n v="79.3"/>
    <n v="46.58"/>
    <n v="0.34534400948991695"/>
    <x v="16"/>
    <x v="1"/>
    <x v="1"/>
  </r>
  <r>
    <s v="ORD-101951"/>
    <d v="2025-11-19T00:00:00"/>
    <d v="2025-11-24T00:00:00"/>
    <x v="0"/>
    <s v="Liverpool"/>
    <s v="Small Business"/>
    <s v="Online"/>
    <s v="P-014"/>
    <n v="11"/>
    <n v="0.1"/>
    <n v="384.03"/>
    <n v="9.4499999999999993"/>
    <x v="3"/>
    <x v="2"/>
    <s v="Orbit Supply Co."/>
    <n v="16.760000000000002"/>
    <n v="27.71"/>
    <n v="184.36"/>
    <n v="190.21999999999997"/>
    <n v="0.49532588599848965"/>
    <x v="19"/>
    <x v="0"/>
    <x v="0"/>
  </r>
  <r>
    <s v="ORD-101952"/>
    <d v="2025-01-30T00:00:00"/>
    <d v="2025-02-01T00:00:00"/>
    <x v="2"/>
    <s v="Brighton"/>
    <s v="Home Office"/>
    <s v="B2B Sales"/>
    <s v="P-015"/>
    <n v="9"/>
    <n v="0"/>
    <n v="50.58"/>
    <n v="5.13"/>
    <x v="8"/>
    <x v="2"/>
    <s v="Luma Imports"/>
    <n v="3.3"/>
    <n v="6.13"/>
    <n v="29.7"/>
    <n v="15.75"/>
    <n v="0.31138790035587188"/>
    <x v="20"/>
    <x v="1"/>
    <x v="0"/>
  </r>
  <r>
    <s v="ORD-101953"/>
    <d v="2025-11-06T00:00:00"/>
    <d v="2025-11-10T00:00:00"/>
    <x v="1"/>
    <s v="Cambridge"/>
    <s v="Corporate"/>
    <s v="Retail Store"/>
    <s v="P-014"/>
    <n v="9"/>
    <n v="0"/>
    <n v="346.78"/>
    <n v="8.5500000000000007"/>
    <x v="3"/>
    <x v="2"/>
    <s v="Orbit Supply Co."/>
    <n v="16.760000000000002"/>
    <n v="27.71"/>
    <n v="150.84"/>
    <n v="187.38999999999996"/>
    <n v="0.54037141703673786"/>
    <x v="19"/>
    <x v="1"/>
    <x v="0"/>
  </r>
  <r>
    <s v="ORD-101954"/>
    <d v="2024-11-15T00:00:00"/>
    <d v="2024-11-17T00:00:00"/>
    <x v="0"/>
    <s v="Cardiff"/>
    <s v="Corporate"/>
    <s v="B2B Sales"/>
    <s v="P-003"/>
    <n v="4"/>
    <n v="0.2"/>
    <n v="505.27"/>
    <n v="13.7"/>
    <x v="1"/>
    <x v="1"/>
    <s v="Orbit Supply Co."/>
    <n v="71.489999999999995"/>
    <n v="112.88"/>
    <n v="285.95999999999998"/>
    <n v="205.61"/>
    <n v="0.40693094781008177"/>
    <x v="14"/>
    <x v="2"/>
    <x v="1"/>
  </r>
  <r>
    <s v="ORD-101955"/>
    <d v="2024-07-24T00:00:00"/>
    <d v="2024-07-30T00:00:00"/>
    <x v="2"/>
    <s v="London"/>
    <s v="Small Business"/>
    <s v="B2B Sales"/>
    <s v="P-002"/>
    <n v="2"/>
    <n v="0.2"/>
    <n v="300.04000000000002"/>
    <n v="5.46"/>
    <x v="2"/>
    <x v="1"/>
    <s v="Vertex Trade"/>
    <n v="119.02"/>
    <n v="205.39"/>
    <n v="238.04"/>
    <n v="56.540000000000028"/>
    <n v="0.18844154112784969"/>
    <x v="16"/>
    <x v="2"/>
    <x v="1"/>
  </r>
  <r>
    <s v="ORD-101956"/>
    <d v="2024-08-21T00:00:00"/>
    <d v="2024-08-23T00:00:00"/>
    <x v="1"/>
    <s v="Peterborough"/>
    <s v="Corporate"/>
    <s v="B2B Sales"/>
    <s v="P-013"/>
    <n v="11"/>
    <n v="0"/>
    <n v="126.11"/>
    <n v="5.67"/>
    <x v="11"/>
    <x v="2"/>
    <s v="Apex Wholesale"/>
    <n v="6.33"/>
    <n v="12.16"/>
    <n v="69.63"/>
    <n v="50.81"/>
    <n v="0.40290222821346444"/>
    <x v="7"/>
    <x v="1"/>
    <x v="1"/>
  </r>
  <r>
    <s v="ORD-101957"/>
    <d v="2024-01-15T00:00:00"/>
    <d v="2024-01-20T00:00:00"/>
    <x v="2"/>
    <s v="London"/>
    <s v="Small Business"/>
    <s v="Online"/>
    <s v="P-004"/>
    <n v="4"/>
    <n v="0"/>
    <n v="384.84"/>
    <n v="13.7"/>
    <x v="5"/>
    <x v="1"/>
    <s v="Cedar Distribution"/>
    <n v="63.6"/>
    <n v="107.94"/>
    <n v="254.4"/>
    <n v="116.73999999999997"/>
    <n v="0.30334684544226165"/>
    <x v="18"/>
    <x v="1"/>
    <x v="1"/>
  </r>
  <r>
    <s v="ORD-101958"/>
    <d v="2025-11-16T00:00:00"/>
    <d v="2025-11-22T00:00:00"/>
    <x v="3"/>
    <s v="Newcastle"/>
    <s v="Small Business"/>
    <s v="Retail Store"/>
    <s v="P-002"/>
    <n v="1"/>
    <n v="0"/>
    <n v="279.82"/>
    <n v="6.8"/>
    <x v="2"/>
    <x v="1"/>
    <s v="Vertex Trade"/>
    <n v="119.02"/>
    <n v="205.39"/>
    <n v="119.02"/>
    <n v="154"/>
    <n v="0.55035379887070257"/>
    <x v="19"/>
    <x v="1"/>
    <x v="0"/>
  </r>
  <r>
    <s v="ORD-101959"/>
    <d v="2025-01-07T00:00:00"/>
    <d v="2025-01-09T00:00:00"/>
    <x v="0"/>
    <s v="Liverpool"/>
    <s v="Corporate"/>
    <s v="Retail Store"/>
    <s v="P-003"/>
    <n v="3"/>
    <n v="0.25"/>
    <n v="215.51"/>
    <n v="6.84"/>
    <x v="1"/>
    <x v="1"/>
    <s v="Orbit Supply Co."/>
    <n v="71.489999999999995"/>
    <n v="112.88"/>
    <n v="214.46999999999997"/>
    <n v="-5.7999999999999794"/>
    <n v="-2.6912904273583498E-2"/>
    <x v="20"/>
    <x v="3"/>
    <x v="0"/>
  </r>
  <r>
    <s v="ORD-101960"/>
    <d v="2025-01-15T00:00:00"/>
    <d v="2025-01-20T00:00:00"/>
    <x v="0"/>
    <s v="Birmingham"/>
    <s v="Small Business"/>
    <s v="Retail Store"/>
    <s v="P-010"/>
    <n v="10"/>
    <n v="0"/>
    <n v="54.42"/>
    <n v="9"/>
    <x v="4"/>
    <x v="2"/>
    <s v="Orbit Supply Co."/>
    <n v="3.62"/>
    <n v="6.03"/>
    <n v="36.200000000000003"/>
    <n v="9.2199999999999989"/>
    <n v="0.16942300624770301"/>
    <x v="20"/>
    <x v="1"/>
    <x v="0"/>
  </r>
  <r>
    <s v="ORD-101961"/>
    <d v="2025-07-28T00:00:00"/>
    <d v="2025-07-29T00:00:00"/>
    <x v="3"/>
    <s v="Newcastle"/>
    <s v="Small Business"/>
    <s v="B2B Sales"/>
    <s v="P-010"/>
    <n v="7"/>
    <n v="0"/>
    <n v="39.72"/>
    <n v="4.59"/>
    <x v="4"/>
    <x v="2"/>
    <s v="Orbit Supply Co."/>
    <n v="3.62"/>
    <n v="6.03"/>
    <n v="25.34"/>
    <n v="9.7899999999999991"/>
    <n v="0.24647532729103724"/>
    <x v="4"/>
    <x v="1"/>
    <x v="0"/>
  </r>
  <r>
    <s v="ORD-101962"/>
    <d v="2024-05-11T00:00:00"/>
    <d v="2024-05-12T00:00:00"/>
    <x v="0"/>
    <s v="Birmingham"/>
    <s v="Small Business"/>
    <s v="Online"/>
    <s v="P-002"/>
    <n v="1"/>
    <n v="0.1"/>
    <n v="180.67"/>
    <n v="4.08"/>
    <x v="2"/>
    <x v="1"/>
    <s v="Vertex Trade"/>
    <n v="119.02"/>
    <n v="205.39"/>
    <n v="119.02"/>
    <n v="57.569999999999993"/>
    <n v="0.31864725743067468"/>
    <x v="8"/>
    <x v="0"/>
    <x v="1"/>
  </r>
  <r>
    <s v="ORD-101963"/>
    <d v="2025-06-22T00:00:00"/>
    <d v="2025-06-24T00:00:00"/>
    <x v="3"/>
    <s v="Leeds"/>
    <s v="Small Business"/>
    <s v="Online"/>
    <s v="P-008"/>
    <n v="1"/>
    <n v="0.25"/>
    <n v="157.09"/>
    <n v="5.75"/>
    <x v="6"/>
    <x v="0"/>
    <s v="Vertex Trade"/>
    <n v="112.09"/>
    <n v="192.47"/>
    <n v="112.09"/>
    <n v="39.25"/>
    <n v="0.24985677000445605"/>
    <x v="0"/>
    <x v="3"/>
    <x v="0"/>
  </r>
  <r>
    <s v="ORD-101964"/>
    <d v="2025-04-25T00:00:00"/>
    <d v="2025-04-27T00:00:00"/>
    <x v="2"/>
    <s v="Bristol"/>
    <s v="Home Office"/>
    <s v="B2B Sales"/>
    <s v="P-002"/>
    <n v="4"/>
    <n v="0.05"/>
    <n v="735.96"/>
    <n v="8.2200000000000006"/>
    <x v="2"/>
    <x v="1"/>
    <s v="Vertex Trade"/>
    <n v="119.02"/>
    <n v="205.39"/>
    <n v="476.08"/>
    <n v="251.66000000000005"/>
    <n v="0.34194793195282358"/>
    <x v="15"/>
    <x v="0"/>
    <x v="0"/>
  </r>
  <r>
    <s v="ORD-101965"/>
    <d v="2025-08-10T00:00:00"/>
    <d v="2025-08-16T00:00:00"/>
    <x v="1"/>
    <s v="Norwich"/>
    <s v="Corporate"/>
    <s v="Retail Store"/>
    <s v="P-014"/>
    <n v="11"/>
    <n v="0"/>
    <n v="280.27"/>
    <n v="5.67"/>
    <x v="3"/>
    <x v="2"/>
    <s v="Orbit Supply Co."/>
    <n v="16.760000000000002"/>
    <n v="27.71"/>
    <n v="184.36"/>
    <n v="90.239999999999966"/>
    <n v="0.32197523816319967"/>
    <x v="6"/>
    <x v="1"/>
    <x v="0"/>
  </r>
  <r>
    <s v="ORD-101966"/>
    <d v="2024-03-13T00:00:00"/>
    <d v="2024-03-18T00:00:00"/>
    <x v="0"/>
    <s v="Liverpool"/>
    <s v="Small Business"/>
    <s v="B2B Sales"/>
    <s v="P-011"/>
    <n v="14"/>
    <n v="0"/>
    <n v="205.71"/>
    <n v="10.8"/>
    <x v="9"/>
    <x v="2"/>
    <s v="Orbit Supply Co."/>
    <n v="7.93"/>
    <n v="14.78"/>
    <n v="111.02"/>
    <n v="83.890000000000015"/>
    <n v="0.40780710709250895"/>
    <x v="10"/>
    <x v="1"/>
    <x v="1"/>
  </r>
  <r>
    <s v="ORD-101967"/>
    <d v="2025-07-26T00:00:00"/>
    <d v="2025-07-29T00:00:00"/>
    <x v="2"/>
    <s v="Bristol"/>
    <s v="Corporate"/>
    <s v="B2B Sales"/>
    <s v="P-006"/>
    <n v="3"/>
    <n v="0.05"/>
    <n v="278.36"/>
    <n v="4.95"/>
    <x v="10"/>
    <x v="0"/>
    <s v="Apex Wholesale"/>
    <n v="54.95"/>
    <n v="112.56"/>
    <n v="164.85000000000002"/>
    <n v="108.55999999999999"/>
    <n v="0.38999856301192692"/>
    <x v="4"/>
    <x v="0"/>
    <x v="0"/>
  </r>
  <r>
    <s v="ORD-101968"/>
    <d v="2024-10-17T00:00:00"/>
    <d v="2024-10-18T00:00:00"/>
    <x v="3"/>
    <s v="Leeds"/>
    <s v="Small Business"/>
    <s v="Online"/>
    <s v="P-009"/>
    <n v="7"/>
    <n v="0"/>
    <n v="1073.9100000000001"/>
    <n v="13.25"/>
    <x v="0"/>
    <x v="0"/>
    <s v="Apex Wholesale"/>
    <n v="63.69"/>
    <n v="125.5"/>
    <n v="445.83"/>
    <n v="614.83000000000015"/>
    <n v="0.57251538769543087"/>
    <x v="3"/>
    <x v="1"/>
    <x v="1"/>
  </r>
  <r>
    <s v="ORD-101969"/>
    <d v="2025-10-24T00:00:00"/>
    <d v="2025-10-29T00:00:00"/>
    <x v="0"/>
    <s v="Birmingham"/>
    <s v="Home Office"/>
    <s v="Retail Store"/>
    <s v="P-011"/>
    <n v="13"/>
    <n v="0"/>
    <n v="233.97"/>
    <n v="6.21"/>
    <x v="9"/>
    <x v="2"/>
    <s v="Orbit Supply Co."/>
    <n v="7.93"/>
    <n v="14.78"/>
    <n v="103.09"/>
    <n v="124.67"/>
    <n v="0.53284609137923666"/>
    <x v="22"/>
    <x v="1"/>
    <x v="0"/>
  </r>
  <r>
    <s v="ORD-101970"/>
    <d v="2025-07-09T00:00:00"/>
    <d v="2025-07-13T00:00:00"/>
    <x v="0"/>
    <s v="Birmingham"/>
    <s v="Home Office"/>
    <s v="Online"/>
    <s v="P-008"/>
    <n v="2"/>
    <n v="0"/>
    <n v="336.37"/>
    <n v="4.2"/>
    <x v="6"/>
    <x v="0"/>
    <s v="Vertex Trade"/>
    <n v="112.09"/>
    <n v="192.47"/>
    <n v="224.18"/>
    <n v="107.99"/>
    <n v="0.32104527752177658"/>
    <x v="4"/>
    <x v="1"/>
    <x v="0"/>
  </r>
  <r>
    <s v="ORD-101971"/>
    <d v="2024-04-23T00:00:00"/>
    <d v="2024-04-26T00:00:00"/>
    <x v="0"/>
    <s v="Liverpool"/>
    <s v="Home Office"/>
    <s v="Retail Store"/>
    <s v="P-002"/>
    <n v="2"/>
    <n v="0"/>
    <n v="421.78"/>
    <n v="5.46"/>
    <x v="2"/>
    <x v="1"/>
    <s v="Vertex Trade"/>
    <n v="119.02"/>
    <n v="205.39"/>
    <n v="238.04"/>
    <n v="178.27999999999997"/>
    <n v="0.42268481198729191"/>
    <x v="21"/>
    <x v="1"/>
    <x v="1"/>
  </r>
  <r>
    <s v="ORD-101972"/>
    <d v="2025-07-22T00:00:00"/>
    <d v="2025-07-23T00:00:00"/>
    <x v="3"/>
    <s v="Newcastle"/>
    <s v="Home Office"/>
    <s v="Retail Store"/>
    <s v="P-014"/>
    <n v="12"/>
    <n v="0.2"/>
    <n v="233.29"/>
    <n v="9.9"/>
    <x v="3"/>
    <x v="2"/>
    <s v="Orbit Supply Co."/>
    <n v="16.760000000000002"/>
    <n v="27.71"/>
    <n v="201.12"/>
    <n v="22.269999999999989"/>
    <n v="9.5460585537314027E-2"/>
    <x v="4"/>
    <x v="2"/>
    <x v="0"/>
  </r>
  <r>
    <s v="ORD-101973"/>
    <d v="2025-08-30T00:00:00"/>
    <d v="2025-09-02T00:00:00"/>
    <x v="3"/>
    <s v="Leeds"/>
    <s v="Home Office"/>
    <s v="B2B Sales"/>
    <s v="P-002"/>
    <n v="3"/>
    <n v="0.25"/>
    <n v="416.16"/>
    <n v="6.84"/>
    <x v="2"/>
    <x v="1"/>
    <s v="Vertex Trade"/>
    <n v="119.02"/>
    <n v="205.39"/>
    <n v="357.06"/>
    <n v="52.260000000000019"/>
    <n v="0.12557670126874282"/>
    <x v="6"/>
    <x v="3"/>
    <x v="0"/>
  </r>
  <r>
    <s v="ORD-101974"/>
    <d v="2025-04-19T00:00:00"/>
    <d v="2025-04-25T00:00:00"/>
    <x v="1"/>
    <s v="Cambridge"/>
    <s v="Corporate"/>
    <s v="B2B Sales"/>
    <s v="P-003"/>
    <n v="3"/>
    <n v="0"/>
    <n v="326.29000000000002"/>
    <n v="6.84"/>
    <x v="1"/>
    <x v="1"/>
    <s v="Orbit Supply Co."/>
    <n v="71.489999999999995"/>
    <n v="112.88"/>
    <n v="214.46999999999997"/>
    <n v="104.98000000000005"/>
    <n v="0.32173833093260606"/>
    <x v="15"/>
    <x v="1"/>
    <x v="0"/>
  </r>
  <r>
    <s v="ORD-101975"/>
    <d v="2025-10-17T00:00:00"/>
    <d v="2025-10-21T00:00:00"/>
    <x v="1"/>
    <s v="Cambridge"/>
    <s v="Small Business"/>
    <s v="B2B Sales"/>
    <s v="P-013"/>
    <n v="11"/>
    <n v="0"/>
    <n v="147.01"/>
    <n v="9.4499999999999993"/>
    <x v="11"/>
    <x v="2"/>
    <s v="Apex Wholesale"/>
    <n v="6.33"/>
    <n v="12.16"/>
    <n v="69.63"/>
    <n v="67.929999999999993"/>
    <n v="0.46207740970002037"/>
    <x v="22"/>
    <x v="1"/>
    <x v="0"/>
  </r>
  <r>
    <s v="ORD-101976"/>
    <d v="2025-06-22T00:00:00"/>
    <d v="2025-06-24T00:00:00"/>
    <x v="0"/>
    <s v="Cardiff"/>
    <s v="Corporate"/>
    <s v="B2B Sales"/>
    <s v="P-011"/>
    <n v="7"/>
    <n v="0.2"/>
    <n v="87.63"/>
    <n v="4.59"/>
    <x v="9"/>
    <x v="2"/>
    <s v="Orbit Supply Co."/>
    <n v="7.93"/>
    <n v="14.78"/>
    <n v="55.51"/>
    <n v="27.529999999999998"/>
    <n v="0.31416181672943055"/>
    <x v="0"/>
    <x v="2"/>
    <x v="0"/>
  </r>
  <r>
    <s v="ORD-101977"/>
    <d v="2025-04-08T00:00:00"/>
    <d v="2025-04-14T00:00:00"/>
    <x v="2"/>
    <s v="London"/>
    <s v="Corporate"/>
    <s v="Online"/>
    <s v="P-009"/>
    <n v="5"/>
    <n v="0"/>
    <n v="579.16999999999996"/>
    <n v="6.45"/>
    <x v="0"/>
    <x v="0"/>
    <s v="Apex Wholesale"/>
    <n v="63.69"/>
    <n v="125.5"/>
    <n v="318.45"/>
    <n v="254.26999999999998"/>
    <n v="0.43902481136799215"/>
    <x v="15"/>
    <x v="1"/>
    <x v="0"/>
  </r>
  <r>
    <s v="ORD-101978"/>
    <d v="2025-04-16T00:00:00"/>
    <d v="2025-04-17T00:00:00"/>
    <x v="0"/>
    <s v="Cardiff"/>
    <s v="Small Business"/>
    <s v="Retail Store"/>
    <s v="P-008"/>
    <n v="1"/>
    <n v="0.1"/>
    <n v="177.93"/>
    <n v="3.45"/>
    <x v="6"/>
    <x v="0"/>
    <s v="Vertex Trade"/>
    <n v="112.09"/>
    <n v="192.47"/>
    <n v="112.09"/>
    <n v="62.39"/>
    <n v="0.35064351149328388"/>
    <x v="15"/>
    <x v="0"/>
    <x v="0"/>
  </r>
  <r>
    <s v="ORD-101979"/>
    <d v="2025-04-28T00:00:00"/>
    <d v="2025-04-30T00:00:00"/>
    <x v="3"/>
    <s v="Leeds"/>
    <s v="Small Business"/>
    <s v="Online"/>
    <s v="P-009"/>
    <n v="2"/>
    <n v="0.2"/>
    <n v="192.41"/>
    <n v="4.2"/>
    <x v="0"/>
    <x v="0"/>
    <s v="Apex Wholesale"/>
    <n v="63.69"/>
    <n v="125.5"/>
    <n v="127.38"/>
    <n v="60.83"/>
    <n v="0.31614780936541759"/>
    <x v="15"/>
    <x v="2"/>
    <x v="0"/>
  </r>
  <r>
    <s v="ORD-101980"/>
    <d v="2024-09-09T00:00:00"/>
    <d v="2024-09-11T00:00:00"/>
    <x v="0"/>
    <s v="Cardiff"/>
    <s v="Corporate"/>
    <s v="Online"/>
    <s v="P-007"/>
    <n v="1"/>
    <n v="0"/>
    <n v="62.94"/>
    <n v="3.45"/>
    <x v="7"/>
    <x v="0"/>
    <s v="Luma Imports"/>
    <n v="31.34"/>
    <n v="56.49"/>
    <n v="31.34"/>
    <n v="28.15"/>
    <n v="0.44725135049253256"/>
    <x v="23"/>
    <x v="1"/>
    <x v="1"/>
  </r>
  <r>
    <s v="ORD-101981"/>
    <d v="2025-08-25T00:00:00"/>
    <d v="2025-08-30T00:00:00"/>
    <x v="2"/>
    <s v="Brighton"/>
    <s v="Small Business"/>
    <s v="B2B Sales"/>
    <s v="P-008"/>
    <n v="4"/>
    <n v="0"/>
    <n v="748.77"/>
    <n v="5.7"/>
    <x v="6"/>
    <x v="0"/>
    <s v="Vertex Trade"/>
    <n v="112.09"/>
    <n v="192.47"/>
    <n v="448.36"/>
    <n v="294.70999999999998"/>
    <n v="0.39359215780546764"/>
    <x v="6"/>
    <x v="1"/>
    <x v="0"/>
  </r>
  <r>
    <s v="ORD-101982"/>
    <d v="2025-12-29T00:00:00"/>
    <d v="2026-01-01T00:00:00"/>
    <x v="3"/>
    <s v="Leeds"/>
    <s v="Corporate"/>
    <s v="Retail Store"/>
    <s v="P-011"/>
    <n v="12"/>
    <n v="0.25"/>
    <n v="199.2"/>
    <n v="5.94"/>
    <x v="9"/>
    <x v="2"/>
    <s v="Orbit Supply Co."/>
    <n v="7.93"/>
    <n v="14.78"/>
    <n v="95.16"/>
    <n v="98.1"/>
    <n v="0.49246987951807231"/>
    <x v="13"/>
    <x v="3"/>
    <x v="0"/>
  </r>
  <r>
    <s v="ORD-101983"/>
    <d v="2025-12-27T00:00:00"/>
    <d v="2025-12-29T00:00:00"/>
    <x v="2"/>
    <s v="Bristol"/>
    <s v="Corporate"/>
    <s v="Online"/>
    <s v="P-012"/>
    <n v="7"/>
    <n v="0"/>
    <n v="79.849999999999994"/>
    <n v="7.65"/>
    <x v="14"/>
    <x v="2"/>
    <s v="Luma Imports"/>
    <n v="4.5"/>
    <n v="8.2899999999999991"/>
    <n v="31.5"/>
    <n v="40.699999999999996"/>
    <n v="0.50970569818409517"/>
    <x v="13"/>
    <x v="1"/>
    <x v="0"/>
  </r>
  <r>
    <s v="ORD-101984"/>
    <d v="2024-06-01T00:00:00"/>
    <d v="2024-06-02T00:00:00"/>
    <x v="2"/>
    <s v="Bristol"/>
    <s v="Small Business"/>
    <s v="Online"/>
    <s v="P-008"/>
    <n v="3"/>
    <n v="0.15"/>
    <n v="481.85"/>
    <n v="4.95"/>
    <x v="6"/>
    <x v="0"/>
    <s v="Vertex Trade"/>
    <n v="112.09"/>
    <n v="192.47"/>
    <n v="336.27"/>
    <n v="140.63000000000005"/>
    <n v="0.29185431150773072"/>
    <x v="17"/>
    <x v="2"/>
    <x v="1"/>
  </r>
  <r>
    <s v="ORD-101985"/>
    <d v="2024-10-11T00:00:00"/>
    <d v="2024-10-16T00:00:00"/>
    <x v="0"/>
    <s v="Birmingham"/>
    <s v="Home Office"/>
    <s v="Online"/>
    <s v="P-001"/>
    <n v="4"/>
    <n v="0.15"/>
    <n v="1072.1600000000001"/>
    <n v="8.2200000000000006"/>
    <x v="12"/>
    <x v="1"/>
    <s v="Luma Imports"/>
    <n v="173.56"/>
    <n v="286.14999999999998"/>
    <n v="694.24"/>
    <n v="369.70000000000005"/>
    <n v="0.34481793762125057"/>
    <x v="3"/>
    <x v="2"/>
    <x v="1"/>
  </r>
  <r>
    <s v="ORD-101986"/>
    <d v="2024-01-21T00:00:00"/>
    <d v="2024-01-26T00:00:00"/>
    <x v="2"/>
    <s v="Bristol"/>
    <s v="Corporate"/>
    <s v="Retail Store"/>
    <s v="P-012"/>
    <n v="8"/>
    <n v="0.2"/>
    <n v="45.57"/>
    <n v="8.1"/>
    <x v="14"/>
    <x v="2"/>
    <s v="Luma Imports"/>
    <n v="4.5"/>
    <n v="8.2899999999999991"/>
    <n v="36"/>
    <n v="1.4700000000000006"/>
    <n v="3.2258064516129045E-2"/>
    <x v="18"/>
    <x v="2"/>
    <x v="1"/>
  </r>
  <r>
    <s v="ORD-101987"/>
    <d v="2024-10-22T00:00:00"/>
    <d v="2024-10-27T00:00:00"/>
    <x v="1"/>
    <s v="Peterborough"/>
    <s v="Corporate"/>
    <s v="Online"/>
    <s v="P-014"/>
    <n v="4"/>
    <n v="0.05"/>
    <n v="127.49"/>
    <n v="3.78"/>
    <x v="3"/>
    <x v="2"/>
    <s v="Orbit Supply Co."/>
    <n v="16.760000000000002"/>
    <n v="27.71"/>
    <n v="67.040000000000006"/>
    <n v="56.669999999999987"/>
    <n v="0.4445054514079535"/>
    <x v="3"/>
    <x v="0"/>
    <x v="1"/>
  </r>
  <r>
    <s v="ORD-101988"/>
    <d v="2025-04-22T00:00:00"/>
    <d v="2025-04-24T00:00:00"/>
    <x v="3"/>
    <s v="Leeds"/>
    <s v="Home Office"/>
    <s v="B2B Sales"/>
    <s v="P-003"/>
    <n v="3"/>
    <n v="0"/>
    <n v="340.76"/>
    <n v="11.4"/>
    <x v="1"/>
    <x v="1"/>
    <s v="Orbit Supply Co."/>
    <n v="71.489999999999995"/>
    <n v="112.88"/>
    <n v="214.46999999999997"/>
    <n v="114.89000000000001"/>
    <n v="0.33715811714990029"/>
    <x v="15"/>
    <x v="1"/>
    <x v="0"/>
  </r>
  <r>
    <s v="ORD-101989"/>
    <d v="2025-08-26T00:00:00"/>
    <d v="2025-08-27T00:00:00"/>
    <x v="2"/>
    <s v="London"/>
    <s v="Small Business"/>
    <s v="Online"/>
    <s v="P-013"/>
    <n v="5"/>
    <n v="0.2"/>
    <n v="48.83"/>
    <n v="4.05"/>
    <x v="11"/>
    <x v="2"/>
    <s v="Apex Wholesale"/>
    <n v="6.33"/>
    <n v="12.16"/>
    <n v="31.65"/>
    <n v="13.129999999999999"/>
    <n v="0.2688920745443375"/>
    <x v="6"/>
    <x v="2"/>
    <x v="0"/>
  </r>
  <r>
    <s v="ORD-101990"/>
    <d v="2025-07-22T00:00:00"/>
    <d v="2025-07-24T00:00:00"/>
    <x v="1"/>
    <s v="Cambridge"/>
    <s v="Home Office"/>
    <s v="Retail Store"/>
    <s v="P-008"/>
    <n v="4"/>
    <n v="0"/>
    <n v="721.94"/>
    <n v="9.5"/>
    <x v="6"/>
    <x v="0"/>
    <s v="Vertex Trade"/>
    <n v="112.09"/>
    <n v="192.47"/>
    <n v="448.36"/>
    <n v="264.08000000000004"/>
    <n v="0.36579217109455081"/>
    <x v="4"/>
    <x v="1"/>
    <x v="0"/>
  </r>
  <r>
    <s v="ORD-101991"/>
    <d v="2024-08-29T00:00:00"/>
    <d v="2024-09-02T00:00:00"/>
    <x v="0"/>
    <s v="Liverpool"/>
    <s v="Home Office"/>
    <s v="Retail Store"/>
    <s v="P-009"/>
    <n v="1"/>
    <n v="0"/>
    <n v="115.02"/>
    <n v="3.45"/>
    <x v="0"/>
    <x v="0"/>
    <s v="Apex Wholesale"/>
    <n v="63.69"/>
    <n v="125.5"/>
    <n v="63.69"/>
    <n v="47.879999999999995"/>
    <n v="0.41627543035993736"/>
    <x v="7"/>
    <x v="1"/>
    <x v="1"/>
  </r>
  <r>
    <s v="ORD-101992"/>
    <d v="2024-12-08T00:00:00"/>
    <d v="2024-12-09T00:00:00"/>
    <x v="1"/>
    <s v="Norwich"/>
    <s v="Corporate"/>
    <s v="Online"/>
    <s v="P-005"/>
    <n v="4"/>
    <n v="0.1"/>
    <n v="275.27999999999997"/>
    <n v="5.7"/>
    <x v="13"/>
    <x v="0"/>
    <s v="Apex Wholesale"/>
    <n v="25.33"/>
    <n v="51.56"/>
    <n v="101.32"/>
    <n v="168.26"/>
    <n v="0.61123219994187739"/>
    <x v="9"/>
    <x v="0"/>
    <x v="1"/>
  </r>
  <r>
    <s v="ORD-101993"/>
    <d v="2024-06-04T00:00:00"/>
    <d v="2024-06-09T00:00:00"/>
    <x v="1"/>
    <s v="Norwich"/>
    <s v="Small Business"/>
    <s v="B2B Sales"/>
    <s v="P-009"/>
    <n v="1"/>
    <n v="0"/>
    <n v="136.81"/>
    <n v="3.45"/>
    <x v="0"/>
    <x v="0"/>
    <s v="Apex Wholesale"/>
    <n v="63.69"/>
    <n v="125.5"/>
    <n v="63.69"/>
    <n v="69.67"/>
    <n v="0.50924640011695055"/>
    <x v="17"/>
    <x v="1"/>
    <x v="1"/>
  </r>
  <r>
    <s v="ORD-101994"/>
    <d v="2024-06-23T00:00:00"/>
    <d v="2024-06-28T00:00:00"/>
    <x v="0"/>
    <s v="Liverpool"/>
    <s v="Home Office"/>
    <s v="Retail Store"/>
    <s v="P-005"/>
    <n v="3"/>
    <n v="0"/>
    <n v="157.82"/>
    <n v="8.25"/>
    <x v="13"/>
    <x v="0"/>
    <s v="Apex Wholesale"/>
    <n v="25.33"/>
    <n v="51.56"/>
    <n v="75.989999999999995"/>
    <n v="73.58"/>
    <n v="0.46622734761120266"/>
    <x v="17"/>
    <x v="1"/>
    <x v="1"/>
  </r>
  <r>
    <s v="ORD-101995"/>
    <d v="2024-07-01T00:00:00"/>
    <d v="2024-07-04T00:00:00"/>
    <x v="2"/>
    <s v="Brighton"/>
    <s v="Home Office"/>
    <s v="Retail Store"/>
    <s v="P-005"/>
    <n v="1"/>
    <n v="0.25"/>
    <n v="36.979999999999997"/>
    <n v="5.75"/>
    <x v="13"/>
    <x v="0"/>
    <s v="Apex Wholesale"/>
    <n v="25.33"/>
    <n v="51.56"/>
    <n v="25.33"/>
    <n v="5.8999999999999986"/>
    <n v="0.15954570037858298"/>
    <x v="16"/>
    <x v="3"/>
    <x v="1"/>
  </r>
  <r>
    <s v="ORD-101996"/>
    <d v="2024-07-02T00:00:00"/>
    <d v="2024-07-06T00:00:00"/>
    <x v="0"/>
    <s v="Cardiff"/>
    <s v="Home Office"/>
    <s v="B2B Sales"/>
    <s v="P-001"/>
    <n v="3"/>
    <n v="0"/>
    <n v="809.73"/>
    <n v="6.84"/>
    <x v="12"/>
    <x v="1"/>
    <s v="Luma Imports"/>
    <n v="173.56"/>
    <n v="286.14999999999998"/>
    <n v="520.68000000000006"/>
    <n v="282.20999999999998"/>
    <n v="0.34852358193471894"/>
    <x v="16"/>
    <x v="1"/>
    <x v="1"/>
  </r>
  <r>
    <s v="ORD-101997"/>
    <d v="2024-08-31T00:00:00"/>
    <d v="2024-09-04T00:00:00"/>
    <x v="2"/>
    <s v="Brighton"/>
    <s v="Home Office"/>
    <s v="B2B Sales"/>
    <s v="P-015"/>
    <n v="9"/>
    <n v="0.1"/>
    <n v="44.44"/>
    <n v="8.5500000000000007"/>
    <x v="8"/>
    <x v="2"/>
    <s v="Luma Imports"/>
    <n v="3.3"/>
    <n v="6.13"/>
    <n v="29.7"/>
    <n v="6.1899999999999977"/>
    <n v="0.13928892889288924"/>
    <x v="7"/>
    <x v="0"/>
    <x v="1"/>
  </r>
  <r>
    <s v="ORD-101998"/>
    <d v="2024-08-21T00:00:00"/>
    <d v="2024-08-24T00:00:00"/>
    <x v="1"/>
    <s v="Norwich"/>
    <s v="Corporate"/>
    <s v="B2B Sales"/>
    <s v="P-006"/>
    <n v="7"/>
    <n v="0.2"/>
    <n v="630.75"/>
    <n v="7.95"/>
    <x v="10"/>
    <x v="0"/>
    <s v="Apex Wholesale"/>
    <n v="54.95"/>
    <n v="112.56"/>
    <n v="384.65000000000003"/>
    <n v="238.14999999999998"/>
    <n v="0.37756638921918345"/>
    <x v="7"/>
    <x v="2"/>
    <x v="1"/>
  </r>
  <r>
    <s v="ORD-101999"/>
    <d v="2025-12-10T00:00:00"/>
    <d v="2025-12-13T00:00:00"/>
    <x v="3"/>
    <s v="Newcastle"/>
    <s v="Corporate"/>
    <s v="Retail Store"/>
    <s v="P-003"/>
    <n v="2"/>
    <n v="0"/>
    <n v="334.92"/>
    <n v="9.1"/>
    <x v="1"/>
    <x v="1"/>
    <s v="Orbit Supply Co."/>
    <n v="71.489999999999995"/>
    <n v="112.88"/>
    <n v="142.97999999999999"/>
    <n v="182.84000000000003"/>
    <n v="0.5459214140690315"/>
    <x v="13"/>
    <x v="1"/>
    <x v="0"/>
  </r>
  <r>
    <s v="ORD-102000"/>
    <d v="2025-02-03T00:00:00"/>
    <d v="2025-02-09T00:00:00"/>
    <x v="3"/>
    <s v="Manchester"/>
    <s v="Home Office"/>
    <s v="Online"/>
    <s v="P-011"/>
    <n v="3"/>
    <n v="0.1"/>
    <n v="37.409999999999997"/>
    <n v="5.85"/>
    <x v="9"/>
    <x v="2"/>
    <s v="Orbit Supply Co."/>
    <n v="7.93"/>
    <n v="14.78"/>
    <n v="23.79"/>
    <n v="7.7699999999999978"/>
    <n v="0.20769847634322369"/>
    <x v="5"/>
    <x v="0"/>
    <x v="0"/>
  </r>
  <r>
    <s v="ORD-102001"/>
    <d v="2024-12-12T00:00:00"/>
    <d v="2024-12-17T00:00:00"/>
    <x v="3"/>
    <s v="Leeds"/>
    <s v="Home Office"/>
    <s v="Retail Store"/>
    <s v="P-004"/>
    <n v="3"/>
    <n v="0"/>
    <n v="468.96"/>
    <n v="6.84"/>
    <x v="5"/>
    <x v="1"/>
    <s v="Cedar Distribution"/>
    <n v="63.6"/>
    <n v="107.94"/>
    <n v="190.8"/>
    <n v="271.32"/>
    <n v="0.57855680655066533"/>
    <x v="9"/>
    <x v="1"/>
    <x v="1"/>
  </r>
  <r>
    <s v="ORD-102002"/>
    <d v="2025-01-11T00:00:00"/>
    <d v="2025-01-13T00:00:00"/>
    <x v="1"/>
    <s v="Norwich"/>
    <s v="Small Business"/>
    <s v="Retail Store"/>
    <s v="P-003"/>
    <n v="5"/>
    <n v="0.05"/>
    <n v="472.41"/>
    <n v="9.6"/>
    <x v="1"/>
    <x v="1"/>
    <s v="Orbit Supply Co."/>
    <n v="71.489999999999995"/>
    <n v="112.88"/>
    <n v="357.45"/>
    <n v="105.36000000000004"/>
    <n v="0.22302660824283999"/>
    <x v="20"/>
    <x v="0"/>
    <x v="0"/>
  </r>
  <r>
    <s v="ORD-102003"/>
    <d v="2025-09-19T00:00:00"/>
    <d v="2025-09-24T00:00:00"/>
    <x v="3"/>
    <s v="Newcastle"/>
    <s v="Home Office"/>
    <s v="Retail Store"/>
    <s v="P-015"/>
    <n v="7"/>
    <n v="0"/>
    <n v="44.04"/>
    <n v="4.59"/>
    <x v="8"/>
    <x v="2"/>
    <s v="Luma Imports"/>
    <n v="3.3"/>
    <n v="6.13"/>
    <n v="23.099999999999998"/>
    <n v="16.350000000000001"/>
    <n v="0.37125340599455042"/>
    <x v="11"/>
    <x v="1"/>
    <x v="0"/>
  </r>
  <r>
    <s v="ORD-102004"/>
    <d v="2025-05-11T00:00:00"/>
    <d v="2025-05-15T00:00:00"/>
    <x v="2"/>
    <s v="Brighton"/>
    <s v="Corporate"/>
    <s v="B2B Sales"/>
    <s v="P-015"/>
    <n v="3"/>
    <n v="0"/>
    <n v="19.2"/>
    <n v="5.85"/>
    <x v="8"/>
    <x v="2"/>
    <s v="Luma Imports"/>
    <n v="3.3"/>
    <n v="6.13"/>
    <n v="9.8999999999999986"/>
    <n v="3.4500000000000011"/>
    <n v="0.17968750000000006"/>
    <x v="1"/>
    <x v="1"/>
    <x v="0"/>
  </r>
  <r>
    <s v="ORD-102005"/>
    <d v="2024-09-12T00:00:00"/>
    <d v="2024-09-13T00:00:00"/>
    <x v="2"/>
    <s v="London"/>
    <s v="Home Office"/>
    <s v="B2B Sales"/>
    <s v="P-007"/>
    <n v="2"/>
    <n v="0.05"/>
    <n v="121.07"/>
    <n v="7"/>
    <x v="7"/>
    <x v="0"/>
    <s v="Luma Imports"/>
    <n v="31.34"/>
    <n v="56.49"/>
    <n v="62.68"/>
    <n v="51.389999999999993"/>
    <n v="0.42446518542991657"/>
    <x v="23"/>
    <x v="0"/>
    <x v="1"/>
  </r>
  <r>
    <s v="ORD-102006"/>
    <d v="2025-09-09T00:00:00"/>
    <d v="2025-09-12T00:00:00"/>
    <x v="3"/>
    <s v="Manchester"/>
    <s v="Home Office"/>
    <s v="Retail Store"/>
    <s v="P-004"/>
    <n v="2"/>
    <n v="0"/>
    <n v="224.46"/>
    <n v="5.46"/>
    <x v="5"/>
    <x v="1"/>
    <s v="Cedar Distribution"/>
    <n v="63.6"/>
    <n v="107.94"/>
    <n v="127.2"/>
    <n v="91.800000000000011"/>
    <n v="0.40898155573376105"/>
    <x v="11"/>
    <x v="1"/>
    <x v="0"/>
  </r>
  <r>
    <s v="ORD-102007"/>
    <d v="2024-03-08T00:00:00"/>
    <d v="2024-03-13T00:00:00"/>
    <x v="1"/>
    <s v="Norwich"/>
    <s v="Small Business"/>
    <s v="Retail Store"/>
    <s v="P-007"/>
    <n v="4"/>
    <n v="0"/>
    <n v="213.07"/>
    <n v="5.7"/>
    <x v="7"/>
    <x v="0"/>
    <s v="Luma Imports"/>
    <n v="31.34"/>
    <n v="56.49"/>
    <n v="125.36"/>
    <n v="82.009999999999991"/>
    <n v="0.38489698221241841"/>
    <x v="10"/>
    <x v="1"/>
    <x v="1"/>
  </r>
  <r>
    <s v="ORD-102008"/>
    <d v="2024-08-25T00:00:00"/>
    <d v="2024-08-28T00:00:00"/>
    <x v="3"/>
    <s v="Leeds"/>
    <s v="Corporate"/>
    <s v="Online"/>
    <s v="P-003"/>
    <n v="1"/>
    <n v="0.15"/>
    <n v="91.01"/>
    <n v="4.08"/>
    <x v="1"/>
    <x v="1"/>
    <s v="Orbit Supply Co."/>
    <n v="71.489999999999995"/>
    <n v="112.88"/>
    <n v="71.489999999999995"/>
    <n v="15.44000000000001"/>
    <n v="0.16965168662784319"/>
    <x v="7"/>
    <x v="2"/>
    <x v="1"/>
  </r>
  <r>
    <s v="ORD-102009"/>
    <d v="2025-08-07T00:00:00"/>
    <d v="2025-08-09T00:00:00"/>
    <x v="2"/>
    <s v="Brighton"/>
    <s v="Small Business"/>
    <s v="Retail Store"/>
    <s v="P-015"/>
    <n v="14"/>
    <n v="0"/>
    <n v="83.75"/>
    <n v="10.8"/>
    <x v="8"/>
    <x v="2"/>
    <s v="Luma Imports"/>
    <n v="3.3"/>
    <n v="6.13"/>
    <n v="46.199999999999996"/>
    <n v="26.750000000000004"/>
    <n v="0.31940298507462689"/>
    <x v="6"/>
    <x v="1"/>
    <x v="0"/>
  </r>
  <r>
    <s v="ORD-102010"/>
    <d v="2025-11-20T00:00:00"/>
    <d v="2025-11-23T00:00:00"/>
    <x v="2"/>
    <s v="Bristol"/>
    <s v="Home Office"/>
    <s v="Retail Store"/>
    <s v="P-005"/>
    <n v="4"/>
    <n v="0.2"/>
    <n v="219.02"/>
    <n v="5.7"/>
    <x v="13"/>
    <x v="0"/>
    <s v="Apex Wholesale"/>
    <n v="25.33"/>
    <n v="51.56"/>
    <n v="101.32"/>
    <n v="112.00000000000001"/>
    <n v="0.51136882476486167"/>
    <x v="19"/>
    <x v="2"/>
    <x v="0"/>
  </r>
  <r>
    <s v="ORD-102011"/>
    <d v="2025-02-17T00:00:00"/>
    <d v="2025-02-18T00:00:00"/>
    <x v="1"/>
    <s v="Cambridge"/>
    <s v="Small Business"/>
    <s v="B2B Sales"/>
    <s v="P-014"/>
    <n v="5"/>
    <n v="0.2"/>
    <n v="97.57"/>
    <n v="4.05"/>
    <x v="3"/>
    <x v="2"/>
    <s v="Orbit Supply Co."/>
    <n v="16.760000000000002"/>
    <n v="27.71"/>
    <n v="83.800000000000011"/>
    <n v="9.7199999999999811"/>
    <n v="9.9620785077380161E-2"/>
    <x v="5"/>
    <x v="2"/>
    <x v="0"/>
  </r>
  <r>
    <s v="ORD-102012"/>
    <d v="2024-11-19T00:00:00"/>
    <d v="2024-11-25T00:00:00"/>
    <x v="2"/>
    <s v="Brighton"/>
    <s v="Corporate"/>
    <s v="Retail Store"/>
    <s v="P-014"/>
    <n v="12"/>
    <n v="0"/>
    <n v="454.38"/>
    <n v="9.9"/>
    <x v="3"/>
    <x v="2"/>
    <s v="Orbit Supply Co."/>
    <n v="16.760000000000002"/>
    <n v="27.71"/>
    <n v="201.12"/>
    <n v="243.35999999999999"/>
    <n v="0.53558695365112896"/>
    <x v="14"/>
    <x v="1"/>
    <x v="1"/>
  </r>
  <r>
    <s v="ORD-102013"/>
    <d v="2025-08-05T00:00:00"/>
    <d v="2025-08-10T00:00:00"/>
    <x v="2"/>
    <s v="London"/>
    <s v="Home Office"/>
    <s v="Retail Store"/>
    <s v="P-005"/>
    <n v="5"/>
    <n v="0"/>
    <n v="247.64"/>
    <n v="6.45"/>
    <x v="13"/>
    <x v="0"/>
    <s v="Apex Wholesale"/>
    <n v="25.33"/>
    <n v="51.56"/>
    <n v="126.64999999999999"/>
    <n v="114.53999999999999"/>
    <n v="0.46252624777903406"/>
    <x v="6"/>
    <x v="1"/>
    <x v="0"/>
  </r>
  <r>
    <s v="ORD-102014"/>
    <d v="2024-12-30T00:00:00"/>
    <d v="2025-01-04T00:00:00"/>
    <x v="0"/>
    <s v="Liverpool"/>
    <s v="Small Business"/>
    <s v="B2B Sales"/>
    <s v="P-002"/>
    <n v="7"/>
    <n v="0.15"/>
    <n v="1804.35"/>
    <n v="20.6"/>
    <x v="2"/>
    <x v="1"/>
    <s v="Vertex Trade"/>
    <n v="119.02"/>
    <n v="205.39"/>
    <n v="833.14"/>
    <n v="950.6099999999999"/>
    <n v="0.52684346163438356"/>
    <x v="9"/>
    <x v="2"/>
    <x v="1"/>
  </r>
  <r>
    <s v="ORD-102015"/>
    <d v="2024-11-06T00:00:00"/>
    <d v="2024-11-12T00:00:00"/>
    <x v="3"/>
    <s v="Manchester"/>
    <s v="Small Business"/>
    <s v="Online"/>
    <s v="P-002"/>
    <n v="2"/>
    <n v="0"/>
    <n v="535.14"/>
    <n v="9.1"/>
    <x v="2"/>
    <x v="1"/>
    <s v="Vertex Trade"/>
    <n v="119.02"/>
    <n v="205.39"/>
    <n v="238.04"/>
    <n v="288"/>
    <n v="0.53817692566431219"/>
    <x v="14"/>
    <x v="1"/>
    <x v="1"/>
  </r>
  <r>
    <s v="ORD-102016"/>
    <d v="2024-12-17T00:00:00"/>
    <d v="2024-12-20T00:00:00"/>
    <x v="3"/>
    <s v="Newcastle"/>
    <s v="Corporate"/>
    <s v="B2B Sales"/>
    <s v="P-004"/>
    <n v="4"/>
    <n v="0"/>
    <n v="608"/>
    <n v="13.7"/>
    <x v="5"/>
    <x v="1"/>
    <s v="Cedar Distribution"/>
    <n v="63.6"/>
    <n v="107.94"/>
    <n v="254.4"/>
    <n v="339.90000000000003"/>
    <n v="0.55904605263157903"/>
    <x v="9"/>
    <x v="1"/>
    <x v="1"/>
  </r>
  <r>
    <s v="ORD-102017"/>
    <d v="2025-04-11T00:00:00"/>
    <d v="2025-04-14T00:00:00"/>
    <x v="2"/>
    <s v="London"/>
    <s v="Corporate"/>
    <s v="Retail Store"/>
    <s v="P-008"/>
    <n v="3"/>
    <n v="0.25"/>
    <n v="402.52"/>
    <n v="8.25"/>
    <x v="6"/>
    <x v="0"/>
    <s v="Vertex Trade"/>
    <n v="112.09"/>
    <n v="192.47"/>
    <n v="336.27"/>
    <n v="58"/>
    <n v="0.14409221902017291"/>
    <x v="15"/>
    <x v="3"/>
    <x v="0"/>
  </r>
  <r>
    <s v="ORD-102018"/>
    <d v="2025-11-17T00:00:00"/>
    <d v="2025-11-18T00:00:00"/>
    <x v="2"/>
    <s v="Bristol"/>
    <s v="Home Office"/>
    <s v="Retail Store"/>
    <s v="P-013"/>
    <n v="11"/>
    <n v="0"/>
    <n v="172.86"/>
    <n v="5.67"/>
    <x v="11"/>
    <x v="2"/>
    <s v="Apex Wholesale"/>
    <n v="6.33"/>
    <n v="12.16"/>
    <n v="69.63"/>
    <n v="97.560000000000016"/>
    <n v="0.56438736549809099"/>
    <x v="19"/>
    <x v="1"/>
    <x v="0"/>
  </r>
  <r>
    <s v="ORD-102019"/>
    <d v="2025-05-29T00:00:00"/>
    <d v="2025-06-04T00:00:00"/>
    <x v="1"/>
    <s v="Peterborough"/>
    <s v="Small Business"/>
    <s v="Retail Store"/>
    <s v="P-002"/>
    <n v="3"/>
    <n v="0.1"/>
    <n v="548.83000000000004"/>
    <n v="6.84"/>
    <x v="2"/>
    <x v="1"/>
    <s v="Vertex Trade"/>
    <n v="119.02"/>
    <n v="205.39"/>
    <n v="357.06"/>
    <n v="184.93000000000004"/>
    <n v="0.33695315489313632"/>
    <x v="1"/>
    <x v="0"/>
    <x v="0"/>
  </r>
  <r>
    <s v="ORD-102020"/>
    <d v="2025-06-07T00:00:00"/>
    <d v="2025-06-09T00:00:00"/>
    <x v="2"/>
    <s v="Bristol"/>
    <s v="Small Business"/>
    <s v="Online"/>
    <s v="P-010"/>
    <n v="11"/>
    <n v="0.25"/>
    <n v="49.17"/>
    <n v="9.4499999999999993"/>
    <x v="4"/>
    <x v="2"/>
    <s v="Orbit Supply Co."/>
    <n v="3.62"/>
    <n v="6.03"/>
    <n v="39.82"/>
    <n v="-9.9999999999997868E-2"/>
    <n v="-2.0337604230221246E-3"/>
    <x v="0"/>
    <x v="3"/>
    <x v="0"/>
  </r>
  <r>
    <s v="ORD-102021"/>
    <d v="2025-12-07T00:00:00"/>
    <d v="2025-12-13T00:00:00"/>
    <x v="1"/>
    <s v="Peterborough"/>
    <s v="Small Business"/>
    <s v="B2B Sales"/>
    <s v="P-004"/>
    <n v="3"/>
    <n v="0.1"/>
    <n v="427.34"/>
    <n v="6.84"/>
    <x v="5"/>
    <x v="1"/>
    <s v="Cedar Distribution"/>
    <n v="63.6"/>
    <n v="107.94"/>
    <n v="190.8"/>
    <n v="229.69999999999996"/>
    <n v="0.53751111527121254"/>
    <x v="13"/>
    <x v="0"/>
    <x v="0"/>
  </r>
  <r>
    <s v="ORD-102022"/>
    <d v="2025-01-18T00:00:00"/>
    <d v="2025-01-19T00:00:00"/>
    <x v="1"/>
    <s v="Peterborough"/>
    <s v="Home Office"/>
    <s v="Retail Store"/>
    <s v="P-006"/>
    <n v="2"/>
    <n v="0.15"/>
    <n v="175.33"/>
    <n v="7"/>
    <x v="10"/>
    <x v="0"/>
    <s v="Apex Wholesale"/>
    <n v="54.95"/>
    <n v="112.56"/>
    <n v="109.9"/>
    <n v="58.430000000000007"/>
    <n v="0.33325728626019507"/>
    <x v="20"/>
    <x v="2"/>
    <x v="0"/>
  </r>
  <r>
    <s v="ORD-102023"/>
    <d v="2025-12-24T00:00:00"/>
    <d v="2025-12-28T00:00:00"/>
    <x v="2"/>
    <s v="London"/>
    <s v="Small Business"/>
    <s v="Retail Store"/>
    <s v="P-001"/>
    <n v="2"/>
    <n v="0"/>
    <n v="839.53"/>
    <n v="5.46"/>
    <x v="12"/>
    <x v="1"/>
    <s v="Luma Imports"/>
    <n v="173.56"/>
    <n v="286.14999999999998"/>
    <n v="347.12"/>
    <n v="486.95"/>
    <n v="0.5800269198241873"/>
    <x v="13"/>
    <x v="1"/>
    <x v="0"/>
  </r>
  <r>
    <s v="ORD-102024"/>
    <d v="2025-10-28T00:00:00"/>
    <d v="2025-11-03T00:00:00"/>
    <x v="1"/>
    <s v="Peterborough"/>
    <s v="Home Office"/>
    <s v="B2B Sales"/>
    <s v="P-006"/>
    <n v="5"/>
    <n v="0.2"/>
    <n v="511.12"/>
    <n v="6.45"/>
    <x v="10"/>
    <x v="0"/>
    <s v="Apex Wholesale"/>
    <n v="54.95"/>
    <n v="112.56"/>
    <n v="274.75"/>
    <n v="229.92000000000002"/>
    <n v="0.44983565503208645"/>
    <x v="22"/>
    <x v="2"/>
    <x v="0"/>
  </r>
  <r>
    <s v="ORD-102025"/>
    <d v="2024-09-15T00:00:00"/>
    <d v="2024-09-18T00:00:00"/>
    <x v="3"/>
    <s v="Manchester"/>
    <s v="Small Business"/>
    <s v="B2B Sales"/>
    <s v="P-012"/>
    <n v="12"/>
    <n v="0.25"/>
    <n v="79.88"/>
    <n v="5.94"/>
    <x v="14"/>
    <x v="2"/>
    <s v="Luma Imports"/>
    <n v="4.5"/>
    <n v="8.2899999999999991"/>
    <n v="54"/>
    <n v="19.939999999999994"/>
    <n v="0.24962443665498241"/>
    <x v="23"/>
    <x v="3"/>
    <x v="1"/>
  </r>
  <r>
    <s v="ORD-102026"/>
    <d v="2025-12-15T00:00:00"/>
    <d v="2025-12-20T00:00:00"/>
    <x v="0"/>
    <s v="Cardiff"/>
    <s v="Home Office"/>
    <s v="Retail Store"/>
    <s v="P-008"/>
    <n v="1"/>
    <n v="0"/>
    <n v="276.39"/>
    <n v="3.45"/>
    <x v="6"/>
    <x v="0"/>
    <s v="Vertex Trade"/>
    <n v="112.09"/>
    <n v="192.47"/>
    <n v="112.09"/>
    <n v="160.85"/>
    <n v="0.58196750967835309"/>
    <x v="13"/>
    <x v="1"/>
    <x v="0"/>
  </r>
  <r>
    <s v="ORD-102027"/>
    <d v="2024-07-21T00:00:00"/>
    <d v="2024-07-26T00:00:00"/>
    <x v="3"/>
    <s v="Newcastle"/>
    <s v="Small Business"/>
    <s v="Retail Store"/>
    <s v="P-006"/>
    <n v="4"/>
    <n v="0.25"/>
    <n v="325.41000000000003"/>
    <n v="5.7"/>
    <x v="10"/>
    <x v="0"/>
    <s v="Apex Wholesale"/>
    <n v="54.95"/>
    <n v="112.56"/>
    <n v="219.8"/>
    <n v="99.910000000000011"/>
    <n v="0.3070280569128177"/>
    <x v="16"/>
    <x v="3"/>
    <x v="1"/>
  </r>
  <r>
    <s v="ORD-102028"/>
    <d v="2025-07-19T00:00:00"/>
    <d v="2025-07-25T00:00:00"/>
    <x v="3"/>
    <s v="Manchester"/>
    <s v="Home Office"/>
    <s v="Online"/>
    <s v="P-007"/>
    <n v="4"/>
    <n v="0.2"/>
    <n v="162.38999999999999"/>
    <n v="5.7"/>
    <x v="7"/>
    <x v="0"/>
    <s v="Luma Imports"/>
    <n v="31.34"/>
    <n v="56.49"/>
    <n v="125.36"/>
    <n v="31.329999999999988"/>
    <n v="0.19293059917482597"/>
    <x v="4"/>
    <x v="2"/>
    <x v="0"/>
  </r>
  <r>
    <s v="ORD-102029"/>
    <d v="2025-10-11T00:00:00"/>
    <d v="2025-10-13T00:00:00"/>
    <x v="2"/>
    <s v="Brighton"/>
    <s v="Small Business"/>
    <s v="Retail Store"/>
    <s v="P-005"/>
    <n v="2"/>
    <n v="0.05"/>
    <n v="120.06"/>
    <n v="7"/>
    <x v="13"/>
    <x v="0"/>
    <s v="Apex Wholesale"/>
    <n v="25.33"/>
    <n v="51.56"/>
    <n v="50.66"/>
    <n v="62.400000000000006"/>
    <n v="0.51974012993503249"/>
    <x v="22"/>
    <x v="0"/>
    <x v="0"/>
  </r>
  <r>
    <s v="ORD-102030"/>
    <d v="2024-11-08T00:00:00"/>
    <d v="2024-11-14T00:00:00"/>
    <x v="3"/>
    <s v="Manchester"/>
    <s v="Home Office"/>
    <s v="Online"/>
    <s v="P-001"/>
    <n v="7"/>
    <n v="0"/>
    <n v="2598.19"/>
    <n v="20.6"/>
    <x v="12"/>
    <x v="1"/>
    <s v="Luma Imports"/>
    <n v="173.56"/>
    <n v="286.14999999999998"/>
    <n v="1214.92"/>
    <n v="1362.67"/>
    <n v="0.52446895723561404"/>
    <x v="14"/>
    <x v="1"/>
    <x v="1"/>
  </r>
  <r>
    <s v="ORD-102031"/>
    <d v="2024-09-01T00:00:00"/>
    <d v="2024-09-07T00:00:00"/>
    <x v="3"/>
    <s v="Manchester"/>
    <s v="Home Office"/>
    <s v="Retail Store"/>
    <s v="P-006"/>
    <n v="2"/>
    <n v="0"/>
    <n v="256.91000000000003"/>
    <n v="4.2"/>
    <x v="10"/>
    <x v="0"/>
    <s v="Apex Wholesale"/>
    <n v="54.95"/>
    <n v="112.56"/>
    <n v="109.9"/>
    <n v="142.81000000000003"/>
    <n v="0.55587559845860424"/>
    <x v="23"/>
    <x v="1"/>
    <x v="1"/>
  </r>
  <r>
    <s v="ORD-102032"/>
    <d v="2024-06-03T00:00:00"/>
    <d v="2024-06-08T00:00:00"/>
    <x v="3"/>
    <s v="Newcastle"/>
    <s v="Corporate"/>
    <s v="Retail Store"/>
    <s v="P-002"/>
    <n v="3"/>
    <n v="0"/>
    <n v="662.98"/>
    <n v="6.84"/>
    <x v="2"/>
    <x v="1"/>
    <s v="Vertex Trade"/>
    <n v="119.02"/>
    <n v="205.39"/>
    <n v="357.06"/>
    <n v="299.08000000000004"/>
    <n v="0.45111466409243117"/>
    <x v="17"/>
    <x v="1"/>
    <x v="1"/>
  </r>
  <r>
    <s v="ORD-102033"/>
    <d v="2024-01-04T00:00:00"/>
    <d v="2024-01-10T00:00:00"/>
    <x v="3"/>
    <s v="Manchester"/>
    <s v="Home Office"/>
    <s v="Online"/>
    <s v="P-006"/>
    <n v="4"/>
    <n v="0"/>
    <n v="387.34"/>
    <n v="9.5"/>
    <x v="10"/>
    <x v="0"/>
    <s v="Apex Wholesale"/>
    <n v="54.95"/>
    <n v="112.56"/>
    <n v="219.8"/>
    <n v="158.03999999999996"/>
    <n v="0.40801363143491498"/>
    <x v="18"/>
    <x v="1"/>
    <x v="1"/>
  </r>
  <r>
    <s v="ORD-102034"/>
    <d v="2024-09-23T00:00:00"/>
    <d v="2024-09-25T00:00:00"/>
    <x v="0"/>
    <s v="Cardiff"/>
    <s v="Corporate"/>
    <s v="B2B Sales"/>
    <s v="P-010"/>
    <n v="14"/>
    <n v="0"/>
    <n v="88.25"/>
    <n v="6.48"/>
    <x v="4"/>
    <x v="2"/>
    <s v="Orbit Supply Co."/>
    <n v="3.62"/>
    <n v="6.03"/>
    <n v="50.68"/>
    <n v="31.09"/>
    <n v="0.35229461756373937"/>
    <x v="23"/>
    <x v="1"/>
    <x v="1"/>
  </r>
  <r>
    <s v="ORD-102035"/>
    <d v="2025-07-23T00:00:00"/>
    <d v="2025-07-26T00:00:00"/>
    <x v="2"/>
    <s v="Brighton"/>
    <s v="Home Office"/>
    <s v="Retail Store"/>
    <s v="P-006"/>
    <n v="2"/>
    <n v="0"/>
    <n v="217.37"/>
    <n v="7"/>
    <x v="10"/>
    <x v="0"/>
    <s v="Apex Wholesale"/>
    <n v="54.95"/>
    <n v="112.56"/>
    <n v="109.9"/>
    <n v="100.47"/>
    <n v="0.46220729631503887"/>
    <x v="4"/>
    <x v="1"/>
    <x v="0"/>
  </r>
  <r>
    <s v="ORD-102036"/>
    <d v="2025-09-15T00:00:00"/>
    <d v="2025-09-20T00:00:00"/>
    <x v="0"/>
    <s v="Liverpool"/>
    <s v="Small Business"/>
    <s v="Online"/>
    <s v="P-011"/>
    <n v="7"/>
    <n v="0"/>
    <n v="112.69"/>
    <n v="7.65"/>
    <x v="9"/>
    <x v="2"/>
    <s v="Orbit Supply Co."/>
    <n v="7.93"/>
    <n v="14.78"/>
    <n v="55.51"/>
    <n v="49.53"/>
    <n v="0.43952435886059105"/>
    <x v="11"/>
    <x v="1"/>
    <x v="0"/>
  </r>
  <r>
    <s v="ORD-102037"/>
    <d v="2025-08-05T00:00:00"/>
    <d v="2025-08-09T00:00:00"/>
    <x v="1"/>
    <s v="Peterborough"/>
    <s v="Home Office"/>
    <s v="Online"/>
    <s v="P-010"/>
    <n v="18"/>
    <n v="0"/>
    <n v="105.07"/>
    <n v="12.6"/>
    <x v="4"/>
    <x v="2"/>
    <s v="Orbit Supply Co."/>
    <n v="3.62"/>
    <n v="6.03"/>
    <n v="65.16"/>
    <n v="27.309999999999995"/>
    <n v="0.25992195679071095"/>
    <x v="6"/>
    <x v="1"/>
    <x v="0"/>
  </r>
  <r>
    <s v="ORD-102038"/>
    <d v="2024-12-08T00:00:00"/>
    <d v="2024-12-10T00:00:00"/>
    <x v="3"/>
    <s v="Manchester"/>
    <s v="Corporate"/>
    <s v="Retail Store"/>
    <s v="P-007"/>
    <n v="4"/>
    <n v="0"/>
    <n v="321.57"/>
    <n v="5.7"/>
    <x v="7"/>
    <x v="0"/>
    <s v="Luma Imports"/>
    <n v="31.34"/>
    <n v="56.49"/>
    <n v="125.36"/>
    <n v="190.51"/>
    <n v="0.59243710545137918"/>
    <x v="9"/>
    <x v="1"/>
    <x v="1"/>
  </r>
  <r>
    <s v="ORD-102039"/>
    <d v="2024-07-24T00:00:00"/>
    <d v="2024-07-28T00:00:00"/>
    <x v="0"/>
    <s v="Birmingham"/>
    <s v="Small Business"/>
    <s v="Retail Store"/>
    <s v="P-003"/>
    <n v="3"/>
    <n v="0"/>
    <n v="304.49"/>
    <n v="6.84"/>
    <x v="1"/>
    <x v="1"/>
    <s v="Orbit Supply Co."/>
    <n v="71.489999999999995"/>
    <n v="112.88"/>
    <n v="214.46999999999997"/>
    <n v="83.180000000000035"/>
    <n v="0.2731781010870637"/>
    <x v="16"/>
    <x v="1"/>
    <x v="1"/>
  </r>
  <r>
    <s v="ORD-102040"/>
    <d v="2025-05-04T00:00:00"/>
    <d v="2025-05-07T00:00:00"/>
    <x v="3"/>
    <s v="Manchester"/>
    <s v="Corporate"/>
    <s v="B2B Sales"/>
    <s v="P-006"/>
    <n v="3"/>
    <n v="0.15"/>
    <n v="306.67"/>
    <n v="4.95"/>
    <x v="10"/>
    <x v="0"/>
    <s v="Apex Wholesale"/>
    <n v="54.95"/>
    <n v="112.56"/>
    <n v="164.85000000000002"/>
    <n v="136.87"/>
    <n v="0.4463103661916718"/>
    <x v="1"/>
    <x v="2"/>
    <x v="0"/>
  </r>
  <r>
    <s v="ORD-102041"/>
    <d v="2024-03-01T00:00:00"/>
    <d v="2024-03-07T00:00:00"/>
    <x v="2"/>
    <s v="Bristol"/>
    <s v="Corporate"/>
    <s v="Retail Store"/>
    <s v="P-004"/>
    <n v="4"/>
    <n v="0.1"/>
    <n v="352.13"/>
    <n v="8.2200000000000006"/>
    <x v="5"/>
    <x v="1"/>
    <s v="Cedar Distribution"/>
    <n v="63.6"/>
    <n v="107.94"/>
    <n v="254.4"/>
    <n v="89.509999999999991"/>
    <n v="0.2541958935620367"/>
    <x v="10"/>
    <x v="0"/>
    <x v="1"/>
  </r>
  <r>
    <s v="ORD-102042"/>
    <d v="2024-05-17T00:00:00"/>
    <d v="2024-05-19T00:00:00"/>
    <x v="0"/>
    <s v="Cardiff"/>
    <s v="Corporate"/>
    <s v="Online"/>
    <s v="P-008"/>
    <n v="4"/>
    <n v="0.2"/>
    <n v="601.71"/>
    <n v="5.7"/>
    <x v="6"/>
    <x v="0"/>
    <s v="Vertex Trade"/>
    <n v="112.09"/>
    <n v="192.47"/>
    <n v="448.36"/>
    <n v="147.65000000000003"/>
    <n v="0.24538398896478375"/>
    <x v="8"/>
    <x v="2"/>
    <x v="1"/>
  </r>
  <r>
    <s v="ORD-102043"/>
    <d v="2025-11-29T00:00:00"/>
    <d v="2025-12-05T00:00:00"/>
    <x v="1"/>
    <s v="Norwich"/>
    <s v="Home Office"/>
    <s v="Retail Store"/>
    <s v="P-004"/>
    <n v="4"/>
    <n v="0"/>
    <n v="582.09"/>
    <n v="13.7"/>
    <x v="5"/>
    <x v="1"/>
    <s v="Cedar Distribution"/>
    <n v="63.6"/>
    <n v="107.94"/>
    <n v="254.4"/>
    <n v="313.99000000000007"/>
    <n v="0.53941830301156191"/>
    <x v="19"/>
    <x v="1"/>
    <x v="0"/>
  </r>
  <r>
    <s v="ORD-102044"/>
    <d v="2024-05-05T00:00:00"/>
    <d v="2024-05-06T00:00:00"/>
    <x v="3"/>
    <s v="Manchester"/>
    <s v="Home Office"/>
    <s v="Retail Store"/>
    <s v="P-006"/>
    <n v="4"/>
    <n v="0"/>
    <n v="477.78"/>
    <n v="9.5"/>
    <x v="10"/>
    <x v="0"/>
    <s v="Apex Wholesale"/>
    <n v="54.95"/>
    <n v="112.56"/>
    <n v="219.8"/>
    <n v="248.47999999999996"/>
    <n v="0.52007199966511775"/>
    <x v="8"/>
    <x v="1"/>
    <x v="1"/>
  </r>
  <r>
    <s v="ORD-102045"/>
    <d v="2024-12-08T00:00:00"/>
    <d v="2024-12-11T00:00:00"/>
    <x v="3"/>
    <s v="Newcastle"/>
    <s v="Corporate"/>
    <s v="Online"/>
    <s v="P-011"/>
    <n v="9"/>
    <n v="0"/>
    <n v="195.72"/>
    <n v="8.5500000000000007"/>
    <x v="9"/>
    <x v="2"/>
    <s v="Orbit Supply Co."/>
    <n v="7.93"/>
    <n v="14.78"/>
    <n v="71.37"/>
    <n v="115.8"/>
    <n v="0.59166155732679337"/>
    <x v="9"/>
    <x v="1"/>
    <x v="1"/>
  </r>
  <r>
    <s v="ORD-102046"/>
    <d v="2024-04-22T00:00:00"/>
    <d v="2024-04-23T00:00:00"/>
    <x v="0"/>
    <s v="Liverpool"/>
    <s v="Home Office"/>
    <s v="B2B Sales"/>
    <s v="P-009"/>
    <n v="4"/>
    <n v="0.1"/>
    <n v="421.64"/>
    <n v="5.7"/>
    <x v="0"/>
    <x v="0"/>
    <s v="Apex Wholesale"/>
    <n v="63.69"/>
    <n v="125.5"/>
    <n v="254.76"/>
    <n v="161.18"/>
    <n v="0.38226923441798694"/>
    <x v="21"/>
    <x v="0"/>
    <x v="1"/>
  </r>
  <r>
    <s v="ORD-102047"/>
    <d v="2025-11-20T00:00:00"/>
    <d v="2025-11-26T00:00:00"/>
    <x v="1"/>
    <s v="Cambridge"/>
    <s v="Home Office"/>
    <s v="Retail Store"/>
    <s v="P-015"/>
    <n v="9"/>
    <n v="0"/>
    <n v="71.709999999999994"/>
    <n v="8.5500000000000007"/>
    <x v="8"/>
    <x v="2"/>
    <s v="Luma Imports"/>
    <n v="3.3"/>
    <n v="6.13"/>
    <n v="29.7"/>
    <n v="33.459999999999994"/>
    <n v="0.46660158973643839"/>
    <x v="19"/>
    <x v="1"/>
    <x v="0"/>
  </r>
  <r>
    <s v="ORD-102048"/>
    <d v="2024-04-08T00:00:00"/>
    <d v="2024-04-12T00:00:00"/>
    <x v="3"/>
    <s v="Newcastle"/>
    <s v="Small Business"/>
    <s v="Online"/>
    <s v="P-013"/>
    <n v="10"/>
    <n v="0.15"/>
    <n v="103.07"/>
    <n v="9"/>
    <x v="11"/>
    <x v="2"/>
    <s v="Apex Wholesale"/>
    <n v="6.33"/>
    <n v="12.16"/>
    <n v="63.3"/>
    <n v="30.769999999999996"/>
    <n v="0.29853497622974673"/>
    <x v="21"/>
    <x v="2"/>
    <x v="1"/>
  </r>
  <r>
    <s v="ORD-102049"/>
    <d v="2025-09-10T00:00:00"/>
    <d v="2025-09-14T00:00:00"/>
    <x v="0"/>
    <s v="Cardiff"/>
    <s v="Home Office"/>
    <s v="Retail Store"/>
    <s v="P-006"/>
    <n v="3"/>
    <n v="0.25"/>
    <n v="265.55"/>
    <n v="4.95"/>
    <x v="10"/>
    <x v="0"/>
    <s v="Apex Wholesale"/>
    <n v="54.95"/>
    <n v="112.56"/>
    <n v="164.85000000000002"/>
    <n v="95.749999999999986"/>
    <n v="0.36057239691206922"/>
    <x v="11"/>
    <x v="3"/>
    <x v="0"/>
  </r>
  <r>
    <s v="ORD-102050"/>
    <d v="2024-06-23T00:00:00"/>
    <d v="2024-06-26T00:00:00"/>
    <x v="1"/>
    <s v="Peterborough"/>
    <s v="Corporate"/>
    <s v="Online"/>
    <s v="P-015"/>
    <n v="7"/>
    <n v="0"/>
    <n v="45.35"/>
    <n v="7.65"/>
    <x v="8"/>
    <x v="2"/>
    <s v="Luma Imports"/>
    <n v="3.3"/>
    <n v="6.13"/>
    <n v="23.099999999999998"/>
    <n v="14.600000000000003"/>
    <n v="0.3219404630650497"/>
    <x v="17"/>
    <x v="1"/>
    <x v="1"/>
  </r>
  <r>
    <s v="ORD-102051"/>
    <d v="2024-10-07T00:00:00"/>
    <d v="2024-10-11T00:00:00"/>
    <x v="2"/>
    <s v="Brighton"/>
    <s v="Corporate"/>
    <s v="Online"/>
    <s v="P-004"/>
    <n v="4"/>
    <n v="0"/>
    <n v="512.89"/>
    <n v="8.2200000000000006"/>
    <x v="5"/>
    <x v="1"/>
    <s v="Cedar Distribution"/>
    <n v="63.6"/>
    <n v="107.94"/>
    <n v="254.4"/>
    <n v="250.27"/>
    <n v="0.48796038136832465"/>
    <x v="3"/>
    <x v="1"/>
    <x v="1"/>
  </r>
  <r>
    <s v="ORD-102052"/>
    <d v="2024-05-16T00:00:00"/>
    <d v="2024-05-22T00:00:00"/>
    <x v="1"/>
    <s v="Peterborough"/>
    <s v="Corporate"/>
    <s v="B2B Sales"/>
    <s v="P-011"/>
    <n v="14"/>
    <n v="0.1"/>
    <n v="193.41"/>
    <n v="6.48"/>
    <x v="9"/>
    <x v="2"/>
    <s v="Orbit Supply Co."/>
    <n v="7.93"/>
    <n v="14.78"/>
    <n v="111.02"/>
    <n v="75.91"/>
    <n v="0.39248229150509278"/>
    <x v="8"/>
    <x v="0"/>
    <x v="1"/>
  </r>
  <r>
    <s v="ORD-102053"/>
    <d v="2025-11-11T00:00:00"/>
    <d v="2025-11-17T00:00:00"/>
    <x v="0"/>
    <s v="Birmingham"/>
    <s v="Corporate"/>
    <s v="Retail Store"/>
    <s v="P-003"/>
    <n v="7"/>
    <n v="0"/>
    <n v="1005.69"/>
    <n v="20.6"/>
    <x v="1"/>
    <x v="1"/>
    <s v="Orbit Supply Co."/>
    <n v="71.489999999999995"/>
    <n v="112.88"/>
    <n v="500.42999999999995"/>
    <n v="484.66000000000008"/>
    <n v="0.48191788722170853"/>
    <x v="19"/>
    <x v="1"/>
    <x v="0"/>
  </r>
  <r>
    <s v="ORD-102054"/>
    <d v="2025-05-06T00:00:00"/>
    <d v="2025-05-08T00:00:00"/>
    <x v="1"/>
    <s v="Norwich"/>
    <s v="Small Business"/>
    <s v="B2B Sales"/>
    <s v="P-005"/>
    <n v="3"/>
    <n v="0"/>
    <n v="165.26"/>
    <n v="8.25"/>
    <x v="13"/>
    <x v="0"/>
    <s v="Apex Wholesale"/>
    <n v="25.33"/>
    <n v="51.56"/>
    <n v="75.989999999999995"/>
    <n v="81.02"/>
    <n v="0.49025777562628586"/>
    <x v="1"/>
    <x v="1"/>
    <x v="0"/>
  </r>
  <r>
    <s v="ORD-102055"/>
    <d v="2024-04-30T00:00:00"/>
    <d v="2024-05-03T00:00:00"/>
    <x v="3"/>
    <s v="Newcastle"/>
    <s v="Home Office"/>
    <s v="Retail Store"/>
    <s v="P-004"/>
    <n v="3"/>
    <n v="0.1"/>
    <n v="302.68"/>
    <n v="6.84"/>
    <x v="5"/>
    <x v="1"/>
    <s v="Cedar Distribution"/>
    <n v="63.6"/>
    <n v="107.94"/>
    <n v="190.8"/>
    <n v="105.03999999999999"/>
    <n v="0.34703317034491871"/>
    <x v="21"/>
    <x v="0"/>
    <x v="1"/>
  </r>
  <r>
    <s v="ORD-102056"/>
    <d v="2025-01-09T00:00:00"/>
    <d v="2025-01-14T00:00:00"/>
    <x v="0"/>
    <s v="Cardiff"/>
    <s v="Home Office"/>
    <s v="Retail Store"/>
    <s v="P-002"/>
    <n v="2"/>
    <n v="0.15"/>
    <n v="316.38"/>
    <n v="5.46"/>
    <x v="2"/>
    <x v="1"/>
    <s v="Vertex Trade"/>
    <n v="119.02"/>
    <n v="205.39"/>
    <n v="238.04"/>
    <n v="72.88000000000001"/>
    <n v="0.23035590113155069"/>
    <x v="20"/>
    <x v="2"/>
    <x v="0"/>
  </r>
  <r>
    <s v="ORD-102057"/>
    <d v="2024-02-19T00:00:00"/>
    <d v="2024-02-22T00:00:00"/>
    <x v="2"/>
    <s v="London"/>
    <s v="Small Business"/>
    <s v="B2B Sales"/>
    <s v="P-009"/>
    <n v="4"/>
    <n v="0"/>
    <n v="442.57"/>
    <n v="5.7"/>
    <x v="0"/>
    <x v="0"/>
    <s v="Apex Wholesale"/>
    <n v="63.69"/>
    <n v="125.5"/>
    <n v="254.76"/>
    <n v="182.11"/>
    <n v="0.41148292925412933"/>
    <x v="12"/>
    <x v="1"/>
    <x v="1"/>
  </r>
  <r>
    <s v="ORD-102058"/>
    <d v="2024-10-10T00:00:00"/>
    <d v="2024-10-12T00:00:00"/>
    <x v="1"/>
    <s v="Cambridge"/>
    <s v="Corporate"/>
    <s v="B2B Sales"/>
    <s v="P-015"/>
    <n v="20"/>
    <n v="0.1"/>
    <n v="123.56"/>
    <n v="8.1"/>
    <x v="8"/>
    <x v="2"/>
    <s v="Luma Imports"/>
    <n v="3.3"/>
    <n v="6.13"/>
    <n v="66"/>
    <n v="49.46"/>
    <n v="0.40029135642602787"/>
    <x v="3"/>
    <x v="0"/>
    <x v="1"/>
  </r>
  <r>
    <s v="ORD-102059"/>
    <d v="2024-11-29T00:00:00"/>
    <d v="2024-11-30T00:00:00"/>
    <x v="1"/>
    <s v="Peterborough"/>
    <s v="Corporate"/>
    <s v="B2B Sales"/>
    <s v="P-001"/>
    <n v="4"/>
    <n v="0.25"/>
    <n v="1198.3599999999999"/>
    <n v="8.2200000000000006"/>
    <x v="12"/>
    <x v="1"/>
    <s v="Luma Imports"/>
    <n v="173.56"/>
    <n v="286.14999999999998"/>
    <n v="694.24"/>
    <n v="495.89999999999986"/>
    <n v="0.41381554791548442"/>
    <x v="14"/>
    <x v="3"/>
    <x v="1"/>
  </r>
  <r>
    <s v="ORD-102060"/>
    <d v="2025-11-26T00:00:00"/>
    <d v="2025-11-30T00:00:00"/>
    <x v="0"/>
    <s v="Liverpool"/>
    <s v="Small Business"/>
    <s v="Retail Store"/>
    <s v="P-015"/>
    <n v="25"/>
    <n v="0.15"/>
    <n v="165.43"/>
    <n v="9.4499999999999993"/>
    <x v="8"/>
    <x v="2"/>
    <s v="Luma Imports"/>
    <n v="3.3"/>
    <n v="6.13"/>
    <n v="82.5"/>
    <n v="73.48"/>
    <n v="0.44417578431965182"/>
    <x v="19"/>
    <x v="2"/>
    <x v="0"/>
  </r>
  <r>
    <s v="ORD-102061"/>
    <d v="2024-10-21T00:00:00"/>
    <d v="2024-10-24T00:00:00"/>
    <x v="3"/>
    <s v="Manchester"/>
    <s v="Home Office"/>
    <s v="Retail Store"/>
    <s v="P-007"/>
    <n v="2"/>
    <n v="0.1"/>
    <n v="123.73"/>
    <n v="4.2"/>
    <x v="7"/>
    <x v="0"/>
    <s v="Luma Imports"/>
    <n v="31.34"/>
    <n v="56.49"/>
    <n v="62.68"/>
    <n v="56.85"/>
    <n v="0.45946819688030388"/>
    <x v="3"/>
    <x v="0"/>
    <x v="1"/>
  </r>
  <r>
    <s v="ORD-102062"/>
    <d v="2025-06-13T00:00:00"/>
    <d v="2025-06-19T00:00:00"/>
    <x v="3"/>
    <s v="Leeds"/>
    <s v="Corporate"/>
    <s v="Retail Store"/>
    <s v="P-015"/>
    <n v="4"/>
    <n v="0.1"/>
    <n v="22.63"/>
    <n v="6.3"/>
    <x v="8"/>
    <x v="2"/>
    <s v="Luma Imports"/>
    <n v="3.3"/>
    <n v="6.13"/>
    <n v="13.2"/>
    <n v="3.13"/>
    <n v="0.1383119752540875"/>
    <x v="0"/>
    <x v="0"/>
    <x v="0"/>
  </r>
  <r>
    <s v="ORD-102063"/>
    <d v="2024-06-14T00:00:00"/>
    <d v="2024-06-15T00:00:00"/>
    <x v="1"/>
    <s v="Cambridge"/>
    <s v="Home Office"/>
    <s v="Retail Store"/>
    <s v="P-005"/>
    <n v="1"/>
    <n v="0"/>
    <n v="54.74"/>
    <n v="3.45"/>
    <x v="13"/>
    <x v="0"/>
    <s v="Apex Wholesale"/>
    <n v="25.33"/>
    <n v="51.56"/>
    <n v="25.33"/>
    <n v="25.960000000000004"/>
    <n v="0.47424187066130807"/>
    <x v="17"/>
    <x v="1"/>
    <x v="1"/>
  </r>
  <r>
    <s v="ORD-102064"/>
    <d v="2024-07-28T00:00:00"/>
    <d v="2024-07-30T00:00:00"/>
    <x v="1"/>
    <s v="Cambridge"/>
    <s v="Home Office"/>
    <s v="B2B Sales"/>
    <s v="P-011"/>
    <n v="12"/>
    <n v="0.15"/>
    <n v="142.47"/>
    <n v="5.94"/>
    <x v="9"/>
    <x v="2"/>
    <s v="Orbit Supply Co."/>
    <n v="7.93"/>
    <n v="14.78"/>
    <n v="95.16"/>
    <n v="41.370000000000005"/>
    <n v="0.29037692145714888"/>
    <x v="16"/>
    <x v="2"/>
    <x v="1"/>
  </r>
  <r>
    <s v="ORD-102065"/>
    <d v="2024-12-28T00:00:00"/>
    <d v="2024-12-29T00:00:00"/>
    <x v="0"/>
    <s v="Liverpool"/>
    <s v="Corporate"/>
    <s v="Retail Store"/>
    <s v="P-003"/>
    <n v="4"/>
    <n v="0"/>
    <n v="679.71"/>
    <n v="8.2200000000000006"/>
    <x v="1"/>
    <x v="1"/>
    <s v="Orbit Supply Co."/>
    <n v="71.489999999999995"/>
    <n v="112.88"/>
    <n v="285.95999999999998"/>
    <n v="385.53000000000003"/>
    <n v="0.56719777552191375"/>
    <x v="9"/>
    <x v="1"/>
    <x v="1"/>
  </r>
  <r>
    <s v="ORD-102066"/>
    <d v="2025-05-15T00:00:00"/>
    <d v="2025-05-19T00:00:00"/>
    <x v="0"/>
    <s v="Birmingham"/>
    <s v="Home Office"/>
    <s v="Retail Store"/>
    <s v="P-009"/>
    <n v="1"/>
    <n v="0.15"/>
    <n v="105.91"/>
    <n v="5.75"/>
    <x v="0"/>
    <x v="0"/>
    <s v="Apex Wholesale"/>
    <n v="63.69"/>
    <n v="125.5"/>
    <n v="63.69"/>
    <n v="36.47"/>
    <n v="0.34434897554527427"/>
    <x v="1"/>
    <x v="2"/>
    <x v="0"/>
  </r>
  <r>
    <s v="ORD-102067"/>
    <d v="2025-12-18T00:00:00"/>
    <d v="2025-12-19T00:00:00"/>
    <x v="1"/>
    <s v="Peterborough"/>
    <s v="Small Business"/>
    <s v="Online"/>
    <s v="P-002"/>
    <n v="2"/>
    <n v="0"/>
    <n v="599.66"/>
    <n v="5.46"/>
    <x v="2"/>
    <x v="1"/>
    <s v="Vertex Trade"/>
    <n v="119.02"/>
    <n v="205.39"/>
    <n v="238.04"/>
    <n v="356.16"/>
    <n v="0.59393656405296347"/>
    <x v="13"/>
    <x v="1"/>
    <x v="0"/>
  </r>
  <r>
    <s v="ORD-102068"/>
    <d v="2025-05-12T00:00:00"/>
    <d v="2025-05-15T00:00:00"/>
    <x v="2"/>
    <s v="Brighton"/>
    <s v="Corporate"/>
    <s v="Retail Store"/>
    <s v="P-001"/>
    <n v="4"/>
    <n v="0"/>
    <n v="1231.43"/>
    <n v="13.7"/>
    <x v="12"/>
    <x v="1"/>
    <s v="Luma Imports"/>
    <n v="173.56"/>
    <n v="286.14999999999998"/>
    <n v="694.24"/>
    <n v="523.49"/>
    <n v="0.42510739546705861"/>
    <x v="1"/>
    <x v="1"/>
    <x v="0"/>
  </r>
  <r>
    <s v="ORD-102069"/>
    <d v="2024-10-15T00:00:00"/>
    <d v="2024-10-17T00:00:00"/>
    <x v="3"/>
    <s v="Leeds"/>
    <s v="Home Office"/>
    <s v="Retail Store"/>
    <s v="P-006"/>
    <n v="1"/>
    <n v="0"/>
    <n v="123.43"/>
    <n v="3.45"/>
    <x v="10"/>
    <x v="0"/>
    <s v="Apex Wholesale"/>
    <n v="54.95"/>
    <n v="112.56"/>
    <n v="54.95"/>
    <n v="65.03"/>
    <n v="0.5268573280401847"/>
    <x v="3"/>
    <x v="1"/>
    <x v="1"/>
  </r>
  <r>
    <s v="ORD-102070"/>
    <d v="2024-09-13T00:00:00"/>
    <d v="2024-09-16T00:00:00"/>
    <x v="3"/>
    <s v="Newcastle"/>
    <s v="Corporate"/>
    <s v="Retail Store"/>
    <s v="P-002"/>
    <n v="2"/>
    <n v="0"/>
    <n v="464.95"/>
    <n v="9.1"/>
    <x v="2"/>
    <x v="1"/>
    <s v="Vertex Trade"/>
    <n v="119.02"/>
    <n v="205.39"/>
    <n v="238.04"/>
    <n v="217.81"/>
    <n v="0.46845897408323478"/>
    <x v="23"/>
    <x v="1"/>
    <x v="1"/>
  </r>
  <r>
    <s v="ORD-102071"/>
    <d v="2025-04-27T00:00:00"/>
    <d v="2025-05-03T00:00:00"/>
    <x v="2"/>
    <s v="Brighton"/>
    <s v="Corporate"/>
    <s v="Online"/>
    <s v="P-004"/>
    <n v="2"/>
    <n v="0.25"/>
    <n v="164.36"/>
    <n v="9.1"/>
    <x v="5"/>
    <x v="1"/>
    <s v="Cedar Distribution"/>
    <n v="63.6"/>
    <n v="107.94"/>
    <n v="127.2"/>
    <n v="28.060000000000009"/>
    <n v="0.17072280360184963"/>
    <x v="15"/>
    <x v="3"/>
    <x v="0"/>
  </r>
  <r>
    <s v="ORD-102072"/>
    <d v="2024-11-20T00:00:00"/>
    <d v="2024-11-25T00:00:00"/>
    <x v="0"/>
    <s v="Birmingham"/>
    <s v="Corporate"/>
    <s v="B2B Sales"/>
    <s v="P-010"/>
    <n v="6"/>
    <n v="0"/>
    <n v="51.43"/>
    <n v="4.32"/>
    <x v="4"/>
    <x v="2"/>
    <s v="Orbit Supply Co."/>
    <n v="3.62"/>
    <n v="6.03"/>
    <n v="21.72"/>
    <n v="25.39"/>
    <n v="0.49368073109080307"/>
    <x v="14"/>
    <x v="1"/>
    <x v="1"/>
  </r>
  <r>
    <s v="ORD-102073"/>
    <d v="2025-09-05T00:00:00"/>
    <d v="2025-09-08T00:00:00"/>
    <x v="0"/>
    <s v="Cardiff"/>
    <s v="Corporate"/>
    <s v="B2B Sales"/>
    <s v="P-014"/>
    <n v="3"/>
    <n v="0"/>
    <n v="85.99"/>
    <n v="3.51"/>
    <x v="3"/>
    <x v="2"/>
    <s v="Orbit Supply Co."/>
    <n v="16.760000000000002"/>
    <n v="27.71"/>
    <n v="50.28"/>
    <n v="32.199999999999996"/>
    <n v="0.37446214676125128"/>
    <x v="11"/>
    <x v="1"/>
    <x v="0"/>
  </r>
  <r>
    <s v="ORD-102074"/>
    <d v="2025-01-18T00:00:00"/>
    <d v="2025-01-19T00:00:00"/>
    <x v="3"/>
    <s v="Newcastle"/>
    <s v="Home Office"/>
    <s v="B2B Sales"/>
    <s v="P-002"/>
    <n v="4"/>
    <n v="0"/>
    <n v="727.35"/>
    <n v="8.2200000000000006"/>
    <x v="2"/>
    <x v="1"/>
    <s v="Vertex Trade"/>
    <n v="119.02"/>
    <n v="205.39"/>
    <n v="476.08"/>
    <n v="243.05000000000004"/>
    <n v="0.33415824568639585"/>
    <x v="20"/>
    <x v="1"/>
    <x v="0"/>
  </r>
  <r>
    <s v="ORD-102075"/>
    <d v="2024-11-30T00:00:00"/>
    <d v="2024-12-06T00:00:00"/>
    <x v="1"/>
    <s v="Norwich"/>
    <s v="Corporate"/>
    <s v="Retail Store"/>
    <s v="P-006"/>
    <n v="4"/>
    <n v="0"/>
    <n v="624.92999999999995"/>
    <n v="5.7"/>
    <x v="10"/>
    <x v="0"/>
    <s v="Apex Wholesale"/>
    <n v="54.95"/>
    <n v="112.56"/>
    <n v="219.8"/>
    <n v="399.42999999999995"/>
    <n v="0.63915958587361776"/>
    <x v="14"/>
    <x v="1"/>
    <x v="1"/>
  </r>
  <r>
    <s v="ORD-102076"/>
    <d v="2025-12-05T00:00:00"/>
    <d v="2025-12-09T00:00:00"/>
    <x v="1"/>
    <s v="Norwich"/>
    <s v="Home Office"/>
    <s v="Retail Store"/>
    <s v="P-002"/>
    <n v="1"/>
    <n v="0.05"/>
    <n v="274.07"/>
    <n v="4.08"/>
    <x v="2"/>
    <x v="1"/>
    <s v="Vertex Trade"/>
    <n v="119.02"/>
    <n v="205.39"/>
    <n v="119.02"/>
    <n v="150.97"/>
    <n v="0.55084467471813769"/>
    <x v="13"/>
    <x v="0"/>
    <x v="0"/>
  </r>
  <r>
    <s v="ORD-102077"/>
    <d v="2025-09-07T00:00:00"/>
    <d v="2025-09-11T00:00:00"/>
    <x v="1"/>
    <s v="Cambridge"/>
    <s v="Corporate"/>
    <s v="Online"/>
    <s v="P-002"/>
    <n v="3"/>
    <n v="0.25"/>
    <n v="489.17"/>
    <n v="6.84"/>
    <x v="2"/>
    <x v="1"/>
    <s v="Vertex Trade"/>
    <n v="119.02"/>
    <n v="205.39"/>
    <n v="357.06"/>
    <n v="125.27000000000001"/>
    <n v="0.25608684097552997"/>
    <x v="11"/>
    <x v="3"/>
    <x v="0"/>
  </r>
  <r>
    <s v="ORD-102078"/>
    <d v="2024-03-14T00:00:00"/>
    <d v="2024-03-18T00:00:00"/>
    <x v="1"/>
    <s v="Norwich"/>
    <s v="Corporate"/>
    <s v="B2B Sales"/>
    <s v="P-006"/>
    <n v="3"/>
    <n v="0.2"/>
    <n v="241.56"/>
    <n v="4.95"/>
    <x v="10"/>
    <x v="0"/>
    <s v="Apex Wholesale"/>
    <n v="54.95"/>
    <n v="112.56"/>
    <n v="164.85000000000002"/>
    <n v="71.759999999999977"/>
    <n v="0.29706905116741172"/>
    <x v="10"/>
    <x v="2"/>
    <x v="1"/>
  </r>
  <r>
    <s v="ORD-102079"/>
    <d v="2025-02-19T00:00:00"/>
    <d v="2025-02-24T00:00:00"/>
    <x v="1"/>
    <s v="Norwich"/>
    <s v="Corporate"/>
    <s v="Retail Store"/>
    <s v="P-002"/>
    <n v="4"/>
    <n v="0"/>
    <n v="742.62"/>
    <n v="8.2200000000000006"/>
    <x v="2"/>
    <x v="1"/>
    <s v="Vertex Trade"/>
    <n v="119.02"/>
    <n v="205.39"/>
    <n v="476.08"/>
    <n v="258.32"/>
    <n v="0.34784950580377583"/>
    <x v="5"/>
    <x v="1"/>
    <x v="0"/>
  </r>
  <r>
    <s v="ORD-102080"/>
    <d v="2025-10-01T00:00:00"/>
    <d v="2025-10-02T00:00:00"/>
    <x v="3"/>
    <s v="Manchester"/>
    <s v="Small Business"/>
    <s v="Retail Store"/>
    <s v="P-002"/>
    <n v="2"/>
    <n v="0.25"/>
    <n v="375.18"/>
    <n v="5.46"/>
    <x v="2"/>
    <x v="1"/>
    <s v="Vertex Trade"/>
    <n v="119.02"/>
    <n v="205.39"/>
    <n v="238.04"/>
    <n v="131.68"/>
    <n v="0.35097819713204331"/>
    <x v="22"/>
    <x v="3"/>
    <x v="0"/>
  </r>
  <r>
    <s v="ORD-102081"/>
    <d v="2024-07-17T00:00:00"/>
    <d v="2024-07-19T00:00:00"/>
    <x v="1"/>
    <s v="Peterborough"/>
    <s v="Corporate"/>
    <s v="Retail Store"/>
    <s v="P-015"/>
    <n v="10"/>
    <n v="0"/>
    <n v="56.88"/>
    <n v="9"/>
    <x v="8"/>
    <x v="2"/>
    <s v="Luma Imports"/>
    <n v="3.3"/>
    <n v="6.13"/>
    <n v="33"/>
    <n v="14.880000000000003"/>
    <n v="0.26160337552742619"/>
    <x v="16"/>
    <x v="1"/>
    <x v="1"/>
  </r>
  <r>
    <s v="ORD-102082"/>
    <d v="2024-12-09T00:00:00"/>
    <d v="2024-12-13T00:00:00"/>
    <x v="2"/>
    <s v="Bristol"/>
    <s v="Home Office"/>
    <s v="Retail Store"/>
    <s v="P-007"/>
    <n v="4"/>
    <n v="0"/>
    <n v="310.8"/>
    <n v="9.5"/>
    <x v="7"/>
    <x v="0"/>
    <s v="Luma Imports"/>
    <n v="31.34"/>
    <n v="56.49"/>
    <n v="125.36"/>
    <n v="175.94"/>
    <n v="0.56608751608751606"/>
    <x v="9"/>
    <x v="1"/>
    <x v="1"/>
  </r>
  <r>
    <s v="ORD-102083"/>
    <d v="2025-04-01T00:00:00"/>
    <d v="2025-04-05T00:00:00"/>
    <x v="0"/>
    <s v="Birmingham"/>
    <s v="Home Office"/>
    <s v="Retail Store"/>
    <s v="P-004"/>
    <n v="2"/>
    <n v="0.1"/>
    <n v="182.23"/>
    <n v="9.1"/>
    <x v="5"/>
    <x v="1"/>
    <s v="Cedar Distribution"/>
    <n v="63.6"/>
    <n v="107.94"/>
    <n v="127.2"/>
    <n v="45.929999999999986"/>
    <n v="0.25204412006804583"/>
    <x v="15"/>
    <x v="0"/>
    <x v="0"/>
  </r>
  <r>
    <s v="ORD-102084"/>
    <d v="2024-04-29T00:00:00"/>
    <d v="2024-04-30T00:00:00"/>
    <x v="2"/>
    <s v="Bristol"/>
    <s v="Corporate"/>
    <s v="B2B Sales"/>
    <s v="P-015"/>
    <n v="11"/>
    <n v="0"/>
    <n v="63.73"/>
    <n v="5.67"/>
    <x v="8"/>
    <x v="2"/>
    <s v="Luma Imports"/>
    <n v="3.3"/>
    <n v="6.13"/>
    <n v="36.299999999999997"/>
    <n v="21.759999999999998"/>
    <n v="0.34144045190648042"/>
    <x v="21"/>
    <x v="1"/>
    <x v="1"/>
  </r>
  <r>
    <s v="ORD-102085"/>
    <d v="2024-01-26T00:00:00"/>
    <d v="2024-02-01T00:00:00"/>
    <x v="1"/>
    <s v="Cambridge"/>
    <s v="Corporate"/>
    <s v="Retail Store"/>
    <s v="P-015"/>
    <n v="7"/>
    <n v="0.1"/>
    <n v="32.29"/>
    <n v="4.59"/>
    <x v="8"/>
    <x v="2"/>
    <s v="Luma Imports"/>
    <n v="3.3"/>
    <n v="6.13"/>
    <n v="23.099999999999998"/>
    <n v="4.6000000000000014"/>
    <n v="0.14245896562403226"/>
    <x v="18"/>
    <x v="0"/>
    <x v="1"/>
  </r>
  <r>
    <s v="ORD-102086"/>
    <d v="2024-07-06T00:00:00"/>
    <d v="2024-07-07T00:00:00"/>
    <x v="2"/>
    <s v="London"/>
    <s v="Small Business"/>
    <s v="Online"/>
    <s v="P-003"/>
    <n v="4"/>
    <n v="0.05"/>
    <n v="373.6"/>
    <n v="13.7"/>
    <x v="1"/>
    <x v="1"/>
    <s v="Orbit Supply Co."/>
    <n v="71.489999999999995"/>
    <n v="112.88"/>
    <n v="285.95999999999998"/>
    <n v="73.94000000000004"/>
    <n v="0.19791220556745193"/>
    <x v="16"/>
    <x v="0"/>
    <x v="1"/>
  </r>
  <r>
    <s v="ORD-102087"/>
    <d v="2025-08-06T00:00:00"/>
    <d v="2025-08-07T00:00:00"/>
    <x v="3"/>
    <s v="Manchester"/>
    <s v="Corporate"/>
    <s v="Online"/>
    <s v="P-002"/>
    <n v="3"/>
    <n v="0"/>
    <n v="571.35"/>
    <n v="6.84"/>
    <x v="2"/>
    <x v="1"/>
    <s v="Vertex Trade"/>
    <n v="119.02"/>
    <n v="205.39"/>
    <n v="357.06"/>
    <n v="207.45000000000002"/>
    <n v="0.36308742452087162"/>
    <x v="6"/>
    <x v="1"/>
    <x v="0"/>
  </r>
  <r>
    <s v="ORD-102088"/>
    <d v="2025-11-16T00:00:00"/>
    <d v="2025-11-18T00:00:00"/>
    <x v="0"/>
    <s v="Birmingham"/>
    <s v="Small Business"/>
    <s v="Retail Store"/>
    <s v="P-010"/>
    <n v="6"/>
    <n v="0.15"/>
    <n v="43.72"/>
    <n v="7.2"/>
    <x v="4"/>
    <x v="2"/>
    <s v="Orbit Supply Co."/>
    <n v="3.62"/>
    <n v="6.03"/>
    <n v="21.72"/>
    <n v="14.8"/>
    <n v="0.33851784080512354"/>
    <x v="19"/>
    <x v="2"/>
    <x v="0"/>
  </r>
  <r>
    <s v="ORD-102089"/>
    <d v="2024-03-17T00:00:00"/>
    <d v="2024-03-20T00:00:00"/>
    <x v="2"/>
    <s v="Bristol"/>
    <s v="Home Office"/>
    <s v="B2B Sales"/>
    <s v="P-012"/>
    <n v="7"/>
    <n v="0"/>
    <n v="56.53"/>
    <n v="4.59"/>
    <x v="14"/>
    <x v="2"/>
    <s v="Luma Imports"/>
    <n v="4.5"/>
    <n v="8.2899999999999991"/>
    <n v="31.5"/>
    <n v="20.440000000000001"/>
    <n v="0.36157792322660537"/>
    <x v="10"/>
    <x v="1"/>
    <x v="1"/>
  </r>
  <r>
    <s v="ORD-102090"/>
    <d v="2025-02-16T00:00:00"/>
    <d v="2025-02-21T00:00:00"/>
    <x v="0"/>
    <s v="Cardiff"/>
    <s v="Corporate"/>
    <s v="Online"/>
    <s v="P-012"/>
    <n v="10"/>
    <n v="0"/>
    <n v="70.849999999999994"/>
    <n v="5.4"/>
    <x v="14"/>
    <x v="2"/>
    <s v="Luma Imports"/>
    <n v="4.5"/>
    <n v="8.2899999999999991"/>
    <n v="45"/>
    <n v="20.449999999999996"/>
    <n v="0.28863796753705007"/>
    <x v="5"/>
    <x v="1"/>
    <x v="0"/>
  </r>
  <r>
    <s v="ORD-102091"/>
    <d v="2024-06-03T00:00:00"/>
    <d v="2024-06-07T00:00:00"/>
    <x v="3"/>
    <s v="Newcastle"/>
    <s v="Home Office"/>
    <s v="Online"/>
    <s v="P-003"/>
    <n v="2"/>
    <n v="0"/>
    <n v="235.51"/>
    <n v="9.1"/>
    <x v="1"/>
    <x v="1"/>
    <s v="Orbit Supply Co."/>
    <n v="71.489999999999995"/>
    <n v="112.88"/>
    <n v="142.97999999999999"/>
    <n v="83.43"/>
    <n v="0.35425247335569621"/>
    <x v="17"/>
    <x v="1"/>
    <x v="1"/>
  </r>
  <r>
    <s v="ORD-102092"/>
    <d v="2024-03-31T00:00:00"/>
    <d v="2024-04-06T00:00:00"/>
    <x v="2"/>
    <s v="Brighton"/>
    <s v="Corporate"/>
    <s v="Online"/>
    <s v="P-004"/>
    <n v="3"/>
    <n v="0.2"/>
    <n v="254.68"/>
    <n v="11.4"/>
    <x v="5"/>
    <x v="1"/>
    <s v="Cedar Distribution"/>
    <n v="63.6"/>
    <n v="107.94"/>
    <n v="190.8"/>
    <n v="52.48"/>
    <n v="0.20606250981623997"/>
    <x v="10"/>
    <x v="2"/>
    <x v="1"/>
  </r>
  <r>
    <s v="ORD-102093"/>
    <d v="2024-07-02T00:00:00"/>
    <d v="2024-07-03T00:00:00"/>
    <x v="1"/>
    <s v="Peterborough"/>
    <s v="Home Office"/>
    <s v="Retail Store"/>
    <s v="P-012"/>
    <n v="13"/>
    <n v="0"/>
    <n v="93.75"/>
    <n v="6.21"/>
    <x v="14"/>
    <x v="2"/>
    <s v="Luma Imports"/>
    <n v="4.5"/>
    <n v="8.2899999999999991"/>
    <n v="58.5"/>
    <n v="29.04"/>
    <n v="0.30975999999999998"/>
    <x v="16"/>
    <x v="1"/>
    <x v="1"/>
  </r>
  <r>
    <s v="ORD-102094"/>
    <d v="2025-11-26T00:00:00"/>
    <d v="2025-11-30T00:00:00"/>
    <x v="1"/>
    <s v="Norwich"/>
    <s v="Small Business"/>
    <s v="B2B Sales"/>
    <s v="P-013"/>
    <n v="6"/>
    <n v="0"/>
    <n v="102.91"/>
    <n v="4.32"/>
    <x v="11"/>
    <x v="2"/>
    <s v="Apex Wholesale"/>
    <n v="6.33"/>
    <n v="12.16"/>
    <n v="37.980000000000004"/>
    <n v="60.609999999999992"/>
    <n v="0.58896122825770081"/>
    <x v="19"/>
    <x v="1"/>
    <x v="0"/>
  </r>
  <r>
    <s v="ORD-102095"/>
    <d v="2024-02-01T00:00:00"/>
    <d v="2024-02-04T00:00:00"/>
    <x v="2"/>
    <s v="London"/>
    <s v="Home Office"/>
    <s v="B2B Sales"/>
    <s v="P-013"/>
    <n v="14"/>
    <n v="0"/>
    <n v="156.68"/>
    <n v="6.48"/>
    <x v="11"/>
    <x v="2"/>
    <s v="Apex Wholesale"/>
    <n v="6.33"/>
    <n v="12.16"/>
    <n v="88.62"/>
    <n v="61.58"/>
    <n v="0.39303038039315802"/>
    <x v="12"/>
    <x v="1"/>
    <x v="1"/>
  </r>
  <r>
    <s v="ORD-102096"/>
    <d v="2024-03-13T00:00:00"/>
    <d v="2024-03-14T00:00:00"/>
    <x v="0"/>
    <s v="Liverpool"/>
    <s v="Small Business"/>
    <s v="Retail Store"/>
    <s v="P-010"/>
    <n v="13"/>
    <n v="0"/>
    <n v="73.67"/>
    <n v="6.21"/>
    <x v="4"/>
    <x v="2"/>
    <s v="Orbit Supply Co."/>
    <n v="3.62"/>
    <n v="6.03"/>
    <n v="47.06"/>
    <n v="20.399999999999999"/>
    <n v="0.27691054703407081"/>
    <x v="10"/>
    <x v="1"/>
    <x v="1"/>
  </r>
  <r>
    <s v="ORD-102097"/>
    <d v="2024-01-10T00:00:00"/>
    <d v="2024-01-13T00:00:00"/>
    <x v="0"/>
    <s v="Cardiff"/>
    <s v="Small Business"/>
    <s v="B2B Sales"/>
    <s v="P-013"/>
    <n v="7"/>
    <n v="0"/>
    <n v="77.78"/>
    <n v="7.65"/>
    <x v="11"/>
    <x v="2"/>
    <s v="Apex Wholesale"/>
    <n v="6.33"/>
    <n v="12.16"/>
    <n v="44.31"/>
    <n v="25.82"/>
    <n v="0.33196194394445872"/>
    <x v="18"/>
    <x v="1"/>
    <x v="1"/>
  </r>
  <r>
    <s v="ORD-102098"/>
    <d v="2025-08-02T00:00:00"/>
    <d v="2025-08-06T00:00:00"/>
    <x v="0"/>
    <s v="Liverpool"/>
    <s v="Corporate"/>
    <s v="Retail Store"/>
    <s v="P-002"/>
    <n v="1"/>
    <n v="0.25"/>
    <n v="144.49"/>
    <n v="4.08"/>
    <x v="2"/>
    <x v="1"/>
    <s v="Vertex Trade"/>
    <n v="119.02"/>
    <n v="205.39"/>
    <n v="119.02"/>
    <n v="21.390000000000015"/>
    <n v="0.14803792650010392"/>
    <x v="6"/>
    <x v="3"/>
    <x v="0"/>
  </r>
  <r>
    <s v="ORD-102099"/>
    <d v="2025-05-20T00:00:00"/>
    <d v="2025-05-22T00:00:00"/>
    <x v="0"/>
    <s v="Liverpool"/>
    <s v="Home Office"/>
    <s v="B2B Sales"/>
    <s v="P-006"/>
    <n v="2"/>
    <n v="0"/>
    <n v="221.19"/>
    <n v="7"/>
    <x v="10"/>
    <x v="0"/>
    <s v="Apex Wholesale"/>
    <n v="54.95"/>
    <n v="112.56"/>
    <n v="109.9"/>
    <n v="104.28999999999999"/>
    <n v="0.47149509471495094"/>
    <x v="1"/>
    <x v="1"/>
    <x v="0"/>
  </r>
  <r>
    <s v="ORD-102100"/>
    <d v="2024-08-14T00:00:00"/>
    <d v="2024-08-16T00:00:00"/>
    <x v="3"/>
    <s v="Manchester"/>
    <s v="Home Office"/>
    <s v="B2B Sales"/>
    <s v="P-015"/>
    <n v="11"/>
    <n v="0"/>
    <n v="65.44"/>
    <n v="9.4499999999999993"/>
    <x v="8"/>
    <x v="2"/>
    <s v="Luma Imports"/>
    <n v="3.3"/>
    <n v="6.13"/>
    <n v="36.299999999999997"/>
    <n v="19.690000000000001"/>
    <n v="0.30088630806845967"/>
    <x v="7"/>
    <x v="1"/>
    <x v="1"/>
  </r>
  <r>
    <s v="ORD-102101"/>
    <d v="2025-06-08T00:00:00"/>
    <d v="2025-06-14T00:00:00"/>
    <x v="2"/>
    <s v="London"/>
    <s v="Small Business"/>
    <s v="Online"/>
    <s v="P-014"/>
    <n v="13"/>
    <n v="0"/>
    <n v="393.1"/>
    <n v="6.21"/>
    <x v="3"/>
    <x v="2"/>
    <s v="Orbit Supply Co."/>
    <n v="16.760000000000002"/>
    <n v="27.71"/>
    <n v="217.88000000000002"/>
    <n v="169.01"/>
    <n v="0.42994149071483079"/>
    <x v="0"/>
    <x v="1"/>
    <x v="0"/>
  </r>
  <r>
    <s v="ORD-102102"/>
    <d v="2024-12-25T00:00:00"/>
    <d v="2024-12-28T00:00:00"/>
    <x v="0"/>
    <s v="Cardiff"/>
    <s v="Home Office"/>
    <s v="Retail Store"/>
    <s v="P-008"/>
    <n v="2"/>
    <n v="0.25"/>
    <n v="429.8"/>
    <n v="4.2"/>
    <x v="6"/>
    <x v="0"/>
    <s v="Vertex Trade"/>
    <n v="112.09"/>
    <n v="192.47"/>
    <n v="224.18"/>
    <n v="201.42000000000002"/>
    <n v="0.46863657515123314"/>
    <x v="9"/>
    <x v="3"/>
    <x v="1"/>
  </r>
  <r>
    <s v="ORD-102103"/>
    <d v="2024-08-22T00:00:00"/>
    <d v="2024-08-26T00:00:00"/>
    <x v="1"/>
    <s v="Norwich"/>
    <s v="Home Office"/>
    <s v="Retail Store"/>
    <s v="P-005"/>
    <n v="3"/>
    <n v="0.1"/>
    <n v="132.03"/>
    <n v="4.95"/>
    <x v="13"/>
    <x v="0"/>
    <s v="Apex Wholesale"/>
    <n v="25.33"/>
    <n v="51.56"/>
    <n v="75.989999999999995"/>
    <n v="51.09"/>
    <n v="0.38695750965689618"/>
    <x v="7"/>
    <x v="0"/>
    <x v="1"/>
  </r>
  <r>
    <s v="ORD-102104"/>
    <d v="2024-08-20T00:00:00"/>
    <d v="2024-08-25T00:00:00"/>
    <x v="0"/>
    <s v="Birmingham"/>
    <s v="Home Office"/>
    <s v="Retail Store"/>
    <s v="P-003"/>
    <n v="2"/>
    <n v="0"/>
    <n v="225.27"/>
    <n v="9.1"/>
    <x v="1"/>
    <x v="1"/>
    <s v="Orbit Supply Co."/>
    <n v="71.489999999999995"/>
    <n v="112.88"/>
    <n v="142.97999999999999"/>
    <n v="73.190000000000026"/>
    <n v="0.32489901007679683"/>
    <x v="7"/>
    <x v="1"/>
    <x v="1"/>
  </r>
  <r>
    <s v="ORD-102105"/>
    <d v="2024-06-08T00:00:00"/>
    <d v="2024-06-13T00:00:00"/>
    <x v="0"/>
    <s v="Cardiff"/>
    <s v="Corporate"/>
    <s v="Retail Store"/>
    <s v="P-011"/>
    <n v="8"/>
    <n v="0.1"/>
    <n v="106.07"/>
    <n v="4.8600000000000003"/>
    <x v="9"/>
    <x v="2"/>
    <s v="Orbit Supply Co."/>
    <n v="7.93"/>
    <n v="14.78"/>
    <n v="63.44"/>
    <n v="37.769999999999996"/>
    <n v="0.35608560384651644"/>
    <x v="17"/>
    <x v="0"/>
    <x v="1"/>
  </r>
  <r>
    <s v="ORD-102106"/>
    <d v="2025-07-28T00:00:00"/>
    <d v="2025-07-30T00:00:00"/>
    <x v="0"/>
    <s v="Birmingham"/>
    <s v="Small Business"/>
    <s v="Online"/>
    <s v="P-007"/>
    <n v="2"/>
    <n v="0.1"/>
    <n v="96.88"/>
    <n v="4.2"/>
    <x v="7"/>
    <x v="0"/>
    <s v="Luma Imports"/>
    <n v="31.34"/>
    <n v="56.49"/>
    <n v="62.68"/>
    <n v="29.999999999999996"/>
    <n v="0.30966143682906688"/>
    <x v="4"/>
    <x v="0"/>
    <x v="0"/>
  </r>
  <r>
    <s v="ORD-102107"/>
    <d v="2025-11-04T00:00:00"/>
    <d v="2025-11-08T00:00:00"/>
    <x v="0"/>
    <s v="Liverpool"/>
    <s v="Corporate"/>
    <s v="Retail Store"/>
    <s v="P-003"/>
    <n v="1"/>
    <n v="0"/>
    <n v="150.12"/>
    <n v="6.8"/>
    <x v="1"/>
    <x v="1"/>
    <s v="Orbit Supply Co."/>
    <n v="71.489999999999995"/>
    <n v="112.88"/>
    <n v="71.489999999999995"/>
    <n v="71.830000000000013"/>
    <n v="0.4784838795630163"/>
    <x v="19"/>
    <x v="1"/>
    <x v="0"/>
  </r>
  <r>
    <s v="ORD-102108"/>
    <d v="2025-07-09T00:00:00"/>
    <d v="2025-07-14T00:00:00"/>
    <x v="3"/>
    <s v="Manchester"/>
    <s v="Home Office"/>
    <s v="Online"/>
    <s v="P-006"/>
    <n v="5"/>
    <n v="0.25"/>
    <n v="365.35"/>
    <n v="6.45"/>
    <x v="10"/>
    <x v="0"/>
    <s v="Apex Wholesale"/>
    <n v="54.95"/>
    <n v="112.56"/>
    <n v="274.75"/>
    <n v="84.15000000000002"/>
    <n v="0.23032708361844811"/>
    <x v="4"/>
    <x v="3"/>
    <x v="0"/>
  </r>
  <r>
    <s v="ORD-102109"/>
    <d v="2025-10-16T00:00:00"/>
    <d v="2025-10-17T00:00:00"/>
    <x v="3"/>
    <s v="Manchester"/>
    <s v="Small Business"/>
    <s v="Retail Store"/>
    <s v="P-007"/>
    <n v="1"/>
    <n v="0.25"/>
    <n v="49.68"/>
    <n v="3.45"/>
    <x v="7"/>
    <x v="0"/>
    <s v="Luma Imports"/>
    <n v="31.34"/>
    <n v="56.49"/>
    <n v="31.34"/>
    <n v="14.89"/>
    <n v="0.29971819645732689"/>
    <x v="22"/>
    <x v="3"/>
    <x v="0"/>
  </r>
  <r>
    <s v="ORD-102110"/>
    <d v="2024-05-14T00:00:00"/>
    <d v="2024-05-15T00:00:00"/>
    <x v="0"/>
    <s v="Cardiff"/>
    <s v="Small Business"/>
    <s v="B2B Sales"/>
    <s v="P-010"/>
    <n v="25"/>
    <n v="0"/>
    <n v="160.47999999999999"/>
    <n v="9.4499999999999993"/>
    <x v="4"/>
    <x v="2"/>
    <s v="Orbit Supply Co."/>
    <n v="3.62"/>
    <n v="6.03"/>
    <n v="90.5"/>
    <n v="60.529999999999987"/>
    <n v="0.3771809571286141"/>
    <x v="8"/>
    <x v="1"/>
    <x v="1"/>
  </r>
  <r>
    <s v="ORD-102111"/>
    <d v="2024-11-29T00:00:00"/>
    <d v="2024-12-02T00:00:00"/>
    <x v="0"/>
    <s v="Liverpool"/>
    <s v="Home Office"/>
    <s v="Retail Store"/>
    <s v="P-003"/>
    <n v="1"/>
    <n v="0"/>
    <n v="149.22"/>
    <n v="4.08"/>
    <x v="1"/>
    <x v="1"/>
    <s v="Orbit Supply Co."/>
    <n v="71.489999999999995"/>
    <n v="112.88"/>
    <n v="71.489999999999995"/>
    <n v="73.650000000000006"/>
    <n v="0.49356654603940497"/>
    <x v="14"/>
    <x v="1"/>
    <x v="1"/>
  </r>
  <r>
    <s v="ORD-102112"/>
    <d v="2025-10-08T00:00:00"/>
    <d v="2025-10-11T00:00:00"/>
    <x v="2"/>
    <s v="London"/>
    <s v="Small Business"/>
    <s v="Online"/>
    <s v="P-004"/>
    <n v="5"/>
    <n v="0"/>
    <n v="616.98"/>
    <n v="16"/>
    <x v="5"/>
    <x v="1"/>
    <s v="Cedar Distribution"/>
    <n v="63.6"/>
    <n v="107.94"/>
    <n v="318"/>
    <n v="282.98"/>
    <n v="0.45865344095432592"/>
    <x v="22"/>
    <x v="1"/>
    <x v="0"/>
  </r>
  <r>
    <s v="ORD-102113"/>
    <d v="2025-05-25T00:00:00"/>
    <d v="2025-05-31T00:00:00"/>
    <x v="0"/>
    <s v="Cardiff"/>
    <s v="Home Office"/>
    <s v="Retail Store"/>
    <s v="P-005"/>
    <n v="2"/>
    <n v="0"/>
    <n v="98.96"/>
    <n v="7"/>
    <x v="13"/>
    <x v="0"/>
    <s v="Apex Wholesale"/>
    <n v="25.33"/>
    <n v="51.56"/>
    <n v="50.66"/>
    <n v="41.3"/>
    <n v="0.41734033953112371"/>
    <x v="1"/>
    <x v="1"/>
    <x v="0"/>
  </r>
  <r>
    <s v="ORD-102114"/>
    <d v="2024-03-09T00:00:00"/>
    <d v="2024-03-14T00:00:00"/>
    <x v="1"/>
    <s v="Cambridge"/>
    <s v="Small Business"/>
    <s v="Retail Store"/>
    <s v="P-004"/>
    <n v="3"/>
    <n v="0.1"/>
    <n v="262.68"/>
    <n v="6.84"/>
    <x v="5"/>
    <x v="1"/>
    <s v="Cedar Distribution"/>
    <n v="63.6"/>
    <n v="107.94"/>
    <n v="190.8"/>
    <n v="65.039999999999992"/>
    <n v="0.24760164458656916"/>
    <x v="10"/>
    <x v="0"/>
    <x v="1"/>
  </r>
  <r>
    <s v="ORD-102115"/>
    <d v="2024-07-09T00:00:00"/>
    <d v="2024-07-10T00:00:00"/>
    <x v="1"/>
    <s v="Cambridge"/>
    <s v="Corporate"/>
    <s v="B2B Sales"/>
    <s v="P-015"/>
    <n v="13"/>
    <n v="0"/>
    <n v="69.2"/>
    <n v="6.21"/>
    <x v="8"/>
    <x v="2"/>
    <s v="Luma Imports"/>
    <n v="3.3"/>
    <n v="6.13"/>
    <n v="42.9"/>
    <n v="20.090000000000003"/>
    <n v="0.29031791907514454"/>
    <x v="16"/>
    <x v="1"/>
    <x v="1"/>
  </r>
  <r>
    <s v="ORD-102116"/>
    <d v="2024-11-08T00:00:00"/>
    <d v="2024-11-13T00:00:00"/>
    <x v="0"/>
    <s v="Cardiff"/>
    <s v="Corporate"/>
    <s v="Retail Store"/>
    <s v="P-009"/>
    <n v="3"/>
    <n v="0"/>
    <n v="522.29999999999995"/>
    <n v="8.25"/>
    <x v="0"/>
    <x v="0"/>
    <s v="Apex Wholesale"/>
    <n v="63.69"/>
    <n v="125.5"/>
    <n v="191.07"/>
    <n v="322.97999999999996"/>
    <n v="0.61838024124066626"/>
    <x v="14"/>
    <x v="1"/>
    <x v="1"/>
  </r>
  <r>
    <s v="ORD-102117"/>
    <d v="2024-02-08T00:00:00"/>
    <d v="2024-02-12T00:00:00"/>
    <x v="0"/>
    <s v="Liverpool"/>
    <s v="Corporate"/>
    <s v="B2B Sales"/>
    <s v="P-014"/>
    <n v="8"/>
    <n v="0.1"/>
    <n v="184.5"/>
    <n v="4.8600000000000003"/>
    <x v="3"/>
    <x v="2"/>
    <s v="Orbit Supply Co."/>
    <n v="16.760000000000002"/>
    <n v="27.71"/>
    <n v="134.08000000000001"/>
    <n v="45.559999999999988"/>
    <n v="0.2469376693766937"/>
    <x v="12"/>
    <x v="0"/>
    <x v="1"/>
  </r>
  <r>
    <s v="ORD-102118"/>
    <d v="2024-08-30T00:00:00"/>
    <d v="2024-09-02T00:00:00"/>
    <x v="2"/>
    <s v="Brighton"/>
    <s v="Small Business"/>
    <s v="Online"/>
    <s v="P-006"/>
    <n v="4"/>
    <n v="0"/>
    <n v="437.37"/>
    <n v="5.7"/>
    <x v="10"/>
    <x v="0"/>
    <s v="Apex Wholesale"/>
    <n v="54.95"/>
    <n v="112.56"/>
    <n v="219.8"/>
    <n v="211.87"/>
    <n v="0.48441822713034732"/>
    <x v="7"/>
    <x v="1"/>
    <x v="1"/>
  </r>
  <r>
    <s v="ORD-102119"/>
    <d v="2024-04-06T00:00:00"/>
    <d v="2024-04-07T00:00:00"/>
    <x v="0"/>
    <s v="Liverpool"/>
    <s v="Small Business"/>
    <s v="Retail Store"/>
    <s v="P-002"/>
    <n v="2"/>
    <n v="0"/>
    <n v="390.79"/>
    <n v="5.46"/>
    <x v="2"/>
    <x v="1"/>
    <s v="Vertex Trade"/>
    <n v="119.02"/>
    <n v="205.39"/>
    <n v="238.04"/>
    <n v="147.29000000000002"/>
    <n v="0.37690319608997164"/>
    <x v="21"/>
    <x v="1"/>
    <x v="1"/>
  </r>
  <r>
    <s v="ORD-102120"/>
    <d v="2024-01-05T00:00:00"/>
    <d v="2024-01-10T00:00:00"/>
    <x v="3"/>
    <s v="Leeds"/>
    <s v="Corporate"/>
    <s v="B2B Sales"/>
    <s v="P-001"/>
    <n v="7"/>
    <n v="0"/>
    <n v="1697.1"/>
    <n v="20.6"/>
    <x v="12"/>
    <x v="1"/>
    <s v="Luma Imports"/>
    <n v="173.56"/>
    <n v="286.14999999999998"/>
    <n v="1214.92"/>
    <n v="461.57999999999981"/>
    <n v="0.27198161569736601"/>
    <x v="18"/>
    <x v="1"/>
    <x v="1"/>
  </r>
  <r>
    <s v="ORD-102121"/>
    <d v="2025-09-14T00:00:00"/>
    <d v="2025-09-19T00:00:00"/>
    <x v="2"/>
    <s v="Brighton"/>
    <s v="Home Office"/>
    <s v="B2B Sales"/>
    <s v="P-008"/>
    <n v="3"/>
    <n v="0"/>
    <n v="615.14"/>
    <n v="8.25"/>
    <x v="6"/>
    <x v="0"/>
    <s v="Vertex Trade"/>
    <n v="112.09"/>
    <n v="192.47"/>
    <n v="336.27"/>
    <n v="270.62"/>
    <n v="0.43993237311831457"/>
    <x v="11"/>
    <x v="1"/>
    <x v="0"/>
  </r>
  <r>
    <s v="ORD-102122"/>
    <d v="2024-04-26T00:00:00"/>
    <d v="2024-04-29T00:00:00"/>
    <x v="3"/>
    <s v="Manchester"/>
    <s v="Corporate"/>
    <s v="Retail Store"/>
    <s v="P-011"/>
    <n v="7"/>
    <n v="0"/>
    <n v="97.73"/>
    <n v="4.59"/>
    <x v="9"/>
    <x v="2"/>
    <s v="Orbit Supply Co."/>
    <n v="7.93"/>
    <n v="14.78"/>
    <n v="55.51"/>
    <n v="37.63000000000001"/>
    <n v="0.38504041747672169"/>
    <x v="21"/>
    <x v="1"/>
    <x v="1"/>
  </r>
  <r>
    <s v="ORD-102123"/>
    <d v="2024-06-27T00:00:00"/>
    <d v="2024-07-01T00:00:00"/>
    <x v="1"/>
    <s v="Peterborough"/>
    <s v="Home Office"/>
    <s v="B2B Sales"/>
    <s v="P-006"/>
    <n v="4"/>
    <n v="0.15"/>
    <n v="385.1"/>
    <n v="5.7"/>
    <x v="10"/>
    <x v="0"/>
    <s v="Apex Wholesale"/>
    <n v="54.95"/>
    <n v="112.56"/>
    <n v="219.8"/>
    <n v="159.60000000000002"/>
    <n v="0.4144378083614646"/>
    <x v="17"/>
    <x v="2"/>
    <x v="1"/>
  </r>
  <r>
    <s v="ORD-102124"/>
    <d v="2024-04-13T00:00:00"/>
    <d v="2024-04-14T00:00:00"/>
    <x v="0"/>
    <s v="Cardiff"/>
    <s v="Home Office"/>
    <s v="B2B Sales"/>
    <s v="P-003"/>
    <n v="4"/>
    <n v="0"/>
    <n v="452.34"/>
    <n v="8.2200000000000006"/>
    <x v="1"/>
    <x v="1"/>
    <s v="Orbit Supply Co."/>
    <n v="71.489999999999995"/>
    <n v="112.88"/>
    <n v="285.95999999999998"/>
    <n v="158.16"/>
    <n v="0.34964849449529117"/>
    <x v="21"/>
    <x v="1"/>
    <x v="1"/>
  </r>
  <r>
    <s v="ORD-102125"/>
    <d v="2024-02-14T00:00:00"/>
    <d v="2024-02-19T00:00:00"/>
    <x v="3"/>
    <s v="Manchester"/>
    <s v="Home Office"/>
    <s v="Retail Store"/>
    <s v="P-007"/>
    <n v="3"/>
    <n v="0.25"/>
    <n v="117.29"/>
    <n v="8.25"/>
    <x v="7"/>
    <x v="0"/>
    <s v="Luma Imports"/>
    <n v="31.34"/>
    <n v="56.49"/>
    <n v="94.02"/>
    <n v="15.02000000000001"/>
    <n v="0.12805865802711236"/>
    <x v="12"/>
    <x v="3"/>
    <x v="1"/>
  </r>
  <r>
    <s v="ORD-102126"/>
    <d v="2025-07-23T00:00:00"/>
    <d v="2025-07-25T00:00:00"/>
    <x v="2"/>
    <s v="Brighton"/>
    <s v="Home Office"/>
    <s v="Online"/>
    <s v="P-006"/>
    <n v="1"/>
    <n v="0"/>
    <n v="108.56"/>
    <n v="5.75"/>
    <x v="10"/>
    <x v="0"/>
    <s v="Apex Wholesale"/>
    <n v="54.95"/>
    <n v="112.56"/>
    <n v="54.95"/>
    <n v="47.86"/>
    <n v="0.44086219602063376"/>
    <x v="4"/>
    <x v="1"/>
    <x v="0"/>
  </r>
  <r>
    <s v="ORD-102127"/>
    <d v="2025-04-17T00:00:00"/>
    <d v="2025-04-20T00:00:00"/>
    <x v="1"/>
    <s v="Cambridge"/>
    <s v="Small Business"/>
    <s v="Online"/>
    <s v="P-008"/>
    <n v="4"/>
    <n v="0.1"/>
    <n v="640.49"/>
    <n v="5.7"/>
    <x v="6"/>
    <x v="0"/>
    <s v="Vertex Trade"/>
    <n v="112.09"/>
    <n v="192.47"/>
    <n v="448.36"/>
    <n v="186.43"/>
    <n v="0.29107402145232558"/>
    <x v="15"/>
    <x v="0"/>
    <x v="0"/>
  </r>
  <r>
    <s v="ORD-102128"/>
    <d v="2025-11-19T00:00:00"/>
    <d v="2025-11-24T00:00:00"/>
    <x v="1"/>
    <s v="Peterborough"/>
    <s v="Home Office"/>
    <s v="Online"/>
    <s v="P-005"/>
    <n v="1"/>
    <n v="0.05"/>
    <n v="66.11"/>
    <n v="3.45"/>
    <x v="13"/>
    <x v="0"/>
    <s v="Apex Wholesale"/>
    <n v="25.33"/>
    <n v="51.56"/>
    <n v="25.33"/>
    <n v="37.33"/>
    <n v="0.56466495235214031"/>
    <x v="19"/>
    <x v="0"/>
    <x v="0"/>
  </r>
  <r>
    <s v="ORD-102129"/>
    <d v="2025-12-09T00:00:00"/>
    <d v="2025-12-10T00:00:00"/>
    <x v="0"/>
    <s v="Birmingham"/>
    <s v="Home Office"/>
    <s v="Online"/>
    <s v="P-014"/>
    <n v="11"/>
    <n v="0.15"/>
    <n v="389.21"/>
    <n v="9.4499999999999993"/>
    <x v="3"/>
    <x v="2"/>
    <s v="Orbit Supply Co."/>
    <n v="16.760000000000002"/>
    <n v="27.71"/>
    <n v="184.36"/>
    <n v="195.39999999999998"/>
    <n v="0.50204259911101967"/>
    <x v="13"/>
    <x v="2"/>
    <x v="0"/>
  </r>
  <r>
    <s v="ORD-102130"/>
    <d v="2024-07-21T00:00:00"/>
    <d v="2024-07-23T00:00:00"/>
    <x v="0"/>
    <s v="Liverpool"/>
    <s v="Small Business"/>
    <s v="Online"/>
    <s v="P-011"/>
    <n v="10"/>
    <n v="0"/>
    <n v="136.55000000000001"/>
    <n v="9"/>
    <x v="9"/>
    <x v="2"/>
    <s v="Orbit Supply Co."/>
    <n v="7.93"/>
    <n v="14.78"/>
    <n v="79.3"/>
    <n v="48.250000000000014"/>
    <n v="0.35335042109117548"/>
    <x v="16"/>
    <x v="1"/>
    <x v="1"/>
  </r>
  <r>
    <s v="ORD-102131"/>
    <d v="2025-06-04T00:00:00"/>
    <d v="2025-06-05T00:00:00"/>
    <x v="1"/>
    <s v="Cambridge"/>
    <s v="Corporate"/>
    <s v="B2B Sales"/>
    <s v="P-005"/>
    <n v="3"/>
    <n v="0.15"/>
    <n v="134.96"/>
    <n v="4.95"/>
    <x v="13"/>
    <x v="0"/>
    <s v="Apex Wholesale"/>
    <n v="25.33"/>
    <n v="51.56"/>
    <n v="75.989999999999995"/>
    <n v="54.02000000000001"/>
    <n v="0.40026674570243043"/>
    <x v="0"/>
    <x v="2"/>
    <x v="0"/>
  </r>
  <r>
    <s v="ORD-102132"/>
    <d v="2024-03-04T00:00:00"/>
    <d v="2024-03-10T00:00:00"/>
    <x v="0"/>
    <s v="Liverpool"/>
    <s v="Home Office"/>
    <s v="Online"/>
    <s v="P-005"/>
    <n v="4"/>
    <n v="0"/>
    <n v="192.75"/>
    <n v="9.5"/>
    <x v="13"/>
    <x v="0"/>
    <s v="Apex Wholesale"/>
    <n v="25.33"/>
    <n v="51.56"/>
    <n v="101.32"/>
    <n v="81.93"/>
    <n v="0.42505836575875489"/>
    <x v="10"/>
    <x v="1"/>
    <x v="1"/>
  </r>
  <r>
    <s v="ORD-102133"/>
    <d v="2024-07-11T00:00:00"/>
    <d v="2024-07-12T00:00:00"/>
    <x v="3"/>
    <s v="Newcastle"/>
    <s v="Home Office"/>
    <s v="B2B Sales"/>
    <s v="P-002"/>
    <n v="2"/>
    <n v="0.25"/>
    <n v="269.16000000000003"/>
    <n v="5.46"/>
    <x v="2"/>
    <x v="1"/>
    <s v="Vertex Trade"/>
    <n v="119.02"/>
    <n v="205.39"/>
    <n v="238.04"/>
    <n v="25.660000000000032"/>
    <n v="9.5333630554317247E-2"/>
    <x v="16"/>
    <x v="3"/>
    <x v="1"/>
  </r>
  <r>
    <s v="ORD-102134"/>
    <d v="2025-01-16T00:00:00"/>
    <d v="2025-01-17T00:00:00"/>
    <x v="1"/>
    <s v="Peterborough"/>
    <s v="Corporate"/>
    <s v="Retail Store"/>
    <s v="P-004"/>
    <n v="5"/>
    <n v="0.25"/>
    <n v="368.05"/>
    <n v="16"/>
    <x v="5"/>
    <x v="1"/>
    <s v="Cedar Distribution"/>
    <n v="63.6"/>
    <n v="107.94"/>
    <n v="318"/>
    <n v="34.050000000000011"/>
    <n v="9.2514603994022573E-2"/>
    <x v="20"/>
    <x v="3"/>
    <x v="0"/>
  </r>
  <r>
    <s v="ORD-102135"/>
    <d v="2025-02-03T00:00:00"/>
    <d v="2025-02-04T00:00:00"/>
    <x v="2"/>
    <s v="Brighton"/>
    <s v="Small Business"/>
    <s v="Retail Store"/>
    <s v="P-008"/>
    <n v="4"/>
    <n v="0"/>
    <n v="707.84"/>
    <n v="5.7"/>
    <x v="6"/>
    <x v="0"/>
    <s v="Vertex Trade"/>
    <n v="112.09"/>
    <n v="192.47"/>
    <n v="448.36"/>
    <n v="253.78000000000003"/>
    <n v="0.35852735081374326"/>
    <x v="5"/>
    <x v="1"/>
    <x v="0"/>
  </r>
  <r>
    <s v="ORD-102136"/>
    <d v="2024-10-28T00:00:00"/>
    <d v="2024-11-03T00:00:00"/>
    <x v="0"/>
    <s v="Cardiff"/>
    <s v="Small Business"/>
    <s v="Online"/>
    <s v="P-007"/>
    <n v="2"/>
    <n v="0"/>
    <n v="133.68"/>
    <n v="7"/>
    <x v="7"/>
    <x v="0"/>
    <s v="Luma Imports"/>
    <n v="31.34"/>
    <n v="56.49"/>
    <n v="62.68"/>
    <n v="64"/>
    <n v="0.47875523638539796"/>
    <x v="3"/>
    <x v="1"/>
    <x v="1"/>
  </r>
  <r>
    <s v="ORD-102137"/>
    <d v="2024-08-16T00:00:00"/>
    <d v="2024-08-17T00:00:00"/>
    <x v="0"/>
    <s v="Liverpool"/>
    <s v="Small Business"/>
    <s v="Online"/>
    <s v="P-015"/>
    <n v="6"/>
    <n v="0.15"/>
    <n v="30.45"/>
    <n v="4.32"/>
    <x v="8"/>
    <x v="2"/>
    <s v="Luma Imports"/>
    <n v="3.3"/>
    <n v="6.13"/>
    <n v="19.799999999999997"/>
    <n v="6.3300000000000018"/>
    <n v="0.20788177339901484"/>
    <x v="7"/>
    <x v="2"/>
    <x v="1"/>
  </r>
  <r>
    <s v="ORD-102138"/>
    <d v="2024-04-25T00:00:00"/>
    <d v="2024-04-29T00:00:00"/>
    <x v="3"/>
    <s v="Newcastle"/>
    <s v="Corporate"/>
    <s v="Online"/>
    <s v="P-013"/>
    <n v="7"/>
    <n v="0"/>
    <n v="84.56"/>
    <n v="4.59"/>
    <x v="11"/>
    <x v="2"/>
    <s v="Apex Wholesale"/>
    <n v="6.33"/>
    <n v="12.16"/>
    <n v="44.31"/>
    <n v="35.659999999999997"/>
    <n v="0.42171239356669815"/>
    <x v="21"/>
    <x v="1"/>
    <x v="1"/>
  </r>
  <r>
    <s v="ORD-102139"/>
    <d v="2025-08-09T00:00:00"/>
    <d v="2025-08-15T00:00:00"/>
    <x v="0"/>
    <s v="Liverpool"/>
    <s v="Small Business"/>
    <s v="B2B Sales"/>
    <s v="P-004"/>
    <n v="1"/>
    <n v="0"/>
    <n v="105.14"/>
    <n v="4.08"/>
    <x v="5"/>
    <x v="1"/>
    <s v="Cedar Distribution"/>
    <n v="63.6"/>
    <n v="107.94"/>
    <n v="63.6"/>
    <n v="37.46"/>
    <n v="0.35628685562107665"/>
    <x v="6"/>
    <x v="1"/>
    <x v="0"/>
  </r>
  <r>
    <s v="ORD-102140"/>
    <d v="2024-02-22T00:00:00"/>
    <d v="2024-02-28T00:00:00"/>
    <x v="2"/>
    <s v="Bristol"/>
    <s v="Small Business"/>
    <s v="Online"/>
    <s v="P-012"/>
    <n v="14"/>
    <n v="0"/>
    <n v="109.95"/>
    <n v="6.48"/>
    <x v="14"/>
    <x v="2"/>
    <s v="Luma Imports"/>
    <n v="4.5"/>
    <n v="8.2899999999999991"/>
    <n v="63"/>
    <n v="40.47"/>
    <n v="0.36807639836289219"/>
    <x v="12"/>
    <x v="1"/>
    <x v="1"/>
  </r>
  <r>
    <s v="ORD-102141"/>
    <d v="2025-06-15T00:00:00"/>
    <d v="2025-06-21T00:00:00"/>
    <x v="2"/>
    <s v="Bristol"/>
    <s v="Home Office"/>
    <s v="Online"/>
    <s v="P-003"/>
    <n v="3"/>
    <n v="0"/>
    <n v="365.02"/>
    <n v="11.4"/>
    <x v="1"/>
    <x v="1"/>
    <s v="Orbit Supply Co."/>
    <n v="71.489999999999995"/>
    <n v="112.88"/>
    <n v="214.46999999999997"/>
    <n v="139.15"/>
    <n v="0.38121198838419817"/>
    <x v="0"/>
    <x v="1"/>
    <x v="0"/>
  </r>
  <r>
    <s v="ORD-102142"/>
    <d v="2024-08-30T00:00:00"/>
    <d v="2024-08-31T00:00:00"/>
    <x v="1"/>
    <s v="Peterborough"/>
    <s v="Small Business"/>
    <s v="Online"/>
    <s v="P-007"/>
    <n v="2"/>
    <n v="0"/>
    <n v="106.22"/>
    <n v="7"/>
    <x v="7"/>
    <x v="0"/>
    <s v="Luma Imports"/>
    <n v="31.34"/>
    <n v="56.49"/>
    <n v="62.68"/>
    <n v="36.54"/>
    <n v="0.34400301261532668"/>
    <x v="7"/>
    <x v="1"/>
    <x v="1"/>
  </r>
  <r>
    <s v="ORD-102143"/>
    <d v="2025-07-15T00:00:00"/>
    <d v="2025-07-18T00:00:00"/>
    <x v="1"/>
    <s v="Cambridge"/>
    <s v="Corporate"/>
    <s v="Online"/>
    <s v="P-010"/>
    <n v="6"/>
    <n v="0"/>
    <n v="31.44"/>
    <n v="4.32"/>
    <x v="4"/>
    <x v="2"/>
    <s v="Orbit Supply Co."/>
    <n v="3.62"/>
    <n v="6.03"/>
    <n v="21.72"/>
    <n v="5.4000000000000021"/>
    <n v="0.17175572519083976"/>
    <x v="4"/>
    <x v="1"/>
    <x v="0"/>
  </r>
  <r>
    <s v="ORD-102144"/>
    <d v="2024-10-06T00:00:00"/>
    <d v="2024-10-09T00:00:00"/>
    <x v="0"/>
    <s v="Birmingham"/>
    <s v="Small Business"/>
    <s v="Retail Store"/>
    <s v="P-005"/>
    <n v="3"/>
    <n v="0.2"/>
    <n v="140.24"/>
    <n v="4.95"/>
    <x v="13"/>
    <x v="0"/>
    <s v="Apex Wholesale"/>
    <n v="25.33"/>
    <n v="51.56"/>
    <n v="75.989999999999995"/>
    <n v="59.300000000000011"/>
    <n v="0.42284654877353112"/>
    <x v="3"/>
    <x v="2"/>
    <x v="1"/>
  </r>
  <r>
    <s v="ORD-102145"/>
    <d v="2024-12-15T00:00:00"/>
    <d v="2024-12-16T00:00:00"/>
    <x v="1"/>
    <s v="Norwich"/>
    <s v="Corporate"/>
    <s v="Retail Store"/>
    <s v="P-013"/>
    <n v="11"/>
    <n v="0"/>
    <n v="193.19"/>
    <n v="5.67"/>
    <x v="11"/>
    <x v="2"/>
    <s v="Apex Wholesale"/>
    <n v="6.33"/>
    <n v="12.16"/>
    <n v="69.63"/>
    <n v="117.89"/>
    <n v="0.61022827268492164"/>
    <x v="9"/>
    <x v="1"/>
    <x v="1"/>
  </r>
  <r>
    <s v="ORD-102146"/>
    <d v="2024-06-25T00:00:00"/>
    <d v="2024-06-30T00:00:00"/>
    <x v="1"/>
    <s v="Norwich"/>
    <s v="Small Business"/>
    <s v="Retail Store"/>
    <s v="P-004"/>
    <n v="4"/>
    <n v="0"/>
    <n v="436.4"/>
    <n v="8.2200000000000006"/>
    <x v="5"/>
    <x v="1"/>
    <s v="Cedar Distribution"/>
    <n v="63.6"/>
    <n v="107.94"/>
    <n v="254.4"/>
    <n v="173.77999999999997"/>
    <n v="0.39821264894592112"/>
    <x v="17"/>
    <x v="1"/>
    <x v="1"/>
  </r>
  <r>
    <s v="ORD-102147"/>
    <d v="2025-07-13T00:00:00"/>
    <d v="2025-07-19T00:00:00"/>
    <x v="0"/>
    <s v="Cardiff"/>
    <s v="Corporate"/>
    <s v="B2B Sales"/>
    <s v="P-013"/>
    <n v="4"/>
    <n v="0"/>
    <n v="45.09"/>
    <n v="6.3"/>
    <x v="11"/>
    <x v="2"/>
    <s v="Apex Wholesale"/>
    <n v="6.33"/>
    <n v="12.16"/>
    <n v="25.32"/>
    <n v="13.470000000000002"/>
    <n v="0.29873586161011312"/>
    <x v="4"/>
    <x v="1"/>
    <x v="0"/>
  </r>
  <r>
    <s v="ORD-102148"/>
    <d v="2025-12-10T00:00:00"/>
    <d v="2025-12-16T00:00:00"/>
    <x v="1"/>
    <s v="Norwich"/>
    <s v="Small Business"/>
    <s v="Retail Store"/>
    <s v="P-003"/>
    <n v="4"/>
    <n v="0.15"/>
    <n v="552.9"/>
    <n v="13.7"/>
    <x v="1"/>
    <x v="1"/>
    <s v="Orbit Supply Co."/>
    <n v="71.489999999999995"/>
    <n v="112.88"/>
    <n v="285.95999999999998"/>
    <n v="253.24"/>
    <n v="0.45802134201483091"/>
    <x v="13"/>
    <x v="2"/>
    <x v="0"/>
  </r>
  <r>
    <s v="ORD-102149"/>
    <d v="2025-12-18T00:00:00"/>
    <d v="2025-12-22T00:00:00"/>
    <x v="1"/>
    <s v="Peterborough"/>
    <s v="Small Business"/>
    <s v="B2B Sales"/>
    <s v="P-014"/>
    <n v="12"/>
    <n v="0"/>
    <n v="468.69"/>
    <n v="9.9"/>
    <x v="3"/>
    <x v="2"/>
    <s v="Orbit Supply Co."/>
    <n v="16.760000000000002"/>
    <n v="27.71"/>
    <n v="201.12"/>
    <n v="257.67"/>
    <n v="0.54976637009537221"/>
    <x v="13"/>
    <x v="1"/>
    <x v="0"/>
  </r>
  <r>
    <s v="ORD-102150"/>
    <d v="2025-08-13T00:00:00"/>
    <d v="2025-08-17T00:00:00"/>
    <x v="0"/>
    <s v="Liverpool"/>
    <s v="Small Business"/>
    <s v="Online"/>
    <s v="P-002"/>
    <n v="2"/>
    <n v="0"/>
    <n v="396.87"/>
    <n v="5.46"/>
    <x v="2"/>
    <x v="1"/>
    <s v="Vertex Trade"/>
    <n v="119.02"/>
    <n v="205.39"/>
    <n v="238.04"/>
    <n v="153.37"/>
    <n v="0.38644896313654348"/>
    <x v="6"/>
    <x v="1"/>
    <x v="0"/>
  </r>
  <r>
    <s v="ORD-102151"/>
    <d v="2024-06-12T00:00:00"/>
    <d v="2024-06-13T00:00:00"/>
    <x v="0"/>
    <s v="Birmingham"/>
    <s v="Home Office"/>
    <s v="Retail Store"/>
    <s v="P-015"/>
    <n v="7"/>
    <n v="0"/>
    <n v="42.68"/>
    <n v="7.65"/>
    <x v="8"/>
    <x v="2"/>
    <s v="Luma Imports"/>
    <n v="3.3"/>
    <n v="6.13"/>
    <n v="23.099999999999998"/>
    <n v="11.930000000000001"/>
    <n v="0.27952202436738521"/>
    <x v="17"/>
    <x v="1"/>
    <x v="1"/>
  </r>
  <r>
    <s v="ORD-102152"/>
    <d v="2025-06-01T00:00:00"/>
    <d v="2025-06-04T00:00:00"/>
    <x v="1"/>
    <s v="Peterborough"/>
    <s v="Small Business"/>
    <s v="Online"/>
    <s v="P-013"/>
    <n v="9"/>
    <n v="0.1"/>
    <n v="105.5"/>
    <n v="8.5500000000000007"/>
    <x v="11"/>
    <x v="2"/>
    <s v="Apex Wholesale"/>
    <n v="6.33"/>
    <n v="12.16"/>
    <n v="56.97"/>
    <n v="39.980000000000004"/>
    <n v="0.378957345971564"/>
    <x v="0"/>
    <x v="0"/>
    <x v="0"/>
  </r>
  <r>
    <s v="ORD-102153"/>
    <d v="2024-06-12T00:00:00"/>
    <d v="2024-06-16T00:00:00"/>
    <x v="2"/>
    <s v="Brighton"/>
    <s v="Small Business"/>
    <s v="Retail Store"/>
    <s v="P-015"/>
    <n v="11"/>
    <n v="0.1"/>
    <n v="62.19"/>
    <n v="5.67"/>
    <x v="8"/>
    <x v="2"/>
    <s v="Luma Imports"/>
    <n v="3.3"/>
    <n v="6.13"/>
    <n v="36.299999999999997"/>
    <n v="20.22"/>
    <n v="0.32513265798359864"/>
    <x v="17"/>
    <x v="0"/>
    <x v="1"/>
  </r>
  <r>
    <s v="ORD-102154"/>
    <d v="2025-09-25T00:00:00"/>
    <d v="2025-09-26T00:00:00"/>
    <x v="0"/>
    <s v="Birmingham"/>
    <s v="Small Business"/>
    <s v="Online"/>
    <s v="P-011"/>
    <n v="9"/>
    <n v="0.1"/>
    <n v="125.28"/>
    <n v="8.5500000000000007"/>
    <x v="9"/>
    <x v="2"/>
    <s v="Orbit Supply Co."/>
    <n v="7.93"/>
    <n v="14.78"/>
    <n v="71.37"/>
    <n v="45.36"/>
    <n v="0.36206896551724138"/>
    <x v="11"/>
    <x v="0"/>
    <x v="0"/>
  </r>
  <r>
    <s v="ORD-102155"/>
    <d v="2024-09-01T00:00:00"/>
    <d v="2024-09-06T00:00:00"/>
    <x v="1"/>
    <s v="Norwich"/>
    <s v="Home Office"/>
    <s v="Online"/>
    <s v="P-005"/>
    <n v="3"/>
    <n v="0.2"/>
    <n v="130.63999999999999"/>
    <n v="4.95"/>
    <x v="13"/>
    <x v="0"/>
    <s v="Apex Wholesale"/>
    <n v="25.33"/>
    <n v="51.56"/>
    <n v="75.989999999999995"/>
    <n v="49.699999999999989"/>
    <n v="0.38043478260869562"/>
    <x v="23"/>
    <x v="2"/>
    <x v="1"/>
  </r>
  <r>
    <s v="ORD-102156"/>
    <d v="2025-05-18T00:00:00"/>
    <d v="2025-05-23T00:00:00"/>
    <x v="0"/>
    <s v="Liverpool"/>
    <s v="Corporate"/>
    <s v="B2B Sales"/>
    <s v="P-002"/>
    <n v="4"/>
    <n v="0"/>
    <n v="881.04"/>
    <n v="13.7"/>
    <x v="2"/>
    <x v="1"/>
    <s v="Vertex Trade"/>
    <n v="119.02"/>
    <n v="205.39"/>
    <n v="476.08"/>
    <n v="391.26"/>
    <n v="0.44408880414056118"/>
    <x v="1"/>
    <x v="1"/>
    <x v="0"/>
  </r>
  <r>
    <s v="ORD-102157"/>
    <d v="2025-01-04T00:00:00"/>
    <d v="2025-01-05T00:00:00"/>
    <x v="0"/>
    <s v="Birmingham"/>
    <s v="Home Office"/>
    <s v="Retail Store"/>
    <s v="P-014"/>
    <n v="8"/>
    <n v="0.1"/>
    <n v="165.81"/>
    <n v="8.1"/>
    <x v="3"/>
    <x v="2"/>
    <s v="Orbit Supply Co."/>
    <n v="16.760000000000002"/>
    <n v="27.71"/>
    <n v="134.08000000000001"/>
    <n v="23.629999999999988"/>
    <n v="0.14251251432362336"/>
    <x v="20"/>
    <x v="0"/>
    <x v="0"/>
  </r>
  <r>
    <s v="ORD-102158"/>
    <d v="2024-09-03T00:00:00"/>
    <d v="2024-09-04T00:00:00"/>
    <x v="0"/>
    <s v="Cardiff"/>
    <s v="Home Office"/>
    <s v="Online"/>
    <s v="P-009"/>
    <n v="2"/>
    <n v="0"/>
    <n v="268.91000000000003"/>
    <n v="4.2"/>
    <x v="0"/>
    <x v="0"/>
    <s v="Apex Wholesale"/>
    <n v="63.69"/>
    <n v="125.5"/>
    <n v="127.38"/>
    <n v="137.33000000000004"/>
    <n v="0.51069130936000906"/>
    <x v="23"/>
    <x v="1"/>
    <x v="1"/>
  </r>
  <r>
    <s v="ORD-102159"/>
    <d v="2025-07-21T00:00:00"/>
    <d v="2025-07-24T00:00:00"/>
    <x v="1"/>
    <s v="Norwich"/>
    <s v="Small Business"/>
    <s v="Online"/>
    <s v="P-010"/>
    <n v="13"/>
    <n v="0.15"/>
    <n v="58.06"/>
    <n v="10.35"/>
    <x v="4"/>
    <x v="2"/>
    <s v="Orbit Supply Co."/>
    <n v="3.62"/>
    <n v="6.03"/>
    <n v="47.06"/>
    <n v="0.65000000000000036"/>
    <n v="1.1195315191181542E-2"/>
    <x v="4"/>
    <x v="2"/>
    <x v="0"/>
  </r>
  <r>
    <s v="ORD-102160"/>
    <d v="2024-05-12T00:00:00"/>
    <d v="2024-05-17T00:00:00"/>
    <x v="1"/>
    <s v="Peterborough"/>
    <s v="Corporate"/>
    <s v="B2B Sales"/>
    <s v="P-003"/>
    <n v="4"/>
    <n v="0"/>
    <n v="480.82"/>
    <n v="8.2200000000000006"/>
    <x v="1"/>
    <x v="1"/>
    <s v="Orbit Supply Co."/>
    <n v="71.489999999999995"/>
    <n v="112.88"/>
    <n v="285.95999999999998"/>
    <n v="186.64000000000001"/>
    <n v="0.38817020922590578"/>
    <x v="8"/>
    <x v="1"/>
    <x v="1"/>
  </r>
  <r>
    <s v="ORD-102161"/>
    <d v="2025-06-06T00:00:00"/>
    <d v="2025-06-10T00:00:00"/>
    <x v="1"/>
    <s v="Peterborough"/>
    <s v="Small Business"/>
    <s v="B2B Sales"/>
    <s v="P-013"/>
    <n v="13"/>
    <n v="0"/>
    <n v="168.38"/>
    <n v="6.21"/>
    <x v="11"/>
    <x v="2"/>
    <s v="Apex Wholesale"/>
    <n v="6.33"/>
    <n v="12.16"/>
    <n v="82.29"/>
    <n v="79.88"/>
    <n v="0.47440313576434257"/>
    <x v="0"/>
    <x v="1"/>
    <x v="0"/>
  </r>
  <r>
    <s v="ORD-102162"/>
    <d v="2025-03-14T00:00:00"/>
    <d v="2025-03-16T00:00:00"/>
    <x v="0"/>
    <s v="Cardiff"/>
    <s v="Corporate"/>
    <s v="B2B Sales"/>
    <s v="P-013"/>
    <n v="3"/>
    <n v="0"/>
    <n v="35.479999999999997"/>
    <n v="3.51"/>
    <x v="11"/>
    <x v="2"/>
    <s v="Apex Wholesale"/>
    <n v="6.33"/>
    <n v="12.16"/>
    <n v="18.990000000000002"/>
    <n v="12.979999999999995"/>
    <n v="0.36583990980834263"/>
    <x v="2"/>
    <x v="1"/>
    <x v="0"/>
  </r>
  <r>
    <s v="ORD-102163"/>
    <d v="2025-04-04T00:00:00"/>
    <d v="2025-04-09T00:00:00"/>
    <x v="1"/>
    <s v="Cambridge"/>
    <s v="Home Office"/>
    <s v="B2B Sales"/>
    <s v="P-003"/>
    <n v="2"/>
    <n v="0.25"/>
    <n v="161.47"/>
    <n v="5.46"/>
    <x v="1"/>
    <x v="1"/>
    <s v="Orbit Supply Co."/>
    <n v="71.489999999999995"/>
    <n v="112.88"/>
    <n v="142.97999999999999"/>
    <n v="13.030000000000008"/>
    <n v="8.0696104539542998E-2"/>
    <x v="15"/>
    <x v="3"/>
    <x v="0"/>
  </r>
  <r>
    <s v="ORD-102164"/>
    <d v="2024-01-18T00:00:00"/>
    <d v="2024-01-23T00:00:00"/>
    <x v="1"/>
    <s v="Peterborough"/>
    <s v="Corporate"/>
    <s v="Retail Store"/>
    <s v="P-015"/>
    <n v="11"/>
    <n v="0"/>
    <n v="59.33"/>
    <n v="9.4499999999999993"/>
    <x v="8"/>
    <x v="2"/>
    <s v="Luma Imports"/>
    <n v="3.3"/>
    <n v="6.13"/>
    <n v="36.299999999999997"/>
    <n v="13.580000000000002"/>
    <n v="0.22888926344176644"/>
    <x v="18"/>
    <x v="1"/>
    <x v="1"/>
  </r>
  <r>
    <s v="ORD-102165"/>
    <d v="2024-11-26T00:00:00"/>
    <d v="2024-11-29T00:00:00"/>
    <x v="3"/>
    <s v="Manchester"/>
    <s v="Small Business"/>
    <s v="Online"/>
    <s v="P-002"/>
    <n v="4"/>
    <n v="0.15"/>
    <n v="974.77"/>
    <n v="8.2200000000000006"/>
    <x v="2"/>
    <x v="1"/>
    <s v="Vertex Trade"/>
    <n v="119.02"/>
    <n v="205.39"/>
    <n v="476.08"/>
    <n v="490.46999999999997"/>
    <n v="0.50316484914390058"/>
    <x v="14"/>
    <x v="2"/>
    <x v="1"/>
  </r>
  <r>
    <s v="ORD-102166"/>
    <d v="2024-04-03T00:00:00"/>
    <d v="2024-04-05T00:00:00"/>
    <x v="2"/>
    <s v="Brighton"/>
    <s v="Corporate"/>
    <s v="Online"/>
    <s v="P-004"/>
    <n v="2"/>
    <n v="0"/>
    <n v="202.78"/>
    <n v="5.46"/>
    <x v="5"/>
    <x v="1"/>
    <s v="Cedar Distribution"/>
    <n v="63.6"/>
    <n v="107.94"/>
    <n v="127.2"/>
    <n v="70.12"/>
    <n v="0.34579347075648487"/>
    <x v="21"/>
    <x v="1"/>
    <x v="1"/>
  </r>
  <r>
    <s v="ORD-102167"/>
    <d v="2024-06-22T00:00:00"/>
    <d v="2024-06-26T00:00:00"/>
    <x v="1"/>
    <s v="Peterborough"/>
    <s v="Corporate"/>
    <s v="B2B Sales"/>
    <s v="P-015"/>
    <n v="11"/>
    <n v="0.2"/>
    <n v="58.99"/>
    <n v="9.4499999999999993"/>
    <x v="8"/>
    <x v="2"/>
    <s v="Luma Imports"/>
    <n v="3.3"/>
    <n v="6.13"/>
    <n v="36.299999999999997"/>
    <n v="13.240000000000006"/>
    <n v="0.22444482115612824"/>
    <x v="17"/>
    <x v="2"/>
    <x v="1"/>
  </r>
  <r>
    <s v="ORD-102168"/>
    <d v="2024-12-27T00:00:00"/>
    <d v="2024-12-30T00:00:00"/>
    <x v="0"/>
    <s v="Birmingham"/>
    <s v="Corporate"/>
    <s v="B2B Sales"/>
    <s v="P-014"/>
    <n v="22"/>
    <n v="0.15"/>
    <n v="764.35"/>
    <n v="8.64"/>
    <x v="3"/>
    <x v="2"/>
    <s v="Orbit Supply Co."/>
    <n v="16.760000000000002"/>
    <n v="27.71"/>
    <n v="368.72"/>
    <n v="386.99"/>
    <n v="0.50629947013802579"/>
    <x v="9"/>
    <x v="2"/>
    <x v="1"/>
  </r>
  <r>
    <s v="ORD-102169"/>
    <d v="2025-12-21T00:00:00"/>
    <d v="2025-12-23T00:00:00"/>
    <x v="0"/>
    <s v="Cardiff"/>
    <s v="Home Office"/>
    <s v="B2B Sales"/>
    <s v="P-011"/>
    <n v="8"/>
    <n v="0.05"/>
    <n v="162.56"/>
    <n v="4.8600000000000003"/>
    <x v="9"/>
    <x v="2"/>
    <s v="Orbit Supply Co."/>
    <n v="7.93"/>
    <n v="14.78"/>
    <n v="63.44"/>
    <n v="94.26"/>
    <n v="0.57984744094488194"/>
    <x v="13"/>
    <x v="0"/>
    <x v="0"/>
  </r>
  <r>
    <s v="ORD-102170"/>
    <d v="2024-07-03T00:00:00"/>
    <d v="2024-07-08T00:00:00"/>
    <x v="2"/>
    <s v="Brighton"/>
    <s v="Corporate"/>
    <s v="Online"/>
    <s v="P-012"/>
    <n v="10"/>
    <n v="0"/>
    <n v="79.319999999999993"/>
    <n v="9"/>
    <x v="14"/>
    <x v="2"/>
    <s v="Luma Imports"/>
    <n v="4.5"/>
    <n v="8.2899999999999991"/>
    <n v="45"/>
    <n v="25.319999999999993"/>
    <n v="0.3192133131618759"/>
    <x v="16"/>
    <x v="1"/>
    <x v="1"/>
  </r>
  <r>
    <s v="ORD-102171"/>
    <d v="2025-02-07T00:00:00"/>
    <d v="2025-02-13T00:00:00"/>
    <x v="3"/>
    <s v="Leeds"/>
    <s v="Home Office"/>
    <s v="Online"/>
    <s v="P-005"/>
    <n v="1"/>
    <n v="0"/>
    <n v="43.97"/>
    <n v="3.45"/>
    <x v="13"/>
    <x v="0"/>
    <s v="Apex Wholesale"/>
    <n v="25.33"/>
    <n v="51.56"/>
    <n v="25.33"/>
    <n v="15.190000000000001"/>
    <n v="0.34546281555606101"/>
    <x v="5"/>
    <x v="1"/>
    <x v="0"/>
  </r>
  <r>
    <s v="ORD-102172"/>
    <d v="2024-05-27T00:00:00"/>
    <d v="2024-06-02T00:00:00"/>
    <x v="2"/>
    <s v="London"/>
    <s v="Home Office"/>
    <s v="Retail Store"/>
    <s v="P-014"/>
    <n v="13"/>
    <n v="0"/>
    <n v="370.26"/>
    <n v="6.21"/>
    <x v="3"/>
    <x v="2"/>
    <s v="Orbit Supply Co."/>
    <n v="16.760000000000002"/>
    <n v="27.71"/>
    <n v="217.88000000000002"/>
    <n v="146.16999999999996"/>
    <n v="0.39477664343974495"/>
    <x v="8"/>
    <x v="1"/>
    <x v="1"/>
  </r>
  <r>
    <s v="ORD-102173"/>
    <d v="2025-12-13T00:00:00"/>
    <d v="2025-12-17T00:00:00"/>
    <x v="0"/>
    <s v="Birmingham"/>
    <s v="Small Business"/>
    <s v="Online"/>
    <s v="P-001"/>
    <n v="4"/>
    <n v="0"/>
    <n v="1714.39"/>
    <n v="8.2200000000000006"/>
    <x v="12"/>
    <x v="1"/>
    <s v="Luma Imports"/>
    <n v="173.56"/>
    <n v="286.14999999999998"/>
    <n v="694.24"/>
    <n v="1011.9300000000001"/>
    <n v="0.5902565927239426"/>
    <x v="13"/>
    <x v="1"/>
    <x v="0"/>
  </r>
  <r>
    <s v="ORD-102174"/>
    <d v="2024-03-31T00:00:00"/>
    <d v="2024-04-05T00:00:00"/>
    <x v="0"/>
    <s v="Birmingham"/>
    <s v="Home Office"/>
    <s v="B2B Sales"/>
    <s v="P-015"/>
    <n v="8"/>
    <n v="0"/>
    <n v="44.35"/>
    <n v="4.8600000000000003"/>
    <x v="8"/>
    <x v="2"/>
    <s v="Luma Imports"/>
    <n v="3.3"/>
    <n v="6.13"/>
    <n v="26.4"/>
    <n v="13.090000000000003"/>
    <n v="0.29515219842164608"/>
    <x v="10"/>
    <x v="1"/>
    <x v="1"/>
  </r>
  <r>
    <s v="ORD-102175"/>
    <d v="2025-02-20T00:00:00"/>
    <d v="2025-02-25T00:00:00"/>
    <x v="1"/>
    <s v="Norwich"/>
    <s v="Small Business"/>
    <s v="Online"/>
    <s v="P-002"/>
    <n v="3"/>
    <n v="0"/>
    <n v="578.29999999999995"/>
    <n v="6.84"/>
    <x v="2"/>
    <x v="1"/>
    <s v="Vertex Trade"/>
    <n v="119.02"/>
    <n v="205.39"/>
    <n v="357.06"/>
    <n v="214.39999999999995"/>
    <n v="0.3707418295002593"/>
    <x v="5"/>
    <x v="1"/>
    <x v="0"/>
  </r>
  <r>
    <s v="ORD-102176"/>
    <d v="2025-01-24T00:00:00"/>
    <d v="2025-01-28T00:00:00"/>
    <x v="2"/>
    <s v="Bristol"/>
    <s v="Small Business"/>
    <s v="Retail Store"/>
    <s v="P-009"/>
    <n v="4"/>
    <n v="0"/>
    <n v="420.03"/>
    <n v="5.7"/>
    <x v="0"/>
    <x v="0"/>
    <s v="Apex Wholesale"/>
    <n v="63.69"/>
    <n v="125.5"/>
    <n v="254.76"/>
    <n v="159.57"/>
    <n v="0.379901435611742"/>
    <x v="20"/>
    <x v="1"/>
    <x v="0"/>
  </r>
  <r>
    <s v="ORD-102177"/>
    <d v="2024-10-31T00:00:00"/>
    <d v="2024-11-06T00:00:00"/>
    <x v="1"/>
    <s v="Norwich"/>
    <s v="Home Office"/>
    <s v="B2B Sales"/>
    <s v="P-010"/>
    <n v="14"/>
    <n v="0.1"/>
    <n v="87.99"/>
    <n v="6.48"/>
    <x v="4"/>
    <x v="2"/>
    <s v="Orbit Supply Co."/>
    <n v="3.62"/>
    <n v="6.03"/>
    <n v="50.68"/>
    <n v="30.829999999999995"/>
    <n v="0.35038072508239571"/>
    <x v="3"/>
    <x v="0"/>
    <x v="1"/>
  </r>
  <r>
    <s v="ORD-102178"/>
    <d v="2024-10-03T00:00:00"/>
    <d v="2024-10-05T00:00:00"/>
    <x v="2"/>
    <s v="Bristol"/>
    <s v="Home Office"/>
    <s v="Retail Store"/>
    <s v="P-006"/>
    <n v="1"/>
    <n v="0"/>
    <n v="122.97"/>
    <n v="3.45"/>
    <x v="10"/>
    <x v="0"/>
    <s v="Apex Wholesale"/>
    <n v="54.95"/>
    <n v="112.56"/>
    <n v="54.95"/>
    <n v="64.569999999999993"/>
    <n v="0.5250874196958607"/>
    <x v="3"/>
    <x v="1"/>
    <x v="1"/>
  </r>
  <r>
    <s v="ORD-102179"/>
    <d v="2024-08-06T00:00:00"/>
    <d v="2024-08-12T00:00:00"/>
    <x v="0"/>
    <s v="Liverpool"/>
    <s v="Small Business"/>
    <s v="Retail Store"/>
    <s v="P-008"/>
    <n v="4"/>
    <n v="0.15"/>
    <n v="631.73"/>
    <n v="5.7"/>
    <x v="6"/>
    <x v="0"/>
    <s v="Vertex Trade"/>
    <n v="112.09"/>
    <n v="192.47"/>
    <n v="448.36"/>
    <n v="177.67000000000002"/>
    <n v="0.28124356924635524"/>
    <x v="7"/>
    <x v="2"/>
    <x v="1"/>
  </r>
  <r>
    <s v="ORD-102180"/>
    <d v="2024-11-16T00:00:00"/>
    <d v="2024-11-22T00:00:00"/>
    <x v="1"/>
    <s v="Norwich"/>
    <s v="Home Office"/>
    <s v="Retail Store"/>
    <s v="P-010"/>
    <n v="5"/>
    <n v="0"/>
    <n v="41.07"/>
    <n v="4.05"/>
    <x v="4"/>
    <x v="2"/>
    <s v="Orbit Supply Co."/>
    <n v="3.62"/>
    <n v="6.03"/>
    <n v="18.100000000000001"/>
    <n v="18.919999999999998"/>
    <n v="0.46067689310932547"/>
    <x v="14"/>
    <x v="1"/>
    <x v="1"/>
  </r>
  <r>
    <s v="ORD-102181"/>
    <d v="2025-01-04T00:00:00"/>
    <d v="2025-01-08T00:00:00"/>
    <x v="0"/>
    <s v="Birmingham"/>
    <s v="Home Office"/>
    <s v="Online"/>
    <s v="P-011"/>
    <n v="14"/>
    <n v="0.25"/>
    <n v="132.1"/>
    <n v="6.48"/>
    <x v="9"/>
    <x v="2"/>
    <s v="Orbit Supply Co."/>
    <n v="7.93"/>
    <n v="14.78"/>
    <n v="111.02"/>
    <n v="14.599999999999998"/>
    <n v="0.11052233156699469"/>
    <x v="20"/>
    <x v="3"/>
    <x v="0"/>
  </r>
  <r>
    <s v="ORD-102182"/>
    <d v="2024-03-13T00:00:00"/>
    <d v="2024-03-14T00:00:00"/>
    <x v="2"/>
    <s v="London"/>
    <s v="Corporate"/>
    <s v="B2B Sales"/>
    <s v="P-005"/>
    <n v="3"/>
    <n v="0.25"/>
    <n v="103.3"/>
    <n v="8.25"/>
    <x v="13"/>
    <x v="0"/>
    <s v="Apex Wholesale"/>
    <n v="25.33"/>
    <n v="51.56"/>
    <n v="75.989999999999995"/>
    <n v="19.060000000000002"/>
    <n v="0.18451113262342694"/>
    <x v="10"/>
    <x v="3"/>
    <x v="1"/>
  </r>
  <r>
    <s v="ORD-102183"/>
    <d v="2024-06-15T00:00:00"/>
    <d v="2024-06-17T00:00:00"/>
    <x v="3"/>
    <s v="Manchester"/>
    <s v="Small Business"/>
    <s v="B2B Sales"/>
    <s v="P-004"/>
    <n v="2"/>
    <n v="0"/>
    <n v="217.13"/>
    <n v="5.46"/>
    <x v="5"/>
    <x v="1"/>
    <s v="Cedar Distribution"/>
    <n v="63.6"/>
    <n v="107.94"/>
    <n v="127.2"/>
    <n v="84.47"/>
    <n v="0.38902961359554183"/>
    <x v="17"/>
    <x v="1"/>
    <x v="1"/>
  </r>
  <r>
    <s v="ORD-102184"/>
    <d v="2025-07-08T00:00:00"/>
    <d v="2025-07-10T00:00:00"/>
    <x v="3"/>
    <s v="Manchester"/>
    <s v="Home Office"/>
    <s v="B2B Sales"/>
    <s v="P-004"/>
    <n v="3"/>
    <n v="0.2"/>
    <n v="232.45"/>
    <n v="11.4"/>
    <x v="5"/>
    <x v="1"/>
    <s v="Cedar Distribution"/>
    <n v="63.6"/>
    <n v="107.94"/>
    <n v="190.8"/>
    <n v="30.249999999999979"/>
    <n v="0.13013551301355122"/>
    <x v="4"/>
    <x v="2"/>
    <x v="0"/>
  </r>
  <r>
    <s v="ORD-102185"/>
    <d v="2025-10-21T00:00:00"/>
    <d v="2025-10-27T00:00:00"/>
    <x v="0"/>
    <s v="Cardiff"/>
    <s v="Small Business"/>
    <s v="Online"/>
    <s v="P-012"/>
    <n v="10"/>
    <n v="0"/>
    <n v="90.99"/>
    <n v="5.4"/>
    <x v="14"/>
    <x v="2"/>
    <s v="Luma Imports"/>
    <n v="4.5"/>
    <n v="8.2899999999999991"/>
    <n v="45"/>
    <n v="40.589999999999996"/>
    <n v="0.44609297725024727"/>
    <x v="22"/>
    <x v="1"/>
    <x v="0"/>
  </r>
  <r>
    <s v="ORD-102186"/>
    <d v="2024-09-09T00:00:00"/>
    <d v="2024-09-15T00:00:00"/>
    <x v="1"/>
    <s v="Norwich"/>
    <s v="Corporate"/>
    <s v="B2B Sales"/>
    <s v="P-014"/>
    <n v="12"/>
    <n v="0"/>
    <n v="349.38"/>
    <n v="5.94"/>
    <x v="3"/>
    <x v="2"/>
    <s v="Orbit Supply Co."/>
    <n v="16.760000000000002"/>
    <n v="27.71"/>
    <n v="201.12"/>
    <n v="142.32"/>
    <n v="0.40735016314614458"/>
    <x v="23"/>
    <x v="1"/>
    <x v="1"/>
  </r>
  <r>
    <s v="ORD-102187"/>
    <d v="2024-06-04T00:00:00"/>
    <d v="2024-06-05T00:00:00"/>
    <x v="0"/>
    <s v="Liverpool"/>
    <s v="Small Business"/>
    <s v="B2B Sales"/>
    <s v="P-002"/>
    <n v="1"/>
    <n v="0.1"/>
    <n v="196.64"/>
    <n v="4.08"/>
    <x v="2"/>
    <x v="1"/>
    <s v="Vertex Trade"/>
    <n v="119.02"/>
    <n v="205.39"/>
    <n v="119.02"/>
    <n v="73.539999999999992"/>
    <n v="0.37398291293734742"/>
    <x v="17"/>
    <x v="0"/>
    <x v="1"/>
  </r>
  <r>
    <s v="ORD-102188"/>
    <d v="2024-03-17T00:00:00"/>
    <d v="2024-03-21T00:00:00"/>
    <x v="0"/>
    <s v="Birmingham"/>
    <s v="Small Business"/>
    <s v="Retail Store"/>
    <s v="P-002"/>
    <n v="2"/>
    <n v="0"/>
    <n v="393.58"/>
    <n v="9.1"/>
    <x v="2"/>
    <x v="1"/>
    <s v="Vertex Trade"/>
    <n v="119.02"/>
    <n v="205.39"/>
    <n v="238.04"/>
    <n v="146.44"/>
    <n v="0.37207175161339501"/>
    <x v="10"/>
    <x v="1"/>
    <x v="1"/>
  </r>
  <r>
    <s v="ORD-102189"/>
    <d v="2025-07-01T00:00:00"/>
    <d v="2025-07-04T00:00:00"/>
    <x v="3"/>
    <s v="Leeds"/>
    <s v="Small Business"/>
    <s v="Online"/>
    <s v="P-015"/>
    <n v="23"/>
    <n v="0"/>
    <n v="128.15"/>
    <n v="8.91"/>
    <x v="8"/>
    <x v="2"/>
    <s v="Luma Imports"/>
    <n v="3.3"/>
    <n v="6.13"/>
    <n v="75.899999999999991"/>
    <n v="43.340000000000018"/>
    <n v="0.33819742489270399"/>
    <x v="4"/>
    <x v="1"/>
    <x v="0"/>
  </r>
  <r>
    <s v="ORD-102190"/>
    <d v="2024-11-25T00:00:00"/>
    <d v="2024-11-30T00:00:00"/>
    <x v="0"/>
    <s v="Liverpool"/>
    <s v="Small Business"/>
    <s v="B2B Sales"/>
    <s v="P-009"/>
    <n v="2"/>
    <n v="0"/>
    <n v="325.77999999999997"/>
    <n v="7"/>
    <x v="0"/>
    <x v="0"/>
    <s v="Apex Wholesale"/>
    <n v="63.69"/>
    <n v="125.5"/>
    <n v="127.38"/>
    <n v="191.39999999999998"/>
    <n v="0.58751304561360429"/>
    <x v="14"/>
    <x v="1"/>
    <x v="1"/>
  </r>
  <r>
    <s v="ORD-102191"/>
    <d v="2024-05-15T00:00:00"/>
    <d v="2024-05-18T00:00:00"/>
    <x v="3"/>
    <s v="Newcastle"/>
    <s v="Corporate"/>
    <s v="Online"/>
    <s v="P-008"/>
    <n v="3"/>
    <n v="0"/>
    <n v="582.96"/>
    <n v="4.95"/>
    <x v="6"/>
    <x v="0"/>
    <s v="Vertex Trade"/>
    <n v="112.09"/>
    <n v="192.47"/>
    <n v="336.27"/>
    <n v="241.74000000000007"/>
    <n v="0.41467682173734055"/>
    <x v="8"/>
    <x v="1"/>
    <x v="1"/>
  </r>
  <r>
    <s v="ORD-102192"/>
    <d v="2024-08-21T00:00:00"/>
    <d v="2024-08-22T00:00:00"/>
    <x v="3"/>
    <s v="Manchester"/>
    <s v="Corporate"/>
    <s v="Online"/>
    <s v="P-012"/>
    <n v="6"/>
    <n v="0"/>
    <n v="44.5"/>
    <n v="4.32"/>
    <x v="14"/>
    <x v="2"/>
    <s v="Luma Imports"/>
    <n v="4.5"/>
    <n v="8.2899999999999991"/>
    <n v="27"/>
    <n v="13.18"/>
    <n v="0.29617977528089889"/>
    <x v="7"/>
    <x v="1"/>
    <x v="1"/>
  </r>
  <r>
    <s v="ORD-102193"/>
    <d v="2025-03-01T00:00:00"/>
    <d v="2025-03-07T00:00:00"/>
    <x v="3"/>
    <s v="Leeds"/>
    <s v="Small Business"/>
    <s v="Online"/>
    <s v="P-010"/>
    <n v="10"/>
    <n v="0"/>
    <n v="56.54"/>
    <n v="5.4"/>
    <x v="4"/>
    <x v="2"/>
    <s v="Orbit Supply Co."/>
    <n v="3.62"/>
    <n v="6.03"/>
    <n v="36.200000000000003"/>
    <n v="14.939999999999996"/>
    <n v="0.2642377078174743"/>
    <x v="2"/>
    <x v="1"/>
    <x v="0"/>
  </r>
  <r>
    <s v="ORD-102194"/>
    <d v="2024-07-22T00:00:00"/>
    <d v="2024-07-27T00:00:00"/>
    <x v="1"/>
    <s v="Cambridge"/>
    <s v="Corporate"/>
    <s v="Retail Store"/>
    <s v="P-011"/>
    <n v="8"/>
    <n v="0"/>
    <n v="102.75"/>
    <n v="4.8600000000000003"/>
    <x v="9"/>
    <x v="2"/>
    <s v="Orbit Supply Co."/>
    <n v="7.93"/>
    <n v="14.78"/>
    <n v="63.44"/>
    <n v="34.450000000000003"/>
    <n v="0.33527980535279805"/>
    <x v="16"/>
    <x v="1"/>
    <x v="1"/>
  </r>
  <r>
    <s v="ORD-102195"/>
    <d v="2025-09-16T00:00:00"/>
    <d v="2025-09-18T00:00:00"/>
    <x v="3"/>
    <s v="Leeds"/>
    <s v="Corporate"/>
    <s v="Retail Store"/>
    <s v="P-008"/>
    <n v="1"/>
    <n v="0"/>
    <n v="200.71"/>
    <n v="5.75"/>
    <x v="6"/>
    <x v="0"/>
    <s v="Vertex Trade"/>
    <n v="112.09"/>
    <n v="192.47"/>
    <n v="112.09"/>
    <n v="82.87"/>
    <n v="0.41288426087389768"/>
    <x v="11"/>
    <x v="1"/>
    <x v="0"/>
  </r>
  <r>
    <s v="ORD-102196"/>
    <d v="2025-07-31T00:00:00"/>
    <d v="2025-08-05T00:00:00"/>
    <x v="2"/>
    <s v="London"/>
    <s v="Corporate"/>
    <s v="B2B Sales"/>
    <s v="P-009"/>
    <n v="4"/>
    <n v="0"/>
    <n v="450.1"/>
    <n v="9.5"/>
    <x v="0"/>
    <x v="0"/>
    <s v="Apex Wholesale"/>
    <n v="63.69"/>
    <n v="125.5"/>
    <n v="254.76"/>
    <n v="185.84000000000003"/>
    <n v="0.41288602532770502"/>
    <x v="4"/>
    <x v="1"/>
    <x v="0"/>
  </r>
  <r>
    <s v="ORD-102197"/>
    <d v="2025-09-30T00:00:00"/>
    <d v="2025-10-04T00:00:00"/>
    <x v="0"/>
    <s v="Birmingham"/>
    <s v="Corporate"/>
    <s v="B2B Sales"/>
    <s v="P-008"/>
    <n v="2"/>
    <n v="0"/>
    <n v="427.98"/>
    <n v="4.2"/>
    <x v="6"/>
    <x v="0"/>
    <s v="Vertex Trade"/>
    <n v="112.09"/>
    <n v="192.47"/>
    <n v="224.18"/>
    <n v="199.60000000000002"/>
    <n v="0.4663769335015655"/>
    <x v="11"/>
    <x v="1"/>
    <x v="0"/>
  </r>
  <r>
    <s v="ORD-102198"/>
    <d v="2024-03-29T00:00:00"/>
    <d v="2024-03-31T00:00:00"/>
    <x v="0"/>
    <s v="Liverpool"/>
    <s v="Small Business"/>
    <s v="B2B Sales"/>
    <s v="P-015"/>
    <n v="13"/>
    <n v="0"/>
    <n v="72.97"/>
    <n v="10.35"/>
    <x v="8"/>
    <x v="2"/>
    <s v="Luma Imports"/>
    <n v="3.3"/>
    <n v="6.13"/>
    <n v="42.9"/>
    <n v="19.72"/>
    <n v="0.27024804714266137"/>
    <x v="10"/>
    <x v="1"/>
    <x v="1"/>
  </r>
  <r>
    <s v="ORD-102199"/>
    <d v="2024-03-20T00:00:00"/>
    <d v="2024-03-23T00:00:00"/>
    <x v="1"/>
    <s v="Cambridge"/>
    <s v="Small Business"/>
    <s v="B2B Sales"/>
    <s v="P-002"/>
    <n v="4"/>
    <n v="0.15"/>
    <n v="672.95"/>
    <n v="13.7"/>
    <x v="2"/>
    <x v="1"/>
    <s v="Vertex Trade"/>
    <n v="119.02"/>
    <n v="205.39"/>
    <n v="476.08"/>
    <n v="183.17000000000007"/>
    <n v="0.27218961289843235"/>
    <x v="10"/>
    <x v="2"/>
    <x v="1"/>
  </r>
  <r>
    <s v="ORD-102200"/>
    <d v="2024-03-16T00:00:00"/>
    <d v="2024-03-20T00:00:00"/>
    <x v="2"/>
    <s v="Bristol"/>
    <s v="Corporate"/>
    <s v="B2B Sales"/>
    <s v="P-001"/>
    <n v="5"/>
    <n v="0"/>
    <n v="1303.82"/>
    <n v="9.6"/>
    <x v="12"/>
    <x v="1"/>
    <s v="Luma Imports"/>
    <n v="173.56"/>
    <n v="286.14999999999998"/>
    <n v="867.8"/>
    <n v="426.41999999999996"/>
    <n v="0.32705434799282107"/>
    <x v="10"/>
    <x v="1"/>
    <x v="1"/>
  </r>
  <r>
    <s v="ORD-102201"/>
    <d v="2024-06-27T00:00:00"/>
    <d v="2024-07-01T00:00:00"/>
    <x v="2"/>
    <s v="Bristol"/>
    <s v="Corporate"/>
    <s v="Retail Store"/>
    <s v="P-004"/>
    <n v="3"/>
    <n v="0.2"/>
    <n v="264.41000000000003"/>
    <n v="11.4"/>
    <x v="5"/>
    <x v="1"/>
    <s v="Cedar Distribution"/>
    <n v="63.6"/>
    <n v="107.94"/>
    <n v="190.8"/>
    <n v="62.210000000000015"/>
    <n v="0.23527854468439169"/>
    <x v="17"/>
    <x v="2"/>
    <x v="1"/>
  </r>
  <r>
    <s v="ORD-102202"/>
    <d v="2024-05-28T00:00:00"/>
    <d v="2024-06-01T00:00:00"/>
    <x v="2"/>
    <s v="London"/>
    <s v="Small Business"/>
    <s v="B2B Sales"/>
    <s v="P-001"/>
    <n v="1"/>
    <n v="0"/>
    <n v="300.76"/>
    <n v="6.8"/>
    <x v="12"/>
    <x v="1"/>
    <s v="Luma Imports"/>
    <n v="173.56"/>
    <n v="286.14999999999998"/>
    <n v="173.56"/>
    <n v="120.39999999999999"/>
    <n v="0.4003191913818327"/>
    <x v="8"/>
    <x v="1"/>
    <x v="1"/>
  </r>
  <r>
    <s v="ORD-102203"/>
    <d v="2024-12-16T00:00:00"/>
    <d v="2024-12-18T00:00:00"/>
    <x v="2"/>
    <s v="Bristol"/>
    <s v="Home Office"/>
    <s v="Retail Store"/>
    <s v="P-008"/>
    <n v="1"/>
    <n v="0"/>
    <n v="288.69"/>
    <n v="3.45"/>
    <x v="6"/>
    <x v="0"/>
    <s v="Vertex Trade"/>
    <n v="112.09"/>
    <n v="192.47"/>
    <n v="112.09"/>
    <n v="173.15"/>
    <n v="0.59977830891267447"/>
    <x v="9"/>
    <x v="1"/>
    <x v="1"/>
  </r>
  <r>
    <s v="ORD-102204"/>
    <d v="2024-07-06T00:00:00"/>
    <d v="2024-07-11T00:00:00"/>
    <x v="0"/>
    <s v="Liverpool"/>
    <s v="Small Business"/>
    <s v="Online"/>
    <s v="P-001"/>
    <n v="2"/>
    <n v="0.2"/>
    <n v="404.34"/>
    <n v="9.1"/>
    <x v="12"/>
    <x v="1"/>
    <s v="Luma Imports"/>
    <n v="173.56"/>
    <n v="286.14999999999998"/>
    <n v="347.12"/>
    <n v="48.119999999999969"/>
    <n v="0.11900875500816138"/>
    <x v="16"/>
    <x v="2"/>
    <x v="1"/>
  </r>
  <r>
    <s v="ORD-102205"/>
    <d v="2024-07-12T00:00:00"/>
    <d v="2024-07-13T00:00:00"/>
    <x v="1"/>
    <s v="Peterborough"/>
    <s v="Corporate"/>
    <s v="Retail Store"/>
    <s v="P-008"/>
    <n v="2"/>
    <n v="0.15"/>
    <n v="303.08999999999997"/>
    <n v="7"/>
    <x v="6"/>
    <x v="0"/>
    <s v="Vertex Trade"/>
    <n v="112.09"/>
    <n v="192.47"/>
    <n v="224.18"/>
    <n v="71.909999999999968"/>
    <n v="0.23725626051667814"/>
    <x v="16"/>
    <x v="2"/>
    <x v="1"/>
  </r>
  <r>
    <s v="ORD-102206"/>
    <d v="2024-02-16T00:00:00"/>
    <d v="2024-02-18T00:00:00"/>
    <x v="0"/>
    <s v="Birmingham"/>
    <s v="Corporate"/>
    <s v="B2B Sales"/>
    <s v="P-009"/>
    <n v="2"/>
    <n v="0"/>
    <n v="223.57"/>
    <n v="7"/>
    <x v="0"/>
    <x v="0"/>
    <s v="Apex Wholesale"/>
    <n v="63.69"/>
    <n v="125.5"/>
    <n v="127.38"/>
    <n v="89.19"/>
    <n v="0.39893545645659079"/>
    <x v="12"/>
    <x v="1"/>
    <x v="1"/>
  </r>
  <r>
    <s v="ORD-102207"/>
    <d v="2025-08-29T00:00:00"/>
    <d v="2025-09-01T00:00:00"/>
    <x v="1"/>
    <s v="Cambridge"/>
    <s v="Corporate"/>
    <s v="Online"/>
    <s v="P-012"/>
    <n v="8"/>
    <n v="0.1"/>
    <n v="59.16"/>
    <n v="4.8600000000000003"/>
    <x v="14"/>
    <x v="2"/>
    <s v="Luma Imports"/>
    <n v="4.5"/>
    <n v="8.2899999999999991"/>
    <n v="36"/>
    <n v="18.299999999999997"/>
    <n v="0.30933062880324541"/>
    <x v="6"/>
    <x v="0"/>
    <x v="0"/>
  </r>
  <r>
    <s v="ORD-102208"/>
    <d v="2024-04-28T00:00:00"/>
    <d v="2024-04-29T00:00:00"/>
    <x v="1"/>
    <s v="Cambridge"/>
    <s v="Home Office"/>
    <s v="B2B Sales"/>
    <s v="P-015"/>
    <n v="5"/>
    <n v="0.25"/>
    <n v="22.41"/>
    <n v="4.05"/>
    <x v="8"/>
    <x v="2"/>
    <s v="Luma Imports"/>
    <n v="3.3"/>
    <n v="6.13"/>
    <n v="16.5"/>
    <n v="1.8600000000000003"/>
    <n v="8.2998661311914343E-2"/>
    <x v="21"/>
    <x v="3"/>
    <x v="1"/>
  </r>
  <r>
    <s v="ORD-102209"/>
    <d v="2025-04-10T00:00:00"/>
    <d v="2025-04-11T00:00:00"/>
    <x v="3"/>
    <s v="Manchester"/>
    <s v="Home Office"/>
    <s v="Online"/>
    <s v="P-015"/>
    <n v="10"/>
    <n v="0.2"/>
    <n v="50.13"/>
    <n v="5.4"/>
    <x v="8"/>
    <x v="2"/>
    <s v="Luma Imports"/>
    <n v="3.3"/>
    <n v="6.13"/>
    <n v="33"/>
    <n v="11.730000000000002"/>
    <n v="0.23399162178336327"/>
    <x v="15"/>
    <x v="2"/>
    <x v="0"/>
  </r>
  <r>
    <s v="ORD-102210"/>
    <d v="2025-01-17T00:00:00"/>
    <d v="2025-01-21T00:00:00"/>
    <x v="2"/>
    <s v="Brighton"/>
    <s v="Small Business"/>
    <s v="Online"/>
    <s v="P-002"/>
    <n v="4"/>
    <n v="0"/>
    <n v="690.8"/>
    <n v="8.2200000000000006"/>
    <x v="2"/>
    <x v="1"/>
    <s v="Vertex Trade"/>
    <n v="119.02"/>
    <n v="205.39"/>
    <n v="476.08"/>
    <n v="206.49999999999997"/>
    <n v="0.29892877822814129"/>
    <x v="20"/>
    <x v="1"/>
    <x v="0"/>
  </r>
  <r>
    <s v="ORD-102211"/>
    <d v="2025-01-30T00:00:00"/>
    <d v="2025-02-02T00:00:00"/>
    <x v="3"/>
    <s v="Manchester"/>
    <s v="Small Business"/>
    <s v="Retail Store"/>
    <s v="P-014"/>
    <n v="13"/>
    <n v="0.15"/>
    <n v="277.25"/>
    <n v="6.21"/>
    <x v="3"/>
    <x v="2"/>
    <s v="Orbit Supply Co."/>
    <n v="16.760000000000002"/>
    <n v="27.71"/>
    <n v="217.88000000000002"/>
    <n v="53.159999999999975"/>
    <n v="0.19174030658250668"/>
    <x v="20"/>
    <x v="2"/>
    <x v="0"/>
  </r>
  <r>
    <s v="ORD-102212"/>
    <d v="2025-10-16T00:00:00"/>
    <d v="2025-10-22T00:00:00"/>
    <x v="3"/>
    <s v="Leeds"/>
    <s v="Corporate"/>
    <s v="Retail Store"/>
    <s v="P-010"/>
    <n v="11"/>
    <n v="0.15"/>
    <n v="63.87"/>
    <n v="5.67"/>
    <x v="4"/>
    <x v="2"/>
    <s v="Orbit Supply Co."/>
    <n v="3.62"/>
    <n v="6.03"/>
    <n v="39.82"/>
    <n v="18.379999999999995"/>
    <n v="0.28777203695005477"/>
    <x v="22"/>
    <x v="2"/>
    <x v="0"/>
  </r>
  <r>
    <s v="ORD-102213"/>
    <d v="2025-04-19T00:00:00"/>
    <d v="2025-04-24T00:00:00"/>
    <x v="1"/>
    <s v="Norwich"/>
    <s v="Corporate"/>
    <s v="Retail Store"/>
    <s v="P-011"/>
    <n v="4"/>
    <n v="0.2"/>
    <n v="43.81"/>
    <n v="3.78"/>
    <x v="9"/>
    <x v="2"/>
    <s v="Orbit Supply Co."/>
    <n v="7.93"/>
    <n v="14.78"/>
    <n v="31.72"/>
    <n v="8.3100000000000041"/>
    <n v="0.18968272083999096"/>
    <x v="15"/>
    <x v="2"/>
    <x v="0"/>
  </r>
  <r>
    <s v="ORD-102214"/>
    <d v="2024-03-16T00:00:00"/>
    <d v="2024-03-22T00:00:00"/>
    <x v="1"/>
    <s v="Peterborough"/>
    <s v="Small Business"/>
    <s v="Online"/>
    <s v="P-010"/>
    <n v="11"/>
    <n v="0.05"/>
    <n v="61.58"/>
    <n v="5.67"/>
    <x v="4"/>
    <x v="2"/>
    <s v="Orbit Supply Co."/>
    <n v="3.62"/>
    <n v="6.03"/>
    <n v="39.82"/>
    <n v="16.089999999999996"/>
    <n v="0.26128613186099375"/>
    <x v="10"/>
    <x v="0"/>
    <x v="1"/>
  </r>
  <r>
    <s v="ORD-102215"/>
    <d v="2024-04-04T00:00:00"/>
    <d v="2024-04-06T00:00:00"/>
    <x v="2"/>
    <s v="Brighton"/>
    <s v="Small Business"/>
    <s v="Retail Store"/>
    <s v="P-002"/>
    <n v="4"/>
    <n v="0.05"/>
    <n v="732.01"/>
    <n v="8.2200000000000006"/>
    <x v="2"/>
    <x v="1"/>
    <s v="Vertex Trade"/>
    <n v="119.02"/>
    <n v="205.39"/>
    <n v="476.08"/>
    <n v="247.71"/>
    <n v="0.33839701643420173"/>
    <x v="21"/>
    <x v="0"/>
    <x v="1"/>
  </r>
  <r>
    <s v="ORD-102216"/>
    <d v="2025-10-23T00:00:00"/>
    <d v="2025-10-26T00:00:00"/>
    <x v="0"/>
    <s v="Liverpool"/>
    <s v="Corporate"/>
    <s v="B2B Sales"/>
    <s v="P-006"/>
    <n v="1"/>
    <n v="0"/>
    <n v="123.18"/>
    <n v="3.45"/>
    <x v="10"/>
    <x v="0"/>
    <s v="Apex Wholesale"/>
    <n v="54.95"/>
    <n v="112.56"/>
    <n v="54.95"/>
    <n v="64.78"/>
    <n v="0.52589706121123558"/>
    <x v="22"/>
    <x v="1"/>
    <x v="0"/>
  </r>
  <r>
    <s v="ORD-102217"/>
    <d v="2025-11-19T00:00:00"/>
    <d v="2025-11-23T00:00:00"/>
    <x v="3"/>
    <s v="Leeds"/>
    <s v="Home Office"/>
    <s v="B2B Sales"/>
    <s v="P-003"/>
    <n v="1"/>
    <n v="0"/>
    <n v="157.13999999999999"/>
    <n v="6.8"/>
    <x v="1"/>
    <x v="1"/>
    <s v="Orbit Supply Co."/>
    <n v="71.489999999999995"/>
    <n v="112.88"/>
    <n v="71.489999999999995"/>
    <n v="78.849999999999994"/>
    <n v="0.50178185057910141"/>
    <x v="19"/>
    <x v="1"/>
    <x v="0"/>
  </r>
  <r>
    <s v="ORD-102218"/>
    <d v="2024-08-07T00:00:00"/>
    <d v="2024-08-13T00:00:00"/>
    <x v="0"/>
    <s v="Birmingham"/>
    <s v="Corporate"/>
    <s v="B2B Sales"/>
    <s v="P-012"/>
    <n v="13"/>
    <n v="0"/>
    <n v="103.25"/>
    <n v="10.35"/>
    <x v="14"/>
    <x v="2"/>
    <s v="Luma Imports"/>
    <n v="4.5"/>
    <n v="8.2899999999999991"/>
    <n v="58.5"/>
    <n v="34.4"/>
    <n v="0.3331719128329298"/>
    <x v="7"/>
    <x v="1"/>
    <x v="1"/>
  </r>
  <r>
    <s v="ORD-102219"/>
    <d v="2024-03-03T00:00:00"/>
    <d v="2024-03-05T00:00:00"/>
    <x v="1"/>
    <s v="Peterborough"/>
    <s v="Corporate"/>
    <s v="Online"/>
    <s v="P-013"/>
    <n v="5"/>
    <n v="0"/>
    <n v="54.51"/>
    <n v="4.05"/>
    <x v="11"/>
    <x v="2"/>
    <s v="Apex Wholesale"/>
    <n v="6.33"/>
    <n v="12.16"/>
    <n v="31.65"/>
    <n v="18.809999999999999"/>
    <n v="0.34507429829389102"/>
    <x v="10"/>
    <x v="1"/>
    <x v="1"/>
  </r>
  <r>
    <s v="ORD-102220"/>
    <d v="2024-02-09T00:00:00"/>
    <d v="2024-02-11T00:00:00"/>
    <x v="3"/>
    <s v="Newcastle"/>
    <s v="Home Office"/>
    <s v="Online"/>
    <s v="P-007"/>
    <n v="2"/>
    <n v="0"/>
    <n v="98.32"/>
    <n v="4.2"/>
    <x v="7"/>
    <x v="0"/>
    <s v="Luma Imports"/>
    <n v="31.34"/>
    <n v="56.49"/>
    <n v="62.68"/>
    <n v="31.439999999999994"/>
    <n v="0.3197721724979658"/>
    <x v="12"/>
    <x v="1"/>
    <x v="1"/>
  </r>
  <r>
    <s v="ORD-102221"/>
    <d v="2025-07-23T00:00:00"/>
    <d v="2025-07-24T00:00:00"/>
    <x v="3"/>
    <s v="Leeds"/>
    <s v="Corporate"/>
    <s v="B2B Sales"/>
    <s v="P-013"/>
    <n v="3"/>
    <n v="0"/>
    <n v="32.83"/>
    <n v="5.85"/>
    <x v="11"/>
    <x v="2"/>
    <s v="Apex Wholesale"/>
    <n v="6.33"/>
    <n v="12.16"/>
    <n v="18.990000000000002"/>
    <n v="7.9899999999999967"/>
    <n v="0.24337496192506844"/>
    <x v="4"/>
    <x v="1"/>
    <x v="0"/>
  </r>
  <r>
    <s v="ORD-102222"/>
    <d v="2024-11-10T00:00:00"/>
    <d v="2024-11-15T00:00:00"/>
    <x v="3"/>
    <s v="Newcastle"/>
    <s v="Home Office"/>
    <s v="B2B Sales"/>
    <s v="P-011"/>
    <n v="25"/>
    <n v="0"/>
    <n v="513.38"/>
    <n v="9.4499999999999993"/>
    <x v="9"/>
    <x v="2"/>
    <s v="Orbit Supply Co."/>
    <n v="7.93"/>
    <n v="14.78"/>
    <n v="198.25"/>
    <n v="305.68"/>
    <n v="0.59542638980871876"/>
    <x v="14"/>
    <x v="1"/>
    <x v="1"/>
  </r>
  <r>
    <s v="ORD-102223"/>
    <d v="2025-10-24T00:00:00"/>
    <d v="2025-10-25T00:00:00"/>
    <x v="2"/>
    <s v="Brighton"/>
    <s v="Home Office"/>
    <s v="Online"/>
    <s v="P-001"/>
    <n v="3"/>
    <n v="0"/>
    <n v="974.08"/>
    <n v="6.84"/>
    <x v="12"/>
    <x v="1"/>
    <s v="Luma Imports"/>
    <n v="173.56"/>
    <n v="286.14999999999998"/>
    <n v="520.68000000000006"/>
    <n v="446.56"/>
    <n v="0.45844283837056504"/>
    <x v="22"/>
    <x v="1"/>
    <x v="0"/>
  </r>
  <r>
    <s v="ORD-102224"/>
    <d v="2024-08-25T00:00:00"/>
    <d v="2024-08-29T00:00:00"/>
    <x v="1"/>
    <s v="Norwich"/>
    <s v="Small Business"/>
    <s v="Online"/>
    <s v="P-015"/>
    <n v="11"/>
    <n v="0.2"/>
    <n v="49.19"/>
    <n v="5.67"/>
    <x v="8"/>
    <x v="2"/>
    <s v="Luma Imports"/>
    <n v="3.3"/>
    <n v="6.13"/>
    <n v="36.299999999999997"/>
    <n v="7.2200000000000006"/>
    <n v="0.14677780036592805"/>
    <x v="7"/>
    <x v="2"/>
    <x v="1"/>
  </r>
  <r>
    <s v="ORD-102225"/>
    <d v="2025-05-30T00:00:00"/>
    <d v="2025-06-02T00:00:00"/>
    <x v="3"/>
    <s v="Leeds"/>
    <s v="Small Business"/>
    <s v="B2B Sales"/>
    <s v="P-007"/>
    <n v="1"/>
    <n v="0.05"/>
    <n v="53.04"/>
    <n v="3.45"/>
    <x v="7"/>
    <x v="0"/>
    <s v="Luma Imports"/>
    <n v="31.34"/>
    <n v="56.49"/>
    <n v="31.34"/>
    <n v="18.25"/>
    <n v="0.34407993966817496"/>
    <x v="1"/>
    <x v="0"/>
    <x v="0"/>
  </r>
  <r>
    <s v="ORD-102226"/>
    <d v="2025-11-18T00:00:00"/>
    <d v="2025-11-22T00:00:00"/>
    <x v="1"/>
    <s v="Norwich"/>
    <s v="Corporate"/>
    <s v="Retail Store"/>
    <s v="P-015"/>
    <n v="5"/>
    <n v="0"/>
    <n v="40.630000000000003"/>
    <n v="4.05"/>
    <x v="8"/>
    <x v="2"/>
    <s v="Luma Imports"/>
    <n v="3.3"/>
    <n v="6.13"/>
    <n v="16.5"/>
    <n v="20.080000000000002"/>
    <n v="0.49421609648043319"/>
    <x v="19"/>
    <x v="1"/>
    <x v="0"/>
  </r>
  <r>
    <s v="ORD-102227"/>
    <d v="2024-06-07T00:00:00"/>
    <d v="2024-06-09T00:00:00"/>
    <x v="1"/>
    <s v="Norwich"/>
    <s v="Small Business"/>
    <s v="Online"/>
    <s v="P-013"/>
    <n v="14"/>
    <n v="0.15"/>
    <n v="143.88999999999999"/>
    <n v="10.8"/>
    <x v="11"/>
    <x v="2"/>
    <s v="Apex Wholesale"/>
    <n v="6.33"/>
    <n v="12.16"/>
    <n v="88.62"/>
    <n v="44.469999999999985"/>
    <n v="0.30905552852873713"/>
    <x v="17"/>
    <x v="2"/>
    <x v="1"/>
  </r>
  <r>
    <s v="ORD-102228"/>
    <d v="2024-01-08T00:00:00"/>
    <d v="2024-01-11T00:00:00"/>
    <x v="0"/>
    <s v="Birmingham"/>
    <s v="Corporate"/>
    <s v="B2B Sales"/>
    <s v="P-011"/>
    <n v="9"/>
    <n v="0"/>
    <n v="118.62"/>
    <n v="5.13"/>
    <x v="9"/>
    <x v="2"/>
    <s v="Orbit Supply Co."/>
    <n v="7.93"/>
    <n v="14.78"/>
    <n v="71.37"/>
    <n v="42.12"/>
    <n v="0.35508345978755684"/>
    <x v="18"/>
    <x v="1"/>
    <x v="1"/>
  </r>
  <r>
    <s v="ORD-102229"/>
    <d v="2025-11-16T00:00:00"/>
    <d v="2025-11-20T00:00:00"/>
    <x v="2"/>
    <s v="Brighton"/>
    <s v="Home Office"/>
    <s v="B2B Sales"/>
    <s v="P-009"/>
    <n v="3"/>
    <n v="0.25"/>
    <n v="395.44"/>
    <n v="4.95"/>
    <x v="0"/>
    <x v="0"/>
    <s v="Apex Wholesale"/>
    <n v="63.69"/>
    <n v="125.5"/>
    <n v="191.07"/>
    <n v="199.42000000000002"/>
    <n v="0.50429900869917055"/>
    <x v="19"/>
    <x v="3"/>
    <x v="0"/>
  </r>
  <r>
    <s v="ORD-102230"/>
    <d v="2025-06-06T00:00:00"/>
    <d v="2025-06-09T00:00:00"/>
    <x v="0"/>
    <s v="Cardiff"/>
    <s v="Small Business"/>
    <s v="Online"/>
    <s v="P-001"/>
    <n v="4"/>
    <n v="0"/>
    <n v="1243.29"/>
    <n v="13.7"/>
    <x v="12"/>
    <x v="1"/>
    <s v="Luma Imports"/>
    <n v="173.56"/>
    <n v="286.14999999999998"/>
    <n v="694.24"/>
    <n v="535.34999999999991"/>
    <n v="0.43059141471418572"/>
    <x v="0"/>
    <x v="1"/>
    <x v="0"/>
  </r>
  <r>
    <s v="ORD-102231"/>
    <d v="2025-09-07T00:00:00"/>
    <d v="2025-09-13T00:00:00"/>
    <x v="2"/>
    <s v="Brighton"/>
    <s v="Corporate"/>
    <s v="Retail Store"/>
    <s v="P-003"/>
    <n v="3"/>
    <n v="0.05"/>
    <n v="346.96"/>
    <n v="6.84"/>
    <x v="1"/>
    <x v="1"/>
    <s v="Orbit Supply Co."/>
    <n v="71.489999999999995"/>
    <n v="112.88"/>
    <n v="214.46999999999997"/>
    <n v="125.65"/>
    <n v="0.3621454922757667"/>
    <x v="11"/>
    <x v="0"/>
    <x v="0"/>
  </r>
  <r>
    <s v="ORD-102232"/>
    <d v="2024-05-15T00:00:00"/>
    <d v="2024-05-21T00:00:00"/>
    <x v="2"/>
    <s v="Brighton"/>
    <s v="Corporate"/>
    <s v="Online"/>
    <s v="P-009"/>
    <n v="1"/>
    <n v="0.15"/>
    <n v="108.05"/>
    <n v="3.45"/>
    <x v="0"/>
    <x v="0"/>
    <s v="Apex Wholesale"/>
    <n v="63.69"/>
    <n v="125.5"/>
    <n v="63.69"/>
    <n v="40.909999999999997"/>
    <n v="0.37862100879222582"/>
    <x v="8"/>
    <x v="2"/>
    <x v="1"/>
  </r>
  <r>
    <s v="ORD-102233"/>
    <d v="2024-12-23T00:00:00"/>
    <d v="2024-12-26T00:00:00"/>
    <x v="0"/>
    <s v="Birmingham"/>
    <s v="Home Office"/>
    <s v="Online"/>
    <s v="P-007"/>
    <n v="2"/>
    <n v="0.1"/>
    <n v="137.26"/>
    <n v="4.2"/>
    <x v="7"/>
    <x v="0"/>
    <s v="Luma Imports"/>
    <n v="31.34"/>
    <n v="56.49"/>
    <n v="62.68"/>
    <n v="70.379999999999981"/>
    <n v="0.51274952644616045"/>
    <x v="9"/>
    <x v="0"/>
    <x v="1"/>
  </r>
  <r>
    <s v="ORD-102234"/>
    <d v="2024-03-11T00:00:00"/>
    <d v="2024-03-12T00:00:00"/>
    <x v="3"/>
    <s v="Newcastle"/>
    <s v="Small Business"/>
    <s v="B2B Sales"/>
    <s v="P-004"/>
    <n v="2"/>
    <n v="0.15"/>
    <n v="179.66"/>
    <n v="5.46"/>
    <x v="5"/>
    <x v="1"/>
    <s v="Cedar Distribution"/>
    <n v="63.6"/>
    <n v="107.94"/>
    <n v="127.2"/>
    <n v="46.999999999999993"/>
    <n v="0.26160525436936433"/>
    <x v="10"/>
    <x v="2"/>
    <x v="1"/>
  </r>
  <r>
    <s v="ORD-102235"/>
    <d v="2025-02-05T00:00:00"/>
    <d v="2025-02-06T00:00:00"/>
    <x v="3"/>
    <s v="Leeds"/>
    <s v="Corporate"/>
    <s v="Online"/>
    <s v="P-004"/>
    <n v="5"/>
    <n v="0"/>
    <n v="461.64"/>
    <n v="9.6"/>
    <x v="5"/>
    <x v="1"/>
    <s v="Cedar Distribution"/>
    <n v="63.6"/>
    <n v="107.94"/>
    <n v="318"/>
    <n v="134.04"/>
    <n v="0.29035612165323627"/>
    <x v="5"/>
    <x v="1"/>
    <x v="0"/>
  </r>
  <r>
    <s v="ORD-102236"/>
    <d v="2025-10-13T00:00:00"/>
    <d v="2025-10-15T00:00:00"/>
    <x v="1"/>
    <s v="Norwich"/>
    <s v="Home Office"/>
    <s v="B2B Sales"/>
    <s v="P-014"/>
    <n v="11"/>
    <n v="0.15"/>
    <n v="284.54000000000002"/>
    <n v="9.4499999999999993"/>
    <x v="3"/>
    <x v="2"/>
    <s v="Orbit Supply Co."/>
    <n v="16.760000000000002"/>
    <n v="27.71"/>
    <n v="184.36"/>
    <n v="90.73"/>
    <n v="0.31886553735854362"/>
    <x v="22"/>
    <x v="2"/>
    <x v="0"/>
  </r>
  <r>
    <s v="ORD-102237"/>
    <d v="2025-08-07T00:00:00"/>
    <d v="2025-08-10T00:00:00"/>
    <x v="0"/>
    <s v="Liverpool"/>
    <s v="Small Business"/>
    <s v="Retail Store"/>
    <s v="P-008"/>
    <n v="1"/>
    <n v="0.1"/>
    <n v="168.89"/>
    <n v="3.45"/>
    <x v="6"/>
    <x v="0"/>
    <s v="Vertex Trade"/>
    <n v="112.09"/>
    <n v="192.47"/>
    <n v="112.09"/>
    <n v="53.34999999999998"/>
    <n v="0.31588607969684401"/>
    <x v="6"/>
    <x v="0"/>
    <x v="0"/>
  </r>
  <r>
    <s v="ORD-102238"/>
    <d v="2024-05-06T00:00:00"/>
    <d v="2024-05-07T00:00:00"/>
    <x v="2"/>
    <s v="Brighton"/>
    <s v="Small Business"/>
    <s v="Online"/>
    <s v="P-013"/>
    <n v="5"/>
    <n v="0.1"/>
    <n v="56.54"/>
    <n v="6.75"/>
    <x v="11"/>
    <x v="2"/>
    <s v="Apex Wholesale"/>
    <n v="6.33"/>
    <n v="12.16"/>
    <n v="31.65"/>
    <n v="18.14"/>
    <n v="0.32083480721613017"/>
    <x v="8"/>
    <x v="0"/>
    <x v="1"/>
  </r>
  <r>
    <s v="ORD-102239"/>
    <d v="2024-04-17T00:00:00"/>
    <d v="2024-04-18T00:00:00"/>
    <x v="1"/>
    <s v="Peterborough"/>
    <s v="Corporate"/>
    <s v="Online"/>
    <s v="P-008"/>
    <n v="3"/>
    <n v="0.25"/>
    <n v="449.08"/>
    <n v="8.25"/>
    <x v="6"/>
    <x v="0"/>
    <s v="Vertex Trade"/>
    <n v="112.09"/>
    <n v="192.47"/>
    <n v="336.27"/>
    <n v="104.56"/>
    <n v="0.2328315667587067"/>
    <x v="21"/>
    <x v="3"/>
    <x v="1"/>
  </r>
  <r>
    <s v="ORD-102240"/>
    <d v="2024-08-03T00:00:00"/>
    <d v="2024-08-08T00:00:00"/>
    <x v="0"/>
    <s v="Birmingham"/>
    <s v="Small Business"/>
    <s v="B2B Sales"/>
    <s v="P-012"/>
    <n v="6"/>
    <n v="0"/>
    <n v="49.35"/>
    <n v="4.32"/>
    <x v="14"/>
    <x v="2"/>
    <s v="Luma Imports"/>
    <n v="4.5"/>
    <n v="8.2899999999999991"/>
    <n v="27"/>
    <n v="18.03"/>
    <n v="0.36534954407294834"/>
    <x v="7"/>
    <x v="1"/>
    <x v="1"/>
  </r>
  <r>
    <s v="ORD-102241"/>
    <d v="2024-01-30T00:00:00"/>
    <d v="2024-02-02T00:00:00"/>
    <x v="1"/>
    <s v="Peterborough"/>
    <s v="Small Business"/>
    <s v="B2B Sales"/>
    <s v="P-005"/>
    <n v="2"/>
    <n v="0"/>
    <n v="93.7"/>
    <n v="4.2"/>
    <x v="13"/>
    <x v="0"/>
    <s v="Apex Wholesale"/>
    <n v="25.33"/>
    <n v="51.56"/>
    <n v="50.66"/>
    <n v="38.840000000000003"/>
    <n v="0.4145144076840982"/>
    <x v="18"/>
    <x v="1"/>
    <x v="1"/>
  </r>
  <r>
    <s v="ORD-102242"/>
    <d v="2025-09-18T00:00:00"/>
    <d v="2025-09-19T00:00:00"/>
    <x v="3"/>
    <s v="Newcastle"/>
    <s v="Corporate"/>
    <s v="Online"/>
    <s v="P-001"/>
    <n v="4"/>
    <n v="0.1"/>
    <n v="1125.8"/>
    <n v="13.7"/>
    <x v="12"/>
    <x v="1"/>
    <s v="Luma Imports"/>
    <n v="173.56"/>
    <n v="286.14999999999998"/>
    <n v="694.24"/>
    <n v="417.85999999999996"/>
    <n v="0.3711671700124356"/>
    <x v="11"/>
    <x v="0"/>
    <x v="0"/>
  </r>
  <r>
    <s v="ORD-102243"/>
    <d v="2024-05-07T00:00:00"/>
    <d v="2024-05-13T00:00:00"/>
    <x v="1"/>
    <s v="Peterborough"/>
    <s v="Home Office"/>
    <s v="Online"/>
    <s v="P-002"/>
    <n v="4"/>
    <n v="0"/>
    <n v="812"/>
    <n v="13.7"/>
    <x v="2"/>
    <x v="1"/>
    <s v="Vertex Trade"/>
    <n v="119.02"/>
    <n v="205.39"/>
    <n v="476.08"/>
    <n v="322.22000000000003"/>
    <n v="0.39682266009852218"/>
    <x v="8"/>
    <x v="1"/>
    <x v="1"/>
  </r>
  <r>
    <s v="ORD-102244"/>
    <d v="2024-07-05T00:00:00"/>
    <d v="2024-07-07T00:00:00"/>
    <x v="1"/>
    <s v="Cambridge"/>
    <s v="Small Business"/>
    <s v="Online"/>
    <s v="P-011"/>
    <n v="3"/>
    <n v="0.1"/>
    <n v="35.18"/>
    <n v="3.51"/>
    <x v="9"/>
    <x v="2"/>
    <s v="Orbit Supply Co."/>
    <n v="7.93"/>
    <n v="14.78"/>
    <n v="23.79"/>
    <n v="7.8800000000000008"/>
    <n v="0.22399090392268337"/>
    <x v="16"/>
    <x v="0"/>
    <x v="1"/>
  </r>
  <r>
    <s v="ORD-102245"/>
    <d v="2024-11-13T00:00:00"/>
    <d v="2024-11-17T00:00:00"/>
    <x v="0"/>
    <s v="Birmingham"/>
    <s v="Small Business"/>
    <s v="Online"/>
    <s v="P-008"/>
    <n v="1"/>
    <n v="0.25"/>
    <n v="203.69"/>
    <n v="3.45"/>
    <x v="6"/>
    <x v="0"/>
    <s v="Vertex Trade"/>
    <n v="112.09"/>
    <n v="192.47"/>
    <n v="112.09"/>
    <n v="88.149999999999991"/>
    <n v="0.43276547695026751"/>
    <x v="14"/>
    <x v="3"/>
    <x v="1"/>
  </r>
  <r>
    <s v="ORD-102246"/>
    <d v="2024-01-16T00:00:00"/>
    <d v="2024-01-20T00:00:00"/>
    <x v="2"/>
    <s v="Bristol"/>
    <s v="Corporate"/>
    <s v="Online"/>
    <s v="P-012"/>
    <n v="14"/>
    <n v="0"/>
    <n v="100.4"/>
    <n v="10.8"/>
    <x v="14"/>
    <x v="2"/>
    <s v="Luma Imports"/>
    <n v="4.5"/>
    <n v="8.2899999999999991"/>
    <n v="63"/>
    <n v="26.600000000000005"/>
    <n v="0.26494023904382474"/>
    <x v="18"/>
    <x v="1"/>
    <x v="1"/>
  </r>
  <r>
    <s v="ORD-102247"/>
    <d v="2024-08-18T00:00:00"/>
    <d v="2024-08-24T00:00:00"/>
    <x v="0"/>
    <s v="Liverpool"/>
    <s v="Home Office"/>
    <s v="Retail Store"/>
    <s v="P-010"/>
    <n v="13"/>
    <n v="0.25"/>
    <n v="53.53"/>
    <n v="6.21"/>
    <x v="4"/>
    <x v="2"/>
    <s v="Orbit Supply Co."/>
    <n v="3.62"/>
    <n v="6.03"/>
    <n v="47.06"/>
    <n v="0.2599999999999989"/>
    <n v="4.8570894825331386E-3"/>
    <x v="7"/>
    <x v="3"/>
    <x v="1"/>
  </r>
  <r>
    <s v="ORD-102248"/>
    <d v="2025-08-29T00:00:00"/>
    <d v="2025-08-31T00:00:00"/>
    <x v="3"/>
    <s v="Leeds"/>
    <s v="Small Business"/>
    <s v="Retail Store"/>
    <s v="P-010"/>
    <n v="9"/>
    <n v="0"/>
    <n v="54.26"/>
    <n v="5.13"/>
    <x v="4"/>
    <x v="2"/>
    <s v="Orbit Supply Co."/>
    <n v="3.62"/>
    <n v="6.03"/>
    <n v="32.58"/>
    <n v="16.55"/>
    <n v="0.30501290084777"/>
    <x v="6"/>
    <x v="1"/>
    <x v="0"/>
  </r>
  <r>
    <s v="ORD-102249"/>
    <d v="2024-10-30T00:00:00"/>
    <d v="2024-10-31T00:00:00"/>
    <x v="0"/>
    <s v="Cardiff"/>
    <s v="Corporate"/>
    <s v="B2B Sales"/>
    <s v="P-005"/>
    <n v="2"/>
    <n v="0"/>
    <n v="122.84"/>
    <n v="7"/>
    <x v="13"/>
    <x v="0"/>
    <s v="Apex Wholesale"/>
    <n v="25.33"/>
    <n v="51.56"/>
    <n v="50.66"/>
    <n v="65.180000000000007"/>
    <n v="0.53060892217518729"/>
    <x v="3"/>
    <x v="1"/>
    <x v="1"/>
  </r>
  <r>
    <s v="ORD-102250"/>
    <d v="2025-05-10T00:00:00"/>
    <d v="2025-05-16T00:00:00"/>
    <x v="0"/>
    <s v="Birmingham"/>
    <s v="Home Office"/>
    <s v="Retail Store"/>
    <s v="P-013"/>
    <n v="12"/>
    <n v="0.2"/>
    <n v="120.99"/>
    <n v="5.94"/>
    <x v="11"/>
    <x v="2"/>
    <s v="Apex Wholesale"/>
    <n v="6.33"/>
    <n v="12.16"/>
    <n v="75.960000000000008"/>
    <n v="39.089999999999989"/>
    <n v="0.32308455244235051"/>
    <x v="1"/>
    <x v="2"/>
    <x v="0"/>
  </r>
  <r>
    <s v="ORD-102251"/>
    <d v="2024-06-05T00:00:00"/>
    <d v="2024-06-07T00:00:00"/>
    <x v="2"/>
    <s v="London"/>
    <s v="Home Office"/>
    <s v="Online"/>
    <s v="P-015"/>
    <n v="13"/>
    <n v="0"/>
    <n v="81.180000000000007"/>
    <n v="6.21"/>
    <x v="8"/>
    <x v="2"/>
    <s v="Luma Imports"/>
    <n v="3.3"/>
    <n v="6.13"/>
    <n v="42.9"/>
    <n v="32.070000000000007"/>
    <n v="0.39504804138950489"/>
    <x v="17"/>
    <x v="1"/>
    <x v="1"/>
  </r>
  <r>
    <s v="ORD-102252"/>
    <d v="2025-07-22T00:00:00"/>
    <d v="2025-07-24T00:00:00"/>
    <x v="3"/>
    <s v="Manchester"/>
    <s v="Corporate"/>
    <s v="B2B Sales"/>
    <s v="P-015"/>
    <n v="5"/>
    <n v="0.1"/>
    <n v="23.98"/>
    <n v="4.05"/>
    <x v="8"/>
    <x v="2"/>
    <s v="Luma Imports"/>
    <n v="3.3"/>
    <n v="6.13"/>
    <n v="16.5"/>
    <n v="3.4300000000000006"/>
    <n v="0.14303586321934947"/>
    <x v="4"/>
    <x v="0"/>
    <x v="0"/>
  </r>
  <r>
    <s v="ORD-102253"/>
    <d v="2025-09-09T00:00:00"/>
    <d v="2025-09-15T00:00:00"/>
    <x v="3"/>
    <s v="Leeds"/>
    <s v="Small Business"/>
    <s v="B2B Sales"/>
    <s v="P-003"/>
    <n v="1"/>
    <n v="0.15"/>
    <n v="108.91"/>
    <n v="4.08"/>
    <x v="1"/>
    <x v="1"/>
    <s v="Orbit Supply Co."/>
    <n v="71.489999999999995"/>
    <n v="112.88"/>
    <n v="71.489999999999995"/>
    <n v="33.340000000000003"/>
    <n v="0.30612432283536867"/>
    <x v="11"/>
    <x v="2"/>
    <x v="0"/>
  </r>
  <r>
    <s v="ORD-102254"/>
    <d v="2025-08-17T00:00:00"/>
    <d v="2025-08-21T00:00:00"/>
    <x v="3"/>
    <s v="Leeds"/>
    <s v="Corporate"/>
    <s v="Retail Store"/>
    <s v="P-001"/>
    <n v="1"/>
    <n v="0"/>
    <n v="280.19"/>
    <n v="4.08"/>
    <x v="12"/>
    <x v="1"/>
    <s v="Luma Imports"/>
    <n v="173.56"/>
    <n v="286.14999999999998"/>
    <n v="173.56"/>
    <n v="102.55"/>
    <n v="0.3660016417431029"/>
    <x v="6"/>
    <x v="1"/>
    <x v="0"/>
  </r>
  <r>
    <s v="ORD-102255"/>
    <d v="2024-07-21T00:00:00"/>
    <d v="2024-07-26T00:00:00"/>
    <x v="2"/>
    <s v="Bristol"/>
    <s v="Small Business"/>
    <s v="Retail Store"/>
    <s v="P-007"/>
    <n v="1"/>
    <n v="0"/>
    <n v="53.4"/>
    <n v="3.45"/>
    <x v="7"/>
    <x v="0"/>
    <s v="Luma Imports"/>
    <n v="31.34"/>
    <n v="56.49"/>
    <n v="31.34"/>
    <n v="18.61"/>
    <n v="0.34850187265917604"/>
    <x v="16"/>
    <x v="1"/>
    <x v="1"/>
  </r>
  <r>
    <s v="ORD-102256"/>
    <d v="2025-05-30T00:00:00"/>
    <d v="2025-06-05T00:00:00"/>
    <x v="3"/>
    <s v="Leeds"/>
    <s v="Small Business"/>
    <s v="Online"/>
    <s v="P-015"/>
    <n v="6"/>
    <n v="0"/>
    <n v="36.299999999999997"/>
    <n v="4.32"/>
    <x v="8"/>
    <x v="2"/>
    <s v="Luma Imports"/>
    <n v="3.3"/>
    <n v="6.13"/>
    <n v="19.799999999999997"/>
    <n v="12.18"/>
    <n v="0.33553719008264465"/>
    <x v="1"/>
    <x v="1"/>
    <x v="0"/>
  </r>
  <r>
    <s v="ORD-102257"/>
    <d v="2024-06-19T00:00:00"/>
    <d v="2024-06-20T00:00:00"/>
    <x v="1"/>
    <s v="Cambridge"/>
    <s v="Corporate"/>
    <s v="Online"/>
    <s v="P-001"/>
    <n v="5"/>
    <n v="0"/>
    <n v="1464.92"/>
    <n v="9.6"/>
    <x v="12"/>
    <x v="1"/>
    <s v="Luma Imports"/>
    <n v="173.56"/>
    <n v="286.14999999999998"/>
    <n v="867.8"/>
    <n v="587.5200000000001"/>
    <n v="0.40105944351910006"/>
    <x v="17"/>
    <x v="1"/>
    <x v="1"/>
  </r>
  <r>
    <s v="ORD-102258"/>
    <d v="2025-07-09T00:00:00"/>
    <d v="2025-07-14T00:00:00"/>
    <x v="3"/>
    <s v="Manchester"/>
    <s v="Small Business"/>
    <s v="Retail Store"/>
    <s v="P-015"/>
    <n v="4"/>
    <n v="0"/>
    <n v="23.59"/>
    <n v="6.3"/>
    <x v="8"/>
    <x v="2"/>
    <s v="Luma Imports"/>
    <n v="3.3"/>
    <n v="6.13"/>
    <n v="13.2"/>
    <n v="4.0900000000000007"/>
    <n v="0.17337855023314966"/>
    <x v="4"/>
    <x v="1"/>
    <x v="0"/>
  </r>
  <r>
    <s v="ORD-102259"/>
    <d v="2025-07-06T00:00:00"/>
    <d v="2025-07-08T00:00:00"/>
    <x v="3"/>
    <s v="Newcastle"/>
    <s v="Home Office"/>
    <s v="Retail Store"/>
    <s v="P-003"/>
    <n v="2"/>
    <n v="0.15"/>
    <n v="166.51"/>
    <n v="5.46"/>
    <x v="1"/>
    <x v="1"/>
    <s v="Orbit Supply Co."/>
    <n v="71.489999999999995"/>
    <n v="112.88"/>
    <n v="142.97999999999999"/>
    <n v="18.07"/>
    <n v="0.10852201069004866"/>
    <x v="4"/>
    <x v="2"/>
    <x v="0"/>
  </r>
  <r>
    <s v="ORD-102260"/>
    <d v="2025-04-06T00:00:00"/>
    <d v="2025-04-07T00:00:00"/>
    <x v="1"/>
    <s v="Peterborough"/>
    <s v="Small Business"/>
    <s v="Online"/>
    <s v="P-008"/>
    <n v="1"/>
    <n v="0"/>
    <n v="177.37"/>
    <n v="3.45"/>
    <x v="6"/>
    <x v="0"/>
    <s v="Vertex Trade"/>
    <n v="112.09"/>
    <n v="192.47"/>
    <n v="112.09"/>
    <n v="61.83"/>
    <n v="0.34859333596436826"/>
    <x v="15"/>
    <x v="1"/>
    <x v="0"/>
  </r>
  <r>
    <s v="ORD-102261"/>
    <d v="2024-05-22T00:00:00"/>
    <d v="2024-05-27T00:00:00"/>
    <x v="1"/>
    <s v="Norwich"/>
    <s v="Home Office"/>
    <s v="B2B Sales"/>
    <s v="P-002"/>
    <n v="4"/>
    <n v="0"/>
    <n v="844.78"/>
    <n v="13.7"/>
    <x v="2"/>
    <x v="1"/>
    <s v="Vertex Trade"/>
    <n v="119.02"/>
    <n v="205.39"/>
    <n v="476.08"/>
    <n v="355"/>
    <n v="0.42022775160396791"/>
    <x v="8"/>
    <x v="1"/>
    <x v="1"/>
  </r>
  <r>
    <s v="ORD-102262"/>
    <d v="2025-01-17T00:00:00"/>
    <d v="2025-01-18T00:00:00"/>
    <x v="3"/>
    <s v="Leeds"/>
    <s v="Corporate"/>
    <s v="Retail Store"/>
    <s v="P-006"/>
    <n v="3"/>
    <n v="0.05"/>
    <n v="286.43"/>
    <n v="4.95"/>
    <x v="10"/>
    <x v="0"/>
    <s v="Apex Wholesale"/>
    <n v="54.95"/>
    <n v="112.56"/>
    <n v="164.85000000000002"/>
    <n v="116.62999999999998"/>
    <n v="0.40718500157106441"/>
    <x v="20"/>
    <x v="0"/>
    <x v="0"/>
  </r>
  <r>
    <s v="ORD-102263"/>
    <d v="2024-05-11T00:00:00"/>
    <d v="2024-05-17T00:00:00"/>
    <x v="0"/>
    <s v="Cardiff"/>
    <s v="Small Business"/>
    <s v="Online"/>
    <s v="P-013"/>
    <n v="3"/>
    <n v="0"/>
    <n v="35.33"/>
    <n v="5.85"/>
    <x v="11"/>
    <x v="2"/>
    <s v="Apex Wholesale"/>
    <n v="6.33"/>
    <n v="12.16"/>
    <n v="18.990000000000002"/>
    <n v="10.489999999999997"/>
    <n v="0.29691480328332853"/>
    <x v="8"/>
    <x v="1"/>
    <x v="1"/>
  </r>
  <r>
    <s v="ORD-102264"/>
    <d v="2025-11-24T00:00:00"/>
    <d v="2025-11-25T00:00:00"/>
    <x v="0"/>
    <s v="Cardiff"/>
    <s v="Small Business"/>
    <s v="B2B Sales"/>
    <s v="P-013"/>
    <n v="3"/>
    <n v="0"/>
    <n v="51.13"/>
    <n v="5.85"/>
    <x v="11"/>
    <x v="2"/>
    <s v="Apex Wholesale"/>
    <n v="6.33"/>
    <n v="12.16"/>
    <n v="18.990000000000002"/>
    <n v="26.29"/>
    <n v="0.51417954234304708"/>
    <x v="19"/>
    <x v="1"/>
    <x v="0"/>
  </r>
  <r>
    <s v="ORD-102265"/>
    <d v="2025-09-25T00:00:00"/>
    <d v="2025-10-01T00:00:00"/>
    <x v="3"/>
    <s v="Manchester"/>
    <s v="Home Office"/>
    <s v="Retail Store"/>
    <s v="P-006"/>
    <n v="1"/>
    <n v="0"/>
    <n v="118.53"/>
    <n v="5.75"/>
    <x v="10"/>
    <x v="0"/>
    <s v="Apex Wholesale"/>
    <n v="54.95"/>
    <n v="112.56"/>
    <n v="54.95"/>
    <n v="57.83"/>
    <n v="0.48789336033071795"/>
    <x v="11"/>
    <x v="1"/>
    <x v="0"/>
  </r>
  <r>
    <s v="ORD-102266"/>
    <d v="2025-12-06T00:00:00"/>
    <d v="2025-12-12T00:00:00"/>
    <x v="1"/>
    <s v="Cambridge"/>
    <s v="Home Office"/>
    <s v="Online"/>
    <s v="P-014"/>
    <n v="23"/>
    <n v="0.15"/>
    <n v="756.47"/>
    <n v="14.85"/>
    <x v="3"/>
    <x v="2"/>
    <s v="Orbit Supply Co."/>
    <n v="16.760000000000002"/>
    <n v="27.71"/>
    <n v="385.48"/>
    <n v="356.14"/>
    <n v="0.47079196795642919"/>
    <x v="13"/>
    <x v="2"/>
    <x v="0"/>
  </r>
  <r>
    <s v="ORD-102267"/>
    <d v="2025-10-28T00:00:00"/>
    <d v="2025-10-29T00:00:00"/>
    <x v="0"/>
    <s v="Liverpool"/>
    <s v="Corporate"/>
    <s v="B2B Sales"/>
    <s v="P-012"/>
    <n v="11"/>
    <n v="0.1"/>
    <n v="90.28"/>
    <n v="5.67"/>
    <x v="14"/>
    <x v="2"/>
    <s v="Luma Imports"/>
    <n v="4.5"/>
    <n v="8.2899999999999991"/>
    <n v="49.5"/>
    <n v="35.11"/>
    <n v="0.38890119627824543"/>
    <x v="22"/>
    <x v="0"/>
    <x v="0"/>
  </r>
  <r>
    <s v="ORD-102268"/>
    <d v="2024-10-06T00:00:00"/>
    <d v="2024-10-10T00:00:00"/>
    <x v="2"/>
    <s v="London"/>
    <s v="Corporate"/>
    <s v="Retail Store"/>
    <s v="P-009"/>
    <n v="4"/>
    <n v="0"/>
    <n v="613.22"/>
    <n v="9.5"/>
    <x v="0"/>
    <x v="0"/>
    <s v="Apex Wholesale"/>
    <n v="63.69"/>
    <n v="125.5"/>
    <n v="254.76"/>
    <n v="348.96000000000004"/>
    <n v="0.56906167443984212"/>
    <x v="3"/>
    <x v="1"/>
    <x v="1"/>
  </r>
  <r>
    <s v="ORD-102269"/>
    <d v="2024-01-05T00:00:00"/>
    <d v="2024-01-09T00:00:00"/>
    <x v="1"/>
    <s v="Norwich"/>
    <s v="Small Business"/>
    <s v="Retail Store"/>
    <s v="P-003"/>
    <n v="3"/>
    <n v="0"/>
    <n v="305.89"/>
    <n v="11.4"/>
    <x v="1"/>
    <x v="1"/>
    <s v="Orbit Supply Co."/>
    <n v="71.489999999999995"/>
    <n v="112.88"/>
    <n v="214.46999999999997"/>
    <n v="80.02000000000001"/>
    <n v="0.26159730622119065"/>
    <x v="18"/>
    <x v="1"/>
    <x v="1"/>
  </r>
  <r>
    <s v="ORD-102270"/>
    <d v="2025-11-21T00:00:00"/>
    <d v="2025-11-26T00:00:00"/>
    <x v="1"/>
    <s v="Norwich"/>
    <s v="Corporate"/>
    <s v="B2B Sales"/>
    <s v="P-007"/>
    <n v="1"/>
    <n v="0.15"/>
    <n v="68.16"/>
    <n v="3.45"/>
    <x v="7"/>
    <x v="0"/>
    <s v="Luma Imports"/>
    <n v="31.34"/>
    <n v="56.49"/>
    <n v="31.34"/>
    <n v="33.36999999999999"/>
    <n v="0.4895833333333332"/>
    <x v="19"/>
    <x v="2"/>
    <x v="0"/>
  </r>
  <r>
    <s v="ORD-102271"/>
    <d v="2024-08-28T00:00:00"/>
    <d v="2024-09-02T00:00:00"/>
    <x v="1"/>
    <s v="Peterborough"/>
    <s v="Home Office"/>
    <s v="Online"/>
    <s v="P-002"/>
    <n v="2"/>
    <n v="0"/>
    <n v="383.24"/>
    <n v="5.46"/>
    <x v="2"/>
    <x v="1"/>
    <s v="Vertex Trade"/>
    <n v="119.02"/>
    <n v="205.39"/>
    <n v="238.04"/>
    <n v="139.74"/>
    <n v="0.36462790940402884"/>
    <x v="7"/>
    <x v="1"/>
    <x v="1"/>
  </r>
  <r>
    <s v="ORD-102272"/>
    <d v="2025-06-28T00:00:00"/>
    <d v="2025-06-30T00:00:00"/>
    <x v="2"/>
    <s v="London"/>
    <s v="Small Business"/>
    <s v="B2B Sales"/>
    <s v="P-009"/>
    <n v="3"/>
    <n v="0.15"/>
    <n v="319.81"/>
    <n v="4.95"/>
    <x v="0"/>
    <x v="0"/>
    <s v="Apex Wholesale"/>
    <n v="63.69"/>
    <n v="125.5"/>
    <n v="191.07"/>
    <n v="123.79"/>
    <n v="0.38707357493511774"/>
    <x v="0"/>
    <x v="2"/>
    <x v="0"/>
  </r>
  <r>
    <s v="ORD-102273"/>
    <d v="2024-10-17T00:00:00"/>
    <d v="2024-10-21T00:00:00"/>
    <x v="0"/>
    <s v="Cardiff"/>
    <s v="Corporate"/>
    <s v="B2B Sales"/>
    <s v="P-003"/>
    <n v="1"/>
    <n v="0"/>
    <n v="133.72999999999999"/>
    <n v="6.8"/>
    <x v="1"/>
    <x v="1"/>
    <s v="Orbit Supply Co."/>
    <n v="71.489999999999995"/>
    <n v="112.88"/>
    <n v="71.489999999999995"/>
    <n v="55.44"/>
    <n v="0.41456666417408211"/>
    <x v="3"/>
    <x v="1"/>
    <x v="1"/>
  </r>
  <r>
    <s v="ORD-102274"/>
    <d v="2024-07-14T00:00:00"/>
    <d v="2024-07-16T00:00:00"/>
    <x v="2"/>
    <s v="London"/>
    <s v="Home Office"/>
    <s v="B2B Sales"/>
    <s v="P-011"/>
    <n v="7"/>
    <n v="0"/>
    <n v="99.38"/>
    <n v="4.59"/>
    <x v="9"/>
    <x v="2"/>
    <s v="Orbit Supply Co."/>
    <n v="7.93"/>
    <n v="14.78"/>
    <n v="55.51"/>
    <n v="39.28"/>
    <n v="0.39525055343127391"/>
    <x v="16"/>
    <x v="1"/>
    <x v="1"/>
  </r>
  <r>
    <s v="ORD-102275"/>
    <d v="2025-03-18T00:00:00"/>
    <d v="2025-03-19T00:00:00"/>
    <x v="0"/>
    <s v="Cardiff"/>
    <s v="Small Business"/>
    <s v="Retail Store"/>
    <s v="P-013"/>
    <n v="13"/>
    <n v="0"/>
    <n v="148.85"/>
    <n v="10.35"/>
    <x v="11"/>
    <x v="2"/>
    <s v="Apex Wholesale"/>
    <n v="6.33"/>
    <n v="12.16"/>
    <n v="82.29"/>
    <n v="56.209999999999987"/>
    <n v="0.37762848505206575"/>
    <x v="2"/>
    <x v="1"/>
    <x v="0"/>
  </r>
  <r>
    <s v="ORD-102276"/>
    <d v="2025-06-29T00:00:00"/>
    <d v="2025-07-05T00:00:00"/>
    <x v="0"/>
    <s v="Liverpool"/>
    <s v="Corporate"/>
    <s v="Online"/>
    <s v="P-008"/>
    <n v="1"/>
    <n v="0.1"/>
    <n v="188.09"/>
    <n v="3.45"/>
    <x v="6"/>
    <x v="0"/>
    <s v="Vertex Trade"/>
    <n v="112.09"/>
    <n v="192.47"/>
    <n v="112.09"/>
    <n v="72.55"/>
    <n v="0.3857196023180392"/>
    <x v="0"/>
    <x v="0"/>
    <x v="0"/>
  </r>
  <r>
    <s v="ORD-102277"/>
    <d v="2024-02-08T00:00:00"/>
    <d v="2024-02-13T00:00:00"/>
    <x v="1"/>
    <s v="Norwich"/>
    <s v="Corporate"/>
    <s v="B2B Sales"/>
    <s v="P-003"/>
    <n v="1"/>
    <n v="0.25"/>
    <n v="79.86"/>
    <n v="6.8"/>
    <x v="1"/>
    <x v="1"/>
    <s v="Orbit Supply Co."/>
    <n v="71.489999999999995"/>
    <n v="112.88"/>
    <n v="71.489999999999995"/>
    <n v="1.5700000000000047"/>
    <n v="1.9659403956924677E-2"/>
    <x v="12"/>
    <x v="3"/>
    <x v="1"/>
  </r>
  <r>
    <s v="ORD-102278"/>
    <d v="2024-06-24T00:00:00"/>
    <d v="2024-06-27T00:00:00"/>
    <x v="2"/>
    <s v="Bristol"/>
    <s v="Small Business"/>
    <s v="Online"/>
    <s v="P-003"/>
    <n v="2"/>
    <n v="0"/>
    <n v="237.66"/>
    <n v="9.1"/>
    <x v="1"/>
    <x v="1"/>
    <s v="Orbit Supply Co."/>
    <n v="71.489999999999995"/>
    <n v="112.88"/>
    <n v="142.97999999999999"/>
    <n v="85.580000000000013"/>
    <n v="0.36009425229319203"/>
    <x v="17"/>
    <x v="1"/>
    <x v="1"/>
  </r>
  <r>
    <s v="ORD-102279"/>
    <d v="2025-08-04T00:00:00"/>
    <d v="2025-08-08T00:00:00"/>
    <x v="3"/>
    <s v="Manchester"/>
    <s v="Small Business"/>
    <s v="Retail Store"/>
    <s v="P-015"/>
    <n v="4"/>
    <n v="0"/>
    <n v="23.21"/>
    <n v="3.78"/>
    <x v="8"/>
    <x v="2"/>
    <s v="Luma Imports"/>
    <n v="3.3"/>
    <n v="6.13"/>
    <n v="13.2"/>
    <n v="6.2300000000000022"/>
    <n v="0.26841878500646282"/>
    <x v="6"/>
    <x v="1"/>
    <x v="0"/>
  </r>
  <r>
    <s v="ORD-102280"/>
    <d v="2024-09-17T00:00:00"/>
    <d v="2024-09-21T00:00:00"/>
    <x v="2"/>
    <s v="London"/>
    <s v="Corporate"/>
    <s v="B2B Sales"/>
    <s v="P-011"/>
    <n v="6"/>
    <n v="0"/>
    <n v="97.43"/>
    <n v="7.2"/>
    <x v="9"/>
    <x v="2"/>
    <s v="Orbit Supply Co."/>
    <n v="7.93"/>
    <n v="14.78"/>
    <n v="47.58"/>
    <n v="42.650000000000006"/>
    <n v="0.43775017961613472"/>
    <x v="23"/>
    <x v="1"/>
    <x v="1"/>
  </r>
  <r>
    <s v="ORD-102281"/>
    <d v="2024-06-22T00:00:00"/>
    <d v="2024-06-24T00:00:00"/>
    <x v="0"/>
    <s v="Cardiff"/>
    <s v="Small Business"/>
    <s v="B2B Sales"/>
    <s v="P-001"/>
    <n v="2"/>
    <n v="0"/>
    <n v="585.80999999999995"/>
    <n v="5.46"/>
    <x v="12"/>
    <x v="1"/>
    <s v="Luma Imports"/>
    <n v="173.56"/>
    <n v="286.14999999999998"/>
    <n v="347.12"/>
    <n v="233.22999999999993"/>
    <n v="0.3981325002987316"/>
    <x v="17"/>
    <x v="1"/>
    <x v="1"/>
  </r>
  <r>
    <s v="ORD-102282"/>
    <d v="2024-12-31T00:00:00"/>
    <d v="2025-01-03T00:00:00"/>
    <x v="2"/>
    <s v="London"/>
    <s v="Small Business"/>
    <s v="Online"/>
    <s v="P-014"/>
    <n v="22"/>
    <n v="0.2"/>
    <n v="734.64"/>
    <n v="14.4"/>
    <x v="3"/>
    <x v="2"/>
    <s v="Orbit Supply Co."/>
    <n v="16.760000000000002"/>
    <n v="27.71"/>
    <n v="368.72"/>
    <n v="351.52"/>
    <n v="0.4784928672547098"/>
    <x v="9"/>
    <x v="2"/>
    <x v="1"/>
  </r>
  <r>
    <s v="ORD-102283"/>
    <d v="2025-03-22T00:00:00"/>
    <d v="2025-03-26T00:00:00"/>
    <x v="0"/>
    <s v="Cardiff"/>
    <s v="Corporate"/>
    <s v="Online"/>
    <s v="P-011"/>
    <n v="3"/>
    <n v="0"/>
    <n v="42.97"/>
    <n v="3.51"/>
    <x v="9"/>
    <x v="2"/>
    <s v="Orbit Supply Co."/>
    <n v="7.93"/>
    <n v="14.78"/>
    <n v="23.79"/>
    <n v="15.67"/>
    <n v="0.36467302769373983"/>
    <x v="2"/>
    <x v="1"/>
    <x v="0"/>
  </r>
  <r>
    <s v="ORD-102284"/>
    <d v="2025-01-20T00:00:00"/>
    <d v="2025-01-21T00:00:00"/>
    <x v="3"/>
    <s v="Leeds"/>
    <s v="Corporate"/>
    <s v="Online"/>
    <s v="P-007"/>
    <n v="4"/>
    <n v="0"/>
    <n v="192.58"/>
    <n v="5.7"/>
    <x v="7"/>
    <x v="0"/>
    <s v="Luma Imports"/>
    <n v="31.34"/>
    <n v="56.49"/>
    <n v="125.36"/>
    <n v="61.52000000000001"/>
    <n v="0.3194516564544605"/>
    <x v="20"/>
    <x v="1"/>
    <x v="0"/>
  </r>
  <r>
    <s v="ORD-102285"/>
    <d v="2024-01-21T00:00:00"/>
    <d v="2024-01-25T00:00:00"/>
    <x v="0"/>
    <s v="Cardiff"/>
    <s v="Small Business"/>
    <s v="Retail Store"/>
    <s v="P-011"/>
    <n v="11"/>
    <n v="0"/>
    <n v="149.04"/>
    <n v="5.67"/>
    <x v="9"/>
    <x v="2"/>
    <s v="Orbit Supply Co."/>
    <n v="7.93"/>
    <n v="14.78"/>
    <n v="87.22999999999999"/>
    <n v="56.14"/>
    <n v="0.37667740203972089"/>
    <x v="18"/>
    <x v="1"/>
    <x v="1"/>
  </r>
  <r>
    <s v="ORD-102286"/>
    <d v="2024-07-12T00:00:00"/>
    <d v="2024-07-18T00:00:00"/>
    <x v="3"/>
    <s v="Newcastle"/>
    <s v="Home Office"/>
    <s v="B2B Sales"/>
    <s v="P-002"/>
    <n v="2"/>
    <n v="0.2"/>
    <n v="292.92"/>
    <n v="5.46"/>
    <x v="2"/>
    <x v="1"/>
    <s v="Vertex Trade"/>
    <n v="119.02"/>
    <n v="205.39"/>
    <n v="238.04"/>
    <n v="49.420000000000023"/>
    <n v="0.16871500751058316"/>
    <x v="16"/>
    <x v="2"/>
    <x v="1"/>
  </r>
  <r>
    <s v="ORD-102287"/>
    <d v="2024-03-26T00:00:00"/>
    <d v="2024-03-27T00:00:00"/>
    <x v="0"/>
    <s v="Liverpool"/>
    <s v="Home Office"/>
    <s v="B2B Sales"/>
    <s v="P-005"/>
    <n v="1"/>
    <n v="0"/>
    <n v="46.99"/>
    <n v="5.75"/>
    <x v="13"/>
    <x v="0"/>
    <s v="Apex Wholesale"/>
    <n v="25.33"/>
    <n v="51.56"/>
    <n v="25.33"/>
    <n v="15.910000000000004"/>
    <n v="0.3385826771653544"/>
    <x v="10"/>
    <x v="1"/>
    <x v="1"/>
  </r>
  <r>
    <s v="ORD-102288"/>
    <d v="2025-07-05T00:00:00"/>
    <d v="2025-07-08T00:00:00"/>
    <x v="0"/>
    <s v="Liverpool"/>
    <s v="Corporate"/>
    <s v="Online"/>
    <s v="P-001"/>
    <n v="3"/>
    <n v="0"/>
    <n v="787.8"/>
    <n v="11.4"/>
    <x v="12"/>
    <x v="1"/>
    <s v="Luma Imports"/>
    <n v="173.56"/>
    <n v="286.14999999999998"/>
    <n v="520.68000000000006"/>
    <n v="255.71999999999989"/>
    <n v="0.3246001523229245"/>
    <x v="4"/>
    <x v="1"/>
    <x v="0"/>
  </r>
  <r>
    <s v="ORD-102289"/>
    <d v="2025-02-07T00:00:00"/>
    <d v="2025-02-12T00:00:00"/>
    <x v="0"/>
    <s v="Birmingham"/>
    <s v="Home Office"/>
    <s v="Online"/>
    <s v="P-011"/>
    <n v="11"/>
    <n v="0.2"/>
    <n v="110.69"/>
    <n v="5.67"/>
    <x v="9"/>
    <x v="2"/>
    <s v="Orbit Supply Co."/>
    <n v="7.93"/>
    <n v="14.78"/>
    <n v="87.22999999999999"/>
    <n v="17.790000000000006"/>
    <n v="0.16071912548559045"/>
    <x v="5"/>
    <x v="2"/>
    <x v="0"/>
  </r>
  <r>
    <s v="ORD-102290"/>
    <d v="2025-08-11T00:00:00"/>
    <d v="2025-08-17T00:00:00"/>
    <x v="0"/>
    <s v="Cardiff"/>
    <s v="Corporate"/>
    <s v="Retail Store"/>
    <s v="P-003"/>
    <n v="2"/>
    <n v="0"/>
    <n v="212.86"/>
    <n v="5.46"/>
    <x v="1"/>
    <x v="1"/>
    <s v="Orbit Supply Co."/>
    <n v="71.489999999999995"/>
    <n v="112.88"/>
    <n v="142.97999999999999"/>
    <n v="64.42000000000003"/>
    <n v="0.3026402330170066"/>
    <x v="6"/>
    <x v="1"/>
    <x v="0"/>
  </r>
  <r>
    <s v="ORD-102291"/>
    <d v="2024-02-04T00:00:00"/>
    <d v="2024-02-06T00:00:00"/>
    <x v="2"/>
    <s v="Brighton"/>
    <s v="Small Business"/>
    <s v="Retail Store"/>
    <s v="P-007"/>
    <n v="2"/>
    <n v="0.1"/>
    <n v="92.02"/>
    <n v="4.2"/>
    <x v="7"/>
    <x v="0"/>
    <s v="Luma Imports"/>
    <n v="31.34"/>
    <n v="56.49"/>
    <n v="62.68"/>
    <n v="25.139999999999997"/>
    <n v="0.27320147793957833"/>
    <x v="12"/>
    <x v="0"/>
    <x v="1"/>
  </r>
  <r>
    <s v="ORD-102292"/>
    <d v="2025-05-29T00:00:00"/>
    <d v="2025-06-01T00:00:00"/>
    <x v="2"/>
    <s v="Bristol"/>
    <s v="Corporate"/>
    <s v="Retail Store"/>
    <s v="P-008"/>
    <n v="3"/>
    <n v="0.15"/>
    <n v="517.75"/>
    <n v="4.95"/>
    <x v="6"/>
    <x v="0"/>
    <s v="Vertex Trade"/>
    <n v="112.09"/>
    <n v="192.47"/>
    <n v="336.27"/>
    <n v="176.53000000000003"/>
    <n v="0.34095605987445682"/>
    <x v="1"/>
    <x v="2"/>
    <x v="0"/>
  </r>
  <r>
    <s v="ORD-102293"/>
    <d v="2025-04-26T00:00:00"/>
    <d v="2025-04-29T00:00:00"/>
    <x v="2"/>
    <s v="London"/>
    <s v="Home Office"/>
    <s v="B2B Sales"/>
    <s v="P-002"/>
    <n v="3"/>
    <n v="0.1"/>
    <n v="543.32000000000005"/>
    <n v="6.84"/>
    <x v="2"/>
    <x v="1"/>
    <s v="Vertex Trade"/>
    <n v="119.02"/>
    <n v="205.39"/>
    <n v="357.06"/>
    <n v="179.42000000000004"/>
    <n v="0.3302289626739307"/>
    <x v="15"/>
    <x v="0"/>
    <x v="0"/>
  </r>
  <r>
    <s v="ORD-102294"/>
    <d v="2024-12-14T00:00:00"/>
    <d v="2024-12-19T00:00:00"/>
    <x v="0"/>
    <s v="Cardiff"/>
    <s v="Small Business"/>
    <s v="B2B Sales"/>
    <s v="P-006"/>
    <n v="5"/>
    <n v="0"/>
    <n v="839.34"/>
    <n v="10.75"/>
    <x v="10"/>
    <x v="0"/>
    <s v="Apex Wholesale"/>
    <n v="54.95"/>
    <n v="112.56"/>
    <n v="274.75"/>
    <n v="553.84"/>
    <n v="0.65985178830986257"/>
    <x v="9"/>
    <x v="1"/>
    <x v="1"/>
  </r>
  <r>
    <s v="ORD-102295"/>
    <d v="2024-04-16T00:00:00"/>
    <d v="2024-04-20T00:00:00"/>
    <x v="0"/>
    <s v="Cardiff"/>
    <s v="Corporate"/>
    <s v="Retail Store"/>
    <s v="P-005"/>
    <n v="3"/>
    <n v="0.1"/>
    <n v="131.51"/>
    <n v="4.95"/>
    <x v="13"/>
    <x v="0"/>
    <s v="Apex Wholesale"/>
    <n v="25.33"/>
    <n v="51.56"/>
    <n v="75.989999999999995"/>
    <n v="50.569999999999993"/>
    <n v="0.38453349555166905"/>
    <x v="21"/>
    <x v="0"/>
    <x v="1"/>
  </r>
  <r>
    <s v="ORD-102296"/>
    <d v="2025-12-03T00:00:00"/>
    <d v="2025-12-08T00:00:00"/>
    <x v="2"/>
    <s v="Brighton"/>
    <s v="Corporate"/>
    <s v="Retail Store"/>
    <s v="P-004"/>
    <n v="1"/>
    <n v="0.05"/>
    <n v="141.03"/>
    <n v="6.8"/>
    <x v="5"/>
    <x v="1"/>
    <s v="Cedar Distribution"/>
    <n v="63.6"/>
    <n v="107.94"/>
    <n v="63.6"/>
    <n v="70.63000000000001"/>
    <n v="0.50081542934127499"/>
    <x v="13"/>
    <x v="0"/>
    <x v="0"/>
  </r>
  <r>
    <s v="ORD-102297"/>
    <d v="2025-09-09T00:00:00"/>
    <d v="2025-09-14T00:00:00"/>
    <x v="3"/>
    <s v="Newcastle"/>
    <s v="Home Office"/>
    <s v="B2B Sales"/>
    <s v="P-012"/>
    <n v="5"/>
    <n v="0.15"/>
    <n v="37.03"/>
    <n v="4.05"/>
    <x v="14"/>
    <x v="2"/>
    <s v="Luma Imports"/>
    <n v="4.5"/>
    <n v="8.2899999999999991"/>
    <n v="22.5"/>
    <n v="10.48"/>
    <n v="0.28301377261679722"/>
    <x v="11"/>
    <x v="2"/>
    <x v="0"/>
  </r>
  <r>
    <s v="ORD-102298"/>
    <d v="2024-07-24T00:00:00"/>
    <d v="2024-07-30T00:00:00"/>
    <x v="3"/>
    <s v="Leeds"/>
    <s v="Corporate"/>
    <s v="Retail Store"/>
    <s v="P-015"/>
    <n v="11"/>
    <n v="0.25"/>
    <n v="49.31"/>
    <n v="5.67"/>
    <x v="8"/>
    <x v="2"/>
    <s v="Luma Imports"/>
    <n v="3.3"/>
    <n v="6.13"/>
    <n v="36.299999999999997"/>
    <n v="7.3400000000000052"/>
    <n v="0.14885418779152312"/>
    <x v="16"/>
    <x v="3"/>
    <x v="1"/>
  </r>
  <r>
    <s v="ORD-102299"/>
    <d v="2025-03-04T00:00:00"/>
    <d v="2025-03-08T00:00:00"/>
    <x v="3"/>
    <s v="Leeds"/>
    <s v="Home Office"/>
    <s v="B2B Sales"/>
    <s v="P-002"/>
    <n v="2"/>
    <n v="0"/>
    <n v="392.1"/>
    <n v="5.46"/>
    <x v="2"/>
    <x v="1"/>
    <s v="Vertex Trade"/>
    <n v="119.02"/>
    <n v="205.39"/>
    <n v="238.04"/>
    <n v="148.60000000000002"/>
    <n v="0.37898495281815869"/>
    <x v="2"/>
    <x v="1"/>
    <x v="0"/>
  </r>
  <r>
    <s v="ORD-102300"/>
    <d v="2025-10-11T00:00:00"/>
    <d v="2025-10-12T00:00:00"/>
    <x v="1"/>
    <s v="Cambridge"/>
    <s v="Small Business"/>
    <s v="Online"/>
    <s v="P-007"/>
    <n v="4"/>
    <n v="0"/>
    <n v="269.04000000000002"/>
    <n v="5.7"/>
    <x v="7"/>
    <x v="0"/>
    <s v="Luma Imports"/>
    <n v="31.34"/>
    <n v="56.49"/>
    <n v="125.36"/>
    <n v="137.98000000000002"/>
    <n v="0.51286054118346713"/>
    <x v="22"/>
    <x v="1"/>
    <x v="0"/>
  </r>
  <r>
    <s v="ORD-102301"/>
    <d v="2025-12-24T00:00:00"/>
    <d v="2025-12-25T00:00:00"/>
    <x v="2"/>
    <s v="London"/>
    <s v="Corporate"/>
    <s v="Retail Store"/>
    <s v="P-010"/>
    <n v="7"/>
    <n v="0"/>
    <n v="61.15"/>
    <n v="4.59"/>
    <x v="4"/>
    <x v="2"/>
    <s v="Orbit Supply Co."/>
    <n v="3.62"/>
    <n v="6.03"/>
    <n v="25.34"/>
    <n v="31.220000000000002"/>
    <n v="0.51054783319705643"/>
    <x v="13"/>
    <x v="1"/>
    <x v="0"/>
  </r>
  <r>
    <s v="ORD-102302"/>
    <d v="2025-04-20T00:00:00"/>
    <d v="2025-04-25T00:00:00"/>
    <x v="0"/>
    <s v="Birmingham"/>
    <s v="Home Office"/>
    <s v="Retail Store"/>
    <s v="P-007"/>
    <n v="4"/>
    <n v="0"/>
    <n v="214.34"/>
    <n v="5.7"/>
    <x v="7"/>
    <x v="0"/>
    <s v="Luma Imports"/>
    <n v="31.34"/>
    <n v="56.49"/>
    <n v="125.36"/>
    <n v="83.28"/>
    <n v="0.38854156946906782"/>
    <x v="15"/>
    <x v="1"/>
    <x v="0"/>
  </r>
  <r>
    <s v="ORD-102303"/>
    <d v="2024-08-09T00:00:00"/>
    <d v="2024-08-10T00:00:00"/>
    <x v="0"/>
    <s v="Cardiff"/>
    <s v="Corporate"/>
    <s v="B2B Sales"/>
    <s v="P-002"/>
    <n v="3"/>
    <n v="0"/>
    <n v="560.53"/>
    <n v="11.4"/>
    <x v="2"/>
    <x v="1"/>
    <s v="Vertex Trade"/>
    <n v="119.02"/>
    <n v="205.39"/>
    <n v="357.06"/>
    <n v="192.06999999999996"/>
    <n v="0.34265784168554758"/>
    <x v="7"/>
    <x v="1"/>
    <x v="1"/>
  </r>
  <r>
    <s v="ORD-102304"/>
    <d v="2024-08-08T00:00:00"/>
    <d v="2024-08-11T00:00:00"/>
    <x v="3"/>
    <s v="Leeds"/>
    <s v="Corporate"/>
    <s v="Retail Store"/>
    <s v="P-014"/>
    <n v="5"/>
    <n v="0"/>
    <n v="136.13"/>
    <n v="6.75"/>
    <x v="3"/>
    <x v="2"/>
    <s v="Orbit Supply Co."/>
    <n v="16.760000000000002"/>
    <n v="27.71"/>
    <n v="83.800000000000011"/>
    <n v="45.579999999999984"/>
    <n v="0.33482700359950035"/>
    <x v="7"/>
    <x v="1"/>
    <x v="1"/>
  </r>
  <r>
    <s v="ORD-102305"/>
    <d v="2025-11-23T00:00:00"/>
    <d v="2025-11-27T00:00:00"/>
    <x v="2"/>
    <s v="Bristol"/>
    <s v="Small Business"/>
    <s v="Retail Store"/>
    <s v="P-015"/>
    <n v="6"/>
    <n v="0"/>
    <n v="48.98"/>
    <n v="4.32"/>
    <x v="8"/>
    <x v="2"/>
    <s v="Luma Imports"/>
    <n v="3.3"/>
    <n v="6.13"/>
    <n v="19.799999999999997"/>
    <n v="24.86"/>
    <n v="0.50755410371580234"/>
    <x v="19"/>
    <x v="1"/>
    <x v="0"/>
  </r>
  <r>
    <s v="ORD-102306"/>
    <d v="2025-05-10T00:00:00"/>
    <d v="2025-05-13T00:00:00"/>
    <x v="3"/>
    <s v="Leeds"/>
    <s v="Home Office"/>
    <s v="Retail Store"/>
    <s v="P-002"/>
    <n v="2"/>
    <n v="0.25"/>
    <n v="332.5"/>
    <n v="5.46"/>
    <x v="2"/>
    <x v="1"/>
    <s v="Vertex Trade"/>
    <n v="119.02"/>
    <n v="205.39"/>
    <n v="238.04"/>
    <n v="89.000000000000014"/>
    <n v="0.26766917293233089"/>
    <x v="1"/>
    <x v="3"/>
    <x v="0"/>
  </r>
  <r>
    <s v="ORD-102307"/>
    <d v="2024-07-16T00:00:00"/>
    <d v="2024-07-17T00:00:00"/>
    <x v="3"/>
    <s v="Leeds"/>
    <s v="Home Office"/>
    <s v="Retail Store"/>
    <s v="P-010"/>
    <n v="4"/>
    <n v="0.15"/>
    <n v="19.52"/>
    <n v="6.3"/>
    <x v="4"/>
    <x v="2"/>
    <s v="Orbit Supply Co."/>
    <n v="3.62"/>
    <n v="6.03"/>
    <n v="14.48"/>
    <n v="-1.2600000000000007"/>
    <n v="-6.4549180327868882E-2"/>
    <x v="16"/>
    <x v="2"/>
    <x v="1"/>
  </r>
  <r>
    <s v="ORD-102308"/>
    <d v="2025-07-18T00:00:00"/>
    <d v="2025-07-23T00:00:00"/>
    <x v="1"/>
    <s v="Cambridge"/>
    <s v="Small Business"/>
    <s v="Online"/>
    <s v="P-009"/>
    <n v="4"/>
    <n v="0.2"/>
    <n v="353.66"/>
    <n v="9.5"/>
    <x v="0"/>
    <x v="0"/>
    <s v="Apex Wholesale"/>
    <n v="63.69"/>
    <n v="125.5"/>
    <n v="254.76"/>
    <n v="89.400000000000034"/>
    <n v="0.2527851608889895"/>
    <x v="4"/>
    <x v="2"/>
    <x v="0"/>
  </r>
  <r>
    <s v="ORD-102309"/>
    <d v="2025-07-03T00:00:00"/>
    <d v="2025-07-08T00:00:00"/>
    <x v="0"/>
    <s v="Liverpool"/>
    <s v="Small Business"/>
    <s v="B2B Sales"/>
    <s v="P-007"/>
    <n v="2"/>
    <n v="0.15"/>
    <n v="92.7"/>
    <n v="4.2"/>
    <x v="7"/>
    <x v="0"/>
    <s v="Luma Imports"/>
    <n v="31.34"/>
    <n v="56.49"/>
    <n v="62.68"/>
    <n v="25.820000000000004"/>
    <n v="0.27853290183387275"/>
    <x v="4"/>
    <x v="2"/>
    <x v="0"/>
  </r>
  <r>
    <s v="ORD-102310"/>
    <d v="2024-01-27T00:00:00"/>
    <d v="2024-01-28T00:00:00"/>
    <x v="1"/>
    <s v="Norwich"/>
    <s v="Home Office"/>
    <s v="Online"/>
    <s v="P-013"/>
    <n v="8"/>
    <n v="0.15"/>
    <n v="75.38"/>
    <n v="8.1"/>
    <x v="11"/>
    <x v="2"/>
    <s v="Apex Wholesale"/>
    <n v="6.33"/>
    <n v="12.16"/>
    <n v="50.64"/>
    <n v="16.639999999999993"/>
    <n v="0.22074820907402487"/>
    <x v="18"/>
    <x v="2"/>
    <x v="1"/>
  </r>
  <r>
    <s v="ORD-102311"/>
    <d v="2025-10-12T00:00:00"/>
    <d v="2025-10-14T00:00:00"/>
    <x v="1"/>
    <s v="Peterborough"/>
    <s v="Small Business"/>
    <s v="Online"/>
    <s v="P-010"/>
    <n v="5"/>
    <n v="0.2"/>
    <n v="29"/>
    <n v="6.75"/>
    <x v="4"/>
    <x v="2"/>
    <s v="Orbit Supply Co."/>
    <n v="3.62"/>
    <n v="6.03"/>
    <n v="18.100000000000001"/>
    <n v="4.1499999999999986"/>
    <n v="0.14310344827586202"/>
    <x v="22"/>
    <x v="2"/>
    <x v="0"/>
  </r>
  <r>
    <s v="ORD-102312"/>
    <d v="2025-05-15T00:00:00"/>
    <d v="2025-05-20T00:00:00"/>
    <x v="2"/>
    <s v="London"/>
    <s v="Corporate"/>
    <s v="B2B Sales"/>
    <s v="P-002"/>
    <n v="2"/>
    <n v="0.2"/>
    <n v="325.16000000000003"/>
    <n v="9.1"/>
    <x v="2"/>
    <x v="1"/>
    <s v="Vertex Trade"/>
    <n v="119.02"/>
    <n v="205.39"/>
    <n v="238.04"/>
    <n v="78.020000000000039"/>
    <n v="0.23994341247385911"/>
    <x v="1"/>
    <x v="2"/>
    <x v="0"/>
  </r>
  <r>
    <s v="ORD-102313"/>
    <d v="2024-09-25T00:00:00"/>
    <d v="2024-09-27T00:00:00"/>
    <x v="0"/>
    <s v="Cardiff"/>
    <s v="Small Business"/>
    <s v="B2B Sales"/>
    <s v="P-007"/>
    <n v="5"/>
    <n v="0.05"/>
    <n v="298"/>
    <n v="6.45"/>
    <x v="7"/>
    <x v="0"/>
    <s v="Luma Imports"/>
    <n v="31.34"/>
    <n v="56.49"/>
    <n v="156.69999999999999"/>
    <n v="134.85000000000002"/>
    <n v="0.45251677852348998"/>
    <x v="23"/>
    <x v="0"/>
    <x v="1"/>
  </r>
  <r>
    <s v="ORD-102314"/>
    <d v="2024-10-22T00:00:00"/>
    <d v="2024-10-25T00:00:00"/>
    <x v="2"/>
    <s v="Bristol"/>
    <s v="Small Business"/>
    <s v="Online"/>
    <s v="P-009"/>
    <n v="3"/>
    <n v="0"/>
    <n v="430.88"/>
    <n v="8.25"/>
    <x v="0"/>
    <x v="0"/>
    <s v="Apex Wholesale"/>
    <n v="63.69"/>
    <n v="125.5"/>
    <n v="191.07"/>
    <n v="231.56"/>
    <n v="0.53741180839212777"/>
    <x v="3"/>
    <x v="1"/>
    <x v="1"/>
  </r>
  <r>
    <s v="ORD-102315"/>
    <d v="2024-10-11T00:00:00"/>
    <d v="2024-10-15T00:00:00"/>
    <x v="1"/>
    <s v="Norwich"/>
    <s v="Home Office"/>
    <s v="Retail Store"/>
    <s v="P-007"/>
    <n v="3"/>
    <n v="0"/>
    <n v="204.37"/>
    <n v="8.25"/>
    <x v="7"/>
    <x v="0"/>
    <s v="Luma Imports"/>
    <n v="31.34"/>
    <n v="56.49"/>
    <n v="94.02"/>
    <n v="102.10000000000001"/>
    <n v="0.4995840876841024"/>
    <x v="3"/>
    <x v="1"/>
    <x v="1"/>
  </r>
  <r>
    <s v="ORD-102316"/>
    <d v="2025-10-25T00:00:00"/>
    <d v="2025-10-28T00:00:00"/>
    <x v="2"/>
    <s v="Brighton"/>
    <s v="Corporate"/>
    <s v="B2B Sales"/>
    <s v="P-009"/>
    <n v="1"/>
    <n v="0"/>
    <n v="145.58000000000001"/>
    <n v="5.75"/>
    <x v="0"/>
    <x v="0"/>
    <s v="Apex Wholesale"/>
    <n v="63.69"/>
    <n v="125.5"/>
    <n v="63.69"/>
    <n v="76.140000000000015"/>
    <n v="0.5230114026652013"/>
    <x v="22"/>
    <x v="1"/>
    <x v="0"/>
  </r>
  <r>
    <s v="ORD-102317"/>
    <d v="2025-03-29T00:00:00"/>
    <d v="2025-04-03T00:00:00"/>
    <x v="0"/>
    <s v="Birmingham"/>
    <s v="Small Business"/>
    <s v="Online"/>
    <s v="P-002"/>
    <n v="4"/>
    <n v="0"/>
    <n v="730.35"/>
    <n v="8.2200000000000006"/>
    <x v="2"/>
    <x v="1"/>
    <s v="Vertex Trade"/>
    <n v="119.02"/>
    <n v="205.39"/>
    <n v="476.08"/>
    <n v="246.05000000000004"/>
    <n v="0.3368932703498323"/>
    <x v="2"/>
    <x v="1"/>
    <x v="0"/>
  </r>
  <r>
    <s v="ORD-102318"/>
    <d v="2024-11-07T00:00:00"/>
    <d v="2024-11-11T00:00:00"/>
    <x v="3"/>
    <s v="Newcastle"/>
    <s v="Corporate"/>
    <s v="Retail Store"/>
    <s v="P-010"/>
    <n v="8"/>
    <n v="0"/>
    <n v="66.739999999999995"/>
    <n v="4.8600000000000003"/>
    <x v="4"/>
    <x v="2"/>
    <s v="Orbit Supply Co."/>
    <n v="3.62"/>
    <n v="6.03"/>
    <n v="28.96"/>
    <n v="32.919999999999995"/>
    <n v="0.49325741684147434"/>
    <x v="14"/>
    <x v="1"/>
    <x v="1"/>
  </r>
  <r>
    <s v="ORD-102319"/>
    <d v="2024-11-04T00:00:00"/>
    <d v="2024-11-10T00:00:00"/>
    <x v="3"/>
    <s v="Manchester"/>
    <s v="Home Office"/>
    <s v="Retail Store"/>
    <s v="P-012"/>
    <n v="8"/>
    <n v="0.05"/>
    <n v="83.53"/>
    <n v="4.8600000000000003"/>
    <x v="14"/>
    <x v="2"/>
    <s v="Luma Imports"/>
    <n v="4.5"/>
    <n v="8.2899999999999991"/>
    <n v="36"/>
    <n v="42.67"/>
    <n v="0.51083443074344548"/>
    <x v="14"/>
    <x v="0"/>
    <x v="1"/>
  </r>
  <r>
    <s v="ORD-102320"/>
    <d v="2024-02-07T00:00:00"/>
    <d v="2024-02-08T00:00:00"/>
    <x v="2"/>
    <s v="Brighton"/>
    <s v="Home Office"/>
    <s v="B2B Sales"/>
    <s v="P-001"/>
    <n v="2"/>
    <n v="0"/>
    <n v="538.79999999999995"/>
    <n v="9.1"/>
    <x v="12"/>
    <x v="1"/>
    <s v="Luma Imports"/>
    <n v="173.56"/>
    <n v="286.14999999999998"/>
    <n v="347.12"/>
    <n v="182.57999999999996"/>
    <n v="0.33886414253897545"/>
    <x v="12"/>
    <x v="1"/>
    <x v="1"/>
  </r>
  <r>
    <s v="ORD-102321"/>
    <d v="2025-01-03T00:00:00"/>
    <d v="2025-01-06T00:00:00"/>
    <x v="3"/>
    <s v="Newcastle"/>
    <s v="Small Business"/>
    <s v="Retail Store"/>
    <s v="P-009"/>
    <n v="2"/>
    <n v="0.05"/>
    <n v="198.31"/>
    <n v="4.2"/>
    <x v="0"/>
    <x v="0"/>
    <s v="Apex Wholesale"/>
    <n v="63.69"/>
    <n v="125.5"/>
    <n v="127.38"/>
    <n v="66.73"/>
    <n v="0.33649336896777776"/>
    <x v="20"/>
    <x v="0"/>
    <x v="0"/>
  </r>
  <r>
    <s v="ORD-102322"/>
    <d v="2025-06-21T00:00:00"/>
    <d v="2025-06-27T00:00:00"/>
    <x v="2"/>
    <s v="London"/>
    <s v="Home Office"/>
    <s v="Online"/>
    <s v="P-008"/>
    <n v="3"/>
    <n v="0"/>
    <n v="631.41"/>
    <n v="8.25"/>
    <x v="6"/>
    <x v="0"/>
    <s v="Vertex Trade"/>
    <n v="112.09"/>
    <n v="192.47"/>
    <n v="336.27"/>
    <n v="286.89"/>
    <n v="0.45436404238133699"/>
    <x v="0"/>
    <x v="1"/>
    <x v="0"/>
  </r>
  <r>
    <s v="ORD-102323"/>
    <d v="2024-10-17T00:00:00"/>
    <d v="2024-10-19T00:00:00"/>
    <x v="3"/>
    <s v="Leeds"/>
    <s v="Small Business"/>
    <s v="Online"/>
    <s v="P-001"/>
    <n v="4"/>
    <n v="0"/>
    <n v="1265.55"/>
    <n v="13.7"/>
    <x v="12"/>
    <x v="1"/>
    <s v="Luma Imports"/>
    <n v="173.56"/>
    <n v="286.14999999999998"/>
    <n v="694.24"/>
    <n v="557.6099999999999"/>
    <n v="0.44060685077634226"/>
    <x v="3"/>
    <x v="1"/>
    <x v="1"/>
  </r>
  <r>
    <s v="ORD-102324"/>
    <d v="2025-09-11T00:00:00"/>
    <d v="2025-09-14T00:00:00"/>
    <x v="0"/>
    <s v="Cardiff"/>
    <s v="Small Business"/>
    <s v="Retail Store"/>
    <s v="P-001"/>
    <n v="2"/>
    <n v="0.2"/>
    <n v="483.79"/>
    <n v="9.1"/>
    <x v="12"/>
    <x v="1"/>
    <s v="Luma Imports"/>
    <n v="173.56"/>
    <n v="286.14999999999998"/>
    <n v="347.12"/>
    <n v="127.57000000000002"/>
    <n v="0.2636887905909589"/>
    <x v="11"/>
    <x v="2"/>
    <x v="0"/>
  </r>
  <r>
    <s v="ORD-102325"/>
    <d v="2025-09-05T00:00:00"/>
    <d v="2025-09-09T00:00:00"/>
    <x v="2"/>
    <s v="London"/>
    <s v="Small Business"/>
    <s v="B2B Sales"/>
    <s v="P-012"/>
    <n v="9"/>
    <n v="0"/>
    <n v="77.959999999999994"/>
    <n v="8.5500000000000007"/>
    <x v="14"/>
    <x v="2"/>
    <s v="Luma Imports"/>
    <n v="4.5"/>
    <n v="8.2899999999999991"/>
    <n v="40.5"/>
    <n v="28.909999999999993"/>
    <n v="0.37083119548486398"/>
    <x v="11"/>
    <x v="1"/>
    <x v="0"/>
  </r>
  <r>
    <s v="ORD-102326"/>
    <d v="2024-12-27T00:00:00"/>
    <d v="2024-12-30T00:00:00"/>
    <x v="2"/>
    <s v="London"/>
    <s v="Small Business"/>
    <s v="Retail Store"/>
    <s v="P-006"/>
    <n v="4"/>
    <n v="0.2"/>
    <n v="524.52"/>
    <n v="5.7"/>
    <x v="10"/>
    <x v="0"/>
    <s v="Apex Wholesale"/>
    <n v="54.95"/>
    <n v="112.56"/>
    <n v="219.8"/>
    <n v="299.02"/>
    <n v="0.5700831236177839"/>
    <x v="9"/>
    <x v="2"/>
    <x v="1"/>
  </r>
  <r>
    <s v="ORD-102327"/>
    <d v="2025-10-13T00:00:00"/>
    <d v="2025-10-14T00:00:00"/>
    <x v="1"/>
    <s v="Peterborough"/>
    <s v="Small Business"/>
    <s v="B2B Sales"/>
    <s v="P-004"/>
    <n v="2"/>
    <n v="0.2"/>
    <n v="208.38"/>
    <n v="5.46"/>
    <x v="5"/>
    <x v="1"/>
    <s v="Cedar Distribution"/>
    <n v="63.6"/>
    <n v="107.94"/>
    <n v="127.2"/>
    <n v="75.72"/>
    <n v="0.36337460408868416"/>
    <x v="22"/>
    <x v="2"/>
    <x v="0"/>
  </r>
  <r>
    <s v="ORD-102328"/>
    <d v="2024-01-21T00:00:00"/>
    <d v="2024-01-25T00:00:00"/>
    <x v="3"/>
    <s v="Newcastle"/>
    <s v="Home Office"/>
    <s v="Retail Store"/>
    <s v="P-002"/>
    <n v="4"/>
    <n v="0"/>
    <n v="726.76"/>
    <n v="13.7"/>
    <x v="2"/>
    <x v="1"/>
    <s v="Vertex Trade"/>
    <n v="119.02"/>
    <n v="205.39"/>
    <n v="476.08"/>
    <n v="236.98000000000002"/>
    <n v="0.32607738455611207"/>
    <x v="18"/>
    <x v="1"/>
    <x v="1"/>
  </r>
  <r>
    <s v="ORD-102329"/>
    <d v="2025-06-19T00:00:00"/>
    <d v="2025-06-24T00:00:00"/>
    <x v="3"/>
    <s v="Leeds"/>
    <s v="Small Business"/>
    <s v="Retail Store"/>
    <s v="P-011"/>
    <n v="14"/>
    <n v="0"/>
    <n v="212.23"/>
    <n v="6.48"/>
    <x v="9"/>
    <x v="2"/>
    <s v="Orbit Supply Co."/>
    <n v="7.93"/>
    <n v="14.78"/>
    <n v="111.02"/>
    <n v="94.72999999999999"/>
    <n v="0.44635536917495167"/>
    <x v="0"/>
    <x v="1"/>
    <x v="0"/>
  </r>
  <r>
    <s v="ORD-102330"/>
    <d v="2025-03-28T00:00:00"/>
    <d v="2025-03-30T00:00:00"/>
    <x v="3"/>
    <s v="Manchester"/>
    <s v="Home Office"/>
    <s v="B2B Sales"/>
    <s v="P-004"/>
    <n v="2"/>
    <n v="0.25"/>
    <n v="150.02000000000001"/>
    <n v="9.1"/>
    <x v="5"/>
    <x v="1"/>
    <s v="Cedar Distribution"/>
    <n v="63.6"/>
    <n v="107.94"/>
    <n v="127.2"/>
    <n v="13.720000000000008"/>
    <n v="9.1454472736968453E-2"/>
    <x v="2"/>
    <x v="3"/>
    <x v="0"/>
  </r>
  <r>
    <s v="ORD-102331"/>
    <d v="2025-11-23T00:00:00"/>
    <d v="2025-11-27T00:00:00"/>
    <x v="1"/>
    <s v="Cambridge"/>
    <s v="Small Business"/>
    <s v="Retail Store"/>
    <s v="P-007"/>
    <n v="1"/>
    <n v="0.25"/>
    <n v="55.31"/>
    <n v="3.45"/>
    <x v="7"/>
    <x v="0"/>
    <s v="Luma Imports"/>
    <n v="31.34"/>
    <n v="56.49"/>
    <n v="31.34"/>
    <n v="20.520000000000003"/>
    <n v="0.37099981920086789"/>
    <x v="19"/>
    <x v="3"/>
    <x v="0"/>
  </r>
  <r>
    <s v="ORD-102332"/>
    <d v="2024-10-12T00:00:00"/>
    <d v="2024-10-18T00:00:00"/>
    <x v="2"/>
    <s v="London"/>
    <s v="Small Business"/>
    <s v="B2B Sales"/>
    <s v="P-015"/>
    <n v="9"/>
    <n v="0.1"/>
    <n v="56.89"/>
    <n v="8.5500000000000007"/>
    <x v="8"/>
    <x v="2"/>
    <s v="Luma Imports"/>
    <n v="3.3"/>
    <n v="6.13"/>
    <n v="29.7"/>
    <n v="18.64"/>
    <n v="0.32764985058885571"/>
    <x v="3"/>
    <x v="0"/>
    <x v="1"/>
  </r>
  <r>
    <s v="ORD-102333"/>
    <d v="2024-04-05T00:00:00"/>
    <d v="2024-04-10T00:00:00"/>
    <x v="1"/>
    <s v="Peterborough"/>
    <s v="Home Office"/>
    <s v="Online"/>
    <s v="P-001"/>
    <n v="3"/>
    <n v="0"/>
    <n v="852.92"/>
    <n v="6.84"/>
    <x v="12"/>
    <x v="1"/>
    <s v="Luma Imports"/>
    <n v="173.56"/>
    <n v="286.14999999999998"/>
    <n v="520.68000000000006"/>
    <n v="325.39999999999992"/>
    <n v="0.38151292032078032"/>
    <x v="21"/>
    <x v="1"/>
    <x v="1"/>
  </r>
  <r>
    <s v="ORD-102334"/>
    <d v="2025-10-03T00:00:00"/>
    <d v="2025-10-04T00:00:00"/>
    <x v="3"/>
    <s v="Newcastle"/>
    <s v="Small Business"/>
    <s v="Online"/>
    <s v="P-012"/>
    <n v="8"/>
    <n v="0.15"/>
    <n v="67.83"/>
    <n v="8.1"/>
    <x v="14"/>
    <x v="2"/>
    <s v="Luma Imports"/>
    <n v="4.5"/>
    <n v="8.2899999999999991"/>
    <n v="36"/>
    <n v="23.729999999999997"/>
    <n v="0.34984520123839008"/>
    <x v="22"/>
    <x v="2"/>
    <x v="0"/>
  </r>
  <r>
    <s v="ORD-102335"/>
    <d v="2024-01-14T00:00:00"/>
    <d v="2024-01-18T00:00:00"/>
    <x v="1"/>
    <s v="Norwich"/>
    <s v="Home Office"/>
    <s v="B2B Sales"/>
    <s v="P-011"/>
    <n v="18"/>
    <n v="0.2"/>
    <n v="178.7"/>
    <n v="7.56"/>
    <x v="9"/>
    <x v="2"/>
    <s v="Orbit Supply Co."/>
    <n v="7.93"/>
    <n v="14.78"/>
    <n v="142.74"/>
    <n v="28.399999999999981"/>
    <n v="0.15892557358701725"/>
    <x v="18"/>
    <x v="2"/>
    <x v="1"/>
  </r>
  <r>
    <s v="ORD-102336"/>
    <d v="2025-05-19T00:00:00"/>
    <d v="2025-05-23T00:00:00"/>
    <x v="1"/>
    <s v="Peterborough"/>
    <s v="Small Business"/>
    <s v="B2B Sales"/>
    <s v="P-003"/>
    <n v="4"/>
    <n v="0.15"/>
    <n v="370.94"/>
    <n v="8.2200000000000006"/>
    <x v="1"/>
    <x v="1"/>
    <s v="Orbit Supply Co."/>
    <n v="71.489999999999995"/>
    <n v="112.88"/>
    <n v="285.95999999999998"/>
    <n v="76.760000000000019"/>
    <n v="0.20693373591416406"/>
    <x v="1"/>
    <x v="2"/>
    <x v="0"/>
  </r>
  <r>
    <s v="ORD-102337"/>
    <d v="2024-04-12T00:00:00"/>
    <d v="2024-04-16T00:00:00"/>
    <x v="2"/>
    <s v="Bristol"/>
    <s v="Corporate"/>
    <s v="B2B Sales"/>
    <s v="P-011"/>
    <n v="5"/>
    <n v="0"/>
    <n v="71.209999999999994"/>
    <n v="4.05"/>
    <x v="9"/>
    <x v="2"/>
    <s v="Orbit Supply Co."/>
    <n v="7.93"/>
    <n v="14.78"/>
    <n v="39.65"/>
    <n v="27.509999999999994"/>
    <n v="0.38632214576604407"/>
    <x v="21"/>
    <x v="1"/>
    <x v="1"/>
  </r>
  <r>
    <s v="ORD-102338"/>
    <d v="2025-03-23T00:00:00"/>
    <d v="2025-03-24T00:00:00"/>
    <x v="2"/>
    <s v="Brighton"/>
    <s v="Small Business"/>
    <s v="Online"/>
    <s v="P-002"/>
    <n v="2"/>
    <n v="0.05"/>
    <n v="376.8"/>
    <n v="5.46"/>
    <x v="2"/>
    <x v="1"/>
    <s v="Vertex Trade"/>
    <n v="119.02"/>
    <n v="205.39"/>
    <n v="238.04"/>
    <n v="133.30000000000001"/>
    <n v="0.35376857749469215"/>
    <x v="2"/>
    <x v="0"/>
    <x v="0"/>
  </r>
  <r>
    <s v="ORD-102339"/>
    <d v="2024-10-02T00:00:00"/>
    <d v="2024-10-06T00:00:00"/>
    <x v="3"/>
    <s v="Newcastle"/>
    <s v="Small Business"/>
    <s v="Online"/>
    <s v="P-007"/>
    <n v="4"/>
    <n v="0.05"/>
    <n v="243.78"/>
    <n v="5.7"/>
    <x v="7"/>
    <x v="0"/>
    <s v="Luma Imports"/>
    <n v="31.34"/>
    <n v="56.49"/>
    <n v="125.36"/>
    <n v="112.72"/>
    <n v="0.46238411682664698"/>
    <x v="3"/>
    <x v="0"/>
    <x v="1"/>
  </r>
  <r>
    <s v="ORD-102340"/>
    <d v="2024-02-14T00:00:00"/>
    <d v="2024-02-19T00:00:00"/>
    <x v="0"/>
    <s v="Liverpool"/>
    <s v="Home Office"/>
    <s v="B2B Sales"/>
    <s v="P-008"/>
    <n v="1"/>
    <n v="0"/>
    <n v="175.35"/>
    <n v="5.75"/>
    <x v="6"/>
    <x v="0"/>
    <s v="Vertex Trade"/>
    <n v="112.09"/>
    <n v="192.47"/>
    <n v="112.09"/>
    <n v="57.509999999999991"/>
    <n v="0.32797262617621897"/>
    <x v="12"/>
    <x v="1"/>
    <x v="1"/>
  </r>
  <r>
    <s v="ORD-102341"/>
    <d v="2025-11-17T00:00:00"/>
    <d v="2025-11-21T00:00:00"/>
    <x v="2"/>
    <s v="Brighton"/>
    <s v="Home Office"/>
    <s v="B2B Sales"/>
    <s v="P-012"/>
    <n v="4"/>
    <n v="0"/>
    <n v="45.47"/>
    <n v="3.78"/>
    <x v="14"/>
    <x v="2"/>
    <s v="Luma Imports"/>
    <n v="4.5"/>
    <n v="8.2899999999999991"/>
    <n v="18"/>
    <n v="23.689999999999998"/>
    <n v="0.52100285902793042"/>
    <x v="19"/>
    <x v="1"/>
    <x v="0"/>
  </r>
  <r>
    <s v="ORD-102342"/>
    <d v="2025-11-07T00:00:00"/>
    <d v="2025-11-12T00:00:00"/>
    <x v="3"/>
    <s v="Leeds"/>
    <s v="Small Business"/>
    <s v="B2B Sales"/>
    <s v="P-012"/>
    <n v="12"/>
    <n v="0"/>
    <n v="132.25"/>
    <n v="9.9"/>
    <x v="14"/>
    <x v="2"/>
    <s v="Luma Imports"/>
    <n v="4.5"/>
    <n v="8.2899999999999991"/>
    <n v="54"/>
    <n v="68.349999999999994"/>
    <n v="0.51682419659735346"/>
    <x v="19"/>
    <x v="1"/>
    <x v="0"/>
  </r>
  <r>
    <s v="ORD-102343"/>
    <d v="2025-12-01T00:00:00"/>
    <d v="2025-12-05T00:00:00"/>
    <x v="0"/>
    <s v="Cardiff"/>
    <s v="Small Business"/>
    <s v="Retail Store"/>
    <s v="P-004"/>
    <n v="7"/>
    <n v="0"/>
    <n v="1079.01"/>
    <n v="12.36"/>
    <x v="5"/>
    <x v="1"/>
    <s v="Cedar Distribution"/>
    <n v="63.6"/>
    <n v="107.94"/>
    <n v="445.2"/>
    <n v="621.44999999999993"/>
    <n v="0.57594461589790635"/>
    <x v="13"/>
    <x v="1"/>
    <x v="0"/>
  </r>
  <r>
    <s v="ORD-102344"/>
    <d v="2025-05-22T00:00:00"/>
    <d v="2025-05-24T00:00:00"/>
    <x v="3"/>
    <s v="Leeds"/>
    <s v="Corporate"/>
    <s v="Online"/>
    <s v="P-009"/>
    <n v="4"/>
    <n v="0"/>
    <n v="541.80999999999995"/>
    <n v="5.7"/>
    <x v="0"/>
    <x v="0"/>
    <s v="Apex Wholesale"/>
    <n v="63.69"/>
    <n v="125.5"/>
    <n v="254.76"/>
    <n v="281.34999999999997"/>
    <n v="0.51927797567412926"/>
    <x v="1"/>
    <x v="1"/>
    <x v="0"/>
  </r>
  <r>
    <s v="ORD-102345"/>
    <d v="2024-07-31T00:00:00"/>
    <d v="2024-08-05T00:00:00"/>
    <x v="1"/>
    <s v="Norwich"/>
    <s v="Small Business"/>
    <s v="B2B Sales"/>
    <s v="P-014"/>
    <n v="7"/>
    <n v="0"/>
    <n v="167.87"/>
    <n v="7.65"/>
    <x v="3"/>
    <x v="2"/>
    <s v="Orbit Supply Co."/>
    <n v="16.760000000000002"/>
    <n v="27.71"/>
    <n v="117.32000000000001"/>
    <n v="42.9"/>
    <n v="0.25555489366771905"/>
    <x v="16"/>
    <x v="1"/>
    <x v="1"/>
  </r>
  <r>
    <s v="ORD-102346"/>
    <d v="2024-09-01T00:00:00"/>
    <d v="2024-09-07T00:00:00"/>
    <x v="2"/>
    <s v="Bristol"/>
    <s v="Small Business"/>
    <s v="B2B Sales"/>
    <s v="P-014"/>
    <n v="7"/>
    <n v="0"/>
    <n v="206.76"/>
    <n v="4.59"/>
    <x v="3"/>
    <x v="2"/>
    <s v="Orbit Supply Co."/>
    <n v="16.760000000000002"/>
    <n v="27.71"/>
    <n v="117.32000000000001"/>
    <n v="84.84999999999998"/>
    <n v="0.41037918359450565"/>
    <x v="23"/>
    <x v="1"/>
    <x v="1"/>
  </r>
  <r>
    <s v="ORD-102347"/>
    <d v="2024-05-29T00:00:00"/>
    <d v="2024-06-02T00:00:00"/>
    <x v="3"/>
    <s v="Newcastle"/>
    <s v="Home Office"/>
    <s v="B2B Sales"/>
    <s v="P-001"/>
    <n v="1"/>
    <n v="0"/>
    <n v="303.79000000000002"/>
    <n v="4.08"/>
    <x v="12"/>
    <x v="1"/>
    <s v="Luma Imports"/>
    <n v="173.56"/>
    <n v="286.14999999999998"/>
    <n v="173.56"/>
    <n v="126.15000000000002"/>
    <n v="0.41525395832647555"/>
    <x v="8"/>
    <x v="1"/>
    <x v="1"/>
  </r>
  <r>
    <s v="ORD-102348"/>
    <d v="2025-04-11T00:00:00"/>
    <d v="2025-04-13T00:00:00"/>
    <x v="0"/>
    <s v="Cardiff"/>
    <s v="Home Office"/>
    <s v="B2B Sales"/>
    <s v="P-001"/>
    <n v="2"/>
    <n v="0.05"/>
    <n v="556.80999999999995"/>
    <n v="5.46"/>
    <x v="12"/>
    <x v="1"/>
    <s v="Luma Imports"/>
    <n v="173.56"/>
    <n v="286.14999999999998"/>
    <n v="347.12"/>
    <n v="204.22999999999993"/>
    <n v="0.3667857976688636"/>
    <x v="15"/>
    <x v="0"/>
    <x v="0"/>
  </r>
  <r>
    <s v="ORD-102349"/>
    <d v="2025-05-27T00:00:00"/>
    <d v="2025-06-01T00:00:00"/>
    <x v="1"/>
    <s v="Cambridge"/>
    <s v="Small Business"/>
    <s v="B2B Sales"/>
    <s v="P-005"/>
    <n v="3"/>
    <n v="0"/>
    <n v="161.81"/>
    <n v="4.95"/>
    <x v="13"/>
    <x v="0"/>
    <s v="Apex Wholesale"/>
    <n v="25.33"/>
    <n v="51.56"/>
    <n v="75.989999999999995"/>
    <n v="80.87"/>
    <n v="0.49978369692849639"/>
    <x v="1"/>
    <x v="1"/>
    <x v="0"/>
  </r>
  <r>
    <s v="ORD-102350"/>
    <d v="2024-06-24T00:00:00"/>
    <d v="2024-06-29T00:00:00"/>
    <x v="0"/>
    <s v="Cardiff"/>
    <s v="Small Business"/>
    <s v="B2B Sales"/>
    <s v="P-001"/>
    <n v="5"/>
    <n v="0.15"/>
    <n v="1268.3"/>
    <n v="16"/>
    <x v="12"/>
    <x v="1"/>
    <s v="Luma Imports"/>
    <n v="173.56"/>
    <n v="286.14999999999998"/>
    <n v="867.8"/>
    <n v="384.5"/>
    <n v="0.3031617125285816"/>
    <x v="17"/>
    <x v="2"/>
    <x v="1"/>
  </r>
  <r>
    <s v="ORD-102351"/>
    <d v="2025-10-10T00:00:00"/>
    <d v="2025-10-15T00:00:00"/>
    <x v="3"/>
    <s v="Leeds"/>
    <s v="Corporate"/>
    <s v="B2B Sales"/>
    <s v="P-008"/>
    <n v="2"/>
    <n v="0.05"/>
    <n v="414.29"/>
    <n v="4.2"/>
    <x v="6"/>
    <x v="0"/>
    <s v="Vertex Trade"/>
    <n v="112.09"/>
    <n v="192.47"/>
    <n v="224.18"/>
    <n v="185.91000000000003"/>
    <n v="0.44874363368654813"/>
    <x v="22"/>
    <x v="0"/>
    <x v="0"/>
  </r>
  <r>
    <s v="ORD-102352"/>
    <d v="2024-03-18T00:00:00"/>
    <d v="2024-03-22T00:00:00"/>
    <x v="1"/>
    <s v="Peterborough"/>
    <s v="Corporate"/>
    <s v="Retail Store"/>
    <s v="P-002"/>
    <n v="1"/>
    <n v="0"/>
    <n v="203.53"/>
    <n v="4.08"/>
    <x v="2"/>
    <x v="1"/>
    <s v="Vertex Trade"/>
    <n v="119.02"/>
    <n v="205.39"/>
    <n v="119.02"/>
    <n v="80.430000000000007"/>
    <n v="0.39517515845329931"/>
    <x v="10"/>
    <x v="1"/>
    <x v="1"/>
  </r>
  <r>
    <s v="ORD-102353"/>
    <d v="2025-02-03T00:00:00"/>
    <d v="2025-02-04T00:00:00"/>
    <x v="2"/>
    <s v="London"/>
    <s v="Corporate"/>
    <s v="Retail Store"/>
    <s v="P-001"/>
    <n v="4"/>
    <n v="0"/>
    <n v="1044.29"/>
    <n v="8.2200000000000006"/>
    <x v="12"/>
    <x v="1"/>
    <s v="Luma Imports"/>
    <n v="173.56"/>
    <n v="286.14999999999998"/>
    <n v="694.24"/>
    <n v="341.82999999999993"/>
    <n v="0.32733244596807393"/>
    <x v="5"/>
    <x v="1"/>
    <x v="0"/>
  </r>
  <r>
    <s v="ORD-102354"/>
    <d v="2024-12-05T00:00:00"/>
    <d v="2024-12-11T00:00:00"/>
    <x v="2"/>
    <s v="Bristol"/>
    <s v="Corporate"/>
    <s v="Online"/>
    <s v="P-014"/>
    <n v="25"/>
    <n v="0"/>
    <n v="959.85"/>
    <n v="9.4499999999999993"/>
    <x v="3"/>
    <x v="2"/>
    <s v="Orbit Supply Co."/>
    <n v="16.760000000000002"/>
    <n v="27.71"/>
    <n v="419.00000000000006"/>
    <n v="531.39999999999986"/>
    <n v="0.5536281710683959"/>
    <x v="9"/>
    <x v="1"/>
    <x v="1"/>
  </r>
  <r>
    <s v="ORD-102355"/>
    <d v="2024-07-18T00:00:00"/>
    <d v="2024-07-19T00:00:00"/>
    <x v="1"/>
    <s v="Cambridge"/>
    <s v="Home Office"/>
    <s v="Online"/>
    <s v="P-007"/>
    <n v="2"/>
    <n v="0"/>
    <n v="105.66"/>
    <n v="4.2"/>
    <x v="7"/>
    <x v="0"/>
    <s v="Luma Imports"/>
    <n v="31.34"/>
    <n v="56.49"/>
    <n v="62.68"/>
    <n v="38.779999999999994"/>
    <n v="0.36702631080825282"/>
    <x v="16"/>
    <x v="1"/>
    <x v="1"/>
  </r>
  <r>
    <s v="ORD-102356"/>
    <d v="2024-11-23T00:00:00"/>
    <d v="2024-11-28T00:00:00"/>
    <x v="2"/>
    <s v="Brighton"/>
    <s v="Corporate"/>
    <s v="B2B Sales"/>
    <s v="P-008"/>
    <n v="2"/>
    <n v="0"/>
    <n v="509.88"/>
    <n v="4.2"/>
    <x v="6"/>
    <x v="0"/>
    <s v="Vertex Trade"/>
    <n v="112.09"/>
    <n v="192.47"/>
    <n v="224.18"/>
    <n v="281.5"/>
    <n v="0.55209068800502081"/>
    <x v="14"/>
    <x v="1"/>
    <x v="1"/>
  </r>
  <r>
    <s v="ORD-102357"/>
    <d v="2025-12-10T00:00:00"/>
    <d v="2025-12-16T00:00:00"/>
    <x v="0"/>
    <s v="Cardiff"/>
    <s v="Home Office"/>
    <s v="Retail Store"/>
    <s v="P-003"/>
    <n v="2"/>
    <n v="0.1"/>
    <n v="278.02999999999997"/>
    <n v="5.46"/>
    <x v="1"/>
    <x v="1"/>
    <s v="Orbit Supply Co."/>
    <n v="71.489999999999995"/>
    <n v="112.88"/>
    <n v="142.97999999999999"/>
    <n v="129.58999999999997"/>
    <n v="0.46610078049131382"/>
    <x v="13"/>
    <x v="0"/>
    <x v="0"/>
  </r>
  <r>
    <s v="ORD-102358"/>
    <d v="2025-03-09T00:00:00"/>
    <d v="2025-03-13T00:00:00"/>
    <x v="3"/>
    <s v="Leeds"/>
    <s v="Corporate"/>
    <s v="B2B Sales"/>
    <s v="P-014"/>
    <n v="5"/>
    <n v="0"/>
    <n v="130.12"/>
    <n v="4.05"/>
    <x v="3"/>
    <x v="2"/>
    <s v="Orbit Supply Co."/>
    <n v="16.760000000000002"/>
    <n v="27.71"/>
    <n v="83.800000000000011"/>
    <n v="42.269999999999996"/>
    <n v="0.32485398094067008"/>
    <x v="2"/>
    <x v="1"/>
    <x v="0"/>
  </r>
  <r>
    <s v="ORD-102359"/>
    <d v="2025-02-18T00:00:00"/>
    <d v="2025-02-23T00:00:00"/>
    <x v="2"/>
    <s v="Brighton"/>
    <s v="Home Office"/>
    <s v="Online"/>
    <s v="P-014"/>
    <n v="11"/>
    <n v="0.15"/>
    <n v="229.17"/>
    <n v="5.67"/>
    <x v="3"/>
    <x v="2"/>
    <s v="Orbit Supply Co."/>
    <n v="16.760000000000002"/>
    <n v="27.71"/>
    <n v="184.36"/>
    <n v="39.139999999999972"/>
    <n v="0.17079024305101007"/>
    <x v="5"/>
    <x v="2"/>
    <x v="0"/>
  </r>
  <r>
    <s v="ORD-102360"/>
    <d v="2024-05-29T00:00:00"/>
    <d v="2024-05-31T00:00:00"/>
    <x v="3"/>
    <s v="Manchester"/>
    <s v="Corporate"/>
    <s v="B2B Sales"/>
    <s v="P-014"/>
    <n v="5"/>
    <n v="0"/>
    <n v="139.01"/>
    <n v="4.05"/>
    <x v="3"/>
    <x v="2"/>
    <s v="Orbit Supply Co."/>
    <n v="16.760000000000002"/>
    <n v="27.71"/>
    <n v="83.800000000000011"/>
    <n v="51.159999999999982"/>
    <n v="0.36803107690094228"/>
    <x v="8"/>
    <x v="1"/>
    <x v="1"/>
  </r>
  <r>
    <s v="ORD-102361"/>
    <d v="2025-06-25T00:00:00"/>
    <d v="2025-06-30T00:00:00"/>
    <x v="2"/>
    <s v="London"/>
    <s v="Home Office"/>
    <s v="B2B Sales"/>
    <s v="P-011"/>
    <n v="7"/>
    <n v="0"/>
    <n v="111.75"/>
    <n v="7.65"/>
    <x v="9"/>
    <x v="2"/>
    <s v="Orbit Supply Co."/>
    <n v="7.93"/>
    <n v="14.78"/>
    <n v="55.51"/>
    <n v="48.59"/>
    <n v="0.43480984340044748"/>
    <x v="0"/>
    <x v="1"/>
    <x v="0"/>
  </r>
  <r>
    <s v="ORD-102362"/>
    <d v="2024-03-11T00:00:00"/>
    <d v="2024-03-13T00:00:00"/>
    <x v="1"/>
    <s v="Cambridge"/>
    <s v="Small Business"/>
    <s v="Retail Store"/>
    <s v="P-001"/>
    <n v="2"/>
    <n v="0"/>
    <n v="549.01"/>
    <n v="5.46"/>
    <x v="12"/>
    <x v="1"/>
    <s v="Luma Imports"/>
    <n v="173.56"/>
    <n v="286.14999999999998"/>
    <n v="347.12"/>
    <n v="196.42999999999998"/>
    <n v="0.35778947560153729"/>
    <x v="10"/>
    <x v="1"/>
    <x v="1"/>
  </r>
  <r>
    <s v="ORD-102363"/>
    <d v="2024-10-18T00:00:00"/>
    <d v="2024-10-19T00:00:00"/>
    <x v="3"/>
    <s v="Leeds"/>
    <s v="Home Office"/>
    <s v="B2B Sales"/>
    <s v="P-001"/>
    <n v="4"/>
    <n v="0"/>
    <n v="1292.8499999999999"/>
    <n v="8.2200000000000006"/>
    <x v="12"/>
    <x v="1"/>
    <s v="Luma Imports"/>
    <n v="173.56"/>
    <n v="286.14999999999998"/>
    <n v="694.24"/>
    <n v="590.38999999999987"/>
    <n v="0.45665777158989823"/>
    <x v="3"/>
    <x v="1"/>
    <x v="1"/>
  </r>
  <r>
    <s v="ORD-102364"/>
    <d v="2025-08-20T00:00:00"/>
    <d v="2025-08-23T00:00:00"/>
    <x v="2"/>
    <s v="Bristol"/>
    <s v="Corporate"/>
    <s v="B2B Sales"/>
    <s v="P-008"/>
    <n v="2"/>
    <n v="0.25"/>
    <n v="265.63"/>
    <n v="4.2"/>
    <x v="6"/>
    <x v="0"/>
    <s v="Vertex Trade"/>
    <n v="112.09"/>
    <n v="192.47"/>
    <n v="224.18"/>
    <n v="37.249999999999986"/>
    <n v="0.14023265444415159"/>
    <x v="6"/>
    <x v="3"/>
    <x v="0"/>
  </r>
  <r>
    <s v="ORD-102365"/>
    <d v="2025-01-10T00:00:00"/>
    <d v="2025-01-11T00:00:00"/>
    <x v="3"/>
    <s v="Newcastle"/>
    <s v="Corporate"/>
    <s v="Online"/>
    <s v="P-001"/>
    <n v="1"/>
    <n v="0"/>
    <n v="238.49"/>
    <n v="6.8"/>
    <x v="12"/>
    <x v="1"/>
    <s v="Luma Imports"/>
    <n v="173.56"/>
    <n v="286.14999999999998"/>
    <n v="173.56"/>
    <n v="58.13000000000001"/>
    <n v="0.24374187596964236"/>
    <x v="20"/>
    <x v="1"/>
    <x v="0"/>
  </r>
  <r>
    <s v="ORD-102366"/>
    <d v="2024-10-09T00:00:00"/>
    <d v="2024-10-11T00:00:00"/>
    <x v="2"/>
    <s v="London"/>
    <s v="Small Business"/>
    <s v="Online"/>
    <s v="P-010"/>
    <n v="4"/>
    <n v="0"/>
    <n v="28.24"/>
    <n v="3.78"/>
    <x v="4"/>
    <x v="2"/>
    <s v="Orbit Supply Co."/>
    <n v="3.62"/>
    <n v="6.03"/>
    <n v="14.48"/>
    <n v="9.9799999999999986"/>
    <n v="0.35339943342776203"/>
    <x v="3"/>
    <x v="1"/>
    <x v="1"/>
  </r>
  <r>
    <s v="ORD-102367"/>
    <d v="2025-09-12T00:00:00"/>
    <d v="2025-09-16T00:00:00"/>
    <x v="3"/>
    <s v="Manchester"/>
    <s v="Small Business"/>
    <s v="Retail Store"/>
    <s v="P-012"/>
    <n v="11"/>
    <n v="0.1"/>
    <n v="85.2"/>
    <n v="5.67"/>
    <x v="14"/>
    <x v="2"/>
    <s v="Luma Imports"/>
    <n v="4.5"/>
    <n v="8.2899999999999991"/>
    <n v="49.5"/>
    <n v="30.03"/>
    <n v="0.35246478873239434"/>
    <x v="11"/>
    <x v="0"/>
    <x v="0"/>
  </r>
  <r>
    <s v="ORD-102368"/>
    <d v="2025-01-23T00:00:00"/>
    <d v="2025-01-25T00:00:00"/>
    <x v="3"/>
    <s v="Manchester"/>
    <s v="Corporate"/>
    <s v="B2B Sales"/>
    <s v="P-001"/>
    <n v="1"/>
    <n v="0"/>
    <n v="254.95"/>
    <n v="4.08"/>
    <x v="12"/>
    <x v="1"/>
    <s v="Luma Imports"/>
    <n v="173.56"/>
    <n v="286.14999999999998"/>
    <n v="173.56"/>
    <n v="77.309999999999988"/>
    <n v="0.30323592861345361"/>
    <x v="20"/>
    <x v="1"/>
    <x v="0"/>
  </r>
  <r>
    <s v="ORD-102369"/>
    <d v="2024-05-29T00:00:00"/>
    <d v="2024-05-31T00:00:00"/>
    <x v="0"/>
    <s v="Cardiff"/>
    <s v="Small Business"/>
    <s v="Online"/>
    <s v="P-003"/>
    <n v="3"/>
    <n v="0"/>
    <n v="363.24"/>
    <n v="11.4"/>
    <x v="1"/>
    <x v="1"/>
    <s v="Orbit Supply Co."/>
    <n v="71.489999999999995"/>
    <n v="112.88"/>
    <n v="214.46999999999997"/>
    <n v="137.37000000000003"/>
    <n v="0.37817971589032051"/>
    <x v="8"/>
    <x v="1"/>
    <x v="1"/>
  </r>
  <r>
    <s v="ORD-102370"/>
    <d v="2025-08-22T00:00:00"/>
    <d v="2025-08-27T00:00:00"/>
    <x v="0"/>
    <s v="Birmingham"/>
    <s v="Small Business"/>
    <s v="Retail Store"/>
    <s v="P-013"/>
    <n v="8"/>
    <n v="0"/>
    <n v="91.64"/>
    <n v="4.8600000000000003"/>
    <x v="11"/>
    <x v="2"/>
    <s v="Apex Wholesale"/>
    <n v="6.33"/>
    <n v="12.16"/>
    <n v="50.64"/>
    <n v="36.14"/>
    <n v="0.39436927106067221"/>
    <x v="6"/>
    <x v="1"/>
    <x v="0"/>
  </r>
  <r>
    <s v="ORD-102371"/>
    <d v="2025-01-29T00:00:00"/>
    <d v="2025-01-30T00:00:00"/>
    <x v="2"/>
    <s v="Brighton"/>
    <s v="Corporate"/>
    <s v="Retail Store"/>
    <s v="P-001"/>
    <n v="4"/>
    <n v="0"/>
    <n v="1064.6099999999999"/>
    <n v="8.2200000000000006"/>
    <x v="12"/>
    <x v="1"/>
    <s v="Luma Imports"/>
    <n v="173.56"/>
    <n v="286.14999999999998"/>
    <n v="694.24"/>
    <n v="362.14999999999986"/>
    <n v="0.34017151820854574"/>
    <x v="20"/>
    <x v="1"/>
    <x v="0"/>
  </r>
  <r>
    <s v="ORD-102372"/>
    <d v="2024-12-27T00:00:00"/>
    <d v="2025-01-02T00:00:00"/>
    <x v="3"/>
    <s v="Leeds"/>
    <s v="Corporate"/>
    <s v="Retail Store"/>
    <s v="P-015"/>
    <n v="25"/>
    <n v="0"/>
    <n v="222.48"/>
    <n v="9.4499999999999993"/>
    <x v="8"/>
    <x v="2"/>
    <s v="Luma Imports"/>
    <n v="3.3"/>
    <n v="6.13"/>
    <n v="82.5"/>
    <n v="130.53"/>
    <n v="0.58670442286947144"/>
    <x v="9"/>
    <x v="1"/>
    <x v="1"/>
  </r>
  <r>
    <s v="ORD-102373"/>
    <d v="2025-09-04T00:00:00"/>
    <d v="2025-09-08T00:00:00"/>
    <x v="0"/>
    <s v="Liverpool"/>
    <s v="Home Office"/>
    <s v="B2B Sales"/>
    <s v="P-006"/>
    <n v="3"/>
    <n v="0"/>
    <n v="363.97"/>
    <n v="4.95"/>
    <x v="10"/>
    <x v="0"/>
    <s v="Apex Wholesale"/>
    <n v="54.95"/>
    <n v="112.56"/>
    <n v="164.85000000000002"/>
    <n v="194.17000000000002"/>
    <n v="0.53347803390389315"/>
    <x v="11"/>
    <x v="1"/>
    <x v="0"/>
  </r>
  <r>
    <s v="ORD-102374"/>
    <d v="2025-07-31T00:00:00"/>
    <d v="2025-08-03T00:00:00"/>
    <x v="0"/>
    <s v="Birmingham"/>
    <s v="Small Business"/>
    <s v="Online"/>
    <s v="P-014"/>
    <n v="8"/>
    <n v="0.15"/>
    <n v="164.56"/>
    <n v="4.8600000000000003"/>
    <x v="3"/>
    <x v="2"/>
    <s v="Orbit Supply Co."/>
    <n v="16.760000000000002"/>
    <n v="27.71"/>
    <n v="134.08000000000001"/>
    <n v="25.61999999999999"/>
    <n v="0.15568789499270777"/>
    <x v="4"/>
    <x v="2"/>
    <x v="0"/>
  </r>
  <r>
    <s v="ORD-102375"/>
    <d v="2024-04-17T00:00:00"/>
    <d v="2024-04-19T00:00:00"/>
    <x v="2"/>
    <s v="London"/>
    <s v="Home Office"/>
    <s v="B2B Sales"/>
    <s v="P-004"/>
    <n v="4"/>
    <n v="0"/>
    <n v="427.29"/>
    <n v="8.2200000000000006"/>
    <x v="5"/>
    <x v="1"/>
    <s v="Cedar Distribution"/>
    <n v="63.6"/>
    <n v="107.94"/>
    <n v="254.4"/>
    <n v="164.67000000000002"/>
    <n v="0.38538229305623817"/>
    <x v="21"/>
    <x v="1"/>
    <x v="1"/>
  </r>
  <r>
    <s v="ORD-102376"/>
    <d v="2025-08-27T00:00:00"/>
    <d v="2025-08-31T00:00:00"/>
    <x v="2"/>
    <s v="Brighton"/>
    <s v="Small Business"/>
    <s v="Online"/>
    <s v="P-002"/>
    <n v="2"/>
    <n v="0.25"/>
    <n v="296.27"/>
    <n v="9.1"/>
    <x v="2"/>
    <x v="1"/>
    <s v="Vertex Trade"/>
    <n v="119.02"/>
    <n v="205.39"/>
    <n v="238.04"/>
    <n v="49.129999999999988"/>
    <n v="0.16582846727647077"/>
    <x v="6"/>
    <x v="3"/>
    <x v="0"/>
  </r>
  <r>
    <s v="ORD-102377"/>
    <d v="2024-03-19T00:00:00"/>
    <d v="2024-03-24T00:00:00"/>
    <x v="1"/>
    <s v="Norwich"/>
    <s v="Corporate"/>
    <s v="Retail Store"/>
    <s v="P-006"/>
    <n v="4"/>
    <n v="0.25"/>
    <n v="301.12"/>
    <n v="5.7"/>
    <x v="10"/>
    <x v="0"/>
    <s v="Apex Wholesale"/>
    <n v="54.95"/>
    <n v="112.56"/>
    <n v="219.8"/>
    <n v="75.61999999999999"/>
    <n v="0.2511291179596174"/>
    <x v="10"/>
    <x v="3"/>
    <x v="1"/>
  </r>
  <r>
    <s v="ORD-102378"/>
    <d v="2025-04-10T00:00:00"/>
    <d v="2025-04-11T00:00:00"/>
    <x v="0"/>
    <s v="Cardiff"/>
    <s v="Home Office"/>
    <s v="Retail Store"/>
    <s v="P-001"/>
    <n v="1"/>
    <n v="0.15"/>
    <n v="230.67"/>
    <n v="4.08"/>
    <x v="12"/>
    <x v="1"/>
    <s v="Luma Imports"/>
    <n v="173.56"/>
    <n v="286.14999999999998"/>
    <n v="173.56"/>
    <n v="53.029999999999987"/>
    <n v="0.22989552174101527"/>
    <x v="15"/>
    <x v="2"/>
    <x v="0"/>
  </r>
  <r>
    <s v="ORD-102379"/>
    <d v="2024-02-23T00:00:00"/>
    <d v="2024-02-28T00:00:00"/>
    <x v="3"/>
    <s v="Manchester"/>
    <s v="Home Office"/>
    <s v="B2B Sales"/>
    <s v="P-008"/>
    <n v="2"/>
    <n v="0.2"/>
    <n v="280.74"/>
    <n v="4.2"/>
    <x v="6"/>
    <x v="0"/>
    <s v="Vertex Trade"/>
    <n v="112.09"/>
    <n v="192.47"/>
    <n v="224.18"/>
    <n v="52.36"/>
    <n v="0.18650708840920424"/>
    <x v="12"/>
    <x v="2"/>
    <x v="1"/>
  </r>
  <r>
    <s v="ORD-102380"/>
    <d v="2025-05-06T00:00:00"/>
    <d v="2025-05-12T00:00:00"/>
    <x v="1"/>
    <s v="Norwich"/>
    <s v="Corporate"/>
    <s v="Retail Store"/>
    <s v="P-006"/>
    <n v="2"/>
    <n v="0.05"/>
    <n v="217.17"/>
    <n v="4.2"/>
    <x v="10"/>
    <x v="0"/>
    <s v="Apex Wholesale"/>
    <n v="54.95"/>
    <n v="112.56"/>
    <n v="109.9"/>
    <n v="103.06999999999998"/>
    <n v="0.47460514804070536"/>
    <x v="1"/>
    <x v="0"/>
    <x v="0"/>
  </r>
  <r>
    <s v="ORD-102381"/>
    <d v="2024-07-27T00:00:00"/>
    <d v="2024-07-30T00:00:00"/>
    <x v="3"/>
    <s v="Leeds"/>
    <s v="Home Office"/>
    <s v="Retail Store"/>
    <s v="P-001"/>
    <n v="3"/>
    <n v="0"/>
    <n v="809.04"/>
    <n v="6.84"/>
    <x v="12"/>
    <x v="1"/>
    <s v="Luma Imports"/>
    <n v="173.56"/>
    <n v="286.14999999999998"/>
    <n v="520.68000000000006"/>
    <n v="281.51999999999992"/>
    <n v="0.34796796202907143"/>
    <x v="16"/>
    <x v="1"/>
    <x v="1"/>
  </r>
  <r>
    <s v="ORD-102382"/>
    <d v="2025-03-08T00:00:00"/>
    <d v="2025-03-09T00:00:00"/>
    <x v="2"/>
    <s v="London"/>
    <s v="Corporate"/>
    <s v="Retail Store"/>
    <s v="P-009"/>
    <n v="4"/>
    <n v="0"/>
    <n v="481.31"/>
    <n v="9.5"/>
    <x v="0"/>
    <x v="0"/>
    <s v="Apex Wholesale"/>
    <n v="63.69"/>
    <n v="125.5"/>
    <n v="254.76"/>
    <n v="217.05"/>
    <n v="0.45095676383204175"/>
    <x v="2"/>
    <x v="1"/>
    <x v="0"/>
  </r>
  <r>
    <s v="ORD-102383"/>
    <d v="2024-08-04T00:00:00"/>
    <d v="2024-08-05T00:00:00"/>
    <x v="3"/>
    <s v="Leeds"/>
    <s v="Corporate"/>
    <s v="Retail Store"/>
    <s v="P-008"/>
    <n v="2"/>
    <n v="0.2"/>
    <n v="309.19"/>
    <n v="7"/>
    <x v="6"/>
    <x v="0"/>
    <s v="Vertex Trade"/>
    <n v="112.09"/>
    <n v="192.47"/>
    <n v="224.18"/>
    <n v="78.009999999999991"/>
    <n v="0.25230440829263556"/>
    <x v="7"/>
    <x v="2"/>
    <x v="1"/>
  </r>
  <r>
    <s v="ORD-102384"/>
    <d v="2025-07-31T00:00:00"/>
    <d v="2025-08-05T00:00:00"/>
    <x v="3"/>
    <s v="Leeds"/>
    <s v="Corporate"/>
    <s v="B2B Sales"/>
    <s v="P-006"/>
    <n v="1"/>
    <n v="0.25"/>
    <n v="74.400000000000006"/>
    <n v="5.75"/>
    <x v="10"/>
    <x v="0"/>
    <s v="Apex Wholesale"/>
    <n v="54.95"/>
    <n v="112.56"/>
    <n v="54.95"/>
    <n v="13.700000000000003"/>
    <n v="0.18413978494623659"/>
    <x v="4"/>
    <x v="3"/>
    <x v="0"/>
  </r>
  <r>
    <s v="ORD-102385"/>
    <d v="2025-09-25T00:00:00"/>
    <d v="2025-10-01T00:00:00"/>
    <x v="2"/>
    <s v="London"/>
    <s v="Small Business"/>
    <s v="Retail Store"/>
    <s v="P-009"/>
    <n v="4"/>
    <n v="0"/>
    <n v="552.82000000000005"/>
    <n v="5.7"/>
    <x v="0"/>
    <x v="0"/>
    <s v="Apex Wholesale"/>
    <n v="63.69"/>
    <n v="125.5"/>
    <n v="254.76"/>
    <n v="292.36000000000007"/>
    <n v="0.52885206758076775"/>
    <x v="11"/>
    <x v="1"/>
    <x v="0"/>
  </r>
  <r>
    <s v="ORD-102386"/>
    <d v="2025-11-02T00:00:00"/>
    <d v="2025-11-05T00:00:00"/>
    <x v="0"/>
    <s v="Cardiff"/>
    <s v="Small Business"/>
    <s v="Online"/>
    <s v="P-015"/>
    <n v="8"/>
    <n v="0.2"/>
    <n v="55.81"/>
    <n v="4.8600000000000003"/>
    <x v="8"/>
    <x v="2"/>
    <s v="Luma Imports"/>
    <n v="3.3"/>
    <n v="6.13"/>
    <n v="26.4"/>
    <n v="24.550000000000004"/>
    <n v="0.4398853252105358"/>
    <x v="19"/>
    <x v="2"/>
    <x v="0"/>
  </r>
  <r>
    <s v="ORD-102387"/>
    <d v="2024-04-16T00:00:00"/>
    <d v="2024-04-21T00:00:00"/>
    <x v="3"/>
    <s v="Manchester"/>
    <s v="Corporate"/>
    <s v="Online"/>
    <s v="P-013"/>
    <n v="7"/>
    <n v="0.25"/>
    <n v="59.96"/>
    <n v="4.59"/>
    <x v="11"/>
    <x v="2"/>
    <s v="Apex Wholesale"/>
    <n v="6.33"/>
    <n v="12.16"/>
    <n v="44.31"/>
    <n v="11.059999999999999"/>
    <n v="0.18445630420280185"/>
    <x v="21"/>
    <x v="3"/>
    <x v="1"/>
  </r>
  <r>
    <s v="ORD-102388"/>
    <d v="2025-08-13T00:00:00"/>
    <d v="2025-08-17T00:00:00"/>
    <x v="3"/>
    <s v="Manchester"/>
    <s v="Corporate"/>
    <s v="Retail Store"/>
    <s v="P-008"/>
    <n v="2"/>
    <n v="0.2"/>
    <n v="275.48"/>
    <n v="7"/>
    <x v="6"/>
    <x v="0"/>
    <s v="Vertex Trade"/>
    <n v="112.09"/>
    <n v="192.47"/>
    <n v="224.18"/>
    <n v="44.300000000000011"/>
    <n v="0.16081022215768842"/>
    <x v="6"/>
    <x v="2"/>
    <x v="0"/>
  </r>
  <r>
    <s v="ORD-102389"/>
    <d v="2024-04-01T00:00:00"/>
    <d v="2024-04-03T00:00:00"/>
    <x v="1"/>
    <s v="Cambridge"/>
    <s v="Home Office"/>
    <s v="Online"/>
    <s v="P-014"/>
    <n v="4"/>
    <n v="0"/>
    <n v="104.68"/>
    <n v="3.78"/>
    <x v="3"/>
    <x v="2"/>
    <s v="Orbit Supply Co."/>
    <n v="16.760000000000002"/>
    <n v="27.71"/>
    <n v="67.040000000000006"/>
    <n v="33.86"/>
    <n v="0.32346197936568588"/>
    <x v="21"/>
    <x v="1"/>
    <x v="1"/>
  </r>
  <r>
    <s v="ORD-102390"/>
    <d v="2024-01-02T00:00:00"/>
    <d v="2024-01-08T00:00:00"/>
    <x v="2"/>
    <s v="Brighton"/>
    <s v="Small Business"/>
    <s v="B2B Sales"/>
    <s v="P-014"/>
    <n v="22"/>
    <n v="0.15"/>
    <n v="475.3"/>
    <n v="14.4"/>
    <x v="3"/>
    <x v="2"/>
    <s v="Orbit Supply Co."/>
    <n v="16.760000000000002"/>
    <n v="27.71"/>
    <n v="368.72"/>
    <n v="92.179999999999978"/>
    <n v="0.19394066905112556"/>
    <x v="18"/>
    <x v="2"/>
    <x v="1"/>
  </r>
  <r>
    <s v="ORD-102391"/>
    <d v="2024-06-20T00:00:00"/>
    <d v="2024-06-23T00:00:00"/>
    <x v="3"/>
    <s v="Newcastle"/>
    <s v="Corporate"/>
    <s v="Online"/>
    <s v="P-007"/>
    <n v="1"/>
    <n v="0.25"/>
    <n v="41.91"/>
    <n v="5.75"/>
    <x v="7"/>
    <x v="0"/>
    <s v="Luma Imports"/>
    <n v="31.34"/>
    <n v="56.49"/>
    <n v="31.34"/>
    <n v="4.8199999999999967"/>
    <n v="0.11500835122882361"/>
    <x v="17"/>
    <x v="3"/>
    <x v="1"/>
  </r>
  <r>
    <s v="ORD-102392"/>
    <d v="2024-08-12T00:00:00"/>
    <d v="2024-08-15T00:00:00"/>
    <x v="3"/>
    <s v="Leeds"/>
    <s v="Corporate"/>
    <s v="B2B Sales"/>
    <s v="P-005"/>
    <n v="2"/>
    <n v="0.05"/>
    <n v="97.76"/>
    <n v="4.2"/>
    <x v="13"/>
    <x v="0"/>
    <s v="Apex Wholesale"/>
    <n v="25.33"/>
    <n v="51.56"/>
    <n v="50.66"/>
    <n v="42.900000000000006"/>
    <n v="0.43882978723404259"/>
    <x v="7"/>
    <x v="0"/>
    <x v="1"/>
  </r>
  <r>
    <s v="ORD-102393"/>
    <d v="2024-06-22T00:00:00"/>
    <d v="2024-06-25T00:00:00"/>
    <x v="1"/>
    <s v="Peterborough"/>
    <s v="Corporate"/>
    <s v="B2B Sales"/>
    <s v="P-006"/>
    <n v="7"/>
    <n v="0.25"/>
    <n v="626.9"/>
    <n v="7.95"/>
    <x v="10"/>
    <x v="0"/>
    <s v="Apex Wholesale"/>
    <n v="54.95"/>
    <n v="112.56"/>
    <n v="384.65000000000003"/>
    <n v="234.29999999999995"/>
    <n v="0.3737438187908757"/>
    <x v="17"/>
    <x v="3"/>
    <x v="1"/>
  </r>
  <r>
    <s v="ORD-102394"/>
    <d v="2024-03-18T00:00:00"/>
    <d v="2024-03-19T00:00:00"/>
    <x v="0"/>
    <s v="Birmingham"/>
    <s v="Corporate"/>
    <s v="B2B Sales"/>
    <s v="P-014"/>
    <n v="7"/>
    <n v="0"/>
    <n v="175.28"/>
    <n v="4.59"/>
    <x v="3"/>
    <x v="2"/>
    <s v="Orbit Supply Co."/>
    <n v="16.760000000000002"/>
    <n v="27.71"/>
    <n v="117.32000000000001"/>
    <n v="53.36999999999999"/>
    <n v="0.30448425376540389"/>
    <x v="10"/>
    <x v="1"/>
    <x v="1"/>
  </r>
  <r>
    <s v="ORD-102395"/>
    <d v="2024-06-04T00:00:00"/>
    <d v="2024-06-07T00:00:00"/>
    <x v="2"/>
    <s v="London"/>
    <s v="Corporate"/>
    <s v="Retail Store"/>
    <s v="P-011"/>
    <n v="3"/>
    <n v="0.15"/>
    <n v="37.9"/>
    <n v="5.85"/>
    <x v="9"/>
    <x v="2"/>
    <s v="Orbit Supply Co."/>
    <n v="7.93"/>
    <n v="14.78"/>
    <n v="23.79"/>
    <n v="8.26"/>
    <n v="0.21794195250659631"/>
    <x v="17"/>
    <x v="2"/>
    <x v="1"/>
  </r>
  <r>
    <s v="ORD-102396"/>
    <d v="2025-05-22T00:00:00"/>
    <d v="2025-05-25T00:00:00"/>
    <x v="3"/>
    <s v="Manchester"/>
    <s v="Corporate"/>
    <s v="Retail Store"/>
    <s v="P-014"/>
    <n v="8"/>
    <n v="0"/>
    <n v="216.31"/>
    <n v="4.8600000000000003"/>
    <x v="3"/>
    <x v="2"/>
    <s v="Orbit Supply Co."/>
    <n v="16.760000000000002"/>
    <n v="27.71"/>
    <n v="134.08000000000001"/>
    <n v="77.36999999999999"/>
    <n v="0.3576811058203504"/>
    <x v="1"/>
    <x v="1"/>
    <x v="0"/>
  </r>
  <r>
    <s v="ORD-102397"/>
    <d v="2024-03-23T00:00:00"/>
    <d v="2024-03-28T00:00:00"/>
    <x v="2"/>
    <s v="Brighton"/>
    <s v="Corporate"/>
    <s v="Online"/>
    <s v="P-003"/>
    <n v="1"/>
    <n v="0.25"/>
    <n v="81.37"/>
    <n v="4.08"/>
    <x v="1"/>
    <x v="1"/>
    <s v="Orbit Supply Co."/>
    <n v="71.489999999999995"/>
    <n v="112.88"/>
    <n v="71.489999999999995"/>
    <n v="5.8000000000000096"/>
    <n v="7.1279341280570355E-2"/>
    <x v="10"/>
    <x v="3"/>
    <x v="1"/>
  </r>
  <r>
    <s v="ORD-102398"/>
    <d v="2024-04-05T00:00:00"/>
    <d v="2024-04-08T00:00:00"/>
    <x v="2"/>
    <s v="Bristol"/>
    <s v="Small Business"/>
    <s v="B2B Sales"/>
    <s v="P-014"/>
    <n v="3"/>
    <n v="0.15"/>
    <n v="67.78"/>
    <n v="5.85"/>
    <x v="3"/>
    <x v="2"/>
    <s v="Orbit Supply Co."/>
    <n v="16.760000000000002"/>
    <n v="27.71"/>
    <n v="50.28"/>
    <n v="11.65"/>
    <n v="0.17187961050457362"/>
    <x v="21"/>
    <x v="2"/>
    <x v="1"/>
  </r>
  <r>
    <s v="ORD-102399"/>
    <d v="2024-03-15T00:00:00"/>
    <d v="2024-03-16T00:00:00"/>
    <x v="1"/>
    <s v="Cambridge"/>
    <s v="Small Business"/>
    <s v="Online"/>
    <s v="P-012"/>
    <n v="3"/>
    <n v="0.25"/>
    <n v="17.14"/>
    <n v="3.51"/>
    <x v="14"/>
    <x v="2"/>
    <s v="Luma Imports"/>
    <n v="4.5"/>
    <n v="8.2899999999999991"/>
    <n v="13.5"/>
    <n v="0.13000000000000078"/>
    <n v="7.5845974329055293E-3"/>
    <x v="10"/>
    <x v="3"/>
    <x v="1"/>
  </r>
  <r>
    <s v="ORD-102400"/>
    <d v="2024-03-31T00:00:00"/>
    <d v="2024-04-05T00:00:00"/>
    <x v="2"/>
    <s v="London"/>
    <s v="Small Business"/>
    <s v="Retail Store"/>
    <s v="P-011"/>
    <n v="3"/>
    <n v="0"/>
    <n v="42.06"/>
    <n v="5.85"/>
    <x v="9"/>
    <x v="2"/>
    <s v="Orbit Supply Co."/>
    <n v="7.93"/>
    <n v="14.78"/>
    <n v="23.79"/>
    <n v="12.420000000000003"/>
    <n v="0.2952924393723253"/>
    <x v="10"/>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3BBE47-9D2F-4C60-8C17-997169CA53E3}" name="PivotTable5" cacheId="1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F11:H27" firstHeaderRow="0" firstDataRow="1" firstDataCol="1"/>
  <pivotFields count="25">
    <pivotField showAll="0"/>
    <pivotField numFmtId="22" showAll="0"/>
    <pivotField numFmtId="22" showAll="0"/>
    <pivotField showAll="0">
      <items count="5">
        <item x="1"/>
        <item x="3"/>
        <item x="2"/>
        <item x="0"/>
        <item t="default"/>
      </items>
    </pivotField>
    <pivotField showAll="0"/>
    <pivotField showAll="0"/>
    <pivotField showAll="0"/>
    <pivotField showAll="0"/>
    <pivotField showAll="0"/>
    <pivotField showAll="0"/>
    <pivotField dataField="1" showAll="0"/>
    <pivotField showAll="0"/>
    <pivotField axis="axisRow" showAll="0" sortType="descending">
      <items count="16">
        <item x="1"/>
        <item x="2"/>
        <item x="14"/>
        <item x="11"/>
        <item x="5"/>
        <item x="3"/>
        <item x="8"/>
        <item x="7"/>
        <item x="6"/>
        <item x="0"/>
        <item x="12"/>
        <item x="13"/>
        <item x="4"/>
        <item x="9"/>
        <item x="10"/>
        <item t="default"/>
      </items>
      <autoSortScope>
        <pivotArea dataOnly="0" outline="0" fieldPosition="0">
          <references count="1">
            <reference field="4294967294" count="1" selected="0">
              <x v="1"/>
            </reference>
          </references>
        </pivotArea>
      </autoSortScope>
    </pivotField>
    <pivotField showAll="0">
      <items count="4">
        <item x="1"/>
        <item x="2"/>
        <item x="0"/>
        <item t="default"/>
      </items>
    </pivotField>
    <pivotField showAll="0"/>
    <pivotField showAll="0"/>
    <pivotField showAll="0"/>
    <pivotField showAll="0"/>
    <pivotField dataField="1" showAll="0"/>
    <pivotField showAll="0"/>
    <pivotField numFmtId="22" showAll="0"/>
    <pivotField showAll="0"/>
    <pivotField showAll="0">
      <items count="3">
        <item x="1"/>
        <item x="0"/>
        <item t="default"/>
      </items>
    </pivotField>
    <pivotField showAll="0" defaultSubtotal="0"/>
    <pivotField showAll="0" defaultSubtotal="0"/>
  </pivotFields>
  <rowFields count="1">
    <field x="12"/>
  </rowFields>
  <rowItems count="16">
    <i>
      <x v="10"/>
    </i>
    <i>
      <x v="1"/>
    </i>
    <i>
      <x v="8"/>
    </i>
    <i>
      <x v="9"/>
    </i>
    <i>
      <x v="14"/>
    </i>
    <i>
      <x/>
    </i>
    <i>
      <x v="4"/>
    </i>
    <i>
      <x v="5"/>
    </i>
    <i>
      <x v="11"/>
    </i>
    <i>
      <x v="7"/>
    </i>
    <i>
      <x v="13"/>
    </i>
    <i>
      <x v="3"/>
    </i>
    <i>
      <x v="2"/>
    </i>
    <i>
      <x v="6"/>
    </i>
    <i>
      <x v="12"/>
    </i>
    <i t="grand">
      <x/>
    </i>
  </rowItems>
  <colFields count="1">
    <field x="-2"/>
  </colFields>
  <colItems count="2">
    <i>
      <x/>
    </i>
    <i i="1">
      <x v="1"/>
    </i>
  </colItems>
  <dataFields count="2">
    <dataField name="Total Sales" fld="10" baseField="12" baseItem="13" numFmtId="164"/>
    <dataField name="Total Profit" fld="18" baseField="12" baseItem="5" numFmtId="164"/>
  </dataFields>
  <chartFormats count="2">
    <chartFormat chart="2" format="5"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97F9F6-5267-4860-8821-330FB4B859B7}" name="PivotTable4" cacheId="1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45:C50" firstHeaderRow="0" firstDataRow="1" firstDataCol="1"/>
  <pivotFields count="25">
    <pivotField showAll="0"/>
    <pivotField numFmtId="22" showAll="0"/>
    <pivotField numFmtId="22" showAll="0"/>
    <pivotField axis="axisRow" showAll="0">
      <items count="5">
        <item x="1"/>
        <item x="3"/>
        <item x="2"/>
        <item x="0"/>
        <item t="default"/>
      </items>
    </pivotField>
    <pivotField showAll="0"/>
    <pivotField showAll="0"/>
    <pivotField showAll="0"/>
    <pivotField showAll="0"/>
    <pivotField showAll="0"/>
    <pivotField showAll="0"/>
    <pivotField dataField="1" showAll="0"/>
    <pivotField showAll="0"/>
    <pivotField showAll="0"/>
    <pivotField showAll="0">
      <items count="4">
        <item x="1"/>
        <item x="2"/>
        <item x="0"/>
        <item t="default"/>
      </items>
    </pivotField>
    <pivotField showAll="0"/>
    <pivotField showAll="0"/>
    <pivotField showAll="0"/>
    <pivotField showAll="0"/>
    <pivotField dataField="1" showAll="0"/>
    <pivotField showAll="0"/>
    <pivotField numFmtId="22" showAll="0"/>
    <pivotField showAll="0"/>
    <pivotField showAll="0">
      <items count="3">
        <item x="1"/>
        <item x="0"/>
        <item t="default"/>
      </items>
    </pivotField>
    <pivotField showAll="0" defaultSubtotal="0"/>
    <pivotField showAll="0" defaultSubtotal="0"/>
  </pivotFields>
  <rowFields count="1">
    <field x="3"/>
  </rowFields>
  <rowItems count="5">
    <i>
      <x/>
    </i>
    <i>
      <x v="1"/>
    </i>
    <i>
      <x v="2"/>
    </i>
    <i>
      <x v="3"/>
    </i>
    <i t="grand">
      <x/>
    </i>
  </rowItems>
  <colFields count="1">
    <field x="-2"/>
  </colFields>
  <colItems count="2">
    <i>
      <x/>
    </i>
    <i i="1">
      <x v="1"/>
    </i>
  </colItems>
  <dataFields count="2">
    <dataField name="Sum of Sales" fld="10" baseField="3" baseItem="0" numFmtId="164"/>
    <dataField name="Total Profit" fld="18" baseField="3" baseItem="0" numFmtId="164"/>
  </dataFields>
  <chartFormats count="2">
    <chartFormat chart="2" format="5"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05D324-CDBE-4056-A8B0-49CE5476E75B}" name="PivotTable3" cacheId="1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F2:H6" firstHeaderRow="0" firstDataRow="1" firstDataCol="1"/>
  <pivotFields count="25">
    <pivotField showAll="0"/>
    <pivotField numFmtId="22" showAll="0"/>
    <pivotField numFmtId="22" showAll="0"/>
    <pivotField showAll="0">
      <items count="5">
        <item x="1"/>
        <item x="3"/>
        <item x="2"/>
        <item x="0"/>
        <item t="default"/>
      </items>
    </pivotField>
    <pivotField showAll="0"/>
    <pivotField showAll="0"/>
    <pivotField showAll="0"/>
    <pivotField showAll="0"/>
    <pivotField showAll="0"/>
    <pivotField showAll="0"/>
    <pivotField dataField="1" showAll="0"/>
    <pivotField showAll="0"/>
    <pivotField showAll="0"/>
    <pivotField axis="axisRow" showAll="0" sortType="descending">
      <items count="4">
        <item x="1"/>
        <item x="2"/>
        <item x="0"/>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dataField="1" showAll="0"/>
    <pivotField showAll="0"/>
    <pivotField numFmtId="22" showAll="0"/>
    <pivotField showAll="0"/>
    <pivotField showAll="0">
      <items count="3">
        <item x="1"/>
        <item x="0"/>
        <item t="default"/>
      </items>
    </pivotField>
    <pivotField showAll="0" defaultSubtotal="0"/>
    <pivotField showAll="0" defaultSubtotal="0"/>
  </pivotFields>
  <rowFields count="1">
    <field x="13"/>
  </rowFields>
  <rowItems count="4">
    <i>
      <x/>
    </i>
    <i>
      <x v="2"/>
    </i>
    <i>
      <x v="1"/>
    </i>
    <i t="grand">
      <x/>
    </i>
  </rowItems>
  <colFields count="1">
    <field x="-2"/>
  </colFields>
  <colItems count="2">
    <i>
      <x/>
    </i>
    <i i="1">
      <x v="1"/>
    </i>
  </colItems>
  <dataFields count="2">
    <dataField name="Total Sales" fld="10" baseField="13" baseItem="1" numFmtId="164"/>
    <dataField name="Total Profit" fld="18" baseField="13" baseItem="1" numFmtId="164"/>
  </dataFields>
  <chartFormats count="2">
    <chartFormat chart="2" format="5"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C0F9F2-FD5B-42B7-BEDA-FABC66982CBC}" name="PivotTable1" cacheId="1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C38" firstHeaderRow="0" firstDataRow="1" firstDataCol="1"/>
  <pivotFields count="25">
    <pivotField showAll="0"/>
    <pivotField numFmtId="22" showAll="0"/>
    <pivotField numFmtId="22" showAll="0"/>
    <pivotField showAll="0">
      <items count="5">
        <item x="1"/>
        <item x="3"/>
        <item x="2"/>
        <item x="0"/>
        <item t="default"/>
      </items>
    </pivotField>
    <pivotField showAll="0"/>
    <pivotField showAll="0"/>
    <pivotField showAll="0"/>
    <pivotField showAll="0"/>
    <pivotField showAll="0"/>
    <pivotField showAll="0"/>
    <pivotField dataField="1" showAll="0"/>
    <pivotField showAll="0"/>
    <pivotField showAll="0"/>
    <pivotField showAll="0">
      <items count="4">
        <item x="1"/>
        <item x="2"/>
        <item x="0"/>
        <item t="default"/>
      </items>
    </pivotField>
    <pivotField showAll="0"/>
    <pivotField showAll="0"/>
    <pivotField showAll="0"/>
    <pivotField showAll="0"/>
    <pivotField dataField="1" showAll="0"/>
    <pivotField showAll="0"/>
    <pivotField axis="axisRow" numFmtId="22" showAll="0">
      <items count="15">
        <item x="0"/>
        <item x="1"/>
        <item x="2"/>
        <item x="3"/>
        <item x="4"/>
        <item x="5"/>
        <item x="6"/>
        <item x="7"/>
        <item x="8"/>
        <item x="9"/>
        <item x="10"/>
        <item x="11"/>
        <item x="12"/>
        <item x="13"/>
        <item t="default"/>
      </items>
    </pivotField>
    <pivotField showAll="0"/>
    <pivotField showAll="0">
      <items count="3">
        <item x="1"/>
        <item x="0"/>
        <item t="default"/>
      </items>
    </pivotField>
    <pivotField axis="axisRow" showAll="0">
      <items count="7">
        <item sd="0" x="0"/>
        <item x="1"/>
        <item x="2"/>
        <item x="3"/>
        <item x="4"/>
        <item sd="0" x="5"/>
        <item t="default"/>
      </items>
    </pivotField>
    <pivotField axis="axisRow" showAll="0">
      <items count="5">
        <item sd="0" x="0"/>
        <item x="1"/>
        <item x="2"/>
        <item sd="0" x="3"/>
        <item t="default"/>
      </items>
    </pivotField>
  </pivotFields>
  <rowFields count="3">
    <field x="24"/>
    <field x="23"/>
    <field x="20"/>
  </rowFields>
  <rowItems count="35">
    <i>
      <x v="1"/>
    </i>
    <i r="1">
      <x v="1"/>
    </i>
    <i r="2">
      <x v="1"/>
    </i>
    <i r="2">
      <x v="2"/>
    </i>
    <i r="2">
      <x v="3"/>
    </i>
    <i r="1">
      <x v="2"/>
    </i>
    <i r="2">
      <x v="4"/>
    </i>
    <i r="2">
      <x v="5"/>
    </i>
    <i r="2">
      <x v="6"/>
    </i>
    <i r="1">
      <x v="3"/>
    </i>
    <i r="2">
      <x v="7"/>
    </i>
    <i r="2">
      <x v="8"/>
    </i>
    <i r="2">
      <x v="9"/>
    </i>
    <i r="1">
      <x v="4"/>
    </i>
    <i r="2">
      <x v="10"/>
    </i>
    <i r="2">
      <x v="11"/>
    </i>
    <i r="2">
      <x v="12"/>
    </i>
    <i>
      <x v="2"/>
    </i>
    <i r="1">
      <x v="1"/>
    </i>
    <i r="2">
      <x v="1"/>
    </i>
    <i r="2">
      <x v="2"/>
    </i>
    <i r="2">
      <x v="3"/>
    </i>
    <i r="1">
      <x v="2"/>
    </i>
    <i r="2">
      <x v="4"/>
    </i>
    <i r="2">
      <x v="5"/>
    </i>
    <i r="2">
      <x v="6"/>
    </i>
    <i r="1">
      <x v="3"/>
    </i>
    <i r="2">
      <x v="7"/>
    </i>
    <i r="2">
      <x v="8"/>
    </i>
    <i r="2">
      <x v="9"/>
    </i>
    <i r="1">
      <x v="4"/>
    </i>
    <i r="2">
      <x v="10"/>
    </i>
    <i r="2">
      <x v="11"/>
    </i>
    <i r="2">
      <x v="12"/>
    </i>
    <i t="grand">
      <x/>
    </i>
  </rowItems>
  <colFields count="1">
    <field x="-2"/>
  </colFields>
  <colItems count="2">
    <i>
      <x/>
    </i>
    <i i="1">
      <x v="1"/>
    </i>
  </colItems>
  <dataFields count="2">
    <dataField name="Sum of Sales" fld="10" baseField="0" baseItem="0"/>
    <dataField name="Total Sales" fld="18" baseField="24" baseItem="2" numFmtId="164"/>
  </dataFields>
  <chartFormats count="2">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A26A7A-0100-4272-8B6E-27D7031F8D3E}" name="PivotTable10"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H31:I34" firstHeaderRow="1" firstDataRow="1" firstDataCol="1"/>
  <pivotFields count="18">
    <pivotField numFmtId="22" showAll="0"/>
    <pivotField dataField="1" showAll="0"/>
    <pivotField showAll="0"/>
    <pivotField showAll="0"/>
    <pivotField showAll="0"/>
    <pivotField showAll="0"/>
    <pivotField showAll="0"/>
    <pivotField numFmtId="22"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s>
  <rowFields count="1">
    <field x="17"/>
  </rowFields>
  <rowItems count="3">
    <i>
      <x/>
    </i>
    <i>
      <x v="1"/>
    </i>
    <i t="grand">
      <x/>
    </i>
  </rowItems>
  <colItems count="1">
    <i/>
  </colItems>
  <dataFields count="1">
    <dataField name="Count of Product_ID" fld="1" subtotal="count" baseField="0" baseItem="0"/>
  </dataFields>
  <chartFormats count="1">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6499F9F-6596-4AEA-9CC5-A3B834A5683F}" name="PivotTable6" cacheId="1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F46:H51" firstHeaderRow="0" firstDataRow="1" firstDataCol="1"/>
  <pivotFields count="25">
    <pivotField showAll="0"/>
    <pivotField numFmtId="22" showAll="0"/>
    <pivotField numFmtId="22" showAll="0"/>
    <pivotField showAll="0">
      <items count="5">
        <item x="1"/>
        <item x="3"/>
        <item x="2"/>
        <item x="0"/>
        <item t="default"/>
      </items>
    </pivotField>
    <pivotField showAll="0"/>
    <pivotField showAll="0"/>
    <pivotField showAll="0"/>
    <pivotField showAll="0"/>
    <pivotField showAll="0"/>
    <pivotField showAll="0"/>
    <pivotField dataField="1" showAll="0"/>
    <pivotField showAll="0"/>
    <pivotField showAll="0"/>
    <pivotField showAll="0">
      <items count="4">
        <item x="1"/>
        <item x="2"/>
        <item x="0"/>
        <item t="default"/>
      </items>
    </pivotField>
    <pivotField showAll="0"/>
    <pivotField showAll="0"/>
    <pivotField showAll="0"/>
    <pivotField showAll="0"/>
    <pivotField dataField="1" showAll="0"/>
    <pivotField showAll="0"/>
    <pivotField numFmtId="22" showAll="0"/>
    <pivotField axis="axisRow" showAll="0">
      <items count="5">
        <item x="3"/>
        <item x="0"/>
        <item x="2"/>
        <item x="1"/>
        <item t="default"/>
      </items>
    </pivotField>
    <pivotField showAll="0">
      <items count="3">
        <item x="1"/>
        <item x="0"/>
        <item t="default"/>
      </items>
    </pivotField>
    <pivotField showAll="0" defaultSubtotal="0"/>
    <pivotField showAll="0" defaultSubtotal="0"/>
  </pivotFields>
  <rowFields count="1">
    <field x="21"/>
  </rowFields>
  <rowItems count="5">
    <i>
      <x/>
    </i>
    <i>
      <x v="1"/>
    </i>
    <i>
      <x v="2"/>
    </i>
    <i>
      <x v="3"/>
    </i>
    <i t="grand">
      <x/>
    </i>
  </rowItems>
  <colFields count="1">
    <field x="-2"/>
  </colFields>
  <colItems count="2">
    <i>
      <x/>
    </i>
    <i i="1">
      <x v="1"/>
    </i>
  </colItems>
  <dataFields count="2">
    <dataField name="Total Sales" fld="10" baseField="21" baseItem="3"/>
    <dataField name="Total Profit" fld="18" baseField="21" baseItem="0" numFmtId="164"/>
  </dataFields>
  <chartFormats count="2">
    <chartFormat chart="2" format="5"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5" xr16:uid="{409B3A1D-5E0A-4D5C-9482-CA09509E5F73}" autoFormatId="16" applyNumberFormats="0" applyBorderFormats="0" applyFontFormats="0" applyPatternFormats="0" applyAlignmentFormats="0" applyWidthHeightFormats="0">
  <queryTableRefresh nextId="24">
    <queryTableFields count="23">
      <queryTableField id="1" name="Order_ID" tableColumnId="1"/>
      <queryTableField id="2" name="Order_Date" tableColumnId="2"/>
      <queryTableField id="3" name="Ship_Date" tableColumnId="3"/>
      <queryTableField id="4" name="Region" tableColumnId="4"/>
      <queryTableField id="5" name="City" tableColumnId="5"/>
      <queryTableField id="6" name="Customer_Segment" tableColumnId="6"/>
      <queryTableField id="7" name="Sales_Channel" tableColumnId="7"/>
      <queryTableField id="8" name="Product_ID" tableColumnId="8"/>
      <queryTableField id="9" name="Quantity" tableColumnId="9"/>
      <queryTableField id="10" name="Discount" tableColumnId="10"/>
      <queryTableField id="11" name="Sales" tableColumnId="11"/>
      <queryTableField id="12" name="Shipping_Cost" tableColumnId="12"/>
      <queryTableField id="13" name="Product_Name" tableColumnId="13"/>
      <queryTableField id="14" name="Category" tableColumnId="14"/>
      <queryTableField id="15" name="Supplier" tableColumnId="15"/>
      <queryTableField id="16" name="Unit_Cost" tableColumnId="16"/>
      <queryTableField id="17" name="List_Price" tableColumnId="17"/>
      <queryTableField id="18" name="Total_Cost" tableColumnId="18"/>
      <queryTableField id="19" name="Profit" tableColumnId="19"/>
      <queryTableField id="20" name="Profit_Margin" tableColumnId="20"/>
      <queryTableField id="21" name="Order_Month" tableColumnId="21"/>
      <queryTableField id="22" name="Discount_Band" tableColumnId="22"/>
      <queryTableField id="23" name="Year" tableColumnId="2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71A1479A-9FD1-443F-A9F3-6DCC12E94D16}" autoFormatId="16" applyNumberFormats="0" applyBorderFormats="0" applyFontFormats="0" applyPatternFormats="0" applyAlignmentFormats="0" applyWidthHeightFormats="0">
  <queryTableRefresh nextId="13">
    <queryTableFields count="12">
      <queryTableField id="1" name="Order_ID" tableColumnId="1"/>
      <queryTableField id="2" name="Order_Date" tableColumnId="2"/>
      <queryTableField id="3" name="Ship_Date" tableColumnId="3"/>
      <queryTableField id="4" name="Region" tableColumnId="4"/>
      <queryTableField id="5" name="City" tableColumnId="5"/>
      <queryTableField id="6" name="Customer_Segment" tableColumnId="6"/>
      <queryTableField id="7" name="Sales_Channel" tableColumnId="7"/>
      <queryTableField id="8" name="Product_ID" tableColumnId="8"/>
      <queryTableField id="9" name="Quantity" tableColumnId="9"/>
      <queryTableField id="10" name="Discount" tableColumnId="10"/>
      <queryTableField id="11" name="Sales" tableColumnId="11"/>
      <queryTableField id="12" name="Shipping_Cost" tableColumnId="1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4" xr16:uid="{A9D30660-5223-403E-B622-8BB3A6DFF8DE}" autoFormatId="16" applyNumberFormats="0" applyBorderFormats="0" applyFontFormats="0" applyPatternFormats="0" applyAlignmentFormats="0" applyWidthHeightFormats="0">
  <queryTableRefresh nextId="10">
    <queryTableFields count="9">
      <queryTableField id="1" name="Product_ID" tableColumnId="1"/>
      <queryTableField id="2" name="Product_Name" tableColumnId="2"/>
      <queryTableField id="3" name="Category" tableColumnId="3"/>
      <queryTableField id="4" name="Supplier" tableColumnId="4"/>
      <queryTableField id="5" name="Unit_Cost" tableColumnId="5"/>
      <queryTableField id="6" name="List_Price" tableColumnId="6"/>
      <queryTableField id="7" name="Reorder_Point" tableColumnId="7"/>
      <queryTableField id="8" name="Lead_Time_Days" tableColumnId="8"/>
      <queryTableField id="9" name="Opening_Stock" tableColumnId="9"/>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1" xr16:uid="{A7B71740-8461-426F-A32B-1604D5104F9C}" autoFormatId="16" applyNumberFormats="0" applyBorderFormats="0" applyFontFormats="0" applyPatternFormats="0" applyAlignmentFormats="0" applyWidthHeightFormats="0">
  <queryTableRefresh nextId="19">
    <queryTableFields count="18">
      <queryTableField id="1" name="Inventory_Snapshot_Date" tableColumnId="1"/>
      <queryTableField id="2" name="Product_ID" tableColumnId="2"/>
      <queryTableField id="3" name="Warehouse" tableColumnId="3"/>
      <queryTableField id="4" name="Stock_On_Hand" tableColumnId="4"/>
      <queryTableField id="5" name="Units_On_Order" tableColumnId="5"/>
      <queryTableField id="6" name="Reorder_Point" tableColumnId="6"/>
      <queryTableField id="7" name="Lead_Time_Days" tableColumnId="7"/>
      <queryTableField id="8" name="Last_Restock_Date" tableColumnId="8"/>
      <queryTableField id="9" name="Stock_Status" tableColumnId="9"/>
      <queryTableField id="10" name="Product_Name" tableColumnId="10"/>
      <queryTableField id="11" name="Category" tableColumnId="11"/>
      <queryTableField id="12" name="Supplier" tableColumnId="12"/>
      <queryTableField id="13" name="Unit_Cost" tableColumnId="13"/>
      <queryTableField id="14" name="List_Price" tableColumnId="14"/>
      <queryTableField id="15" name="Opening_Stock" tableColumnId="15"/>
      <queryTableField id="16" name="Inventory_Value" tableColumnId="16"/>
      <queryTableField id="17" name="Stock_Coverage_Ratio" tableColumnId="17"/>
      <queryTableField id="18" name="Inventory_Risk_Level" tableColumnId="18"/>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2" xr16:uid="{C8DD6403-6374-4FAF-BA41-E98EBF51FCA9}" autoFormatId="16" applyNumberFormats="0" applyBorderFormats="0" applyFontFormats="0" applyPatternFormats="0" applyAlignmentFormats="0" applyWidthHeightFormats="0">
  <queryTableRefresh nextId="10">
    <queryTableFields count="9">
      <queryTableField id="1" name="Inventory_Snapshot_Date" tableColumnId="1"/>
      <queryTableField id="2" name="Product_ID" tableColumnId="2"/>
      <queryTableField id="3" name="Warehouse" tableColumnId="3"/>
      <queryTableField id="4" name="Stock_On_Hand" tableColumnId="4"/>
      <queryTableField id="5" name="Units_On_Order" tableColumnId="5"/>
      <queryTableField id="6" name="Reorder_Point" tableColumnId="6"/>
      <queryTableField id="7" name="Lead_Time_Days" tableColumnId="7"/>
      <queryTableField id="8" name="Last_Restock_Date" tableColumnId="8"/>
      <queryTableField id="9" name="Stock_Status"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9019015-EDFC-4AB4-A606-D8401A90B184}" sourceName="Year">
  <pivotTables>
    <pivotTable tabId="7" name="PivotTable1"/>
    <pivotTable tabId="7" name="PivotTable3"/>
    <pivotTable tabId="7" name="PivotTable4"/>
    <pivotTable tabId="7" name="PivotTable5"/>
    <pivotTable tabId="7" name="PivotTable6"/>
  </pivotTables>
  <data>
    <tabular pivotCacheId="798610053">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CEB561A-241B-4986-B253-9A05747C752F}" sourceName="Region">
  <pivotTables>
    <pivotTable tabId="7" name="PivotTable6"/>
    <pivotTable tabId="7" name="PivotTable1"/>
    <pivotTable tabId="7" name="PivotTable3"/>
    <pivotTable tabId="7" name="PivotTable4"/>
    <pivotTable tabId="7" name="PivotTable5"/>
  </pivotTables>
  <data>
    <tabular pivotCacheId="798610053">
      <items count="4">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03BA485-3695-4555-B036-4CF62DB25E29}" sourceName="Category">
  <pivotTables>
    <pivotTable tabId="7" name="PivotTable3"/>
    <pivotTable tabId="7" name="PivotTable1"/>
    <pivotTable tabId="7" name="PivotTable4"/>
    <pivotTable tabId="7" name="PivotTable5"/>
    <pivotTable tabId="7" name="PivotTable6"/>
  </pivotTables>
  <data>
    <tabular pivotCacheId="798610053">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A6E1B3F-A145-4A75-ACAD-C67AD8018EFC}" cache="Slicer_Year" caption="Year" rowHeight="241300"/>
  <slicer name="Region" xr10:uid="{74D1AEDE-9BA4-4CB0-A106-896AB554DCD9}" cache="Slicer_Region" caption="Region" rowHeight="241300"/>
  <slicer name="Category" xr10:uid="{BE15349D-B1CE-4732-8AE0-005DCE93B750}" cache="Slicer_Category" caption="Category"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C8C636F-353C-43EA-B351-6794CC7224A5}" name="sales_analysis" displayName="sales_analysis" ref="A1:W2401" tableType="queryTable" totalsRowShown="0">
  <autoFilter ref="A1:W2401" xr:uid="{4A67EF2C-5A52-4A28-9399-EE4C907AF5FB}"/>
  <tableColumns count="23">
    <tableColumn id="1" xr3:uid="{4AF47952-AD3F-456B-BB11-3FECDDE48989}" uniqueName="1" name="Order_ID" queryTableFieldId="1"/>
    <tableColumn id="2" xr3:uid="{B7982FF9-8986-44AA-A546-9C4845476226}" uniqueName="2" name="Order_Date" queryTableFieldId="2" dataDxfId="2"/>
    <tableColumn id="3" xr3:uid="{DB3B5B35-31D1-4E69-846E-ECCF07205B0F}" uniqueName="3" name="Ship_Date" queryTableFieldId="3" dataDxfId="1"/>
    <tableColumn id="4" xr3:uid="{2272A1B5-3D55-41AE-9576-6AE89BA22E7C}" uniqueName="4" name="Region" queryTableFieldId="4"/>
    <tableColumn id="5" xr3:uid="{E61FCF87-BA59-4F8F-BD21-9F15FCA08E90}" uniqueName="5" name="City" queryTableFieldId="5"/>
    <tableColumn id="6" xr3:uid="{44B3620B-4B97-4722-9879-065FFFE9EE0D}" uniqueName="6" name="Customer_Segment" queryTableFieldId="6"/>
    <tableColumn id="7" xr3:uid="{CF823967-4F90-4647-8C6E-050FB2851E1B}" uniqueName="7" name="Sales_Channel" queryTableFieldId="7"/>
    <tableColumn id="8" xr3:uid="{00CDCFEB-D280-4EE3-8C10-8860A8D8FEC9}" uniqueName="8" name="Product_ID" queryTableFieldId="8"/>
    <tableColumn id="9" xr3:uid="{DE72375E-11CC-4125-BC75-00D8DB243E0F}" uniqueName="9" name="Quantity" queryTableFieldId="9"/>
    <tableColumn id="10" xr3:uid="{0C2D17FC-C427-4A8E-AF69-6B809EAC9E1D}" uniqueName="10" name="Discount" queryTableFieldId="10"/>
    <tableColumn id="11" xr3:uid="{6B867952-353D-4655-917C-2DCF80C055F1}" uniqueName="11" name="Sales" queryTableFieldId="11"/>
    <tableColumn id="12" xr3:uid="{C81E4364-D606-4DDB-A0DC-2133A2C5B910}" uniqueName="12" name="Shipping_Cost" queryTableFieldId="12"/>
    <tableColumn id="13" xr3:uid="{40A8A8E6-A4D7-4935-9966-EB0EB08785AA}" uniqueName="13" name="Product_Name" queryTableFieldId="13"/>
    <tableColumn id="14" xr3:uid="{E46E7546-A0C9-4528-9B69-2940F3194EF1}" uniqueName="14" name="Category" queryTableFieldId="14"/>
    <tableColumn id="15" xr3:uid="{35D1511F-50D4-45EC-822B-D6C782D1564C}" uniqueName="15" name="Supplier" queryTableFieldId="15"/>
    <tableColumn id="16" xr3:uid="{9600FB9F-95D7-4BCE-AFFA-EAF4E4A40A90}" uniqueName="16" name="Unit_Cost" queryTableFieldId="16"/>
    <tableColumn id="17" xr3:uid="{E0BE39C5-FED0-4E42-816D-6BE806034762}" uniqueName="17" name="List_Price" queryTableFieldId="17"/>
    <tableColumn id="18" xr3:uid="{BA88E907-5898-4092-AB88-4A8527E37816}" uniqueName="18" name="Total_Cost" queryTableFieldId="18"/>
    <tableColumn id="19" xr3:uid="{59A7422C-2F03-4BD3-9A4F-3F693DA84B10}" uniqueName="19" name="Profit" queryTableFieldId="19"/>
    <tableColumn id="20" xr3:uid="{88AAD420-7B1E-4818-97A6-C8AE8CCD2205}" uniqueName="20" name="Profit_Margin" queryTableFieldId="20"/>
    <tableColumn id="21" xr3:uid="{4BD3122C-5FB8-473C-A4E1-163827A0CD52}" uniqueName="21" name="Order_Month" queryTableFieldId="21" dataDxfId="0"/>
    <tableColumn id="22" xr3:uid="{677E8A14-7E84-4E7C-8013-DC540EF6CC78}" uniqueName="22" name="Discount_Band" queryTableFieldId="22"/>
    <tableColumn id="23" xr3:uid="{7AC1DEAB-9AF6-4B5A-BE2A-3F8D85811A6B}" uniqueName="23" name="Year" queryTableFieldId="2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D9E8FC-0D2B-4952-B523-D7ED2056390C}" name="orders_raw" displayName="orders_raw" ref="A1:L2401" tableType="queryTable" totalsRowShown="0">
  <autoFilter ref="A1:L2401" xr:uid="{806A462E-477E-4E0A-B5F2-1F43B9B3A9AA}"/>
  <tableColumns count="12">
    <tableColumn id="1" xr3:uid="{4703623B-74D1-4D2F-8719-1D4B83AE17B7}" uniqueName="1" name="Order_ID" queryTableFieldId="1"/>
    <tableColumn id="2" xr3:uid="{2C3989CD-A687-4061-B89B-0DE9BCEB2A20}" uniqueName="2" name="Order_Date" queryTableFieldId="2" dataDxfId="8"/>
    <tableColumn id="3" xr3:uid="{BCC81420-38BB-441E-B8DB-75174B84A938}" uniqueName="3" name="Ship_Date" queryTableFieldId="3" dataDxfId="7"/>
    <tableColumn id="4" xr3:uid="{676EAF63-77C5-4AA5-8B20-E094AF86250C}" uniqueName="4" name="Region" queryTableFieldId="4"/>
    <tableColumn id="5" xr3:uid="{1226C851-4995-4F56-BB53-190EB087F06E}" uniqueName="5" name="City" queryTableFieldId="5"/>
    <tableColumn id="6" xr3:uid="{A208B504-4A5A-4B51-9660-1000D30442DE}" uniqueName="6" name="Customer_Segment" queryTableFieldId="6"/>
    <tableColumn id="7" xr3:uid="{5B317705-8303-4C17-B204-81AB24CEE5EA}" uniqueName="7" name="Sales_Channel" queryTableFieldId="7"/>
    <tableColumn id="8" xr3:uid="{D31B1959-98E7-49DE-AD35-E3A44AEB9DF7}" uniqueName="8" name="Product_ID" queryTableFieldId="8"/>
    <tableColumn id="9" xr3:uid="{9FE8976E-F0FE-4E9B-A0DD-F3EFCDAA06A6}" uniqueName="9" name="Quantity" queryTableFieldId="9"/>
    <tableColumn id="10" xr3:uid="{4038C51A-0E18-44DF-A2E9-11E7ECD7BD6E}" uniqueName="10" name="Discount" queryTableFieldId="10"/>
    <tableColumn id="11" xr3:uid="{709F9448-6F4B-4B3D-812C-C953ABB67EA7}" uniqueName="11" name="Sales" queryTableFieldId="11"/>
    <tableColumn id="12" xr3:uid="{66A60221-C81D-4516-973D-DEBDB75203C1}" uniqueName="12" name="Shipping_Cost" queryTableField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83C5047-1F74-4D9C-AB2A-4C1D508C8D33}" name="products_raw" displayName="products_raw" ref="A1:I16" tableType="queryTable" totalsRowShown="0">
  <autoFilter ref="A1:I16" xr:uid="{7E452871-5043-4861-9B36-81FFE763BA94}"/>
  <tableColumns count="9">
    <tableColumn id="1" xr3:uid="{94856009-B431-4C3F-80EF-CAFD6F484A86}" uniqueName="1" name="Product_ID" queryTableFieldId="1"/>
    <tableColumn id="2" xr3:uid="{B38BF736-4E15-47F5-9B84-76EB3A03609E}" uniqueName="2" name="Product_Name" queryTableFieldId="2"/>
    <tableColumn id="3" xr3:uid="{765D0657-0BBE-4085-B5F7-A947BBC16BAD}" uniqueName="3" name="Category" queryTableFieldId="3"/>
    <tableColumn id="4" xr3:uid="{64108969-10B4-4BFE-A66E-2C2BF8803ACA}" uniqueName="4" name="Supplier" queryTableFieldId="4"/>
    <tableColumn id="5" xr3:uid="{253D98F6-A723-4B03-A595-CDE613BF895A}" uniqueName="5" name="Unit_Cost" queryTableFieldId="5"/>
    <tableColumn id="6" xr3:uid="{3838EF52-1EC4-4EA0-88E1-3E7BF739FAA3}" uniqueName="6" name="List_Price" queryTableFieldId="6"/>
    <tableColumn id="7" xr3:uid="{D70AE5FC-DE16-45E0-97BB-90379632810C}" uniqueName="7" name="Reorder_Point" queryTableFieldId="7"/>
    <tableColumn id="8" xr3:uid="{57FAF0F3-6046-4A5A-B1E2-3E4A9A0DBCFC}" uniqueName="8" name="Lead_Time_Days" queryTableFieldId="8"/>
    <tableColumn id="9" xr3:uid="{D99B2E89-434D-4C8C-B608-6D51C841E667}" uniqueName="9" name="Opening_Stock" queryTableFieldId="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C93685F-EE7C-4202-A99A-1BC005B68C01}" name="inventory_analysis" displayName="inventory_analysis" ref="A1:R16" tableType="queryTable" totalsRowShown="0">
  <autoFilter ref="A1:R16" xr:uid="{30218180-7CCE-4622-B268-87528AF383C1}"/>
  <tableColumns count="18">
    <tableColumn id="1" xr3:uid="{4EFB9277-B890-4CDB-8DF8-331E9F190F73}" uniqueName="1" name="Inventory_Snapshot_Date" queryTableFieldId="1" dataDxfId="4"/>
    <tableColumn id="2" xr3:uid="{F9C7F2A8-0845-44A0-96F0-08810F419408}" uniqueName="2" name="Product_ID" queryTableFieldId="2"/>
    <tableColumn id="3" xr3:uid="{DA168E56-AB41-4D48-85D1-429BA01C2F7C}" uniqueName="3" name="Warehouse" queryTableFieldId="3"/>
    <tableColumn id="4" xr3:uid="{384DE227-0350-42D5-8026-8F8009572D17}" uniqueName="4" name="Stock_On_Hand" queryTableFieldId="4"/>
    <tableColumn id="5" xr3:uid="{9E596ECD-20BE-443D-A5A0-EF2DB952FA00}" uniqueName="5" name="Units_On_Order" queryTableFieldId="5"/>
    <tableColumn id="6" xr3:uid="{20AE4370-46B3-456B-8C72-3BD7AE21185D}" uniqueName="6" name="Reorder_Point" queryTableFieldId="6"/>
    <tableColumn id="7" xr3:uid="{2F75A565-FF40-4E25-9DEB-7A8CEDE5D706}" uniqueName="7" name="Lead_Time_Days" queryTableFieldId="7"/>
    <tableColumn id="8" xr3:uid="{38CB70F7-F590-48FA-B58A-FB989869DDA2}" uniqueName="8" name="Last_Restock_Date" queryTableFieldId="8" dataDxfId="3"/>
    <tableColumn id="9" xr3:uid="{D2E24C2D-BFBF-442E-930F-9F056DE37089}" uniqueName="9" name="Stock_Status" queryTableFieldId="9"/>
    <tableColumn id="10" xr3:uid="{BAA38534-F7E3-40F0-8DDC-CA69D1E1EB5B}" uniqueName="10" name="Product_Name" queryTableFieldId="10"/>
    <tableColumn id="11" xr3:uid="{AEDE6EC3-1F8D-4D88-A41E-693B557F6181}" uniqueName="11" name="Category" queryTableFieldId="11"/>
    <tableColumn id="12" xr3:uid="{D88BAF2B-5AD6-40B3-AE64-237BD93834A1}" uniqueName="12" name="Supplier" queryTableFieldId="12"/>
    <tableColumn id="13" xr3:uid="{B515B3FE-FCA9-4452-9BB7-69DFB0D70490}" uniqueName="13" name="Unit_Cost" queryTableFieldId="13"/>
    <tableColumn id="14" xr3:uid="{4FCFFE41-4DD4-44E6-B153-F161D062E9D5}" uniqueName="14" name="List_Price" queryTableFieldId="14"/>
    <tableColumn id="15" xr3:uid="{5DB4D66E-B4B0-40C9-A561-FCB306414592}" uniqueName="15" name="Opening_Stock" queryTableFieldId="15"/>
    <tableColumn id="16" xr3:uid="{0030BA43-ACB6-4C3A-A64B-A7059FB45592}" uniqueName="16" name="Inventory_Value" queryTableFieldId="16"/>
    <tableColumn id="17" xr3:uid="{2E62BBA4-F7B9-43FF-9453-74167C487DAB}" uniqueName="17" name="Stock_Coverage_Ratio" queryTableFieldId="17"/>
    <tableColumn id="18" xr3:uid="{E8FB9624-45AD-4FA3-B359-FEC8E698E931}" uniqueName="18" name="Inventory_Risk_Level" queryTableFieldId="18"/>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6B72079-9AFB-4BDE-9D70-73BED0EE584F}" name="inventory_raw" displayName="inventory_raw" ref="A1:I16" tableType="queryTable" totalsRowShown="0">
  <autoFilter ref="A1:I16" xr:uid="{B873CCE9-6FEE-4784-BF91-58F4114B9C6C}"/>
  <tableColumns count="9">
    <tableColumn id="1" xr3:uid="{529CBABC-695D-4FA1-B87E-0C10586DEC6E}" uniqueName="1" name="Inventory_Snapshot_Date" queryTableFieldId="1" dataDxfId="6"/>
    <tableColumn id="2" xr3:uid="{6866C283-5D5B-41EB-AAFA-C3C65C7CF5E1}" uniqueName="2" name="Product_ID" queryTableFieldId="2"/>
    <tableColumn id="3" xr3:uid="{A1578456-D979-49F0-A313-E3DD8CDB245E}" uniqueName="3" name="Warehouse" queryTableFieldId="3"/>
    <tableColumn id="4" xr3:uid="{2B87C29E-A234-4C2E-A0D3-3EC923459331}" uniqueName="4" name="Stock_On_Hand" queryTableFieldId="4"/>
    <tableColumn id="5" xr3:uid="{D397B17D-669D-4423-9F49-4DE8219EBD06}" uniqueName="5" name="Units_On_Order" queryTableFieldId="5"/>
    <tableColumn id="6" xr3:uid="{5BBE768C-2E51-4500-A2F6-7A988A713417}" uniqueName="6" name="Reorder_Point" queryTableFieldId="6"/>
    <tableColumn id="7" xr3:uid="{CD7D02E8-26F7-4C01-AB67-73DB078469B7}" uniqueName="7" name="Lead_Time_Days" queryTableFieldId="7"/>
    <tableColumn id="8" xr3:uid="{82CDCF8F-6030-4853-9E19-F5F1FD9E3E3C}" uniqueName="8" name="Last_Restock_Date" queryTableFieldId="8" dataDxfId="5"/>
    <tableColumn id="9" xr3:uid="{3635074D-0402-4FFD-9E74-C2B40C6D70FA}" uniqueName="9" name="Stock_Status"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482DC-5D40-4C0E-859C-36B97A9F1AA6}">
  <dimension ref="A1:Q47"/>
  <sheetViews>
    <sheetView showGridLines="0" showRowColHeaders="0" tabSelected="1" zoomScale="70" zoomScaleNormal="70" workbookViewId="0">
      <selection activeCell="X22" sqref="X22"/>
    </sheetView>
  </sheetViews>
  <sheetFormatPr defaultRowHeight="15" x14ac:dyDescent="0.25"/>
  <sheetData>
    <row r="1" spans="1:16" ht="28.5" x14ac:dyDescent="0.45">
      <c r="A1" s="13" t="s">
        <v>2532</v>
      </c>
      <c r="B1" s="13"/>
      <c r="C1" s="13"/>
      <c r="D1" s="13"/>
      <c r="E1" s="13"/>
      <c r="F1" s="13"/>
      <c r="G1" s="13"/>
      <c r="H1" s="13"/>
      <c r="I1" s="13"/>
      <c r="J1" s="13"/>
      <c r="K1" s="13"/>
      <c r="L1" s="13"/>
    </row>
    <row r="2" spans="1:16" x14ac:dyDescent="0.25">
      <c r="A2" s="12" t="s">
        <v>2533</v>
      </c>
      <c r="B2" s="12"/>
      <c r="C2" s="12"/>
      <c r="D2" s="12"/>
      <c r="E2" s="12"/>
      <c r="F2" s="12"/>
      <c r="G2" s="12"/>
      <c r="H2" s="12"/>
      <c r="I2" s="12"/>
      <c r="J2" s="12"/>
      <c r="K2" s="12"/>
      <c r="L2" s="12"/>
    </row>
    <row r="3" spans="1:16" x14ac:dyDescent="0.25">
      <c r="A3" s="12"/>
      <c r="B3" s="12"/>
      <c r="C3" s="12"/>
      <c r="D3" s="12"/>
      <c r="E3" s="12"/>
      <c r="F3" s="12"/>
      <c r="G3" s="12"/>
      <c r="H3" s="12"/>
      <c r="I3" s="12"/>
      <c r="J3" s="12"/>
      <c r="K3" s="12"/>
      <c r="L3" s="12"/>
    </row>
    <row r="4" spans="1:16" ht="26.25" x14ac:dyDescent="0.4">
      <c r="A4" s="10" t="s">
        <v>2534</v>
      </c>
      <c r="B4" s="10"/>
      <c r="C4" s="10"/>
      <c r="D4" s="10" t="s">
        <v>2535</v>
      </c>
      <c r="E4" s="10"/>
      <c r="F4" s="10"/>
      <c r="G4" s="10" t="s">
        <v>2536</v>
      </c>
      <c r="H4" s="10"/>
      <c r="I4" s="10"/>
      <c r="J4" s="10" t="s">
        <v>2537</v>
      </c>
      <c r="K4" s="10"/>
      <c r="L4" s="10"/>
    </row>
    <row r="5" spans="1:16" ht="23.25" x14ac:dyDescent="0.25">
      <c r="A5" s="11">
        <f>SUM(sales_analysis[Sales])</f>
        <v>661271.29000000143</v>
      </c>
      <c r="B5" s="11"/>
      <c r="C5" s="11"/>
      <c r="D5" s="11">
        <f>SUM(sales_analysis[Profit])</f>
        <v>262989.38999999949</v>
      </c>
      <c r="E5" s="11"/>
      <c r="F5" s="11"/>
      <c r="G5" s="11">
        <f>SUM(sales_analysis[Profit])/SUM(sales_analysis[Sales])</f>
        <v>0.39770271895517939</v>
      </c>
      <c r="H5" s="11"/>
      <c r="I5" s="11"/>
      <c r="J5" s="11">
        <f>COUNTIF(inventory_analysis[Inventory_Risk_Level],"Reorder Required")</f>
        <v>0</v>
      </c>
      <c r="K5" s="11"/>
      <c r="L5" s="11"/>
    </row>
    <row r="10" spans="1:16" x14ac:dyDescent="0.25">
      <c r="B10" s="9"/>
      <c r="C10" s="9"/>
      <c r="D10" s="9"/>
      <c r="E10" s="9"/>
      <c r="F10" s="9"/>
      <c r="G10" s="9"/>
      <c r="H10" s="9"/>
      <c r="I10" s="9"/>
      <c r="J10" s="9"/>
      <c r="K10" s="9"/>
      <c r="L10" s="9"/>
      <c r="M10" s="9"/>
      <c r="N10" s="9"/>
      <c r="O10" s="9"/>
      <c r="P10" s="9"/>
    </row>
    <row r="28" spans="2:16" ht="15.75" x14ac:dyDescent="0.3">
      <c r="B28" s="8"/>
      <c r="C28" s="8"/>
      <c r="D28" s="8"/>
      <c r="E28" s="8"/>
      <c r="F28" s="8"/>
      <c r="G28" s="8"/>
      <c r="H28" s="8"/>
      <c r="I28" s="8"/>
      <c r="K28" s="8"/>
      <c r="L28" s="8"/>
      <c r="M28" s="8"/>
      <c r="N28" s="8"/>
      <c r="O28" s="8"/>
      <c r="P28" s="8"/>
    </row>
    <row r="46" spans="2:17" x14ac:dyDescent="0.25">
      <c r="B46" s="9"/>
      <c r="C46" s="9"/>
      <c r="D46" s="9"/>
      <c r="E46" s="9"/>
      <c r="F46" s="9"/>
      <c r="G46" s="9"/>
      <c r="H46" s="9"/>
    </row>
    <row r="47" spans="2:17" ht="15.75" x14ac:dyDescent="0.3">
      <c r="K47" s="8"/>
      <c r="L47" s="8"/>
      <c r="M47" s="8"/>
      <c r="N47" s="8"/>
      <c r="O47" s="8"/>
      <c r="P47" s="8"/>
      <c r="Q47" s="8"/>
    </row>
  </sheetData>
  <mergeCells count="16">
    <mergeCell ref="A1:L1"/>
    <mergeCell ref="A4:C4"/>
    <mergeCell ref="A5:C5"/>
    <mergeCell ref="D4:F4"/>
    <mergeCell ref="D5:F5"/>
    <mergeCell ref="G4:I4"/>
    <mergeCell ref="G5:I5"/>
    <mergeCell ref="J4:L4"/>
    <mergeCell ref="J5:L5"/>
    <mergeCell ref="A2:L3"/>
    <mergeCell ref="B28:I28"/>
    <mergeCell ref="K28:P28"/>
    <mergeCell ref="B46:H46"/>
    <mergeCell ref="K47:Q47"/>
    <mergeCell ref="B10:I10"/>
    <mergeCell ref="J10:P10"/>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8137E-EC66-43BE-AE5E-9162FF53A2E3}">
  <dimension ref="A3:G15"/>
  <sheetViews>
    <sheetView topLeftCell="A13" workbookViewId="0">
      <selection activeCell="A10" sqref="A10"/>
    </sheetView>
  </sheetViews>
  <sheetFormatPr defaultRowHeight="15" x14ac:dyDescent="0.25"/>
  <cols>
    <col min="1" max="1" width="88.42578125" customWidth="1"/>
  </cols>
  <sheetData>
    <row r="3" spans="1:7" ht="26.25" x14ac:dyDescent="0.4">
      <c r="A3" s="14" t="s">
        <v>2538</v>
      </c>
      <c r="B3" s="16"/>
      <c r="C3" s="16"/>
      <c r="D3" s="16"/>
      <c r="E3" s="16"/>
      <c r="F3" s="16"/>
      <c r="G3" s="16"/>
    </row>
    <row r="4" spans="1:7" ht="30" x14ac:dyDescent="0.25">
      <c r="A4" s="15" t="s">
        <v>2541</v>
      </c>
    </row>
    <row r="5" spans="1:7" ht="45" x14ac:dyDescent="0.25">
      <c r="A5" s="15" t="s">
        <v>2542</v>
      </c>
    </row>
    <row r="6" spans="1:7" ht="45" x14ac:dyDescent="0.25">
      <c r="A6" s="15" t="s">
        <v>2543</v>
      </c>
    </row>
    <row r="7" spans="1:7" ht="105" x14ac:dyDescent="0.25">
      <c r="A7" s="15" t="s">
        <v>2544</v>
      </c>
    </row>
    <row r="8" spans="1:7" ht="75" x14ac:dyDescent="0.25">
      <c r="A8" s="15" t="s">
        <v>2545</v>
      </c>
    </row>
    <row r="10" spans="1:7" ht="26.25" x14ac:dyDescent="0.4">
      <c r="A10" s="14" t="s">
        <v>2539</v>
      </c>
      <c r="B10" s="16"/>
      <c r="C10" s="16"/>
      <c r="D10" s="16"/>
      <c r="E10" s="16"/>
      <c r="F10" s="16"/>
      <c r="G10" s="16"/>
    </row>
    <row r="11" spans="1:7" ht="30" x14ac:dyDescent="0.25">
      <c r="A11" s="15" t="s">
        <v>2546</v>
      </c>
    </row>
    <row r="12" spans="1:7" ht="75" x14ac:dyDescent="0.25">
      <c r="A12" s="15" t="s">
        <v>2547</v>
      </c>
    </row>
    <row r="13" spans="1:7" ht="90" x14ac:dyDescent="0.25">
      <c r="A13" s="15" t="s">
        <v>2548</v>
      </c>
    </row>
    <row r="14" spans="1:7" ht="90" x14ac:dyDescent="0.25">
      <c r="A14" s="15" t="s">
        <v>2549</v>
      </c>
    </row>
    <row r="15" spans="1:7" ht="75" x14ac:dyDescent="0.25">
      <c r="A15" s="15" t="s">
        <v>2550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2964B-E801-4D86-B8C2-24C74C12B8BE}">
  <dimension ref="A1:I51"/>
  <sheetViews>
    <sheetView topLeftCell="C34" workbookViewId="0">
      <selection activeCell="H12" sqref="H12"/>
    </sheetView>
  </sheetViews>
  <sheetFormatPr defaultRowHeight="15" x14ac:dyDescent="0.25"/>
  <cols>
    <col min="1" max="1" width="13.140625" bestFit="1" customWidth="1"/>
    <col min="2" max="2" width="12.140625" bestFit="1" customWidth="1"/>
    <col min="3" max="3" width="10.85546875" bestFit="1" customWidth="1"/>
    <col min="4" max="5" width="15.42578125" bestFit="1" customWidth="1"/>
    <col min="6" max="6" width="16.7109375" bestFit="1" customWidth="1"/>
    <col min="7" max="7" width="10.42578125" bestFit="1" customWidth="1"/>
    <col min="8" max="8" width="10.85546875" bestFit="1" customWidth="1"/>
    <col min="9" max="9" width="19" bestFit="1" customWidth="1"/>
    <col min="10" max="10" width="21.85546875" bestFit="1" customWidth="1"/>
    <col min="11" max="12" width="22.42578125" bestFit="1" customWidth="1"/>
  </cols>
  <sheetData>
    <row r="1" spans="1:8" x14ac:dyDescent="0.25">
      <c r="A1" t="s">
        <v>2525</v>
      </c>
      <c r="F1" t="s">
        <v>2526</v>
      </c>
    </row>
    <row r="2" spans="1:8" x14ac:dyDescent="0.25">
      <c r="F2" s="2" t="s">
        <v>2505</v>
      </c>
      <c r="G2" t="s">
        <v>2534</v>
      </c>
      <c r="H2" t="s">
        <v>2535</v>
      </c>
    </row>
    <row r="3" spans="1:8" x14ac:dyDescent="0.25">
      <c r="A3" s="2" t="s">
        <v>2505</v>
      </c>
      <c r="B3" t="s">
        <v>2524</v>
      </c>
      <c r="C3" t="s">
        <v>2534</v>
      </c>
      <c r="F3" s="3" t="s">
        <v>2458</v>
      </c>
      <c r="G3" s="7">
        <v>309409.07999999996</v>
      </c>
      <c r="H3" s="7">
        <v>115688.33999999997</v>
      </c>
    </row>
    <row r="4" spans="1:8" x14ac:dyDescent="0.25">
      <c r="A4" s="3" t="s">
        <v>2540</v>
      </c>
      <c r="B4" s="6">
        <v>344177.31000000006</v>
      </c>
      <c r="C4" s="7">
        <v>137877.35</v>
      </c>
      <c r="F4" s="3" t="s">
        <v>2467</v>
      </c>
      <c r="G4" s="7">
        <v>239884.9600000002</v>
      </c>
      <c r="H4" s="7">
        <v>105143.59999999996</v>
      </c>
    </row>
    <row r="5" spans="1:8" x14ac:dyDescent="0.25">
      <c r="A5" s="4" t="s">
        <v>2507</v>
      </c>
      <c r="B5" s="6">
        <v>73141.560000000012</v>
      </c>
      <c r="C5" s="7">
        <v>22503.080000000005</v>
      </c>
      <c r="F5" s="3" t="s">
        <v>2474</v>
      </c>
      <c r="G5" s="7">
        <v>111977.25</v>
      </c>
      <c r="H5" s="7">
        <v>42157.450000000019</v>
      </c>
    </row>
    <row r="6" spans="1:8" x14ac:dyDescent="0.25">
      <c r="A6" s="5" t="s">
        <v>2508</v>
      </c>
      <c r="B6" s="6">
        <v>24019.86</v>
      </c>
      <c r="C6" s="7">
        <v>6851.6700000000037</v>
      </c>
      <c r="F6" s="3" t="s">
        <v>2506</v>
      </c>
      <c r="G6" s="7">
        <v>661271.29000000015</v>
      </c>
      <c r="H6" s="7">
        <v>262989.38999999996</v>
      </c>
    </row>
    <row r="7" spans="1:8" x14ac:dyDescent="0.25">
      <c r="A7" s="5" t="s">
        <v>2509</v>
      </c>
      <c r="B7" s="6">
        <v>23991.670000000013</v>
      </c>
      <c r="C7" s="7">
        <v>7530.9299999999985</v>
      </c>
    </row>
    <row r="8" spans="1:8" x14ac:dyDescent="0.25">
      <c r="A8" s="5" t="s">
        <v>2510</v>
      </c>
      <c r="B8" s="6">
        <v>25130.029999999995</v>
      </c>
      <c r="C8" s="7">
        <v>8120.4800000000023</v>
      </c>
    </row>
    <row r="9" spans="1:8" x14ac:dyDescent="0.25">
      <c r="A9" s="4" t="s">
        <v>2511</v>
      </c>
      <c r="B9" s="6">
        <v>87765.579999999987</v>
      </c>
      <c r="C9" s="7">
        <v>32353.5</v>
      </c>
    </row>
    <row r="10" spans="1:8" x14ac:dyDescent="0.25">
      <c r="A10" s="5" t="s">
        <v>2512</v>
      </c>
      <c r="B10" s="6">
        <v>20993.680000000004</v>
      </c>
      <c r="C10" s="7">
        <v>7222.7400000000007</v>
      </c>
      <c r="F10" t="s">
        <v>2528</v>
      </c>
    </row>
    <row r="11" spans="1:8" x14ac:dyDescent="0.25">
      <c r="A11" s="5" t="s">
        <v>2513</v>
      </c>
      <c r="B11" s="6">
        <v>37493.68</v>
      </c>
      <c r="C11" s="7">
        <v>14303.340000000002</v>
      </c>
      <c r="F11" s="2" t="s">
        <v>2505</v>
      </c>
      <c r="G11" t="s">
        <v>2534</v>
      </c>
      <c r="H11" t="s">
        <v>2535</v>
      </c>
    </row>
    <row r="12" spans="1:8" x14ac:dyDescent="0.25">
      <c r="A12" s="5" t="s">
        <v>2514</v>
      </c>
      <c r="B12" s="6">
        <v>29278.219999999994</v>
      </c>
      <c r="C12" s="7">
        <v>10827.42</v>
      </c>
      <c r="F12" s="3" t="s">
        <v>2457</v>
      </c>
      <c r="G12" s="7">
        <v>130113.54999999999</v>
      </c>
      <c r="H12" s="7">
        <v>48699.790000000015</v>
      </c>
    </row>
    <row r="13" spans="1:8" x14ac:dyDescent="0.25">
      <c r="A13" s="4" t="s">
        <v>2515</v>
      </c>
      <c r="B13" s="6">
        <v>69139.490000000005</v>
      </c>
      <c r="C13" s="7">
        <v>24017.24</v>
      </c>
      <c r="F13" s="3" t="s">
        <v>2460</v>
      </c>
      <c r="G13" s="7">
        <v>83245.690000000061</v>
      </c>
      <c r="H13" s="7">
        <v>33032.150000000009</v>
      </c>
    </row>
    <row r="14" spans="1:8" x14ac:dyDescent="0.25">
      <c r="A14" s="5" t="s">
        <v>2516</v>
      </c>
      <c r="B14" s="6">
        <v>24031.090000000007</v>
      </c>
      <c r="C14" s="7">
        <v>7550.6199999999972</v>
      </c>
      <c r="F14" s="3" t="s">
        <v>2471</v>
      </c>
      <c r="G14" s="7">
        <v>79288.430000000022</v>
      </c>
      <c r="H14" s="7">
        <v>31266.029999999995</v>
      </c>
    </row>
    <row r="15" spans="1:8" x14ac:dyDescent="0.25">
      <c r="A15" s="5" t="s">
        <v>2517</v>
      </c>
      <c r="B15" s="6">
        <v>27646.899999999994</v>
      </c>
      <c r="C15" s="7">
        <v>9452.100000000004</v>
      </c>
      <c r="F15" s="3" t="s">
        <v>2472</v>
      </c>
      <c r="G15" s="7">
        <v>64599.279999999992</v>
      </c>
      <c r="H15" s="7">
        <v>30747.719999999998</v>
      </c>
    </row>
    <row r="16" spans="1:8" x14ac:dyDescent="0.25">
      <c r="A16" s="5" t="s">
        <v>2518</v>
      </c>
      <c r="B16" s="6">
        <v>17461.5</v>
      </c>
      <c r="C16" s="7">
        <v>7014.5199999999995</v>
      </c>
      <c r="F16" s="3" t="s">
        <v>2469</v>
      </c>
      <c r="G16" s="7">
        <v>49551.83</v>
      </c>
      <c r="H16" s="7">
        <v>23998.929999999989</v>
      </c>
    </row>
    <row r="17" spans="1:9" x14ac:dyDescent="0.25">
      <c r="A17" s="4" t="s">
        <v>2519</v>
      </c>
      <c r="B17" s="6">
        <v>114130.68</v>
      </c>
      <c r="C17" s="7">
        <v>59003.53</v>
      </c>
      <c r="F17" s="3" t="s">
        <v>2462</v>
      </c>
      <c r="G17" s="7">
        <v>51822.370000000017</v>
      </c>
      <c r="H17" s="7">
        <v>17621.389999999996</v>
      </c>
    </row>
    <row r="18" spans="1:9" x14ac:dyDescent="0.25">
      <c r="A18" s="5" t="s">
        <v>2520</v>
      </c>
      <c r="B18" s="6">
        <v>36832.400000000001</v>
      </c>
      <c r="C18" s="7">
        <v>17017.669999999998</v>
      </c>
      <c r="F18" s="3" t="s">
        <v>2464</v>
      </c>
      <c r="G18" s="7">
        <v>44227.469999999994</v>
      </c>
      <c r="H18" s="7">
        <v>16335.009999999993</v>
      </c>
    </row>
    <row r="19" spans="1:9" x14ac:dyDescent="0.25">
      <c r="A19" s="5" t="s">
        <v>2521</v>
      </c>
      <c r="B19" s="6">
        <v>37817.749999999993</v>
      </c>
      <c r="C19" s="7">
        <v>20144.329999999998</v>
      </c>
      <c r="F19" s="3" t="s">
        <v>2478</v>
      </c>
      <c r="G19" s="7">
        <v>42048.35</v>
      </c>
      <c r="H19" s="7">
        <v>15798.500000000004</v>
      </c>
    </row>
    <row r="20" spans="1:9" x14ac:dyDescent="0.25">
      <c r="A20" s="5" t="s">
        <v>2522</v>
      </c>
      <c r="B20" s="6">
        <v>39480.530000000006</v>
      </c>
      <c r="C20" s="7">
        <v>21841.53</v>
      </c>
      <c r="F20" s="3" t="s">
        <v>2466</v>
      </c>
      <c r="G20" s="7">
        <v>22437.640000000003</v>
      </c>
      <c r="H20" s="7">
        <v>9995.1000000000022</v>
      </c>
    </row>
    <row r="21" spans="1:9" x14ac:dyDescent="0.25">
      <c r="A21" s="3" t="s">
        <v>2523</v>
      </c>
      <c r="B21" s="6">
        <v>317093.98000000004</v>
      </c>
      <c r="C21" s="7">
        <v>125112.04000000001</v>
      </c>
      <c r="F21" s="3" t="s">
        <v>2470</v>
      </c>
      <c r="G21" s="7">
        <v>24007.779999999995</v>
      </c>
      <c r="H21" s="7">
        <v>9135.8200000000033</v>
      </c>
    </row>
    <row r="22" spans="1:9" x14ac:dyDescent="0.25">
      <c r="A22" s="4" t="s">
        <v>2507</v>
      </c>
      <c r="B22" s="6">
        <v>60500.66</v>
      </c>
      <c r="C22" s="7">
        <v>17465.020000000004</v>
      </c>
      <c r="F22" s="3" t="s">
        <v>2475</v>
      </c>
      <c r="G22" s="7">
        <v>20909.170000000009</v>
      </c>
      <c r="H22" s="7">
        <v>8692.5100000000039</v>
      </c>
    </row>
    <row r="23" spans="1:9" x14ac:dyDescent="0.25">
      <c r="A23" s="5" t="s">
        <v>2508</v>
      </c>
      <c r="B23" s="6">
        <v>22096.790000000015</v>
      </c>
      <c r="C23" s="7">
        <v>5216.4600000000009</v>
      </c>
      <c r="F23" s="3" t="s">
        <v>2477</v>
      </c>
      <c r="G23" s="7">
        <v>18183.340000000007</v>
      </c>
      <c r="H23" s="7">
        <v>7206.3400000000038</v>
      </c>
    </row>
    <row r="24" spans="1:9" x14ac:dyDescent="0.25">
      <c r="A24" s="5" t="s">
        <v>2509</v>
      </c>
      <c r="B24" s="6">
        <v>21585.299999999992</v>
      </c>
      <c r="C24" s="7">
        <v>6596.76</v>
      </c>
      <c r="F24" s="3" t="s">
        <v>2476</v>
      </c>
      <c r="G24" s="7">
        <v>10716.970000000001</v>
      </c>
      <c r="H24" s="7">
        <v>3879.0400000000004</v>
      </c>
    </row>
    <row r="25" spans="1:9" x14ac:dyDescent="0.25">
      <c r="A25" s="5" t="s">
        <v>2510</v>
      </c>
      <c r="B25" s="6">
        <v>16818.569999999996</v>
      </c>
      <c r="C25" s="7">
        <v>5651.8000000000011</v>
      </c>
      <c r="F25" s="3" t="s">
        <v>2479</v>
      </c>
      <c r="G25" s="7">
        <v>10191.789999999994</v>
      </c>
      <c r="H25" s="7">
        <v>3749.9499999999989</v>
      </c>
    </row>
    <row r="26" spans="1:9" x14ac:dyDescent="0.25">
      <c r="A26" s="4" t="s">
        <v>2511</v>
      </c>
      <c r="B26" s="6">
        <v>75234.899999999994</v>
      </c>
      <c r="C26" s="7">
        <v>28247.839999999997</v>
      </c>
      <c r="F26" s="3" t="s">
        <v>2473</v>
      </c>
      <c r="G26" s="7">
        <v>9927.6300000000028</v>
      </c>
      <c r="H26" s="7">
        <v>2831.11</v>
      </c>
    </row>
    <row r="27" spans="1:9" x14ac:dyDescent="0.25">
      <c r="A27" s="5" t="s">
        <v>2512</v>
      </c>
      <c r="B27" s="6">
        <v>24712.929999999997</v>
      </c>
      <c r="C27" s="7">
        <v>8680.34</v>
      </c>
      <c r="F27" s="3" t="s">
        <v>2506</v>
      </c>
      <c r="G27" s="7">
        <v>661271.29</v>
      </c>
      <c r="H27" s="7">
        <v>262989.39</v>
      </c>
    </row>
    <row r="28" spans="1:9" x14ac:dyDescent="0.25">
      <c r="A28" s="5" t="s">
        <v>2513</v>
      </c>
      <c r="B28" s="6">
        <v>24074.12</v>
      </c>
      <c r="C28" s="7">
        <v>9099.8000000000029</v>
      </c>
    </row>
    <row r="29" spans="1:9" x14ac:dyDescent="0.25">
      <c r="A29" s="5" t="s">
        <v>2514</v>
      </c>
      <c r="B29" s="6">
        <v>26447.849999999995</v>
      </c>
      <c r="C29" s="7">
        <v>10467.699999999992</v>
      </c>
    </row>
    <row r="30" spans="1:9" x14ac:dyDescent="0.25">
      <c r="A30" s="4" t="s">
        <v>2515</v>
      </c>
      <c r="B30" s="6">
        <v>77514.2</v>
      </c>
      <c r="C30" s="7">
        <v>26972.740000000005</v>
      </c>
      <c r="H30" t="s">
        <v>2531</v>
      </c>
    </row>
    <row r="31" spans="1:9" x14ac:dyDescent="0.25">
      <c r="A31" s="5" t="s">
        <v>2516</v>
      </c>
      <c r="B31" s="6">
        <v>21672.860000000004</v>
      </c>
      <c r="C31" s="7">
        <v>6690.5699999999988</v>
      </c>
      <c r="H31" s="2" t="s">
        <v>2505</v>
      </c>
      <c r="I31" t="s">
        <v>2530</v>
      </c>
    </row>
    <row r="32" spans="1:9" x14ac:dyDescent="0.25">
      <c r="A32" s="5" t="s">
        <v>2517</v>
      </c>
      <c r="B32" s="6">
        <v>25831.159999999993</v>
      </c>
      <c r="C32" s="7">
        <v>8378.630000000001</v>
      </c>
      <c r="H32" s="3" t="s">
        <v>2487</v>
      </c>
      <c r="I32" s="6">
        <v>11</v>
      </c>
    </row>
    <row r="33" spans="1:9" x14ac:dyDescent="0.25">
      <c r="A33" s="5" t="s">
        <v>2518</v>
      </c>
      <c r="B33" s="6">
        <v>30010.179999999997</v>
      </c>
      <c r="C33" s="7">
        <v>11903.540000000003</v>
      </c>
      <c r="H33" s="3" t="s">
        <v>2490</v>
      </c>
      <c r="I33" s="6">
        <v>4</v>
      </c>
    </row>
    <row r="34" spans="1:9" x14ac:dyDescent="0.25">
      <c r="A34" s="4" t="s">
        <v>2519</v>
      </c>
      <c r="B34" s="6">
        <v>103844.22</v>
      </c>
      <c r="C34" s="7">
        <v>52426.44</v>
      </c>
      <c r="H34" s="3" t="s">
        <v>2506</v>
      </c>
      <c r="I34" s="6">
        <v>15</v>
      </c>
    </row>
    <row r="35" spans="1:9" x14ac:dyDescent="0.25">
      <c r="A35" s="5" t="s">
        <v>2520</v>
      </c>
      <c r="B35" s="6">
        <v>30075.460000000006</v>
      </c>
      <c r="C35" s="7">
        <v>13054.019999999999</v>
      </c>
    </row>
    <row r="36" spans="1:9" x14ac:dyDescent="0.25">
      <c r="A36" s="5" t="s">
        <v>2521</v>
      </c>
      <c r="B36" s="6">
        <v>39243.429999999993</v>
      </c>
      <c r="C36" s="7">
        <v>20229.649999999998</v>
      </c>
    </row>
    <row r="37" spans="1:9" x14ac:dyDescent="0.25">
      <c r="A37" s="5" t="s">
        <v>2522</v>
      </c>
      <c r="B37" s="6">
        <v>34525.33</v>
      </c>
      <c r="C37" s="7">
        <v>19142.770000000008</v>
      </c>
    </row>
    <row r="38" spans="1:9" x14ac:dyDescent="0.25">
      <c r="A38" s="3" t="s">
        <v>2506</v>
      </c>
      <c r="B38" s="6">
        <v>661271.28999999992</v>
      </c>
      <c r="C38" s="7">
        <v>262989.39</v>
      </c>
    </row>
    <row r="44" spans="1:9" x14ac:dyDescent="0.25">
      <c r="A44" t="s">
        <v>2527</v>
      </c>
    </row>
    <row r="45" spans="1:9" x14ac:dyDescent="0.25">
      <c r="A45" s="2" t="s">
        <v>2505</v>
      </c>
      <c r="B45" t="s">
        <v>2524</v>
      </c>
      <c r="C45" t="s">
        <v>2535</v>
      </c>
      <c r="F45" t="s">
        <v>2529</v>
      </c>
    </row>
    <row r="46" spans="1:9" x14ac:dyDescent="0.25">
      <c r="A46" s="3" t="s">
        <v>23</v>
      </c>
      <c r="B46" s="7">
        <v>153647.17000000007</v>
      </c>
      <c r="C46" s="7">
        <v>59223.400000000009</v>
      </c>
      <c r="F46" s="2" t="s">
        <v>2505</v>
      </c>
      <c r="G46" t="s">
        <v>2534</v>
      </c>
      <c r="H46" t="s">
        <v>2535</v>
      </c>
    </row>
    <row r="47" spans="1:9" x14ac:dyDescent="0.25">
      <c r="A47" s="3" t="s">
        <v>47</v>
      </c>
      <c r="B47" s="7">
        <v>171237.42000000019</v>
      </c>
      <c r="C47" s="7">
        <v>68334.330000000031</v>
      </c>
      <c r="F47" s="3" t="s">
        <v>2501</v>
      </c>
      <c r="G47" s="6">
        <v>44943.350000000035</v>
      </c>
      <c r="H47" s="7">
        <v>11159.579999999996</v>
      </c>
    </row>
    <row r="48" spans="1:9" x14ac:dyDescent="0.25">
      <c r="A48" s="3" t="s">
        <v>32</v>
      </c>
      <c r="B48" s="7">
        <v>150905.09999999998</v>
      </c>
      <c r="C48" s="7">
        <v>59892.840000000004</v>
      </c>
      <c r="F48" s="3" t="s">
        <v>2498</v>
      </c>
      <c r="G48" s="6">
        <v>113789.35999999997</v>
      </c>
      <c r="H48" s="7">
        <v>45423.850000000013</v>
      </c>
    </row>
    <row r="49" spans="1:8" x14ac:dyDescent="0.25">
      <c r="A49" s="3" t="s">
        <v>13</v>
      </c>
      <c r="B49" s="7">
        <v>185481.60000000009</v>
      </c>
      <c r="C49" s="7">
        <v>75538.819999999891</v>
      </c>
      <c r="F49" s="3" t="s">
        <v>2500</v>
      </c>
      <c r="G49" s="6">
        <v>110742.77000000005</v>
      </c>
      <c r="H49" s="7">
        <v>36372.080000000053</v>
      </c>
    </row>
    <row r="50" spans="1:8" x14ac:dyDescent="0.25">
      <c r="A50" s="3" t="s">
        <v>2506</v>
      </c>
      <c r="B50" s="7">
        <v>661271.29000000027</v>
      </c>
      <c r="C50" s="7">
        <v>262989.3899999999</v>
      </c>
      <c r="F50" s="3" t="s">
        <v>2499</v>
      </c>
      <c r="G50" s="6">
        <v>391795.80999999988</v>
      </c>
      <c r="H50" s="7">
        <v>170033.87999999992</v>
      </c>
    </row>
    <row r="51" spans="1:8" x14ac:dyDescent="0.25">
      <c r="F51" s="3" t="s">
        <v>2506</v>
      </c>
      <c r="G51" s="6">
        <v>661271.29</v>
      </c>
      <c r="H51" s="7">
        <v>262989.39</v>
      </c>
    </row>
  </sheetData>
  <pageMargins left="0.7" right="0.7" top="0.75" bottom="0.75" header="0.3" footer="0.3"/>
  <pageSetup paperSize="9" orientation="portrait"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7FA41-C11C-4A9A-A84D-285033CA2672}">
  <dimension ref="A1:W2401"/>
  <sheetViews>
    <sheetView topLeftCell="A2" workbookViewId="0">
      <selection sqref="A1:W2401"/>
    </sheetView>
  </sheetViews>
  <sheetFormatPr defaultRowHeight="15" x14ac:dyDescent="0.25"/>
  <cols>
    <col min="1" max="1" width="11.5703125" bestFit="1" customWidth="1"/>
    <col min="2" max="3" width="15.85546875" bestFit="1" customWidth="1"/>
    <col min="4" max="4" width="9.42578125" bestFit="1" customWidth="1"/>
    <col min="5" max="5" width="13.42578125" bestFit="1" customWidth="1"/>
    <col min="6" max="6" width="21" bestFit="1" customWidth="1"/>
    <col min="7" max="7" width="16.28515625" bestFit="1" customWidth="1"/>
    <col min="8" max="8" width="13" bestFit="1" customWidth="1"/>
    <col min="9" max="10" width="11" bestFit="1" customWidth="1"/>
    <col min="11" max="11" width="8" bestFit="1" customWidth="1"/>
    <col min="12" max="12" width="16" bestFit="1" customWidth="1"/>
    <col min="13" max="13" width="29.28515625" bestFit="1" customWidth="1"/>
    <col min="14" max="14" width="15.28515625" bestFit="1" customWidth="1"/>
    <col min="15" max="15" width="17.42578125" bestFit="1" customWidth="1"/>
    <col min="16" max="16" width="12" bestFit="1" customWidth="1"/>
    <col min="17" max="17" width="11.7109375" bestFit="1" customWidth="1"/>
    <col min="18" max="18" width="12.5703125" bestFit="1" customWidth="1"/>
    <col min="19" max="19" width="8.28515625" bestFit="1" customWidth="1"/>
    <col min="20" max="20" width="15.7109375" bestFit="1" customWidth="1"/>
    <col min="21" max="21" width="15.85546875" bestFit="1" customWidth="1"/>
    <col min="22" max="22" width="16.7109375" bestFit="1" customWidth="1"/>
    <col min="23" max="23" width="7.28515625" bestFit="1" customWidth="1"/>
  </cols>
  <sheetData>
    <row r="1" spans="1:23" x14ac:dyDescent="0.25">
      <c r="A1" t="s">
        <v>0</v>
      </c>
      <c r="B1" t="s">
        <v>1</v>
      </c>
      <c r="C1" t="s">
        <v>2</v>
      </c>
      <c r="D1" t="s">
        <v>3</v>
      </c>
      <c r="E1" t="s">
        <v>4</v>
      </c>
      <c r="F1" t="s">
        <v>5</v>
      </c>
      <c r="G1" t="s">
        <v>6</v>
      </c>
      <c r="H1" t="s">
        <v>7</v>
      </c>
      <c r="I1" t="s">
        <v>8</v>
      </c>
      <c r="J1" t="s">
        <v>9</v>
      </c>
      <c r="K1" t="s">
        <v>10</v>
      </c>
      <c r="L1" t="s">
        <v>11</v>
      </c>
      <c r="M1" t="s">
        <v>2449</v>
      </c>
      <c r="N1" t="s">
        <v>2450</v>
      </c>
      <c r="O1" t="s">
        <v>2451</v>
      </c>
      <c r="P1" t="s">
        <v>2452</v>
      </c>
      <c r="Q1" t="s">
        <v>2453</v>
      </c>
      <c r="R1" t="s">
        <v>2492</v>
      </c>
      <c r="S1" t="s">
        <v>2493</v>
      </c>
      <c r="T1" t="s">
        <v>2494</v>
      </c>
      <c r="U1" t="s">
        <v>2495</v>
      </c>
      <c r="V1" t="s">
        <v>2496</v>
      </c>
      <c r="W1" t="s">
        <v>2497</v>
      </c>
    </row>
    <row r="2" spans="1:23" x14ac:dyDescent="0.25">
      <c r="A2" t="s">
        <v>12</v>
      </c>
      <c r="B2" s="1">
        <v>45832</v>
      </c>
      <c r="C2" s="1">
        <v>45837</v>
      </c>
      <c r="D2" t="s">
        <v>13</v>
      </c>
      <c r="E2" t="s">
        <v>14</v>
      </c>
      <c r="F2" t="s">
        <v>15</v>
      </c>
      <c r="G2" t="s">
        <v>16</v>
      </c>
      <c r="H2" t="s">
        <v>17</v>
      </c>
      <c r="I2">
        <v>4</v>
      </c>
      <c r="J2">
        <v>0.05</v>
      </c>
      <c r="K2">
        <v>491.6</v>
      </c>
      <c r="L2">
        <v>9.5</v>
      </c>
      <c r="M2" t="s">
        <v>2472</v>
      </c>
      <c r="N2" t="s">
        <v>2467</v>
      </c>
      <c r="O2" t="s">
        <v>2468</v>
      </c>
      <c r="P2">
        <v>63.69</v>
      </c>
      <c r="Q2">
        <v>125.5</v>
      </c>
      <c r="R2">
        <v>254.76</v>
      </c>
      <c r="S2">
        <v>227.34000000000003</v>
      </c>
      <c r="T2">
        <v>0.4624491456468674</v>
      </c>
      <c r="U2" s="1">
        <v>45809</v>
      </c>
      <c r="V2" t="s">
        <v>2498</v>
      </c>
      <c r="W2">
        <v>2025</v>
      </c>
    </row>
    <row r="3" spans="1:23" x14ac:dyDescent="0.25">
      <c r="A3" t="s">
        <v>18</v>
      </c>
      <c r="B3" s="1">
        <v>45787</v>
      </c>
      <c r="C3" s="1">
        <v>45791</v>
      </c>
      <c r="D3" t="s">
        <v>13</v>
      </c>
      <c r="E3" t="s">
        <v>19</v>
      </c>
      <c r="F3" t="s">
        <v>15</v>
      </c>
      <c r="G3" t="s">
        <v>20</v>
      </c>
      <c r="H3" t="s">
        <v>21</v>
      </c>
      <c r="I3">
        <v>3</v>
      </c>
      <c r="J3">
        <v>0</v>
      </c>
      <c r="K3">
        <v>334.36</v>
      </c>
      <c r="L3">
        <v>11.4</v>
      </c>
      <c r="M3" t="s">
        <v>2462</v>
      </c>
      <c r="N3" t="s">
        <v>2458</v>
      </c>
      <c r="O3" t="s">
        <v>2463</v>
      </c>
      <c r="P3">
        <v>71.489999999999995</v>
      </c>
      <c r="Q3">
        <v>112.88</v>
      </c>
      <c r="R3">
        <v>214.46999999999997</v>
      </c>
      <c r="S3">
        <v>108.49000000000004</v>
      </c>
      <c r="T3">
        <v>0.32447063045818886</v>
      </c>
      <c r="U3" s="1">
        <v>45778</v>
      </c>
      <c r="V3" t="s">
        <v>2499</v>
      </c>
      <c r="W3">
        <v>2025</v>
      </c>
    </row>
    <row r="4" spans="1:23" x14ac:dyDescent="0.25">
      <c r="A4" t="s">
        <v>42</v>
      </c>
      <c r="B4" s="1">
        <v>45731</v>
      </c>
      <c r="C4" s="1">
        <v>45735</v>
      </c>
      <c r="D4" t="s">
        <v>23</v>
      </c>
      <c r="E4" t="s">
        <v>43</v>
      </c>
      <c r="F4" t="s">
        <v>29</v>
      </c>
      <c r="G4" t="s">
        <v>26</v>
      </c>
      <c r="H4" t="s">
        <v>21</v>
      </c>
      <c r="I4">
        <v>4</v>
      </c>
      <c r="J4">
        <v>0.15</v>
      </c>
      <c r="K4">
        <v>357.37</v>
      </c>
      <c r="L4">
        <v>8.2200000000000006</v>
      </c>
      <c r="M4" t="s">
        <v>2462</v>
      </c>
      <c r="N4" t="s">
        <v>2458</v>
      </c>
      <c r="O4" t="s">
        <v>2463</v>
      </c>
      <c r="P4">
        <v>71.489999999999995</v>
      </c>
      <c r="Q4">
        <v>112.88</v>
      </c>
      <c r="R4">
        <v>285.95999999999998</v>
      </c>
      <c r="S4">
        <v>63.190000000000026</v>
      </c>
      <c r="T4">
        <v>0.17681954277079784</v>
      </c>
      <c r="U4" s="1">
        <v>45717</v>
      </c>
      <c r="V4" t="s">
        <v>2500</v>
      </c>
      <c r="W4">
        <v>2025</v>
      </c>
    </row>
    <row r="5" spans="1:23" x14ac:dyDescent="0.25">
      <c r="A5" t="s">
        <v>31</v>
      </c>
      <c r="B5" s="1">
        <v>45593</v>
      </c>
      <c r="C5" s="1">
        <v>45599</v>
      </c>
      <c r="D5" t="s">
        <v>32</v>
      </c>
      <c r="E5" t="s">
        <v>33</v>
      </c>
      <c r="F5" t="s">
        <v>29</v>
      </c>
      <c r="G5" t="s">
        <v>26</v>
      </c>
      <c r="H5" t="s">
        <v>34</v>
      </c>
      <c r="I5">
        <v>7</v>
      </c>
      <c r="J5">
        <v>0</v>
      </c>
      <c r="K5">
        <v>1584.26</v>
      </c>
      <c r="L5">
        <v>20.6</v>
      </c>
      <c r="M5" t="s">
        <v>2460</v>
      </c>
      <c r="N5" t="s">
        <v>2458</v>
      </c>
      <c r="O5" t="s">
        <v>2461</v>
      </c>
      <c r="P5">
        <v>119.02</v>
      </c>
      <c r="Q5">
        <v>205.39</v>
      </c>
      <c r="R5">
        <v>833.14</v>
      </c>
      <c r="S5">
        <v>730.52</v>
      </c>
      <c r="T5">
        <v>0.4611111812455026</v>
      </c>
      <c r="U5" s="1">
        <v>45566</v>
      </c>
      <c r="V5" t="s">
        <v>2499</v>
      </c>
      <c r="W5">
        <v>2024</v>
      </c>
    </row>
    <row r="6" spans="1:23" x14ac:dyDescent="0.25">
      <c r="A6" t="s">
        <v>22</v>
      </c>
      <c r="B6" s="1">
        <v>45857</v>
      </c>
      <c r="C6" s="1">
        <v>45862</v>
      </c>
      <c r="D6" t="s">
        <v>23</v>
      </c>
      <c r="E6" t="s">
        <v>24</v>
      </c>
      <c r="F6" t="s">
        <v>25</v>
      </c>
      <c r="G6" t="s">
        <v>26</v>
      </c>
      <c r="H6" t="s">
        <v>27</v>
      </c>
      <c r="I6">
        <v>5</v>
      </c>
      <c r="J6">
        <v>0.15</v>
      </c>
      <c r="K6">
        <v>102.14</v>
      </c>
      <c r="L6">
        <v>4.05</v>
      </c>
      <c r="M6" t="s">
        <v>2478</v>
      </c>
      <c r="N6" t="s">
        <v>2474</v>
      </c>
      <c r="O6" t="s">
        <v>2463</v>
      </c>
      <c r="P6">
        <v>16.760000000000002</v>
      </c>
      <c r="Q6">
        <v>27.71</v>
      </c>
      <c r="R6">
        <v>83.800000000000011</v>
      </c>
      <c r="S6">
        <v>14.289999999999988</v>
      </c>
      <c r="T6">
        <v>0.13990601135696093</v>
      </c>
      <c r="U6" s="1">
        <v>45839</v>
      </c>
      <c r="V6" t="s">
        <v>2500</v>
      </c>
      <c r="W6">
        <v>2025</v>
      </c>
    </row>
    <row r="7" spans="1:23" x14ac:dyDescent="0.25">
      <c r="A7" t="s">
        <v>28</v>
      </c>
      <c r="B7" s="1">
        <v>45711</v>
      </c>
      <c r="C7" s="1">
        <v>45714</v>
      </c>
      <c r="D7" t="s">
        <v>13</v>
      </c>
      <c r="E7" t="s">
        <v>19</v>
      </c>
      <c r="F7" t="s">
        <v>29</v>
      </c>
      <c r="G7" t="s">
        <v>26</v>
      </c>
      <c r="H7" t="s">
        <v>30</v>
      </c>
      <c r="I7">
        <v>9</v>
      </c>
      <c r="J7">
        <v>0</v>
      </c>
      <c r="K7">
        <v>51.08</v>
      </c>
      <c r="L7">
        <v>5.13</v>
      </c>
      <c r="M7" t="s">
        <v>2473</v>
      </c>
      <c r="N7" t="s">
        <v>2474</v>
      </c>
      <c r="O7" t="s">
        <v>2463</v>
      </c>
      <c r="P7">
        <v>3.62</v>
      </c>
      <c r="Q7">
        <v>6.03</v>
      </c>
      <c r="R7">
        <v>32.58</v>
      </c>
      <c r="S7">
        <v>13.370000000000001</v>
      </c>
      <c r="T7">
        <v>0.2617462803445576</v>
      </c>
      <c r="U7" s="1">
        <v>45689</v>
      </c>
      <c r="V7" t="s">
        <v>2499</v>
      </c>
      <c r="W7">
        <v>2025</v>
      </c>
    </row>
    <row r="8" spans="1:23" x14ac:dyDescent="0.25">
      <c r="A8" t="s">
        <v>54</v>
      </c>
      <c r="B8" s="1">
        <v>45897</v>
      </c>
      <c r="C8" s="1">
        <v>45902</v>
      </c>
      <c r="D8" t="s">
        <v>47</v>
      </c>
      <c r="E8" t="s">
        <v>50</v>
      </c>
      <c r="F8" t="s">
        <v>15</v>
      </c>
      <c r="G8" t="s">
        <v>16</v>
      </c>
      <c r="H8" t="s">
        <v>30</v>
      </c>
      <c r="I8">
        <v>13</v>
      </c>
      <c r="J8">
        <v>0</v>
      </c>
      <c r="K8">
        <v>73.23</v>
      </c>
      <c r="L8">
        <v>6.21</v>
      </c>
      <c r="M8" t="s">
        <v>2473</v>
      </c>
      <c r="N8" t="s">
        <v>2474</v>
      </c>
      <c r="O8" t="s">
        <v>2463</v>
      </c>
      <c r="P8">
        <v>3.62</v>
      </c>
      <c r="Q8">
        <v>6.03</v>
      </c>
      <c r="R8">
        <v>47.06</v>
      </c>
      <c r="S8">
        <v>19.96</v>
      </c>
      <c r="T8">
        <v>0.27256588829714595</v>
      </c>
      <c r="U8" s="1">
        <v>45870</v>
      </c>
      <c r="V8" t="s">
        <v>2499</v>
      </c>
      <c r="W8">
        <v>2025</v>
      </c>
    </row>
    <row r="9" spans="1:23" x14ac:dyDescent="0.25">
      <c r="A9" t="s">
        <v>55</v>
      </c>
      <c r="B9" s="1">
        <v>45535</v>
      </c>
      <c r="C9" s="1">
        <v>45540</v>
      </c>
      <c r="D9" t="s">
        <v>13</v>
      </c>
      <c r="E9" t="s">
        <v>14</v>
      </c>
      <c r="F9" t="s">
        <v>29</v>
      </c>
      <c r="G9" t="s">
        <v>16</v>
      </c>
      <c r="H9" t="s">
        <v>30</v>
      </c>
      <c r="I9">
        <v>9</v>
      </c>
      <c r="J9">
        <v>0</v>
      </c>
      <c r="K9">
        <v>51.12</v>
      </c>
      <c r="L9">
        <v>5.13</v>
      </c>
      <c r="M9" t="s">
        <v>2473</v>
      </c>
      <c r="N9" t="s">
        <v>2474</v>
      </c>
      <c r="O9" t="s">
        <v>2463</v>
      </c>
      <c r="P9">
        <v>3.62</v>
      </c>
      <c r="Q9">
        <v>6.03</v>
      </c>
      <c r="R9">
        <v>32.58</v>
      </c>
      <c r="S9">
        <v>13.41</v>
      </c>
      <c r="T9">
        <v>0.26232394366197187</v>
      </c>
      <c r="U9" s="1">
        <v>45505</v>
      </c>
      <c r="V9" t="s">
        <v>2499</v>
      </c>
      <c r="W9">
        <v>2024</v>
      </c>
    </row>
    <row r="10" spans="1:23" x14ac:dyDescent="0.25">
      <c r="A10" t="s">
        <v>35</v>
      </c>
      <c r="B10" s="1">
        <v>45731</v>
      </c>
      <c r="C10" s="1">
        <v>45732</v>
      </c>
      <c r="D10" t="s">
        <v>13</v>
      </c>
      <c r="E10" t="s">
        <v>36</v>
      </c>
      <c r="F10" t="s">
        <v>25</v>
      </c>
      <c r="G10" t="s">
        <v>20</v>
      </c>
      <c r="H10" t="s">
        <v>37</v>
      </c>
      <c r="I10">
        <v>4</v>
      </c>
      <c r="J10">
        <v>0</v>
      </c>
      <c r="K10">
        <v>417.15</v>
      </c>
      <c r="L10">
        <v>8.2200000000000006</v>
      </c>
      <c r="M10" t="s">
        <v>2464</v>
      </c>
      <c r="N10" t="s">
        <v>2458</v>
      </c>
      <c r="O10" t="s">
        <v>2465</v>
      </c>
      <c r="P10">
        <v>63.6</v>
      </c>
      <c r="Q10">
        <v>107.94</v>
      </c>
      <c r="R10">
        <v>254.4</v>
      </c>
      <c r="S10">
        <v>154.52999999999997</v>
      </c>
      <c r="T10">
        <v>0.37044228694714126</v>
      </c>
      <c r="U10" s="1">
        <v>45717</v>
      </c>
      <c r="V10" t="s">
        <v>2499</v>
      </c>
      <c r="W10">
        <v>2025</v>
      </c>
    </row>
    <row r="11" spans="1:23" x14ac:dyDescent="0.25">
      <c r="A11" t="s">
        <v>38</v>
      </c>
      <c r="B11" s="1">
        <v>45428</v>
      </c>
      <c r="C11" s="1">
        <v>45433</v>
      </c>
      <c r="D11" t="s">
        <v>13</v>
      </c>
      <c r="E11" t="s">
        <v>14</v>
      </c>
      <c r="F11" t="s">
        <v>29</v>
      </c>
      <c r="G11" t="s">
        <v>16</v>
      </c>
      <c r="H11" t="s">
        <v>39</v>
      </c>
      <c r="I11">
        <v>1</v>
      </c>
      <c r="J11">
        <v>0</v>
      </c>
      <c r="K11">
        <v>193.72</v>
      </c>
      <c r="L11">
        <v>3.45</v>
      </c>
      <c r="M11" t="s">
        <v>2471</v>
      </c>
      <c r="N11" t="s">
        <v>2467</v>
      </c>
      <c r="O11" t="s">
        <v>2461</v>
      </c>
      <c r="P11">
        <v>112.09</v>
      </c>
      <c r="Q11">
        <v>192.47</v>
      </c>
      <c r="R11">
        <v>112.09</v>
      </c>
      <c r="S11">
        <v>78.179999999999993</v>
      </c>
      <c r="T11">
        <v>0.40357216601280194</v>
      </c>
      <c r="U11" s="1">
        <v>45413</v>
      </c>
      <c r="V11" t="s">
        <v>2499</v>
      </c>
      <c r="W11">
        <v>2024</v>
      </c>
    </row>
    <row r="12" spans="1:23" x14ac:dyDescent="0.25">
      <c r="A12" t="s">
        <v>44</v>
      </c>
      <c r="B12" s="1">
        <v>45595</v>
      </c>
      <c r="C12" s="1">
        <v>45599</v>
      </c>
      <c r="D12" t="s">
        <v>32</v>
      </c>
      <c r="E12" t="s">
        <v>45</v>
      </c>
      <c r="F12" t="s">
        <v>29</v>
      </c>
      <c r="G12" t="s">
        <v>26</v>
      </c>
      <c r="H12" t="s">
        <v>39</v>
      </c>
      <c r="I12">
        <v>4</v>
      </c>
      <c r="J12">
        <v>0.2</v>
      </c>
      <c r="K12">
        <v>705.26</v>
      </c>
      <c r="L12">
        <v>9.5</v>
      </c>
      <c r="M12" t="s">
        <v>2471</v>
      </c>
      <c r="N12" t="s">
        <v>2467</v>
      </c>
      <c r="O12" t="s">
        <v>2461</v>
      </c>
      <c r="P12">
        <v>112.09</v>
      </c>
      <c r="Q12">
        <v>192.47</v>
      </c>
      <c r="R12">
        <v>448.36</v>
      </c>
      <c r="S12">
        <v>247.39999999999998</v>
      </c>
      <c r="T12">
        <v>0.35079261548932306</v>
      </c>
      <c r="U12" s="1">
        <v>45566</v>
      </c>
      <c r="V12" t="s">
        <v>2500</v>
      </c>
      <c r="W12">
        <v>2024</v>
      </c>
    </row>
    <row r="13" spans="1:23" x14ac:dyDescent="0.25">
      <c r="A13" t="s">
        <v>52</v>
      </c>
      <c r="B13" s="1">
        <v>45647</v>
      </c>
      <c r="C13" s="1">
        <v>45650</v>
      </c>
      <c r="D13" t="s">
        <v>47</v>
      </c>
      <c r="E13" t="s">
        <v>48</v>
      </c>
      <c r="F13" t="s">
        <v>25</v>
      </c>
      <c r="G13" t="s">
        <v>26</v>
      </c>
      <c r="H13" t="s">
        <v>53</v>
      </c>
      <c r="I13">
        <v>3</v>
      </c>
      <c r="J13">
        <v>0.25</v>
      </c>
      <c r="K13">
        <v>177.03</v>
      </c>
      <c r="L13">
        <v>4.95</v>
      </c>
      <c r="M13" t="s">
        <v>2470</v>
      </c>
      <c r="N13" t="s">
        <v>2467</v>
      </c>
      <c r="O13" t="s">
        <v>2459</v>
      </c>
      <c r="P13">
        <v>31.34</v>
      </c>
      <c r="Q13">
        <v>56.49</v>
      </c>
      <c r="R13">
        <v>94.02</v>
      </c>
      <c r="S13">
        <v>78.06</v>
      </c>
      <c r="T13">
        <v>0.44094221318420607</v>
      </c>
      <c r="U13" s="1">
        <v>45627</v>
      </c>
      <c r="V13" t="s">
        <v>2501</v>
      </c>
      <c r="W13">
        <v>2024</v>
      </c>
    </row>
    <row r="14" spans="1:23" x14ac:dyDescent="0.25">
      <c r="A14" t="s">
        <v>56</v>
      </c>
      <c r="B14" s="1">
        <v>45379</v>
      </c>
      <c r="C14" s="1">
        <v>45384</v>
      </c>
      <c r="D14" t="s">
        <v>47</v>
      </c>
      <c r="E14" t="s">
        <v>50</v>
      </c>
      <c r="F14" t="s">
        <v>29</v>
      </c>
      <c r="G14" t="s">
        <v>20</v>
      </c>
      <c r="H14" t="s">
        <v>53</v>
      </c>
      <c r="I14">
        <v>3</v>
      </c>
      <c r="J14">
        <v>0</v>
      </c>
      <c r="K14">
        <v>159.77000000000001</v>
      </c>
      <c r="L14">
        <v>8.25</v>
      </c>
      <c r="M14" t="s">
        <v>2470</v>
      </c>
      <c r="N14" t="s">
        <v>2467</v>
      </c>
      <c r="O14" t="s">
        <v>2459</v>
      </c>
      <c r="P14">
        <v>31.34</v>
      </c>
      <c r="Q14">
        <v>56.49</v>
      </c>
      <c r="R14">
        <v>94.02</v>
      </c>
      <c r="S14">
        <v>57.500000000000014</v>
      </c>
      <c r="T14">
        <v>0.3598923452462916</v>
      </c>
      <c r="U14" s="1">
        <v>45352</v>
      </c>
      <c r="V14" t="s">
        <v>2499</v>
      </c>
      <c r="W14">
        <v>2024</v>
      </c>
    </row>
    <row r="15" spans="1:23" x14ac:dyDescent="0.25">
      <c r="A15" t="s">
        <v>40</v>
      </c>
      <c r="B15" s="1">
        <v>45910</v>
      </c>
      <c r="C15" s="1">
        <v>45912</v>
      </c>
      <c r="D15" t="s">
        <v>13</v>
      </c>
      <c r="E15" t="s">
        <v>36</v>
      </c>
      <c r="F15" t="s">
        <v>25</v>
      </c>
      <c r="G15" t="s">
        <v>26</v>
      </c>
      <c r="H15" t="s">
        <v>41</v>
      </c>
      <c r="I15">
        <v>11</v>
      </c>
      <c r="J15">
        <v>0.2</v>
      </c>
      <c r="K15">
        <v>55.97</v>
      </c>
      <c r="L15">
        <v>5.67</v>
      </c>
      <c r="M15" t="s">
        <v>2479</v>
      </c>
      <c r="N15" t="s">
        <v>2474</v>
      </c>
      <c r="O15" t="s">
        <v>2459</v>
      </c>
      <c r="P15">
        <v>3.3</v>
      </c>
      <c r="Q15">
        <v>6.13</v>
      </c>
      <c r="R15">
        <v>36.299999999999997</v>
      </c>
      <c r="S15">
        <v>14.000000000000002</v>
      </c>
      <c r="T15">
        <v>0.2501340003573343</v>
      </c>
      <c r="U15" s="1">
        <v>45901</v>
      </c>
      <c r="V15" t="s">
        <v>2500</v>
      </c>
      <c r="W15">
        <v>2025</v>
      </c>
    </row>
    <row r="16" spans="1:23" x14ac:dyDescent="0.25">
      <c r="A16" t="s">
        <v>46</v>
      </c>
      <c r="B16" s="1">
        <v>45325</v>
      </c>
      <c r="C16" s="1">
        <v>45326</v>
      </c>
      <c r="D16" t="s">
        <v>47</v>
      </c>
      <c r="E16" t="s">
        <v>48</v>
      </c>
      <c r="F16" t="s">
        <v>15</v>
      </c>
      <c r="G16" t="s">
        <v>16</v>
      </c>
      <c r="H16" t="s">
        <v>41</v>
      </c>
      <c r="I16">
        <v>4</v>
      </c>
      <c r="J16">
        <v>0</v>
      </c>
      <c r="K16">
        <v>22.92</v>
      </c>
      <c r="L16">
        <v>3.78</v>
      </c>
      <c r="M16" t="s">
        <v>2479</v>
      </c>
      <c r="N16" t="s">
        <v>2474</v>
      </c>
      <c r="O16" t="s">
        <v>2459</v>
      </c>
      <c r="P16">
        <v>3.3</v>
      </c>
      <c r="Q16">
        <v>6.13</v>
      </c>
      <c r="R16">
        <v>13.2</v>
      </c>
      <c r="S16">
        <v>5.9400000000000031</v>
      </c>
      <c r="T16">
        <v>0.2591623036649216</v>
      </c>
      <c r="U16" s="1">
        <v>45323</v>
      </c>
      <c r="V16" t="s">
        <v>2499</v>
      </c>
      <c r="W16">
        <v>2024</v>
      </c>
    </row>
    <row r="17" spans="1:23" x14ac:dyDescent="0.25">
      <c r="A17" t="s">
        <v>49</v>
      </c>
      <c r="B17" s="1">
        <v>45999</v>
      </c>
      <c r="C17" s="1">
        <v>46005</v>
      </c>
      <c r="D17" t="s">
        <v>47</v>
      </c>
      <c r="E17" t="s">
        <v>50</v>
      </c>
      <c r="F17" t="s">
        <v>15</v>
      </c>
      <c r="G17" t="s">
        <v>16</v>
      </c>
      <c r="H17" t="s">
        <v>51</v>
      </c>
      <c r="I17">
        <v>5</v>
      </c>
      <c r="J17">
        <v>0.1</v>
      </c>
      <c r="K17">
        <v>89.84</v>
      </c>
      <c r="L17">
        <v>4.05</v>
      </c>
      <c r="M17" t="s">
        <v>2475</v>
      </c>
      <c r="N17" t="s">
        <v>2474</v>
      </c>
      <c r="O17" t="s">
        <v>2463</v>
      </c>
      <c r="P17">
        <v>7.93</v>
      </c>
      <c r="Q17">
        <v>14.78</v>
      </c>
      <c r="R17">
        <v>39.65</v>
      </c>
      <c r="S17">
        <v>46.140000000000008</v>
      </c>
      <c r="T17">
        <v>0.513579697239537</v>
      </c>
      <c r="U17" s="1">
        <v>45992</v>
      </c>
      <c r="V17" t="s">
        <v>2498</v>
      </c>
      <c r="W17">
        <v>2025</v>
      </c>
    </row>
    <row r="18" spans="1:23" x14ac:dyDescent="0.25">
      <c r="A18" t="s">
        <v>57</v>
      </c>
      <c r="B18" s="1">
        <v>45602</v>
      </c>
      <c r="C18" s="1">
        <v>45606</v>
      </c>
      <c r="D18" t="s">
        <v>32</v>
      </c>
      <c r="E18" t="s">
        <v>45</v>
      </c>
      <c r="F18" t="s">
        <v>25</v>
      </c>
      <c r="G18" t="s">
        <v>26</v>
      </c>
      <c r="H18" t="s">
        <v>41</v>
      </c>
      <c r="I18">
        <v>5</v>
      </c>
      <c r="J18">
        <v>0.1</v>
      </c>
      <c r="K18">
        <v>38.799999999999997</v>
      </c>
      <c r="L18">
        <v>6.75</v>
      </c>
      <c r="M18" t="s">
        <v>2479</v>
      </c>
      <c r="N18" t="s">
        <v>2474</v>
      </c>
      <c r="O18" t="s">
        <v>2459</v>
      </c>
      <c r="P18">
        <v>3.3</v>
      </c>
      <c r="Q18">
        <v>6.13</v>
      </c>
      <c r="R18">
        <v>16.5</v>
      </c>
      <c r="S18">
        <v>15.549999999999997</v>
      </c>
      <c r="T18">
        <v>0.40077319587628862</v>
      </c>
      <c r="U18" s="1">
        <v>45597</v>
      </c>
      <c r="V18" t="s">
        <v>2498</v>
      </c>
      <c r="W18">
        <v>2024</v>
      </c>
    </row>
    <row r="19" spans="1:23" x14ac:dyDescent="0.25">
      <c r="A19" t="s">
        <v>58</v>
      </c>
      <c r="B19" s="1">
        <v>45839</v>
      </c>
      <c r="C19" s="1">
        <v>45840</v>
      </c>
      <c r="D19" t="s">
        <v>23</v>
      </c>
      <c r="E19" t="s">
        <v>59</v>
      </c>
      <c r="F19" t="s">
        <v>29</v>
      </c>
      <c r="G19" t="s">
        <v>20</v>
      </c>
      <c r="H19" t="s">
        <v>60</v>
      </c>
      <c r="I19">
        <v>2</v>
      </c>
      <c r="J19">
        <v>0.1</v>
      </c>
      <c r="K19">
        <v>180.98</v>
      </c>
      <c r="L19">
        <v>4.2</v>
      </c>
      <c r="M19" t="s">
        <v>2469</v>
      </c>
      <c r="N19" t="s">
        <v>2467</v>
      </c>
      <c r="O19" t="s">
        <v>2468</v>
      </c>
      <c r="P19">
        <v>54.95</v>
      </c>
      <c r="Q19">
        <v>112.56</v>
      </c>
      <c r="R19">
        <v>109.9</v>
      </c>
      <c r="S19">
        <v>66.879999999999981</v>
      </c>
      <c r="T19">
        <v>0.36954359597745601</v>
      </c>
      <c r="U19" s="1">
        <v>45839</v>
      </c>
      <c r="V19" t="s">
        <v>2498</v>
      </c>
      <c r="W19">
        <v>2025</v>
      </c>
    </row>
    <row r="20" spans="1:23" x14ac:dyDescent="0.25">
      <c r="A20" t="s">
        <v>61</v>
      </c>
      <c r="B20" s="1">
        <v>45787</v>
      </c>
      <c r="C20" s="1">
        <v>45792</v>
      </c>
      <c r="D20" t="s">
        <v>32</v>
      </c>
      <c r="E20" t="s">
        <v>62</v>
      </c>
      <c r="F20" t="s">
        <v>15</v>
      </c>
      <c r="G20" t="s">
        <v>26</v>
      </c>
      <c r="H20" t="s">
        <v>63</v>
      </c>
      <c r="I20">
        <v>8</v>
      </c>
      <c r="J20">
        <v>0</v>
      </c>
      <c r="K20">
        <v>100.68</v>
      </c>
      <c r="L20">
        <v>4.8600000000000003</v>
      </c>
      <c r="M20" t="s">
        <v>2477</v>
      </c>
      <c r="N20" t="s">
        <v>2474</v>
      </c>
      <c r="O20" t="s">
        <v>2468</v>
      </c>
      <c r="P20">
        <v>6.33</v>
      </c>
      <c r="Q20">
        <v>12.16</v>
      </c>
      <c r="R20">
        <v>50.64</v>
      </c>
      <c r="S20">
        <v>45.180000000000007</v>
      </c>
      <c r="T20">
        <v>0.4487485101311085</v>
      </c>
      <c r="U20" s="1">
        <v>45778</v>
      </c>
      <c r="V20" t="s">
        <v>2499</v>
      </c>
      <c r="W20">
        <v>2025</v>
      </c>
    </row>
    <row r="21" spans="1:23" x14ac:dyDescent="0.25">
      <c r="A21" t="s">
        <v>64</v>
      </c>
      <c r="B21" s="1">
        <v>45326</v>
      </c>
      <c r="C21" s="1">
        <v>45327</v>
      </c>
      <c r="D21" t="s">
        <v>47</v>
      </c>
      <c r="E21" t="s">
        <v>48</v>
      </c>
      <c r="F21" t="s">
        <v>15</v>
      </c>
      <c r="G21" t="s">
        <v>16</v>
      </c>
      <c r="H21" t="s">
        <v>65</v>
      </c>
      <c r="I21">
        <v>3</v>
      </c>
      <c r="J21">
        <v>0</v>
      </c>
      <c r="K21">
        <v>818.4</v>
      </c>
      <c r="L21">
        <v>6.84</v>
      </c>
      <c r="M21" t="s">
        <v>2457</v>
      </c>
      <c r="N21" t="s">
        <v>2458</v>
      </c>
      <c r="O21" t="s">
        <v>2459</v>
      </c>
      <c r="P21">
        <v>173.56</v>
      </c>
      <c r="Q21">
        <v>286.14999999999998</v>
      </c>
      <c r="R21">
        <v>520.68000000000006</v>
      </c>
      <c r="S21">
        <v>290.87999999999994</v>
      </c>
      <c r="T21">
        <v>0.3554252199413489</v>
      </c>
      <c r="U21" s="1">
        <v>45323</v>
      </c>
      <c r="V21" t="s">
        <v>2499</v>
      </c>
      <c r="W21">
        <v>2024</v>
      </c>
    </row>
    <row r="22" spans="1:23" x14ac:dyDescent="0.25">
      <c r="A22" t="s">
        <v>66</v>
      </c>
      <c r="B22" s="1">
        <v>45637</v>
      </c>
      <c r="C22" s="1">
        <v>45642</v>
      </c>
      <c r="D22" t="s">
        <v>13</v>
      </c>
      <c r="E22" t="s">
        <v>19</v>
      </c>
      <c r="F22" t="s">
        <v>29</v>
      </c>
      <c r="G22" t="s">
        <v>26</v>
      </c>
      <c r="H22" t="s">
        <v>63</v>
      </c>
      <c r="I22">
        <v>5</v>
      </c>
      <c r="J22">
        <v>0.15</v>
      </c>
      <c r="K22">
        <v>77.349999999999994</v>
      </c>
      <c r="L22">
        <v>6.75</v>
      </c>
      <c r="M22" t="s">
        <v>2477</v>
      </c>
      <c r="N22" t="s">
        <v>2474</v>
      </c>
      <c r="O22" t="s">
        <v>2468</v>
      </c>
      <c r="P22">
        <v>6.33</v>
      </c>
      <c r="Q22">
        <v>12.16</v>
      </c>
      <c r="R22">
        <v>31.65</v>
      </c>
      <c r="S22">
        <v>38.949999999999996</v>
      </c>
      <c r="T22">
        <v>0.5035552682611506</v>
      </c>
      <c r="U22" s="1">
        <v>45627</v>
      </c>
      <c r="V22" t="s">
        <v>2500</v>
      </c>
      <c r="W22">
        <v>2024</v>
      </c>
    </row>
    <row r="23" spans="1:23" x14ac:dyDescent="0.25">
      <c r="A23" t="s">
        <v>67</v>
      </c>
      <c r="B23" s="1">
        <v>45826</v>
      </c>
      <c r="C23" s="1">
        <v>45830</v>
      </c>
      <c r="D23" t="s">
        <v>47</v>
      </c>
      <c r="E23" t="s">
        <v>48</v>
      </c>
      <c r="F23" t="s">
        <v>25</v>
      </c>
      <c r="G23" t="s">
        <v>26</v>
      </c>
      <c r="H23" t="s">
        <v>68</v>
      </c>
      <c r="I23">
        <v>1</v>
      </c>
      <c r="J23">
        <v>0</v>
      </c>
      <c r="K23">
        <v>54.36</v>
      </c>
      <c r="L23">
        <v>3.45</v>
      </c>
      <c r="M23" t="s">
        <v>2466</v>
      </c>
      <c r="N23" t="s">
        <v>2467</v>
      </c>
      <c r="O23" t="s">
        <v>2468</v>
      </c>
      <c r="P23">
        <v>25.33</v>
      </c>
      <c r="Q23">
        <v>51.56</v>
      </c>
      <c r="R23">
        <v>25.33</v>
      </c>
      <c r="S23">
        <v>25.580000000000002</v>
      </c>
      <c r="T23">
        <v>0.47056659308314941</v>
      </c>
      <c r="U23" s="1">
        <v>45809</v>
      </c>
      <c r="V23" t="s">
        <v>2499</v>
      </c>
      <c r="W23">
        <v>2025</v>
      </c>
    </row>
    <row r="24" spans="1:23" x14ac:dyDescent="0.25">
      <c r="A24" t="s">
        <v>69</v>
      </c>
      <c r="B24" s="1">
        <v>45524</v>
      </c>
      <c r="C24" s="1">
        <v>45525</v>
      </c>
      <c r="D24" t="s">
        <v>23</v>
      </c>
      <c r="E24" t="s">
        <v>43</v>
      </c>
      <c r="F24" t="s">
        <v>25</v>
      </c>
      <c r="G24" t="s">
        <v>16</v>
      </c>
      <c r="H24" t="s">
        <v>37</v>
      </c>
      <c r="I24">
        <v>2</v>
      </c>
      <c r="J24">
        <v>0</v>
      </c>
      <c r="K24">
        <v>215.64</v>
      </c>
      <c r="L24">
        <v>9.1</v>
      </c>
      <c r="M24" t="s">
        <v>2464</v>
      </c>
      <c r="N24" t="s">
        <v>2458</v>
      </c>
      <c r="O24" t="s">
        <v>2465</v>
      </c>
      <c r="P24">
        <v>63.6</v>
      </c>
      <c r="Q24">
        <v>107.94</v>
      </c>
      <c r="R24">
        <v>127.2</v>
      </c>
      <c r="S24">
        <v>79.339999999999989</v>
      </c>
      <c r="T24">
        <v>0.36792802819514003</v>
      </c>
      <c r="U24" s="1">
        <v>45505</v>
      </c>
      <c r="V24" t="s">
        <v>2499</v>
      </c>
      <c r="W24">
        <v>2024</v>
      </c>
    </row>
    <row r="25" spans="1:23" x14ac:dyDescent="0.25">
      <c r="A25" t="s">
        <v>70</v>
      </c>
      <c r="B25" s="1">
        <v>45605</v>
      </c>
      <c r="C25" s="1">
        <v>45611</v>
      </c>
      <c r="D25" t="s">
        <v>47</v>
      </c>
      <c r="E25" t="s">
        <v>71</v>
      </c>
      <c r="F25" t="s">
        <v>15</v>
      </c>
      <c r="G25" t="s">
        <v>26</v>
      </c>
      <c r="H25" t="s">
        <v>17</v>
      </c>
      <c r="I25">
        <v>1</v>
      </c>
      <c r="J25">
        <v>0.2</v>
      </c>
      <c r="K25">
        <v>131.57</v>
      </c>
      <c r="L25">
        <v>3.45</v>
      </c>
      <c r="M25" t="s">
        <v>2472</v>
      </c>
      <c r="N25" t="s">
        <v>2467</v>
      </c>
      <c r="O25" t="s">
        <v>2468</v>
      </c>
      <c r="P25">
        <v>63.69</v>
      </c>
      <c r="Q25">
        <v>125.5</v>
      </c>
      <c r="R25">
        <v>63.69</v>
      </c>
      <c r="S25">
        <v>64.429999999999993</v>
      </c>
      <c r="T25">
        <v>0.48970129968837878</v>
      </c>
      <c r="U25" s="1">
        <v>45597</v>
      </c>
      <c r="V25" t="s">
        <v>2500</v>
      </c>
      <c r="W25">
        <v>2024</v>
      </c>
    </row>
    <row r="26" spans="1:23" x14ac:dyDescent="0.25">
      <c r="A26" t="s">
        <v>72</v>
      </c>
      <c r="B26" s="1">
        <v>45767</v>
      </c>
      <c r="C26" s="1">
        <v>45769</v>
      </c>
      <c r="D26" t="s">
        <v>13</v>
      </c>
      <c r="E26" t="s">
        <v>36</v>
      </c>
      <c r="F26" t="s">
        <v>29</v>
      </c>
      <c r="G26" t="s">
        <v>16</v>
      </c>
      <c r="H26" t="s">
        <v>63</v>
      </c>
      <c r="I26">
        <v>7</v>
      </c>
      <c r="J26">
        <v>0</v>
      </c>
      <c r="K26">
        <v>87.34</v>
      </c>
      <c r="L26">
        <v>4.59</v>
      </c>
      <c r="M26" t="s">
        <v>2477</v>
      </c>
      <c r="N26" t="s">
        <v>2474</v>
      </c>
      <c r="O26" t="s">
        <v>2468</v>
      </c>
      <c r="P26">
        <v>6.33</v>
      </c>
      <c r="Q26">
        <v>12.16</v>
      </c>
      <c r="R26">
        <v>44.31</v>
      </c>
      <c r="S26">
        <v>38.44</v>
      </c>
      <c r="T26">
        <v>0.44011907487978014</v>
      </c>
      <c r="U26" s="1">
        <v>45748</v>
      </c>
      <c r="V26" t="s">
        <v>2499</v>
      </c>
      <c r="W26">
        <v>2025</v>
      </c>
    </row>
    <row r="27" spans="1:23" x14ac:dyDescent="0.25">
      <c r="A27" t="s">
        <v>73</v>
      </c>
      <c r="B27" s="1">
        <v>45830</v>
      </c>
      <c r="C27" s="1">
        <v>45836</v>
      </c>
      <c r="D27" t="s">
        <v>32</v>
      </c>
      <c r="E27" t="s">
        <v>45</v>
      </c>
      <c r="F27" t="s">
        <v>15</v>
      </c>
      <c r="G27" t="s">
        <v>26</v>
      </c>
      <c r="H27" t="s">
        <v>51</v>
      </c>
      <c r="I27">
        <v>7</v>
      </c>
      <c r="J27">
        <v>0</v>
      </c>
      <c r="K27">
        <v>105.51</v>
      </c>
      <c r="L27">
        <v>7.65</v>
      </c>
      <c r="M27" t="s">
        <v>2475</v>
      </c>
      <c r="N27" t="s">
        <v>2474</v>
      </c>
      <c r="O27" t="s">
        <v>2463</v>
      </c>
      <c r="P27">
        <v>7.93</v>
      </c>
      <c r="Q27">
        <v>14.78</v>
      </c>
      <c r="R27">
        <v>55.51</v>
      </c>
      <c r="S27">
        <v>42.350000000000009</v>
      </c>
      <c r="T27">
        <v>0.40138375509430391</v>
      </c>
      <c r="U27" s="1">
        <v>45809</v>
      </c>
      <c r="V27" t="s">
        <v>2499</v>
      </c>
      <c r="W27">
        <v>2025</v>
      </c>
    </row>
    <row r="28" spans="1:23" x14ac:dyDescent="0.25">
      <c r="A28" t="s">
        <v>74</v>
      </c>
      <c r="B28" s="1">
        <v>45876</v>
      </c>
      <c r="C28" s="1">
        <v>45882</v>
      </c>
      <c r="D28" t="s">
        <v>47</v>
      </c>
      <c r="E28" t="s">
        <v>48</v>
      </c>
      <c r="F28" t="s">
        <v>15</v>
      </c>
      <c r="G28" t="s">
        <v>26</v>
      </c>
      <c r="H28" t="s">
        <v>63</v>
      </c>
      <c r="I28">
        <v>11</v>
      </c>
      <c r="J28">
        <v>0.05</v>
      </c>
      <c r="K28">
        <v>119.24</v>
      </c>
      <c r="L28">
        <v>9.4499999999999993</v>
      </c>
      <c r="M28" t="s">
        <v>2477</v>
      </c>
      <c r="N28" t="s">
        <v>2474</v>
      </c>
      <c r="O28" t="s">
        <v>2468</v>
      </c>
      <c r="P28">
        <v>6.33</v>
      </c>
      <c r="Q28">
        <v>12.16</v>
      </c>
      <c r="R28">
        <v>69.63</v>
      </c>
      <c r="S28">
        <v>40.159999999999997</v>
      </c>
      <c r="T28">
        <v>0.33679973163367993</v>
      </c>
      <c r="U28" s="1">
        <v>45870</v>
      </c>
      <c r="V28" t="s">
        <v>2498</v>
      </c>
      <c r="W28">
        <v>2025</v>
      </c>
    </row>
    <row r="29" spans="1:23" x14ac:dyDescent="0.25">
      <c r="A29" t="s">
        <v>75</v>
      </c>
      <c r="B29" s="1">
        <v>45482</v>
      </c>
      <c r="C29" s="1">
        <v>45488</v>
      </c>
      <c r="D29" t="s">
        <v>32</v>
      </c>
      <c r="E29" t="s">
        <v>33</v>
      </c>
      <c r="F29" t="s">
        <v>15</v>
      </c>
      <c r="G29" t="s">
        <v>20</v>
      </c>
      <c r="H29" t="s">
        <v>21</v>
      </c>
      <c r="I29">
        <v>2</v>
      </c>
      <c r="J29">
        <v>0</v>
      </c>
      <c r="K29">
        <v>208.22</v>
      </c>
      <c r="L29">
        <v>9.1</v>
      </c>
      <c r="M29" t="s">
        <v>2462</v>
      </c>
      <c r="N29" t="s">
        <v>2458</v>
      </c>
      <c r="O29" t="s">
        <v>2463</v>
      </c>
      <c r="P29">
        <v>71.489999999999995</v>
      </c>
      <c r="Q29">
        <v>112.88</v>
      </c>
      <c r="R29">
        <v>142.97999999999999</v>
      </c>
      <c r="S29">
        <v>56.140000000000008</v>
      </c>
      <c r="T29">
        <v>0.26961867255787153</v>
      </c>
      <c r="U29" s="1">
        <v>45474</v>
      </c>
      <c r="V29" t="s">
        <v>2499</v>
      </c>
      <c r="W29">
        <v>2024</v>
      </c>
    </row>
    <row r="30" spans="1:23" x14ac:dyDescent="0.25">
      <c r="A30" t="s">
        <v>76</v>
      </c>
      <c r="B30" s="1">
        <v>45736</v>
      </c>
      <c r="C30" s="1">
        <v>45742</v>
      </c>
      <c r="D30" t="s">
        <v>23</v>
      </c>
      <c r="E30" t="s">
        <v>24</v>
      </c>
      <c r="F30" t="s">
        <v>25</v>
      </c>
      <c r="G30" t="s">
        <v>20</v>
      </c>
      <c r="H30" t="s">
        <v>41</v>
      </c>
      <c r="I30">
        <v>13</v>
      </c>
      <c r="J30">
        <v>0</v>
      </c>
      <c r="K30">
        <v>72.319999999999993</v>
      </c>
      <c r="L30">
        <v>10.35</v>
      </c>
      <c r="M30" t="s">
        <v>2479</v>
      </c>
      <c r="N30" t="s">
        <v>2474</v>
      </c>
      <c r="O30" t="s">
        <v>2459</v>
      </c>
      <c r="P30">
        <v>3.3</v>
      </c>
      <c r="Q30">
        <v>6.13</v>
      </c>
      <c r="R30">
        <v>42.9</v>
      </c>
      <c r="S30">
        <v>19.069999999999993</v>
      </c>
      <c r="T30">
        <v>0.26368915929203535</v>
      </c>
      <c r="U30" s="1">
        <v>45717</v>
      </c>
      <c r="V30" t="s">
        <v>2499</v>
      </c>
      <c r="W30">
        <v>2025</v>
      </c>
    </row>
    <row r="31" spans="1:23" x14ac:dyDescent="0.25">
      <c r="A31" t="s">
        <v>77</v>
      </c>
      <c r="B31" s="1">
        <v>45492</v>
      </c>
      <c r="C31" s="1">
        <v>45497</v>
      </c>
      <c r="D31" t="s">
        <v>13</v>
      </c>
      <c r="E31" t="s">
        <v>14</v>
      </c>
      <c r="F31" t="s">
        <v>29</v>
      </c>
      <c r="G31" t="s">
        <v>26</v>
      </c>
      <c r="H31" t="s">
        <v>53</v>
      </c>
      <c r="I31">
        <v>2</v>
      </c>
      <c r="J31">
        <v>0</v>
      </c>
      <c r="K31">
        <v>100.74</v>
      </c>
      <c r="L31">
        <v>7</v>
      </c>
      <c r="M31" t="s">
        <v>2470</v>
      </c>
      <c r="N31" t="s">
        <v>2467</v>
      </c>
      <c r="O31" t="s">
        <v>2459</v>
      </c>
      <c r="P31">
        <v>31.34</v>
      </c>
      <c r="Q31">
        <v>56.49</v>
      </c>
      <c r="R31">
        <v>62.68</v>
      </c>
      <c r="S31">
        <v>31.059999999999995</v>
      </c>
      <c r="T31">
        <v>0.308318443517967</v>
      </c>
      <c r="U31" s="1">
        <v>45474</v>
      </c>
      <c r="V31" t="s">
        <v>2499</v>
      </c>
      <c r="W31">
        <v>2024</v>
      </c>
    </row>
    <row r="32" spans="1:23" x14ac:dyDescent="0.25">
      <c r="A32" t="s">
        <v>78</v>
      </c>
      <c r="B32" s="1">
        <v>45582</v>
      </c>
      <c r="C32" s="1">
        <v>45584</v>
      </c>
      <c r="D32" t="s">
        <v>13</v>
      </c>
      <c r="E32" t="s">
        <v>19</v>
      </c>
      <c r="F32" t="s">
        <v>29</v>
      </c>
      <c r="G32" t="s">
        <v>16</v>
      </c>
      <c r="H32" t="s">
        <v>60</v>
      </c>
      <c r="I32">
        <v>4</v>
      </c>
      <c r="J32">
        <v>0</v>
      </c>
      <c r="K32">
        <v>540.23</v>
      </c>
      <c r="L32">
        <v>5.7</v>
      </c>
      <c r="M32" t="s">
        <v>2469</v>
      </c>
      <c r="N32" t="s">
        <v>2467</v>
      </c>
      <c r="O32" t="s">
        <v>2468</v>
      </c>
      <c r="P32">
        <v>54.95</v>
      </c>
      <c r="Q32">
        <v>112.56</v>
      </c>
      <c r="R32">
        <v>219.8</v>
      </c>
      <c r="S32">
        <v>314.73</v>
      </c>
      <c r="T32">
        <v>0.58258519519463936</v>
      </c>
      <c r="U32" s="1">
        <v>45566</v>
      </c>
      <c r="V32" t="s">
        <v>2499</v>
      </c>
      <c r="W32">
        <v>2024</v>
      </c>
    </row>
    <row r="33" spans="1:23" x14ac:dyDescent="0.25">
      <c r="A33" t="s">
        <v>79</v>
      </c>
      <c r="B33" s="1">
        <v>45413</v>
      </c>
      <c r="C33" s="1">
        <v>45418</v>
      </c>
      <c r="D33" t="s">
        <v>23</v>
      </c>
      <c r="E33" t="s">
        <v>59</v>
      </c>
      <c r="F33" t="s">
        <v>15</v>
      </c>
      <c r="G33" t="s">
        <v>16</v>
      </c>
      <c r="H33" t="s">
        <v>65</v>
      </c>
      <c r="I33">
        <v>2</v>
      </c>
      <c r="J33">
        <v>0</v>
      </c>
      <c r="K33">
        <v>563.76</v>
      </c>
      <c r="L33">
        <v>9.1</v>
      </c>
      <c r="M33" t="s">
        <v>2457</v>
      </c>
      <c r="N33" t="s">
        <v>2458</v>
      </c>
      <c r="O33" t="s">
        <v>2459</v>
      </c>
      <c r="P33">
        <v>173.56</v>
      </c>
      <c r="Q33">
        <v>286.14999999999998</v>
      </c>
      <c r="R33">
        <v>347.12</v>
      </c>
      <c r="S33">
        <v>207.54</v>
      </c>
      <c r="T33">
        <v>0.36813537675606639</v>
      </c>
      <c r="U33" s="1">
        <v>45413</v>
      </c>
      <c r="V33" t="s">
        <v>2499</v>
      </c>
      <c r="W33">
        <v>2024</v>
      </c>
    </row>
    <row r="34" spans="1:23" x14ac:dyDescent="0.25">
      <c r="A34" t="s">
        <v>80</v>
      </c>
      <c r="B34" s="1">
        <v>45875</v>
      </c>
      <c r="C34" s="1">
        <v>45881</v>
      </c>
      <c r="D34" t="s">
        <v>47</v>
      </c>
      <c r="E34" t="s">
        <v>50</v>
      </c>
      <c r="F34" t="s">
        <v>15</v>
      </c>
      <c r="G34" t="s">
        <v>20</v>
      </c>
      <c r="H34" t="s">
        <v>60</v>
      </c>
      <c r="I34">
        <v>2</v>
      </c>
      <c r="J34">
        <v>0</v>
      </c>
      <c r="K34">
        <v>212.29</v>
      </c>
      <c r="L34">
        <v>4.2</v>
      </c>
      <c r="M34" t="s">
        <v>2469</v>
      </c>
      <c r="N34" t="s">
        <v>2467</v>
      </c>
      <c r="O34" t="s">
        <v>2468</v>
      </c>
      <c r="P34">
        <v>54.95</v>
      </c>
      <c r="Q34">
        <v>112.56</v>
      </c>
      <c r="R34">
        <v>109.9</v>
      </c>
      <c r="S34">
        <v>98.189999999999984</v>
      </c>
      <c r="T34">
        <v>0.46252767440764986</v>
      </c>
      <c r="U34" s="1">
        <v>45870</v>
      </c>
      <c r="V34" t="s">
        <v>2499</v>
      </c>
      <c r="W34">
        <v>2025</v>
      </c>
    </row>
    <row r="35" spans="1:23" x14ac:dyDescent="0.25">
      <c r="A35" t="s">
        <v>81</v>
      </c>
      <c r="B35" s="1">
        <v>45926</v>
      </c>
      <c r="C35" s="1">
        <v>45929</v>
      </c>
      <c r="D35" t="s">
        <v>47</v>
      </c>
      <c r="E35" t="s">
        <v>48</v>
      </c>
      <c r="F35" t="s">
        <v>15</v>
      </c>
      <c r="G35" t="s">
        <v>26</v>
      </c>
      <c r="H35" t="s">
        <v>63</v>
      </c>
      <c r="I35">
        <v>6</v>
      </c>
      <c r="J35">
        <v>0</v>
      </c>
      <c r="K35">
        <v>82.26</v>
      </c>
      <c r="L35">
        <v>4.32</v>
      </c>
      <c r="M35" t="s">
        <v>2477</v>
      </c>
      <c r="N35" t="s">
        <v>2474</v>
      </c>
      <c r="O35" t="s">
        <v>2468</v>
      </c>
      <c r="P35">
        <v>6.33</v>
      </c>
      <c r="Q35">
        <v>12.16</v>
      </c>
      <c r="R35">
        <v>37.980000000000004</v>
      </c>
      <c r="S35">
        <v>39.96</v>
      </c>
      <c r="T35">
        <v>0.48577680525164113</v>
      </c>
      <c r="U35" s="1">
        <v>45901</v>
      </c>
      <c r="V35" t="s">
        <v>2499</v>
      </c>
      <c r="W35">
        <v>2025</v>
      </c>
    </row>
    <row r="36" spans="1:23" x14ac:dyDescent="0.25">
      <c r="A36" t="s">
        <v>82</v>
      </c>
      <c r="B36" s="1">
        <v>45812</v>
      </c>
      <c r="C36" s="1">
        <v>45814</v>
      </c>
      <c r="D36" t="s">
        <v>32</v>
      </c>
      <c r="E36" t="s">
        <v>45</v>
      </c>
      <c r="F36" t="s">
        <v>25</v>
      </c>
      <c r="G36" t="s">
        <v>20</v>
      </c>
      <c r="H36" t="s">
        <v>53</v>
      </c>
      <c r="I36">
        <v>2</v>
      </c>
      <c r="J36">
        <v>0.15</v>
      </c>
      <c r="K36">
        <v>103.72</v>
      </c>
      <c r="L36">
        <v>4.2</v>
      </c>
      <c r="M36" t="s">
        <v>2470</v>
      </c>
      <c r="N36" t="s">
        <v>2467</v>
      </c>
      <c r="O36" t="s">
        <v>2459</v>
      </c>
      <c r="P36">
        <v>31.34</v>
      </c>
      <c r="Q36">
        <v>56.49</v>
      </c>
      <c r="R36">
        <v>62.68</v>
      </c>
      <c r="S36">
        <v>36.839999999999996</v>
      </c>
      <c r="T36">
        <v>0.3551870420362514</v>
      </c>
      <c r="U36" s="1">
        <v>45809</v>
      </c>
      <c r="V36" t="s">
        <v>2500</v>
      </c>
      <c r="W36">
        <v>2025</v>
      </c>
    </row>
    <row r="37" spans="1:23" x14ac:dyDescent="0.25">
      <c r="A37" t="s">
        <v>83</v>
      </c>
      <c r="B37" s="1">
        <v>45464</v>
      </c>
      <c r="C37" s="1">
        <v>45466</v>
      </c>
      <c r="D37" t="s">
        <v>23</v>
      </c>
      <c r="E37" t="s">
        <v>43</v>
      </c>
      <c r="F37" t="s">
        <v>29</v>
      </c>
      <c r="G37" t="s">
        <v>16</v>
      </c>
      <c r="H37" t="s">
        <v>21</v>
      </c>
      <c r="I37">
        <v>2</v>
      </c>
      <c r="J37">
        <v>0.15</v>
      </c>
      <c r="K37">
        <v>194.03</v>
      </c>
      <c r="L37">
        <v>9.1</v>
      </c>
      <c r="M37" t="s">
        <v>2462</v>
      </c>
      <c r="N37" t="s">
        <v>2458</v>
      </c>
      <c r="O37" t="s">
        <v>2463</v>
      </c>
      <c r="P37">
        <v>71.489999999999995</v>
      </c>
      <c r="Q37">
        <v>112.88</v>
      </c>
      <c r="R37">
        <v>142.97999999999999</v>
      </c>
      <c r="S37">
        <v>41.95000000000001</v>
      </c>
      <c r="T37">
        <v>0.21620367984332325</v>
      </c>
      <c r="U37" s="1">
        <v>45444</v>
      </c>
      <c r="V37" t="s">
        <v>2500</v>
      </c>
      <c r="W37">
        <v>2024</v>
      </c>
    </row>
    <row r="38" spans="1:23" x14ac:dyDescent="0.25">
      <c r="A38" t="s">
        <v>84</v>
      </c>
      <c r="B38" s="1">
        <v>45310</v>
      </c>
      <c r="C38" s="1">
        <v>45316</v>
      </c>
      <c r="D38" t="s">
        <v>23</v>
      </c>
      <c r="E38" t="s">
        <v>24</v>
      </c>
      <c r="F38" t="s">
        <v>15</v>
      </c>
      <c r="G38" t="s">
        <v>26</v>
      </c>
      <c r="H38" t="s">
        <v>68</v>
      </c>
      <c r="I38">
        <v>3</v>
      </c>
      <c r="J38">
        <v>0</v>
      </c>
      <c r="K38">
        <v>139.54</v>
      </c>
      <c r="L38">
        <v>4.95</v>
      </c>
      <c r="M38" t="s">
        <v>2466</v>
      </c>
      <c r="N38" t="s">
        <v>2467</v>
      </c>
      <c r="O38" t="s">
        <v>2468</v>
      </c>
      <c r="P38">
        <v>25.33</v>
      </c>
      <c r="Q38">
        <v>51.56</v>
      </c>
      <c r="R38">
        <v>75.989999999999995</v>
      </c>
      <c r="S38">
        <v>58.599999999999994</v>
      </c>
      <c r="T38">
        <v>0.41995126845349001</v>
      </c>
      <c r="U38" s="1">
        <v>45292</v>
      </c>
      <c r="V38" t="s">
        <v>2499</v>
      </c>
      <c r="W38">
        <v>2024</v>
      </c>
    </row>
    <row r="39" spans="1:23" x14ac:dyDescent="0.25">
      <c r="A39" t="s">
        <v>85</v>
      </c>
      <c r="B39" s="1">
        <v>45870</v>
      </c>
      <c r="C39" s="1">
        <v>45872</v>
      </c>
      <c r="D39" t="s">
        <v>23</v>
      </c>
      <c r="E39" t="s">
        <v>24</v>
      </c>
      <c r="F39" t="s">
        <v>15</v>
      </c>
      <c r="G39" t="s">
        <v>26</v>
      </c>
      <c r="H39" t="s">
        <v>34</v>
      </c>
      <c r="I39">
        <v>1</v>
      </c>
      <c r="J39">
        <v>0</v>
      </c>
      <c r="K39">
        <v>183.76</v>
      </c>
      <c r="L39">
        <v>4.08</v>
      </c>
      <c r="M39" t="s">
        <v>2460</v>
      </c>
      <c r="N39" t="s">
        <v>2458</v>
      </c>
      <c r="O39" t="s">
        <v>2461</v>
      </c>
      <c r="P39">
        <v>119.02</v>
      </c>
      <c r="Q39">
        <v>205.39</v>
      </c>
      <c r="R39">
        <v>119.02</v>
      </c>
      <c r="S39">
        <v>60.66</v>
      </c>
      <c r="T39">
        <v>0.33010448410970833</v>
      </c>
      <c r="U39" s="1">
        <v>45870</v>
      </c>
      <c r="V39" t="s">
        <v>2499</v>
      </c>
      <c r="W39">
        <v>2025</v>
      </c>
    </row>
    <row r="40" spans="1:23" x14ac:dyDescent="0.25">
      <c r="A40" t="s">
        <v>86</v>
      </c>
      <c r="B40" s="1">
        <v>45808</v>
      </c>
      <c r="C40" s="1">
        <v>45810</v>
      </c>
      <c r="D40" t="s">
        <v>13</v>
      </c>
      <c r="E40" t="s">
        <v>36</v>
      </c>
      <c r="F40" t="s">
        <v>15</v>
      </c>
      <c r="G40" t="s">
        <v>16</v>
      </c>
      <c r="H40" t="s">
        <v>87</v>
      </c>
      <c r="I40">
        <v>14</v>
      </c>
      <c r="J40">
        <v>0</v>
      </c>
      <c r="K40">
        <v>125.02</v>
      </c>
      <c r="L40">
        <v>6.48</v>
      </c>
      <c r="M40" t="s">
        <v>2476</v>
      </c>
      <c r="N40" t="s">
        <v>2474</v>
      </c>
      <c r="O40" t="s">
        <v>2459</v>
      </c>
      <c r="P40">
        <v>4.5</v>
      </c>
      <c r="Q40">
        <v>8.2899999999999991</v>
      </c>
      <c r="R40">
        <v>63</v>
      </c>
      <c r="S40">
        <v>55.539999999999992</v>
      </c>
      <c r="T40">
        <v>0.44424892017277229</v>
      </c>
      <c r="U40" s="1">
        <v>45778</v>
      </c>
      <c r="V40" t="s">
        <v>2499</v>
      </c>
      <c r="W40">
        <v>2025</v>
      </c>
    </row>
    <row r="41" spans="1:23" x14ac:dyDescent="0.25">
      <c r="A41" t="s">
        <v>88</v>
      </c>
      <c r="B41" s="1">
        <v>45914</v>
      </c>
      <c r="C41" s="1">
        <v>45920</v>
      </c>
      <c r="D41" t="s">
        <v>47</v>
      </c>
      <c r="E41" t="s">
        <v>71</v>
      </c>
      <c r="F41" t="s">
        <v>25</v>
      </c>
      <c r="G41" t="s">
        <v>16</v>
      </c>
      <c r="H41" t="s">
        <v>51</v>
      </c>
      <c r="I41">
        <v>12</v>
      </c>
      <c r="J41">
        <v>0.25</v>
      </c>
      <c r="K41">
        <v>138.78</v>
      </c>
      <c r="L41">
        <v>9.9</v>
      </c>
      <c r="M41" t="s">
        <v>2475</v>
      </c>
      <c r="N41" t="s">
        <v>2474</v>
      </c>
      <c r="O41" t="s">
        <v>2463</v>
      </c>
      <c r="P41">
        <v>7.93</v>
      </c>
      <c r="Q41">
        <v>14.78</v>
      </c>
      <c r="R41">
        <v>95.16</v>
      </c>
      <c r="S41">
        <v>33.720000000000006</v>
      </c>
      <c r="T41">
        <v>0.24297449200172941</v>
      </c>
      <c r="U41" s="1">
        <v>45901</v>
      </c>
      <c r="V41" t="s">
        <v>2501</v>
      </c>
      <c r="W41">
        <v>2025</v>
      </c>
    </row>
    <row r="42" spans="1:23" x14ac:dyDescent="0.25">
      <c r="A42" t="s">
        <v>89</v>
      </c>
      <c r="B42" s="1">
        <v>45865</v>
      </c>
      <c r="C42" s="1">
        <v>45870</v>
      </c>
      <c r="D42" t="s">
        <v>13</v>
      </c>
      <c r="E42" t="s">
        <v>19</v>
      </c>
      <c r="F42" t="s">
        <v>15</v>
      </c>
      <c r="G42" t="s">
        <v>16</v>
      </c>
      <c r="H42" t="s">
        <v>87</v>
      </c>
      <c r="I42">
        <v>16</v>
      </c>
      <c r="J42">
        <v>0</v>
      </c>
      <c r="K42">
        <v>124.22</v>
      </c>
      <c r="L42">
        <v>7.02</v>
      </c>
      <c r="M42" t="s">
        <v>2476</v>
      </c>
      <c r="N42" t="s">
        <v>2474</v>
      </c>
      <c r="O42" t="s">
        <v>2459</v>
      </c>
      <c r="P42">
        <v>4.5</v>
      </c>
      <c r="Q42">
        <v>8.2899999999999991</v>
      </c>
      <c r="R42">
        <v>72</v>
      </c>
      <c r="S42">
        <v>45.2</v>
      </c>
      <c r="T42">
        <v>0.36387055224601517</v>
      </c>
      <c r="U42" s="1">
        <v>45839</v>
      </c>
      <c r="V42" t="s">
        <v>2499</v>
      </c>
      <c r="W42">
        <v>2025</v>
      </c>
    </row>
    <row r="43" spans="1:23" x14ac:dyDescent="0.25">
      <c r="A43" t="s">
        <v>90</v>
      </c>
      <c r="B43" s="1">
        <v>45426</v>
      </c>
      <c r="C43" s="1">
        <v>45432</v>
      </c>
      <c r="D43" t="s">
        <v>13</v>
      </c>
      <c r="E43" t="s">
        <v>19</v>
      </c>
      <c r="F43" t="s">
        <v>29</v>
      </c>
      <c r="G43" t="s">
        <v>20</v>
      </c>
      <c r="H43" t="s">
        <v>51</v>
      </c>
      <c r="I43">
        <v>12</v>
      </c>
      <c r="J43">
        <v>0.1</v>
      </c>
      <c r="K43">
        <v>168.75</v>
      </c>
      <c r="L43">
        <v>9.9</v>
      </c>
      <c r="M43" t="s">
        <v>2475</v>
      </c>
      <c r="N43" t="s">
        <v>2474</v>
      </c>
      <c r="O43" t="s">
        <v>2463</v>
      </c>
      <c r="P43">
        <v>7.93</v>
      </c>
      <c r="Q43">
        <v>14.78</v>
      </c>
      <c r="R43">
        <v>95.16</v>
      </c>
      <c r="S43">
        <v>63.690000000000005</v>
      </c>
      <c r="T43">
        <v>0.37742222222222227</v>
      </c>
      <c r="U43" s="1">
        <v>45413</v>
      </c>
      <c r="V43" t="s">
        <v>2498</v>
      </c>
      <c r="W43">
        <v>2024</v>
      </c>
    </row>
    <row r="44" spans="1:23" x14ac:dyDescent="0.25">
      <c r="A44" t="s">
        <v>91</v>
      </c>
      <c r="B44" s="1">
        <v>45804</v>
      </c>
      <c r="C44" s="1">
        <v>45810</v>
      </c>
      <c r="D44" t="s">
        <v>13</v>
      </c>
      <c r="E44" t="s">
        <v>14</v>
      </c>
      <c r="F44" t="s">
        <v>25</v>
      </c>
      <c r="G44" t="s">
        <v>26</v>
      </c>
      <c r="H44" t="s">
        <v>39</v>
      </c>
      <c r="I44">
        <v>2</v>
      </c>
      <c r="J44">
        <v>0</v>
      </c>
      <c r="K44">
        <v>403.52</v>
      </c>
      <c r="L44">
        <v>4.2</v>
      </c>
      <c r="M44" t="s">
        <v>2471</v>
      </c>
      <c r="N44" t="s">
        <v>2467</v>
      </c>
      <c r="O44" t="s">
        <v>2461</v>
      </c>
      <c r="P44">
        <v>112.09</v>
      </c>
      <c r="Q44">
        <v>192.47</v>
      </c>
      <c r="R44">
        <v>224.18</v>
      </c>
      <c r="S44">
        <v>175.14</v>
      </c>
      <c r="T44">
        <v>0.43403053132434577</v>
      </c>
      <c r="U44" s="1">
        <v>45778</v>
      </c>
      <c r="V44" t="s">
        <v>2499</v>
      </c>
      <c r="W44">
        <v>2025</v>
      </c>
    </row>
    <row r="45" spans="1:23" x14ac:dyDescent="0.25">
      <c r="A45" t="s">
        <v>92</v>
      </c>
      <c r="B45" s="1">
        <v>45776</v>
      </c>
      <c r="C45" s="1">
        <v>45782</v>
      </c>
      <c r="D45" t="s">
        <v>13</v>
      </c>
      <c r="E45" t="s">
        <v>14</v>
      </c>
      <c r="F45" t="s">
        <v>29</v>
      </c>
      <c r="G45" t="s">
        <v>20</v>
      </c>
      <c r="H45" t="s">
        <v>87</v>
      </c>
      <c r="I45">
        <v>5</v>
      </c>
      <c r="J45">
        <v>0</v>
      </c>
      <c r="K45">
        <v>39.51</v>
      </c>
      <c r="L45">
        <v>4.05</v>
      </c>
      <c r="M45" t="s">
        <v>2476</v>
      </c>
      <c r="N45" t="s">
        <v>2474</v>
      </c>
      <c r="O45" t="s">
        <v>2459</v>
      </c>
      <c r="P45">
        <v>4.5</v>
      </c>
      <c r="Q45">
        <v>8.2899999999999991</v>
      </c>
      <c r="R45">
        <v>22.5</v>
      </c>
      <c r="S45">
        <v>12.959999999999997</v>
      </c>
      <c r="T45">
        <v>0.3280182232346241</v>
      </c>
      <c r="U45" s="1">
        <v>45748</v>
      </c>
      <c r="V45" t="s">
        <v>2499</v>
      </c>
      <c r="W45">
        <v>2025</v>
      </c>
    </row>
    <row r="46" spans="1:23" x14ac:dyDescent="0.25">
      <c r="A46" t="s">
        <v>93</v>
      </c>
      <c r="B46" s="1">
        <v>45982</v>
      </c>
      <c r="C46" s="1">
        <v>45983</v>
      </c>
      <c r="D46" t="s">
        <v>32</v>
      </c>
      <c r="E46" t="s">
        <v>62</v>
      </c>
      <c r="F46" t="s">
        <v>15</v>
      </c>
      <c r="G46" t="s">
        <v>16</v>
      </c>
      <c r="H46" t="s">
        <v>21</v>
      </c>
      <c r="I46">
        <v>2</v>
      </c>
      <c r="J46">
        <v>0</v>
      </c>
      <c r="K46">
        <v>289.05</v>
      </c>
      <c r="L46">
        <v>9.1</v>
      </c>
      <c r="M46" t="s">
        <v>2462</v>
      </c>
      <c r="N46" t="s">
        <v>2458</v>
      </c>
      <c r="O46" t="s">
        <v>2463</v>
      </c>
      <c r="P46">
        <v>71.489999999999995</v>
      </c>
      <c r="Q46">
        <v>112.88</v>
      </c>
      <c r="R46">
        <v>142.97999999999999</v>
      </c>
      <c r="S46">
        <v>136.97000000000003</v>
      </c>
      <c r="T46">
        <v>0.47386265352015228</v>
      </c>
      <c r="U46" s="1">
        <v>45962</v>
      </c>
      <c r="V46" t="s">
        <v>2499</v>
      </c>
      <c r="W46">
        <v>2025</v>
      </c>
    </row>
    <row r="47" spans="1:23" x14ac:dyDescent="0.25">
      <c r="A47" t="s">
        <v>94</v>
      </c>
      <c r="B47" s="1">
        <v>45841</v>
      </c>
      <c r="C47" s="1">
        <v>45845</v>
      </c>
      <c r="D47" t="s">
        <v>32</v>
      </c>
      <c r="E47" t="s">
        <v>62</v>
      </c>
      <c r="F47" t="s">
        <v>25</v>
      </c>
      <c r="G47" t="s">
        <v>20</v>
      </c>
      <c r="H47" t="s">
        <v>68</v>
      </c>
      <c r="I47">
        <v>3</v>
      </c>
      <c r="J47">
        <v>0.1</v>
      </c>
      <c r="K47">
        <v>134.59</v>
      </c>
      <c r="L47">
        <v>4.95</v>
      </c>
      <c r="M47" t="s">
        <v>2466</v>
      </c>
      <c r="N47" t="s">
        <v>2467</v>
      </c>
      <c r="O47" t="s">
        <v>2468</v>
      </c>
      <c r="P47">
        <v>25.33</v>
      </c>
      <c r="Q47">
        <v>51.56</v>
      </c>
      <c r="R47">
        <v>75.989999999999995</v>
      </c>
      <c r="S47">
        <v>53.650000000000006</v>
      </c>
      <c r="T47">
        <v>0.39861802511330713</v>
      </c>
      <c r="U47" s="1">
        <v>45839</v>
      </c>
      <c r="V47" t="s">
        <v>2498</v>
      </c>
      <c r="W47">
        <v>2025</v>
      </c>
    </row>
    <row r="48" spans="1:23" x14ac:dyDescent="0.25">
      <c r="A48" t="s">
        <v>95</v>
      </c>
      <c r="B48" s="1">
        <v>45505</v>
      </c>
      <c r="C48" s="1">
        <v>45508</v>
      </c>
      <c r="D48" t="s">
        <v>47</v>
      </c>
      <c r="E48" t="s">
        <v>50</v>
      </c>
      <c r="F48" t="s">
        <v>29</v>
      </c>
      <c r="G48" t="s">
        <v>16</v>
      </c>
      <c r="H48" t="s">
        <v>68</v>
      </c>
      <c r="I48">
        <v>4</v>
      </c>
      <c r="J48">
        <v>0</v>
      </c>
      <c r="K48">
        <v>189.62</v>
      </c>
      <c r="L48">
        <v>9.5</v>
      </c>
      <c r="M48" t="s">
        <v>2466</v>
      </c>
      <c r="N48" t="s">
        <v>2467</v>
      </c>
      <c r="O48" t="s">
        <v>2468</v>
      </c>
      <c r="P48">
        <v>25.33</v>
      </c>
      <c r="Q48">
        <v>51.56</v>
      </c>
      <c r="R48">
        <v>101.32</v>
      </c>
      <c r="S48">
        <v>78.800000000000011</v>
      </c>
      <c r="T48">
        <v>0.41556797806138596</v>
      </c>
      <c r="U48" s="1">
        <v>45505</v>
      </c>
      <c r="V48" t="s">
        <v>2499</v>
      </c>
      <c r="W48">
        <v>2024</v>
      </c>
    </row>
    <row r="49" spans="1:23" x14ac:dyDescent="0.25">
      <c r="A49" t="s">
        <v>96</v>
      </c>
      <c r="B49" s="1">
        <v>45651</v>
      </c>
      <c r="C49" s="1">
        <v>45655</v>
      </c>
      <c r="D49" t="s">
        <v>23</v>
      </c>
      <c r="E49" t="s">
        <v>43</v>
      </c>
      <c r="F49" t="s">
        <v>29</v>
      </c>
      <c r="G49" t="s">
        <v>26</v>
      </c>
      <c r="H49" t="s">
        <v>63</v>
      </c>
      <c r="I49">
        <v>11</v>
      </c>
      <c r="J49">
        <v>0.15</v>
      </c>
      <c r="K49">
        <v>167.62</v>
      </c>
      <c r="L49">
        <v>5.67</v>
      </c>
      <c r="M49" t="s">
        <v>2477</v>
      </c>
      <c r="N49" t="s">
        <v>2474</v>
      </c>
      <c r="O49" t="s">
        <v>2468</v>
      </c>
      <c r="P49">
        <v>6.33</v>
      </c>
      <c r="Q49">
        <v>12.16</v>
      </c>
      <c r="R49">
        <v>69.63</v>
      </c>
      <c r="S49">
        <v>92.320000000000007</v>
      </c>
      <c r="T49">
        <v>0.55076959790001201</v>
      </c>
      <c r="U49" s="1">
        <v>45627</v>
      </c>
      <c r="V49" t="s">
        <v>2500</v>
      </c>
      <c r="W49">
        <v>2024</v>
      </c>
    </row>
    <row r="50" spans="1:23" x14ac:dyDescent="0.25">
      <c r="A50" t="s">
        <v>97</v>
      </c>
      <c r="B50" s="1">
        <v>45764</v>
      </c>
      <c r="C50" s="1">
        <v>45767</v>
      </c>
      <c r="D50" t="s">
        <v>23</v>
      </c>
      <c r="E50" t="s">
        <v>59</v>
      </c>
      <c r="F50" t="s">
        <v>29</v>
      </c>
      <c r="G50" t="s">
        <v>20</v>
      </c>
      <c r="H50" t="s">
        <v>17</v>
      </c>
      <c r="I50">
        <v>3</v>
      </c>
      <c r="J50">
        <v>0</v>
      </c>
      <c r="K50">
        <v>360.26</v>
      </c>
      <c r="L50">
        <v>4.95</v>
      </c>
      <c r="M50" t="s">
        <v>2472</v>
      </c>
      <c r="N50" t="s">
        <v>2467</v>
      </c>
      <c r="O50" t="s">
        <v>2468</v>
      </c>
      <c r="P50">
        <v>63.69</v>
      </c>
      <c r="Q50">
        <v>125.5</v>
      </c>
      <c r="R50">
        <v>191.07</v>
      </c>
      <c r="S50">
        <v>164.24</v>
      </c>
      <c r="T50">
        <v>0.45589296619108427</v>
      </c>
      <c r="U50" s="1">
        <v>45748</v>
      </c>
      <c r="V50" t="s">
        <v>2499</v>
      </c>
      <c r="W50">
        <v>2025</v>
      </c>
    </row>
    <row r="51" spans="1:23" x14ac:dyDescent="0.25">
      <c r="A51" t="s">
        <v>98</v>
      </c>
      <c r="B51" s="1">
        <v>45669</v>
      </c>
      <c r="C51" s="1">
        <v>45671</v>
      </c>
      <c r="D51" t="s">
        <v>47</v>
      </c>
      <c r="E51" t="s">
        <v>50</v>
      </c>
      <c r="F51" t="s">
        <v>15</v>
      </c>
      <c r="G51" t="s">
        <v>16</v>
      </c>
      <c r="H51" t="s">
        <v>41</v>
      </c>
      <c r="I51">
        <v>13</v>
      </c>
      <c r="J51">
        <v>0</v>
      </c>
      <c r="K51">
        <v>69.59</v>
      </c>
      <c r="L51">
        <v>10.35</v>
      </c>
      <c r="M51" t="s">
        <v>2479</v>
      </c>
      <c r="N51" t="s">
        <v>2474</v>
      </c>
      <c r="O51" t="s">
        <v>2459</v>
      </c>
      <c r="P51">
        <v>3.3</v>
      </c>
      <c r="Q51">
        <v>6.13</v>
      </c>
      <c r="R51">
        <v>42.9</v>
      </c>
      <c r="S51">
        <v>16.340000000000003</v>
      </c>
      <c r="T51">
        <v>0.23480385112803567</v>
      </c>
      <c r="U51" s="1">
        <v>45658</v>
      </c>
      <c r="V51" t="s">
        <v>2499</v>
      </c>
      <c r="W51">
        <v>2025</v>
      </c>
    </row>
    <row r="52" spans="1:23" x14ac:dyDescent="0.25">
      <c r="A52" t="s">
        <v>99</v>
      </c>
      <c r="B52" s="1">
        <v>45611</v>
      </c>
      <c r="C52" s="1">
        <v>45615</v>
      </c>
      <c r="D52" t="s">
        <v>13</v>
      </c>
      <c r="E52" t="s">
        <v>19</v>
      </c>
      <c r="F52" t="s">
        <v>29</v>
      </c>
      <c r="G52" t="s">
        <v>16</v>
      </c>
      <c r="H52" t="s">
        <v>65</v>
      </c>
      <c r="I52">
        <v>1</v>
      </c>
      <c r="J52">
        <v>0.1</v>
      </c>
      <c r="K52">
        <v>350.29</v>
      </c>
      <c r="L52">
        <v>4.08</v>
      </c>
      <c r="M52" t="s">
        <v>2457</v>
      </c>
      <c r="N52" t="s">
        <v>2458</v>
      </c>
      <c r="O52" t="s">
        <v>2459</v>
      </c>
      <c r="P52">
        <v>173.56</v>
      </c>
      <c r="Q52">
        <v>286.14999999999998</v>
      </c>
      <c r="R52">
        <v>173.56</v>
      </c>
      <c r="S52">
        <v>172.65</v>
      </c>
      <c r="T52">
        <v>0.49287733021210994</v>
      </c>
      <c r="U52" s="1">
        <v>45597</v>
      </c>
      <c r="V52" t="s">
        <v>2498</v>
      </c>
      <c r="W52">
        <v>2024</v>
      </c>
    </row>
    <row r="53" spans="1:23" x14ac:dyDescent="0.25">
      <c r="A53" t="s">
        <v>100</v>
      </c>
      <c r="B53" s="1">
        <v>45872</v>
      </c>
      <c r="C53" s="1">
        <v>45873</v>
      </c>
      <c r="D53" t="s">
        <v>23</v>
      </c>
      <c r="E53" t="s">
        <v>59</v>
      </c>
      <c r="F53" t="s">
        <v>15</v>
      </c>
      <c r="G53" t="s">
        <v>16</v>
      </c>
      <c r="H53" t="s">
        <v>53</v>
      </c>
      <c r="I53">
        <v>1</v>
      </c>
      <c r="J53">
        <v>0.05</v>
      </c>
      <c r="K53">
        <v>48.28</v>
      </c>
      <c r="L53">
        <v>3.45</v>
      </c>
      <c r="M53" t="s">
        <v>2470</v>
      </c>
      <c r="N53" t="s">
        <v>2467</v>
      </c>
      <c r="O53" t="s">
        <v>2459</v>
      </c>
      <c r="P53">
        <v>31.34</v>
      </c>
      <c r="Q53">
        <v>56.49</v>
      </c>
      <c r="R53">
        <v>31.34</v>
      </c>
      <c r="S53">
        <v>13.490000000000002</v>
      </c>
      <c r="T53">
        <v>0.27941176470588241</v>
      </c>
      <c r="U53" s="1">
        <v>45870</v>
      </c>
      <c r="V53" t="s">
        <v>2498</v>
      </c>
      <c r="W53">
        <v>2025</v>
      </c>
    </row>
    <row r="54" spans="1:23" x14ac:dyDescent="0.25">
      <c r="A54" t="s">
        <v>101</v>
      </c>
      <c r="B54" s="1">
        <v>45417</v>
      </c>
      <c r="C54" s="1">
        <v>45420</v>
      </c>
      <c r="D54" t="s">
        <v>47</v>
      </c>
      <c r="E54" t="s">
        <v>71</v>
      </c>
      <c r="F54" t="s">
        <v>25</v>
      </c>
      <c r="G54" t="s">
        <v>20</v>
      </c>
      <c r="H54" t="s">
        <v>37</v>
      </c>
      <c r="I54">
        <v>1</v>
      </c>
      <c r="J54">
        <v>0</v>
      </c>
      <c r="K54">
        <v>108.96</v>
      </c>
      <c r="L54">
        <v>6.8</v>
      </c>
      <c r="M54" t="s">
        <v>2464</v>
      </c>
      <c r="N54" t="s">
        <v>2458</v>
      </c>
      <c r="O54" t="s">
        <v>2465</v>
      </c>
      <c r="P54">
        <v>63.6</v>
      </c>
      <c r="Q54">
        <v>107.94</v>
      </c>
      <c r="R54">
        <v>63.6</v>
      </c>
      <c r="S54">
        <v>38.559999999999995</v>
      </c>
      <c r="T54">
        <v>0.35389133627019087</v>
      </c>
      <c r="U54" s="1">
        <v>45413</v>
      </c>
      <c r="V54" t="s">
        <v>2499</v>
      </c>
      <c r="W54">
        <v>2024</v>
      </c>
    </row>
    <row r="55" spans="1:23" x14ac:dyDescent="0.25">
      <c r="A55" t="s">
        <v>102</v>
      </c>
      <c r="B55" s="1">
        <v>45409</v>
      </c>
      <c r="C55" s="1">
        <v>45412</v>
      </c>
      <c r="D55" t="s">
        <v>13</v>
      </c>
      <c r="E55" t="s">
        <v>14</v>
      </c>
      <c r="F55" t="s">
        <v>25</v>
      </c>
      <c r="G55" t="s">
        <v>20</v>
      </c>
      <c r="H55" t="s">
        <v>37</v>
      </c>
      <c r="I55">
        <v>4</v>
      </c>
      <c r="J55">
        <v>0.25</v>
      </c>
      <c r="K55">
        <v>333.46</v>
      </c>
      <c r="L55">
        <v>13.7</v>
      </c>
      <c r="M55" t="s">
        <v>2464</v>
      </c>
      <c r="N55" t="s">
        <v>2458</v>
      </c>
      <c r="O55" t="s">
        <v>2465</v>
      </c>
      <c r="P55">
        <v>63.6</v>
      </c>
      <c r="Q55">
        <v>107.94</v>
      </c>
      <c r="R55">
        <v>254.4</v>
      </c>
      <c r="S55">
        <v>65.359999999999971</v>
      </c>
      <c r="T55">
        <v>0.1960055179031967</v>
      </c>
      <c r="U55" s="1">
        <v>45383</v>
      </c>
      <c r="V55" t="s">
        <v>2501</v>
      </c>
      <c r="W55">
        <v>2024</v>
      </c>
    </row>
    <row r="56" spans="1:23" x14ac:dyDescent="0.25">
      <c r="A56" t="s">
        <v>103</v>
      </c>
      <c r="B56" s="1">
        <v>45992</v>
      </c>
      <c r="C56" s="1">
        <v>45994</v>
      </c>
      <c r="D56" t="s">
        <v>47</v>
      </c>
      <c r="E56" t="s">
        <v>71</v>
      </c>
      <c r="F56" t="s">
        <v>25</v>
      </c>
      <c r="G56" t="s">
        <v>20</v>
      </c>
      <c r="H56" t="s">
        <v>17</v>
      </c>
      <c r="I56">
        <v>4</v>
      </c>
      <c r="J56">
        <v>0</v>
      </c>
      <c r="K56">
        <v>688.1</v>
      </c>
      <c r="L56">
        <v>5.7</v>
      </c>
      <c r="M56" t="s">
        <v>2472</v>
      </c>
      <c r="N56" t="s">
        <v>2467</v>
      </c>
      <c r="O56" t="s">
        <v>2468</v>
      </c>
      <c r="P56">
        <v>63.69</v>
      </c>
      <c r="Q56">
        <v>125.5</v>
      </c>
      <c r="R56">
        <v>254.76</v>
      </c>
      <c r="S56">
        <v>427.64000000000004</v>
      </c>
      <c r="T56">
        <v>0.62147943612846979</v>
      </c>
      <c r="U56" s="1">
        <v>45992</v>
      </c>
      <c r="V56" t="s">
        <v>2499</v>
      </c>
      <c r="W56">
        <v>2025</v>
      </c>
    </row>
    <row r="57" spans="1:23" x14ac:dyDescent="0.25">
      <c r="A57" t="s">
        <v>104</v>
      </c>
      <c r="B57" s="1">
        <v>46020</v>
      </c>
      <c r="C57" s="1">
        <v>46024</v>
      </c>
      <c r="D57" t="s">
        <v>32</v>
      </c>
      <c r="E57" t="s">
        <v>33</v>
      </c>
      <c r="F57" t="s">
        <v>29</v>
      </c>
      <c r="G57" t="s">
        <v>16</v>
      </c>
      <c r="H57" t="s">
        <v>30</v>
      </c>
      <c r="I57">
        <v>10</v>
      </c>
      <c r="J57">
        <v>0</v>
      </c>
      <c r="K57">
        <v>90.14</v>
      </c>
      <c r="L57">
        <v>5.4</v>
      </c>
      <c r="M57" t="s">
        <v>2473</v>
      </c>
      <c r="N57" t="s">
        <v>2474</v>
      </c>
      <c r="O57" t="s">
        <v>2463</v>
      </c>
      <c r="P57">
        <v>3.62</v>
      </c>
      <c r="Q57">
        <v>6.03</v>
      </c>
      <c r="R57">
        <v>36.200000000000003</v>
      </c>
      <c r="S57">
        <v>48.54</v>
      </c>
      <c r="T57">
        <v>0.53849567339693805</v>
      </c>
      <c r="U57" s="1">
        <v>45992</v>
      </c>
      <c r="V57" t="s">
        <v>2499</v>
      </c>
      <c r="W57">
        <v>2025</v>
      </c>
    </row>
    <row r="58" spans="1:23" x14ac:dyDescent="0.25">
      <c r="A58" t="s">
        <v>105</v>
      </c>
      <c r="B58" s="1">
        <v>45492</v>
      </c>
      <c r="C58" s="1">
        <v>45495</v>
      </c>
      <c r="D58" t="s">
        <v>23</v>
      </c>
      <c r="E58" t="s">
        <v>24</v>
      </c>
      <c r="F58" t="s">
        <v>29</v>
      </c>
      <c r="G58" t="s">
        <v>20</v>
      </c>
      <c r="H58" t="s">
        <v>65</v>
      </c>
      <c r="I58">
        <v>3</v>
      </c>
      <c r="J58">
        <v>0.2</v>
      </c>
      <c r="K58">
        <v>642.79</v>
      </c>
      <c r="L58">
        <v>11.4</v>
      </c>
      <c r="M58" t="s">
        <v>2457</v>
      </c>
      <c r="N58" t="s">
        <v>2458</v>
      </c>
      <c r="O58" t="s">
        <v>2459</v>
      </c>
      <c r="P58">
        <v>173.56</v>
      </c>
      <c r="Q58">
        <v>286.14999999999998</v>
      </c>
      <c r="R58">
        <v>520.68000000000006</v>
      </c>
      <c r="S58">
        <v>110.70999999999989</v>
      </c>
      <c r="T58">
        <v>0.17223354439241417</v>
      </c>
      <c r="U58" s="1">
        <v>45474</v>
      </c>
      <c r="V58" t="s">
        <v>2500</v>
      </c>
      <c r="W58">
        <v>2024</v>
      </c>
    </row>
    <row r="59" spans="1:23" x14ac:dyDescent="0.25">
      <c r="A59" t="s">
        <v>106</v>
      </c>
      <c r="B59" s="1">
        <v>45382</v>
      </c>
      <c r="C59" s="1">
        <v>45383</v>
      </c>
      <c r="D59" t="s">
        <v>13</v>
      </c>
      <c r="E59" t="s">
        <v>19</v>
      </c>
      <c r="F59" t="s">
        <v>15</v>
      </c>
      <c r="G59" t="s">
        <v>26</v>
      </c>
      <c r="H59" t="s">
        <v>53</v>
      </c>
      <c r="I59">
        <v>2</v>
      </c>
      <c r="J59">
        <v>0.05</v>
      </c>
      <c r="K59">
        <v>103.07</v>
      </c>
      <c r="L59">
        <v>7</v>
      </c>
      <c r="M59" t="s">
        <v>2470</v>
      </c>
      <c r="N59" t="s">
        <v>2467</v>
      </c>
      <c r="O59" t="s">
        <v>2459</v>
      </c>
      <c r="P59">
        <v>31.34</v>
      </c>
      <c r="Q59">
        <v>56.49</v>
      </c>
      <c r="R59">
        <v>62.68</v>
      </c>
      <c r="S59">
        <v>33.389999999999993</v>
      </c>
      <c r="T59">
        <v>0.32395459396526627</v>
      </c>
      <c r="U59" s="1">
        <v>45352</v>
      </c>
      <c r="V59" t="s">
        <v>2498</v>
      </c>
      <c r="W59">
        <v>2024</v>
      </c>
    </row>
    <row r="60" spans="1:23" x14ac:dyDescent="0.25">
      <c r="A60" t="s">
        <v>107</v>
      </c>
      <c r="B60" s="1">
        <v>45757</v>
      </c>
      <c r="C60" s="1">
        <v>45762</v>
      </c>
      <c r="D60" t="s">
        <v>23</v>
      </c>
      <c r="E60" t="s">
        <v>43</v>
      </c>
      <c r="F60" t="s">
        <v>29</v>
      </c>
      <c r="G60" t="s">
        <v>26</v>
      </c>
      <c r="H60" t="s">
        <v>51</v>
      </c>
      <c r="I60">
        <v>18</v>
      </c>
      <c r="J60">
        <v>0.2</v>
      </c>
      <c r="K60">
        <v>218.45</v>
      </c>
      <c r="L60">
        <v>12.6</v>
      </c>
      <c r="M60" t="s">
        <v>2475</v>
      </c>
      <c r="N60" t="s">
        <v>2474</v>
      </c>
      <c r="O60" t="s">
        <v>2463</v>
      </c>
      <c r="P60">
        <v>7.93</v>
      </c>
      <c r="Q60">
        <v>14.78</v>
      </c>
      <c r="R60">
        <v>142.74</v>
      </c>
      <c r="S60">
        <v>63.109999999999978</v>
      </c>
      <c r="T60">
        <v>0.28889906157015327</v>
      </c>
      <c r="U60" s="1">
        <v>45748</v>
      </c>
      <c r="V60" t="s">
        <v>2500</v>
      </c>
      <c r="W60">
        <v>2025</v>
      </c>
    </row>
    <row r="61" spans="1:23" x14ac:dyDescent="0.25">
      <c r="A61" t="s">
        <v>108</v>
      </c>
      <c r="B61" s="1">
        <v>45483</v>
      </c>
      <c r="C61" s="1">
        <v>45486</v>
      </c>
      <c r="D61" t="s">
        <v>13</v>
      </c>
      <c r="E61" t="s">
        <v>19</v>
      </c>
      <c r="F61" t="s">
        <v>15</v>
      </c>
      <c r="G61" t="s">
        <v>26</v>
      </c>
      <c r="H61" t="s">
        <v>60</v>
      </c>
      <c r="I61">
        <v>4</v>
      </c>
      <c r="J61">
        <v>0.1</v>
      </c>
      <c r="K61">
        <v>388.28</v>
      </c>
      <c r="L61">
        <v>9.5</v>
      </c>
      <c r="M61" t="s">
        <v>2469</v>
      </c>
      <c r="N61" t="s">
        <v>2467</v>
      </c>
      <c r="O61" t="s">
        <v>2468</v>
      </c>
      <c r="P61">
        <v>54.95</v>
      </c>
      <c r="Q61">
        <v>112.56</v>
      </c>
      <c r="R61">
        <v>219.8</v>
      </c>
      <c r="S61">
        <v>158.97999999999996</v>
      </c>
      <c r="T61">
        <v>0.40944679097558456</v>
      </c>
      <c r="U61" s="1">
        <v>45474</v>
      </c>
      <c r="V61" t="s">
        <v>2498</v>
      </c>
      <c r="W61">
        <v>2024</v>
      </c>
    </row>
    <row r="62" spans="1:23" x14ac:dyDescent="0.25">
      <c r="A62" t="s">
        <v>109</v>
      </c>
      <c r="B62" s="1">
        <v>45381</v>
      </c>
      <c r="C62" s="1">
        <v>45383</v>
      </c>
      <c r="D62" t="s">
        <v>13</v>
      </c>
      <c r="E62" t="s">
        <v>19</v>
      </c>
      <c r="F62" t="s">
        <v>29</v>
      </c>
      <c r="G62" t="s">
        <v>26</v>
      </c>
      <c r="H62" t="s">
        <v>17</v>
      </c>
      <c r="I62">
        <v>2</v>
      </c>
      <c r="J62">
        <v>0.1</v>
      </c>
      <c r="K62">
        <v>205.52</v>
      </c>
      <c r="L62">
        <v>4.2</v>
      </c>
      <c r="M62" t="s">
        <v>2472</v>
      </c>
      <c r="N62" t="s">
        <v>2467</v>
      </c>
      <c r="O62" t="s">
        <v>2468</v>
      </c>
      <c r="P62">
        <v>63.69</v>
      </c>
      <c r="Q62">
        <v>125.5</v>
      </c>
      <c r="R62">
        <v>127.38</v>
      </c>
      <c r="S62">
        <v>73.940000000000012</v>
      </c>
      <c r="T62">
        <v>0.35977033865317248</v>
      </c>
      <c r="U62" s="1">
        <v>45352</v>
      </c>
      <c r="V62" t="s">
        <v>2498</v>
      </c>
      <c r="W62">
        <v>2024</v>
      </c>
    </row>
    <row r="63" spans="1:23" x14ac:dyDescent="0.25">
      <c r="A63" t="s">
        <v>110</v>
      </c>
      <c r="B63" s="1">
        <v>45947</v>
      </c>
      <c r="C63" s="1">
        <v>45950</v>
      </c>
      <c r="D63" t="s">
        <v>47</v>
      </c>
      <c r="E63" t="s">
        <v>71</v>
      </c>
      <c r="F63" t="s">
        <v>25</v>
      </c>
      <c r="G63" t="s">
        <v>20</v>
      </c>
      <c r="H63" t="s">
        <v>53</v>
      </c>
      <c r="I63">
        <v>2</v>
      </c>
      <c r="J63">
        <v>0</v>
      </c>
      <c r="K63">
        <v>137.1</v>
      </c>
      <c r="L63">
        <v>4.2</v>
      </c>
      <c r="M63" t="s">
        <v>2470</v>
      </c>
      <c r="N63" t="s">
        <v>2467</v>
      </c>
      <c r="O63" t="s">
        <v>2459</v>
      </c>
      <c r="P63">
        <v>31.34</v>
      </c>
      <c r="Q63">
        <v>56.49</v>
      </c>
      <c r="R63">
        <v>62.68</v>
      </c>
      <c r="S63">
        <v>70.219999999999985</v>
      </c>
      <c r="T63">
        <v>0.51218088986141497</v>
      </c>
      <c r="U63" s="1">
        <v>45931</v>
      </c>
      <c r="V63" t="s">
        <v>2499</v>
      </c>
      <c r="W63">
        <v>2025</v>
      </c>
    </row>
    <row r="64" spans="1:23" x14ac:dyDescent="0.25">
      <c r="A64" t="s">
        <v>111</v>
      </c>
      <c r="B64" s="1">
        <v>45505</v>
      </c>
      <c r="C64" s="1">
        <v>45509</v>
      </c>
      <c r="D64" t="s">
        <v>23</v>
      </c>
      <c r="E64" t="s">
        <v>24</v>
      </c>
      <c r="F64" t="s">
        <v>25</v>
      </c>
      <c r="G64" t="s">
        <v>26</v>
      </c>
      <c r="H64" t="s">
        <v>53</v>
      </c>
      <c r="I64">
        <v>2</v>
      </c>
      <c r="J64">
        <v>0</v>
      </c>
      <c r="K64">
        <v>102.53</v>
      </c>
      <c r="L64">
        <v>4.2</v>
      </c>
      <c r="M64" t="s">
        <v>2470</v>
      </c>
      <c r="N64" t="s">
        <v>2467</v>
      </c>
      <c r="O64" t="s">
        <v>2459</v>
      </c>
      <c r="P64">
        <v>31.34</v>
      </c>
      <c r="Q64">
        <v>56.49</v>
      </c>
      <c r="R64">
        <v>62.68</v>
      </c>
      <c r="S64">
        <v>35.65</v>
      </c>
      <c r="T64">
        <v>0.3477031112845021</v>
      </c>
      <c r="U64" s="1">
        <v>45505</v>
      </c>
      <c r="V64" t="s">
        <v>2499</v>
      </c>
      <c r="W64">
        <v>2024</v>
      </c>
    </row>
    <row r="65" spans="1:23" x14ac:dyDescent="0.25">
      <c r="A65" t="s">
        <v>112</v>
      </c>
      <c r="B65" s="1">
        <v>45410</v>
      </c>
      <c r="C65" s="1">
        <v>45412</v>
      </c>
      <c r="D65" t="s">
        <v>13</v>
      </c>
      <c r="E65" t="s">
        <v>14</v>
      </c>
      <c r="F65" t="s">
        <v>29</v>
      </c>
      <c r="G65" t="s">
        <v>20</v>
      </c>
      <c r="H65" t="s">
        <v>68</v>
      </c>
      <c r="I65">
        <v>3</v>
      </c>
      <c r="J65">
        <v>0</v>
      </c>
      <c r="K65">
        <v>151.93</v>
      </c>
      <c r="L65">
        <v>4.95</v>
      </c>
      <c r="M65" t="s">
        <v>2466</v>
      </c>
      <c r="N65" t="s">
        <v>2467</v>
      </c>
      <c r="O65" t="s">
        <v>2468</v>
      </c>
      <c r="P65">
        <v>25.33</v>
      </c>
      <c r="Q65">
        <v>51.56</v>
      </c>
      <c r="R65">
        <v>75.989999999999995</v>
      </c>
      <c r="S65">
        <v>70.990000000000009</v>
      </c>
      <c r="T65">
        <v>0.46725465674981903</v>
      </c>
      <c r="U65" s="1">
        <v>45383</v>
      </c>
      <c r="V65" t="s">
        <v>2499</v>
      </c>
      <c r="W65">
        <v>2024</v>
      </c>
    </row>
    <row r="66" spans="1:23" x14ac:dyDescent="0.25">
      <c r="A66" t="s">
        <v>113</v>
      </c>
      <c r="B66" s="1">
        <v>45402</v>
      </c>
      <c r="C66" s="1">
        <v>45407</v>
      </c>
      <c r="D66" t="s">
        <v>13</v>
      </c>
      <c r="E66" t="s">
        <v>14</v>
      </c>
      <c r="F66" t="s">
        <v>25</v>
      </c>
      <c r="G66" t="s">
        <v>26</v>
      </c>
      <c r="H66" t="s">
        <v>65</v>
      </c>
      <c r="I66">
        <v>2</v>
      </c>
      <c r="J66">
        <v>0.2</v>
      </c>
      <c r="K66">
        <v>445.61</v>
      </c>
      <c r="L66">
        <v>5.46</v>
      </c>
      <c r="M66" t="s">
        <v>2457</v>
      </c>
      <c r="N66" t="s">
        <v>2458</v>
      </c>
      <c r="O66" t="s">
        <v>2459</v>
      </c>
      <c r="P66">
        <v>173.56</v>
      </c>
      <c r="Q66">
        <v>286.14999999999998</v>
      </c>
      <c r="R66">
        <v>347.12</v>
      </c>
      <c r="S66">
        <v>93.030000000000015</v>
      </c>
      <c r="T66">
        <v>0.20877000067323448</v>
      </c>
      <c r="U66" s="1">
        <v>45383</v>
      </c>
      <c r="V66" t="s">
        <v>2500</v>
      </c>
      <c r="W66">
        <v>2024</v>
      </c>
    </row>
    <row r="67" spans="1:23" x14ac:dyDescent="0.25">
      <c r="A67" t="s">
        <v>114</v>
      </c>
      <c r="B67" s="1">
        <v>45646</v>
      </c>
      <c r="C67" s="1">
        <v>45650</v>
      </c>
      <c r="D67" t="s">
        <v>47</v>
      </c>
      <c r="E67" t="s">
        <v>48</v>
      </c>
      <c r="F67" t="s">
        <v>29</v>
      </c>
      <c r="G67" t="s">
        <v>16</v>
      </c>
      <c r="H67" t="s">
        <v>17</v>
      </c>
      <c r="I67">
        <v>1</v>
      </c>
      <c r="J67">
        <v>0</v>
      </c>
      <c r="K67">
        <v>189.61</v>
      </c>
      <c r="L67">
        <v>5.75</v>
      </c>
      <c r="M67" t="s">
        <v>2472</v>
      </c>
      <c r="N67" t="s">
        <v>2467</v>
      </c>
      <c r="O67" t="s">
        <v>2468</v>
      </c>
      <c r="P67">
        <v>63.69</v>
      </c>
      <c r="Q67">
        <v>125.5</v>
      </c>
      <c r="R67">
        <v>63.69</v>
      </c>
      <c r="S67">
        <v>120.17000000000002</v>
      </c>
      <c r="T67">
        <v>0.63377458994778757</v>
      </c>
      <c r="U67" s="1">
        <v>45627</v>
      </c>
      <c r="V67" t="s">
        <v>2499</v>
      </c>
      <c r="W67">
        <v>2024</v>
      </c>
    </row>
    <row r="68" spans="1:23" x14ac:dyDescent="0.25">
      <c r="A68" t="s">
        <v>115</v>
      </c>
      <c r="B68" s="1">
        <v>45600</v>
      </c>
      <c r="C68" s="1">
        <v>45605</v>
      </c>
      <c r="D68" t="s">
        <v>13</v>
      </c>
      <c r="E68" t="s">
        <v>36</v>
      </c>
      <c r="F68" t="s">
        <v>15</v>
      </c>
      <c r="G68" t="s">
        <v>26</v>
      </c>
      <c r="H68" t="s">
        <v>60</v>
      </c>
      <c r="I68">
        <v>4</v>
      </c>
      <c r="J68">
        <v>0</v>
      </c>
      <c r="K68">
        <v>600.30999999999995</v>
      </c>
      <c r="L68">
        <v>9.5</v>
      </c>
      <c r="M68" t="s">
        <v>2469</v>
      </c>
      <c r="N68" t="s">
        <v>2467</v>
      </c>
      <c r="O68" t="s">
        <v>2468</v>
      </c>
      <c r="P68">
        <v>54.95</v>
      </c>
      <c r="Q68">
        <v>112.56</v>
      </c>
      <c r="R68">
        <v>219.8</v>
      </c>
      <c r="S68">
        <v>371.00999999999993</v>
      </c>
      <c r="T68">
        <v>0.61803068414652429</v>
      </c>
      <c r="U68" s="1">
        <v>45597</v>
      </c>
      <c r="V68" t="s">
        <v>2499</v>
      </c>
      <c r="W68">
        <v>2024</v>
      </c>
    </row>
    <row r="69" spans="1:23" x14ac:dyDescent="0.25">
      <c r="A69" t="s">
        <v>116</v>
      </c>
      <c r="B69" s="1">
        <v>45484</v>
      </c>
      <c r="C69" s="1">
        <v>45486</v>
      </c>
      <c r="D69" t="s">
        <v>23</v>
      </c>
      <c r="E69" t="s">
        <v>24</v>
      </c>
      <c r="F69" t="s">
        <v>29</v>
      </c>
      <c r="G69" t="s">
        <v>20</v>
      </c>
      <c r="H69" t="s">
        <v>21</v>
      </c>
      <c r="I69">
        <v>4</v>
      </c>
      <c r="J69">
        <v>0</v>
      </c>
      <c r="K69">
        <v>405.27</v>
      </c>
      <c r="L69">
        <v>8.2200000000000006</v>
      </c>
      <c r="M69" t="s">
        <v>2462</v>
      </c>
      <c r="N69" t="s">
        <v>2458</v>
      </c>
      <c r="O69" t="s">
        <v>2463</v>
      </c>
      <c r="P69">
        <v>71.489999999999995</v>
      </c>
      <c r="Q69">
        <v>112.88</v>
      </c>
      <c r="R69">
        <v>285.95999999999998</v>
      </c>
      <c r="S69">
        <v>111.09</v>
      </c>
      <c r="T69">
        <v>0.27411355392701164</v>
      </c>
      <c r="U69" s="1">
        <v>45474</v>
      </c>
      <c r="V69" t="s">
        <v>2499</v>
      </c>
      <c r="W69">
        <v>2024</v>
      </c>
    </row>
    <row r="70" spans="1:23" x14ac:dyDescent="0.25">
      <c r="A70" t="s">
        <v>117</v>
      </c>
      <c r="B70" s="1">
        <v>45628</v>
      </c>
      <c r="C70" s="1">
        <v>45632</v>
      </c>
      <c r="D70" t="s">
        <v>47</v>
      </c>
      <c r="E70" t="s">
        <v>71</v>
      </c>
      <c r="F70" t="s">
        <v>29</v>
      </c>
      <c r="G70" t="s">
        <v>26</v>
      </c>
      <c r="H70" t="s">
        <v>65</v>
      </c>
      <c r="I70">
        <v>1</v>
      </c>
      <c r="J70">
        <v>0.1</v>
      </c>
      <c r="K70">
        <v>376.49</v>
      </c>
      <c r="L70">
        <v>6.8</v>
      </c>
      <c r="M70" t="s">
        <v>2457</v>
      </c>
      <c r="N70" t="s">
        <v>2458</v>
      </c>
      <c r="O70" t="s">
        <v>2459</v>
      </c>
      <c r="P70">
        <v>173.56</v>
      </c>
      <c r="Q70">
        <v>286.14999999999998</v>
      </c>
      <c r="R70">
        <v>173.56</v>
      </c>
      <c r="S70">
        <v>196.13</v>
      </c>
      <c r="T70">
        <v>0.52094345135328957</v>
      </c>
      <c r="U70" s="1">
        <v>45627</v>
      </c>
      <c r="V70" t="s">
        <v>2498</v>
      </c>
      <c r="W70">
        <v>2024</v>
      </c>
    </row>
    <row r="71" spans="1:23" x14ac:dyDescent="0.25">
      <c r="A71" t="s">
        <v>118</v>
      </c>
      <c r="B71" s="1">
        <v>45422</v>
      </c>
      <c r="C71" s="1">
        <v>45425</v>
      </c>
      <c r="D71" t="s">
        <v>23</v>
      </c>
      <c r="E71" t="s">
        <v>24</v>
      </c>
      <c r="F71" t="s">
        <v>15</v>
      </c>
      <c r="G71" t="s">
        <v>16</v>
      </c>
      <c r="H71" t="s">
        <v>68</v>
      </c>
      <c r="I71">
        <v>4</v>
      </c>
      <c r="J71">
        <v>0</v>
      </c>
      <c r="K71">
        <v>218.27</v>
      </c>
      <c r="L71">
        <v>9.5</v>
      </c>
      <c r="M71" t="s">
        <v>2466</v>
      </c>
      <c r="N71" t="s">
        <v>2467</v>
      </c>
      <c r="O71" t="s">
        <v>2468</v>
      </c>
      <c r="P71">
        <v>25.33</v>
      </c>
      <c r="Q71">
        <v>51.56</v>
      </c>
      <c r="R71">
        <v>101.32</v>
      </c>
      <c r="S71">
        <v>107.45000000000002</v>
      </c>
      <c r="T71">
        <v>0.49228020341778539</v>
      </c>
      <c r="U71" s="1">
        <v>45413</v>
      </c>
      <c r="V71" t="s">
        <v>2499</v>
      </c>
      <c r="W71">
        <v>2024</v>
      </c>
    </row>
    <row r="72" spans="1:23" x14ac:dyDescent="0.25">
      <c r="A72" t="s">
        <v>119</v>
      </c>
      <c r="B72" s="1">
        <v>45362</v>
      </c>
      <c r="C72" s="1">
        <v>45363</v>
      </c>
      <c r="D72" t="s">
        <v>47</v>
      </c>
      <c r="E72" t="s">
        <v>71</v>
      </c>
      <c r="F72" t="s">
        <v>29</v>
      </c>
      <c r="G72" t="s">
        <v>16</v>
      </c>
      <c r="H72" t="s">
        <v>60</v>
      </c>
      <c r="I72">
        <v>4</v>
      </c>
      <c r="J72">
        <v>0</v>
      </c>
      <c r="K72">
        <v>418.07</v>
      </c>
      <c r="L72">
        <v>5.7</v>
      </c>
      <c r="M72" t="s">
        <v>2469</v>
      </c>
      <c r="N72" t="s">
        <v>2467</v>
      </c>
      <c r="O72" t="s">
        <v>2468</v>
      </c>
      <c r="P72">
        <v>54.95</v>
      </c>
      <c r="Q72">
        <v>112.56</v>
      </c>
      <c r="R72">
        <v>219.8</v>
      </c>
      <c r="S72">
        <v>192.57</v>
      </c>
      <c r="T72">
        <v>0.46061664314588463</v>
      </c>
      <c r="U72" s="1">
        <v>45352</v>
      </c>
      <c r="V72" t="s">
        <v>2499</v>
      </c>
      <c r="W72">
        <v>2024</v>
      </c>
    </row>
    <row r="73" spans="1:23" x14ac:dyDescent="0.25">
      <c r="A73" t="s">
        <v>120</v>
      </c>
      <c r="B73" s="1">
        <v>45637</v>
      </c>
      <c r="C73" s="1">
        <v>45640</v>
      </c>
      <c r="D73" t="s">
        <v>13</v>
      </c>
      <c r="E73" t="s">
        <v>19</v>
      </c>
      <c r="F73" t="s">
        <v>29</v>
      </c>
      <c r="G73" t="s">
        <v>16</v>
      </c>
      <c r="H73" t="s">
        <v>39</v>
      </c>
      <c r="I73">
        <v>7</v>
      </c>
      <c r="J73">
        <v>0</v>
      </c>
      <c r="K73">
        <v>1907.78</v>
      </c>
      <c r="L73">
        <v>7.95</v>
      </c>
      <c r="M73" t="s">
        <v>2471</v>
      </c>
      <c r="N73" t="s">
        <v>2467</v>
      </c>
      <c r="O73" t="s">
        <v>2461</v>
      </c>
      <c r="P73">
        <v>112.09</v>
      </c>
      <c r="Q73">
        <v>192.47</v>
      </c>
      <c r="R73">
        <v>784.63</v>
      </c>
      <c r="S73">
        <v>1115.2</v>
      </c>
      <c r="T73">
        <v>0.58455377454423474</v>
      </c>
      <c r="U73" s="1">
        <v>45627</v>
      </c>
      <c r="V73" t="s">
        <v>2499</v>
      </c>
      <c r="W73">
        <v>2024</v>
      </c>
    </row>
    <row r="74" spans="1:23" x14ac:dyDescent="0.25">
      <c r="A74" t="s">
        <v>121</v>
      </c>
      <c r="B74" s="1">
        <v>45675</v>
      </c>
      <c r="C74" s="1">
        <v>45678</v>
      </c>
      <c r="D74" t="s">
        <v>47</v>
      </c>
      <c r="E74" t="s">
        <v>48</v>
      </c>
      <c r="F74" t="s">
        <v>25</v>
      </c>
      <c r="G74" t="s">
        <v>20</v>
      </c>
      <c r="H74" t="s">
        <v>60</v>
      </c>
      <c r="I74">
        <v>4</v>
      </c>
      <c r="J74">
        <v>0</v>
      </c>
      <c r="K74">
        <v>413.19</v>
      </c>
      <c r="L74">
        <v>5.7</v>
      </c>
      <c r="M74" t="s">
        <v>2469</v>
      </c>
      <c r="N74" t="s">
        <v>2467</v>
      </c>
      <c r="O74" t="s">
        <v>2468</v>
      </c>
      <c r="P74">
        <v>54.95</v>
      </c>
      <c r="Q74">
        <v>112.56</v>
      </c>
      <c r="R74">
        <v>219.8</v>
      </c>
      <c r="S74">
        <v>187.69</v>
      </c>
      <c r="T74">
        <v>0.45424623054768992</v>
      </c>
      <c r="U74" s="1">
        <v>45658</v>
      </c>
      <c r="V74" t="s">
        <v>2499</v>
      </c>
      <c r="W74">
        <v>2025</v>
      </c>
    </row>
    <row r="75" spans="1:23" x14ac:dyDescent="0.25">
      <c r="A75" t="s">
        <v>122</v>
      </c>
      <c r="B75" s="1">
        <v>45396</v>
      </c>
      <c r="C75" s="1">
        <v>45402</v>
      </c>
      <c r="D75" t="s">
        <v>32</v>
      </c>
      <c r="E75" t="s">
        <v>45</v>
      </c>
      <c r="F75" t="s">
        <v>25</v>
      </c>
      <c r="G75" t="s">
        <v>16</v>
      </c>
      <c r="H75" t="s">
        <v>60</v>
      </c>
      <c r="I75">
        <v>1</v>
      </c>
      <c r="J75">
        <v>0.25</v>
      </c>
      <c r="K75">
        <v>83.36</v>
      </c>
      <c r="L75">
        <v>5.75</v>
      </c>
      <c r="M75" t="s">
        <v>2469</v>
      </c>
      <c r="N75" t="s">
        <v>2467</v>
      </c>
      <c r="O75" t="s">
        <v>2468</v>
      </c>
      <c r="P75">
        <v>54.95</v>
      </c>
      <c r="Q75">
        <v>112.56</v>
      </c>
      <c r="R75">
        <v>54.95</v>
      </c>
      <c r="S75">
        <v>22.659999999999997</v>
      </c>
      <c r="T75">
        <v>0.27183301343570054</v>
      </c>
      <c r="U75" s="1">
        <v>45383</v>
      </c>
      <c r="V75" t="s">
        <v>2501</v>
      </c>
      <c r="W75">
        <v>2024</v>
      </c>
    </row>
    <row r="76" spans="1:23" x14ac:dyDescent="0.25">
      <c r="A76" t="s">
        <v>123</v>
      </c>
      <c r="B76" s="1">
        <v>45368</v>
      </c>
      <c r="C76" s="1">
        <v>45369</v>
      </c>
      <c r="D76" t="s">
        <v>13</v>
      </c>
      <c r="E76" t="s">
        <v>14</v>
      </c>
      <c r="F76" t="s">
        <v>25</v>
      </c>
      <c r="G76" t="s">
        <v>20</v>
      </c>
      <c r="H76" t="s">
        <v>68</v>
      </c>
      <c r="I76">
        <v>4</v>
      </c>
      <c r="J76">
        <v>0.1</v>
      </c>
      <c r="K76">
        <v>180.69</v>
      </c>
      <c r="L76">
        <v>5.7</v>
      </c>
      <c r="M76" t="s">
        <v>2466</v>
      </c>
      <c r="N76" t="s">
        <v>2467</v>
      </c>
      <c r="O76" t="s">
        <v>2468</v>
      </c>
      <c r="P76">
        <v>25.33</v>
      </c>
      <c r="Q76">
        <v>51.56</v>
      </c>
      <c r="R76">
        <v>101.32</v>
      </c>
      <c r="S76">
        <v>73.67</v>
      </c>
      <c r="T76">
        <v>0.40771487077314739</v>
      </c>
      <c r="U76" s="1">
        <v>45352</v>
      </c>
      <c r="V76" t="s">
        <v>2498</v>
      </c>
      <c r="W76">
        <v>2024</v>
      </c>
    </row>
    <row r="77" spans="1:23" x14ac:dyDescent="0.25">
      <c r="A77" t="s">
        <v>124</v>
      </c>
      <c r="B77" s="1">
        <v>45613</v>
      </c>
      <c r="C77" s="1">
        <v>45619</v>
      </c>
      <c r="D77" t="s">
        <v>32</v>
      </c>
      <c r="E77" t="s">
        <v>62</v>
      </c>
      <c r="F77" t="s">
        <v>15</v>
      </c>
      <c r="G77" t="s">
        <v>26</v>
      </c>
      <c r="H77" t="s">
        <v>68</v>
      </c>
      <c r="I77">
        <v>3</v>
      </c>
      <c r="J77">
        <v>0.2</v>
      </c>
      <c r="K77">
        <v>168.04</v>
      </c>
      <c r="L77">
        <v>4.95</v>
      </c>
      <c r="M77" t="s">
        <v>2466</v>
      </c>
      <c r="N77" t="s">
        <v>2467</v>
      </c>
      <c r="O77" t="s">
        <v>2468</v>
      </c>
      <c r="P77">
        <v>25.33</v>
      </c>
      <c r="Q77">
        <v>51.56</v>
      </c>
      <c r="R77">
        <v>75.989999999999995</v>
      </c>
      <c r="S77">
        <v>87.1</v>
      </c>
      <c r="T77">
        <v>0.51832896929302541</v>
      </c>
      <c r="U77" s="1">
        <v>45597</v>
      </c>
      <c r="V77" t="s">
        <v>2500</v>
      </c>
      <c r="W77">
        <v>2024</v>
      </c>
    </row>
    <row r="78" spans="1:23" x14ac:dyDescent="0.25">
      <c r="A78" t="s">
        <v>125</v>
      </c>
      <c r="B78" s="1">
        <v>45739</v>
      </c>
      <c r="C78" s="1">
        <v>45745</v>
      </c>
      <c r="D78" t="s">
        <v>32</v>
      </c>
      <c r="E78" t="s">
        <v>33</v>
      </c>
      <c r="F78" t="s">
        <v>25</v>
      </c>
      <c r="G78" t="s">
        <v>26</v>
      </c>
      <c r="H78" t="s">
        <v>39</v>
      </c>
      <c r="I78">
        <v>3</v>
      </c>
      <c r="J78">
        <v>0</v>
      </c>
      <c r="K78">
        <v>530.74</v>
      </c>
      <c r="L78">
        <v>4.95</v>
      </c>
      <c r="M78" t="s">
        <v>2471</v>
      </c>
      <c r="N78" t="s">
        <v>2467</v>
      </c>
      <c r="O78" t="s">
        <v>2461</v>
      </c>
      <c r="P78">
        <v>112.09</v>
      </c>
      <c r="Q78">
        <v>192.47</v>
      </c>
      <c r="R78">
        <v>336.27</v>
      </c>
      <c r="S78">
        <v>189.52000000000004</v>
      </c>
      <c r="T78">
        <v>0.35708633229076392</v>
      </c>
      <c r="U78" s="1">
        <v>45717</v>
      </c>
      <c r="V78" t="s">
        <v>2499</v>
      </c>
      <c r="W78">
        <v>2025</v>
      </c>
    </row>
    <row r="79" spans="1:23" x14ac:dyDescent="0.25">
      <c r="A79" t="s">
        <v>126</v>
      </c>
      <c r="B79" s="1">
        <v>45956</v>
      </c>
      <c r="C79" s="1">
        <v>45958</v>
      </c>
      <c r="D79" t="s">
        <v>47</v>
      </c>
      <c r="E79" t="s">
        <v>48</v>
      </c>
      <c r="F79" t="s">
        <v>15</v>
      </c>
      <c r="G79" t="s">
        <v>26</v>
      </c>
      <c r="H79" t="s">
        <v>68</v>
      </c>
      <c r="I79">
        <v>1</v>
      </c>
      <c r="J79">
        <v>0</v>
      </c>
      <c r="K79">
        <v>62.22</v>
      </c>
      <c r="L79">
        <v>3.45</v>
      </c>
      <c r="M79" t="s">
        <v>2466</v>
      </c>
      <c r="N79" t="s">
        <v>2467</v>
      </c>
      <c r="O79" t="s">
        <v>2468</v>
      </c>
      <c r="P79">
        <v>25.33</v>
      </c>
      <c r="Q79">
        <v>51.56</v>
      </c>
      <c r="R79">
        <v>25.33</v>
      </c>
      <c r="S79">
        <v>33.44</v>
      </c>
      <c r="T79">
        <v>0.53744776599164257</v>
      </c>
      <c r="U79" s="1">
        <v>45931</v>
      </c>
      <c r="V79" t="s">
        <v>2499</v>
      </c>
      <c r="W79">
        <v>2025</v>
      </c>
    </row>
    <row r="80" spans="1:23" x14ac:dyDescent="0.25">
      <c r="A80" t="s">
        <v>127</v>
      </c>
      <c r="B80" s="1">
        <v>45748</v>
      </c>
      <c r="C80" s="1">
        <v>45750</v>
      </c>
      <c r="D80" t="s">
        <v>47</v>
      </c>
      <c r="E80" t="s">
        <v>50</v>
      </c>
      <c r="F80" t="s">
        <v>25</v>
      </c>
      <c r="G80" t="s">
        <v>16</v>
      </c>
      <c r="H80" t="s">
        <v>17</v>
      </c>
      <c r="I80">
        <v>2</v>
      </c>
      <c r="J80">
        <v>0</v>
      </c>
      <c r="K80">
        <v>248.11</v>
      </c>
      <c r="L80">
        <v>7</v>
      </c>
      <c r="M80" t="s">
        <v>2472</v>
      </c>
      <c r="N80" t="s">
        <v>2467</v>
      </c>
      <c r="O80" t="s">
        <v>2468</v>
      </c>
      <c r="P80">
        <v>63.69</v>
      </c>
      <c r="Q80">
        <v>125.5</v>
      </c>
      <c r="R80">
        <v>127.38</v>
      </c>
      <c r="S80">
        <v>113.73000000000002</v>
      </c>
      <c r="T80">
        <v>0.45838539357543029</v>
      </c>
      <c r="U80" s="1">
        <v>45748</v>
      </c>
      <c r="V80" t="s">
        <v>2499</v>
      </c>
      <c r="W80">
        <v>2025</v>
      </c>
    </row>
    <row r="81" spans="1:23" x14ac:dyDescent="0.25">
      <c r="A81" t="s">
        <v>128</v>
      </c>
      <c r="B81" s="1">
        <v>45752</v>
      </c>
      <c r="C81" s="1">
        <v>45754</v>
      </c>
      <c r="D81" t="s">
        <v>23</v>
      </c>
      <c r="E81" t="s">
        <v>43</v>
      </c>
      <c r="F81" t="s">
        <v>25</v>
      </c>
      <c r="G81" t="s">
        <v>20</v>
      </c>
      <c r="H81" t="s">
        <v>17</v>
      </c>
      <c r="I81">
        <v>1</v>
      </c>
      <c r="J81">
        <v>0</v>
      </c>
      <c r="K81">
        <v>123.25</v>
      </c>
      <c r="L81">
        <v>3.45</v>
      </c>
      <c r="M81" t="s">
        <v>2472</v>
      </c>
      <c r="N81" t="s">
        <v>2467</v>
      </c>
      <c r="O81" t="s">
        <v>2468</v>
      </c>
      <c r="P81">
        <v>63.69</v>
      </c>
      <c r="Q81">
        <v>125.5</v>
      </c>
      <c r="R81">
        <v>63.69</v>
      </c>
      <c r="S81">
        <v>56.11</v>
      </c>
      <c r="T81">
        <v>0.45525354969574033</v>
      </c>
      <c r="U81" s="1">
        <v>45748</v>
      </c>
      <c r="V81" t="s">
        <v>2499</v>
      </c>
      <c r="W81">
        <v>2025</v>
      </c>
    </row>
    <row r="82" spans="1:23" x14ac:dyDescent="0.25">
      <c r="A82" t="s">
        <v>129</v>
      </c>
      <c r="B82" s="1">
        <v>45974</v>
      </c>
      <c r="C82" s="1">
        <v>45977</v>
      </c>
      <c r="D82" t="s">
        <v>32</v>
      </c>
      <c r="E82" t="s">
        <v>62</v>
      </c>
      <c r="F82" t="s">
        <v>15</v>
      </c>
      <c r="G82" t="s">
        <v>26</v>
      </c>
      <c r="H82" t="s">
        <v>68</v>
      </c>
      <c r="I82">
        <v>4</v>
      </c>
      <c r="J82">
        <v>0</v>
      </c>
      <c r="K82">
        <v>275.04000000000002</v>
      </c>
      <c r="L82">
        <v>5.7</v>
      </c>
      <c r="M82" t="s">
        <v>2466</v>
      </c>
      <c r="N82" t="s">
        <v>2467</v>
      </c>
      <c r="O82" t="s">
        <v>2468</v>
      </c>
      <c r="P82">
        <v>25.33</v>
      </c>
      <c r="Q82">
        <v>51.56</v>
      </c>
      <c r="R82">
        <v>101.32</v>
      </c>
      <c r="S82">
        <v>168.02000000000004</v>
      </c>
      <c r="T82">
        <v>0.61089296102385116</v>
      </c>
      <c r="U82" s="1">
        <v>45962</v>
      </c>
      <c r="V82" t="s">
        <v>2499</v>
      </c>
      <c r="W82">
        <v>2025</v>
      </c>
    </row>
    <row r="83" spans="1:23" x14ac:dyDescent="0.25">
      <c r="A83" t="s">
        <v>130</v>
      </c>
      <c r="B83" s="1">
        <v>45512</v>
      </c>
      <c r="C83" s="1">
        <v>45517</v>
      </c>
      <c r="D83" t="s">
        <v>32</v>
      </c>
      <c r="E83" t="s">
        <v>33</v>
      </c>
      <c r="F83" t="s">
        <v>29</v>
      </c>
      <c r="G83" t="s">
        <v>16</v>
      </c>
      <c r="H83" t="s">
        <v>27</v>
      </c>
      <c r="I83">
        <v>8</v>
      </c>
      <c r="J83">
        <v>0</v>
      </c>
      <c r="K83">
        <v>216.42</v>
      </c>
      <c r="L83">
        <v>4.8600000000000003</v>
      </c>
      <c r="M83" t="s">
        <v>2478</v>
      </c>
      <c r="N83" t="s">
        <v>2474</v>
      </c>
      <c r="O83" t="s">
        <v>2463</v>
      </c>
      <c r="P83">
        <v>16.760000000000002</v>
      </c>
      <c r="Q83">
        <v>27.71</v>
      </c>
      <c r="R83">
        <v>134.08000000000001</v>
      </c>
      <c r="S83">
        <v>77.479999999999976</v>
      </c>
      <c r="T83">
        <v>0.35800757785786885</v>
      </c>
      <c r="U83" s="1">
        <v>45505</v>
      </c>
      <c r="V83" t="s">
        <v>2499</v>
      </c>
      <c r="W83">
        <v>2024</v>
      </c>
    </row>
    <row r="84" spans="1:23" x14ac:dyDescent="0.25">
      <c r="A84" t="s">
        <v>131</v>
      </c>
      <c r="B84" s="1">
        <v>45399</v>
      </c>
      <c r="C84" s="1">
        <v>45404</v>
      </c>
      <c r="D84" t="s">
        <v>13</v>
      </c>
      <c r="E84" t="s">
        <v>19</v>
      </c>
      <c r="F84" t="s">
        <v>15</v>
      </c>
      <c r="G84" t="s">
        <v>20</v>
      </c>
      <c r="H84" t="s">
        <v>17</v>
      </c>
      <c r="I84">
        <v>3</v>
      </c>
      <c r="J84">
        <v>0.2</v>
      </c>
      <c r="K84">
        <v>305.68</v>
      </c>
      <c r="L84">
        <v>4.95</v>
      </c>
      <c r="M84" t="s">
        <v>2472</v>
      </c>
      <c r="N84" t="s">
        <v>2467</v>
      </c>
      <c r="O84" t="s">
        <v>2468</v>
      </c>
      <c r="P84">
        <v>63.69</v>
      </c>
      <c r="Q84">
        <v>125.5</v>
      </c>
      <c r="R84">
        <v>191.07</v>
      </c>
      <c r="S84">
        <v>109.66000000000001</v>
      </c>
      <c r="T84">
        <v>0.35874116723370847</v>
      </c>
      <c r="U84" s="1">
        <v>45383</v>
      </c>
      <c r="V84" t="s">
        <v>2500</v>
      </c>
      <c r="W84">
        <v>2024</v>
      </c>
    </row>
    <row r="85" spans="1:23" x14ac:dyDescent="0.25">
      <c r="A85" t="s">
        <v>132</v>
      </c>
      <c r="B85" s="1">
        <v>45412</v>
      </c>
      <c r="C85" s="1">
        <v>45416</v>
      </c>
      <c r="D85" t="s">
        <v>13</v>
      </c>
      <c r="E85" t="s">
        <v>14</v>
      </c>
      <c r="F85" t="s">
        <v>29</v>
      </c>
      <c r="G85" t="s">
        <v>26</v>
      </c>
      <c r="H85" t="s">
        <v>21</v>
      </c>
      <c r="I85">
        <v>2</v>
      </c>
      <c r="J85">
        <v>0.15</v>
      </c>
      <c r="K85">
        <v>188.33</v>
      </c>
      <c r="L85">
        <v>5.46</v>
      </c>
      <c r="M85" t="s">
        <v>2462</v>
      </c>
      <c r="N85" t="s">
        <v>2458</v>
      </c>
      <c r="O85" t="s">
        <v>2463</v>
      </c>
      <c r="P85">
        <v>71.489999999999995</v>
      </c>
      <c r="Q85">
        <v>112.88</v>
      </c>
      <c r="R85">
        <v>142.97999999999999</v>
      </c>
      <c r="S85">
        <v>39.890000000000022</v>
      </c>
      <c r="T85">
        <v>0.21180905856740836</v>
      </c>
      <c r="U85" s="1">
        <v>45383</v>
      </c>
      <c r="V85" t="s">
        <v>2500</v>
      </c>
      <c r="W85">
        <v>2024</v>
      </c>
    </row>
    <row r="86" spans="1:23" x14ac:dyDescent="0.25">
      <c r="A86" t="s">
        <v>133</v>
      </c>
      <c r="B86" s="1">
        <v>45372</v>
      </c>
      <c r="C86" s="1">
        <v>45373</v>
      </c>
      <c r="D86" t="s">
        <v>13</v>
      </c>
      <c r="E86" t="s">
        <v>19</v>
      </c>
      <c r="F86" t="s">
        <v>25</v>
      </c>
      <c r="G86" t="s">
        <v>16</v>
      </c>
      <c r="H86" t="s">
        <v>87</v>
      </c>
      <c r="I86">
        <v>5</v>
      </c>
      <c r="J86">
        <v>0</v>
      </c>
      <c r="K86">
        <v>39.4</v>
      </c>
      <c r="L86">
        <v>6.75</v>
      </c>
      <c r="M86" t="s">
        <v>2476</v>
      </c>
      <c r="N86" t="s">
        <v>2474</v>
      </c>
      <c r="O86" t="s">
        <v>2459</v>
      </c>
      <c r="P86">
        <v>4.5</v>
      </c>
      <c r="Q86">
        <v>8.2899999999999991</v>
      </c>
      <c r="R86">
        <v>22.5</v>
      </c>
      <c r="S86">
        <v>10.149999999999999</v>
      </c>
      <c r="T86">
        <v>0.25761421319796951</v>
      </c>
      <c r="U86" s="1">
        <v>45352</v>
      </c>
      <c r="V86" t="s">
        <v>2499</v>
      </c>
      <c r="W86">
        <v>2024</v>
      </c>
    </row>
    <row r="87" spans="1:23" x14ac:dyDescent="0.25">
      <c r="A87" t="s">
        <v>134</v>
      </c>
      <c r="B87" s="1">
        <v>45301</v>
      </c>
      <c r="C87" s="1">
        <v>45307</v>
      </c>
      <c r="D87" t="s">
        <v>23</v>
      </c>
      <c r="E87" t="s">
        <v>59</v>
      </c>
      <c r="F87" t="s">
        <v>15</v>
      </c>
      <c r="G87" t="s">
        <v>26</v>
      </c>
      <c r="H87" t="s">
        <v>30</v>
      </c>
      <c r="I87">
        <v>6</v>
      </c>
      <c r="J87">
        <v>0</v>
      </c>
      <c r="K87">
        <v>30.7</v>
      </c>
      <c r="L87">
        <v>4.32</v>
      </c>
      <c r="M87" t="s">
        <v>2473</v>
      </c>
      <c r="N87" t="s">
        <v>2474</v>
      </c>
      <c r="O87" t="s">
        <v>2463</v>
      </c>
      <c r="P87">
        <v>3.62</v>
      </c>
      <c r="Q87">
        <v>6.03</v>
      </c>
      <c r="R87">
        <v>21.72</v>
      </c>
      <c r="S87">
        <v>4.66</v>
      </c>
      <c r="T87">
        <v>0.15179153094462541</v>
      </c>
      <c r="U87" s="1">
        <v>45292</v>
      </c>
      <c r="V87" t="s">
        <v>2499</v>
      </c>
      <c r="W87">
        <v>2024</v>
      </c>
    </row>
    <row r="88" spans="1:23" x14ac:dyDescent="0.25">
      <c r="A88" t="s">
        <v>135</v>
      </c>
      <c r="B88" s="1">
        <v>45912</v>
      </c>
      <c r="C88" s="1">
        <v>45917</v>
      </c>
      <c r="D88" t="s">
        <v>13</v>
      </c>
      <c r="E88" t="s">
        <v>19</v>
      </c>
      <c r="F88" t="s">
        <v>25</v>
      </c>
      <c r="G88" t="s">
        <v>16</v>
      </c>
      <c r="H88" t="s">
        <v>68</v>
      </c>
      <c r="I88">
        <v>2</v>
      </c>
      <c r="J88">
        <v>0.25</v>
      </c>
      <c r="K88">
        <v>81.63</v>
      </c>
      <c r="L88">
        <v>7</v>
      </c>
      <c r="M88" t="s">
        <v>2466</v>
      </c>
      <c r="N88" t="s">
        <v>2467</v>
      </c>
      <c r="O88" t="s">
        <v>2468</v>
      </c>
      <c r="P88">
        <v>25.33</v>
      </c>
      <c r="Q88">
        <v>51.56</v>
      </c>
      <c r="R88">
        <v>50.66</v>
      </c>
      <c r="S88">
        <v>23.97</v>
      </c>
      <c r="T88">
        <v>0.29364204336640942</v>
      </c>
      <c r="U88" s="1">
        <v>45901</v>
      </c>
      <c r="V88" t="s">
        <v>2501</v>
      </c>
      <c r="W88">
        <v>2025</v>
      </c>
    </row>
    <row r="89" spans="1:23" x14ac:dyDescent="0.25">
      <c r="A89" t="s">
        <v>136</v>
      </c>
      <c r="B89" s="1">
        <v>45747</v>
      </c>
      <c r="C89" s="1">
        <v>45748</v>
      </c>
      <c r="D89" t="s">
        <v>13</v>
      </c>
      <c r="E89" t="s">
        <v>19</v>
      </c>
      <c r="F89" t="s">
        <v>25</v>
      </c>
      <c r="G89" t="s">
        <v>20</v>
      </c>
      <c r="H89" t="s">
        <v>39</v>
      </c>
      <c r="I89">
        <v>4</v>
      </c>
      <c r="J89">
        <v>0.1</v>
      </c>
      <c r="K89">
        <v>627.72</v>
      </c>
      <c r="L89">
        <v>9.5</v>
      </c>
      <c r="M89" t="s">
        <v>2471</v>
      </c>
      <c r="N89" t="s">
        <v>2467</v>
      </c>
      <c r="O89" t="s">
        <v>2461</v>
      </c>
      <c r="P89">
        <v>112.09</v>
      </c>
      <c r="Q89">
        <v>192.47</v>
      </c>
      <c r="R89">
        <v>448.36</v>
      </c>
      <c r="S89">
        <v>169.86</v>
      </c>
      <c r="T89">
        <v>0.27059835595488435</v>
      </c>
      <c r="U89" s="1">
        <v>45717</v>
      </c>
      <c r="V89" t="s">
        <v>2498</v>
      </c>
      <c r="W89">
        <v>2025</v>
      </c>
    </row>
    <row r="90" spans="1:23" x14ac:dyDescent="0.25">
      <c r="A90" t="s">
        <v>137</v>
      </c>
      <c r="B90" s="1">
        <v>45875</v>
      </c>
      <c r="C90" s="1">
        <v>45878</v>
      </c>
      <c r="D90" t="s">
        <v>23</v>
      </c>
      <c r="E90" t="s">
        <v>59</v>
      </c>
      <c r="F90" t="s">
        <v>25</v>
      </c>
      <c r="G90" t="s">
        <v>16</v>
      </c>
      <c r="H90" t="s">
        <v>39</v>
      </c>
      <c r="I90">
        <v>1</v>
      </c>
      <c r="J90">
        <v>0.25</v>
      </c>
      <c r="K90">
        <v>131.94999999999999</v>
      </c>
      <c r="L90">
        <v>5.75</v>
      </c>
      <c r="M90" t="s">
        <v>2471</v>
      </c>
      <c r="N90" t="s">
        <v>2467</v>
      </c>
      <c r="O90" t="s">
        <v>2461</v>
      </c>
      <c r="P90">
        <v>112.09</v>
      </c>
      <c r="Q90">
        <v>192.47</v>
      </c>
      <c r="R90">
        <v>112.09</v>
      </c>
      <c r="S90">
        <v>14.109999999999985</v>
      </c>
      <c r="T90">
        <v>0.10693444486547925</v>
      </c>
      <c r="U90" s="1">
        <v>45870</v>
      </c>
      <c r="V90" t="s">
        <v>2501</v>
      </c>
      <c r="W90">
        <v>2025</v>
      </c>
    </row>
    <row r="91" spans="1:23" x14ac:dyDescent="0.25">
      <c r="A91" t="s">
        <v>138</v>
      </c>
      <c r="B91" s="1">
        <v>45714</v>
      </c>
      <c r="C91" s="1">
        <v>45718</v>
      </c>
      <c r="D91" t="s">
        <v>47</v>
      </c>
      <c r="E91" t="s">
        <v>71</v>
      </c>
      <c r="F91" t="s">
        <v>25</v>
      </c>
      <c r="G91" t="s">
        <v>26</v>
      </c>
      <c r="H91" t="s">
        <v>53</v>
      </c>
      <c r="I91">
        <v>3</v>
      </c>
      <c r="J91">
        <v>0</v>
      </c>
      <c r="K91">
        <v>145.55000000000001</v>
      </c>
      <c r="L91">
        <v>8.25</v>
      </c>
      <c r="M91" t="s">
        <v>2470</v>
      </c>
      <c r="N91" t="s">
        <v>2467</v>
      </c>
      <c r="O91" t="s">
        <v>2459</v>
      </c>
      <c r="P91">
        <v>31.34</v>
      </c>
      <c r="Q91">
        <v>56.49</v>
      </c>
      <c r="R91">
        <v>94.02</v>
      </c>
      <c r="S91">
        <v>43.280000000000015</v>
      </c>
      <c r="T91">
        <v>0.29735486087255247</v>
      </c>
      <c r="U91" s="1">
        <v>45689</v>
      </c>
      <c r="V91" t="s">
        <v>2499</v>
      </c>
      <c r="W91">
        <v>2025</v>
      </c>
    </row>
    <row r="92" spans="1:23" x14ac:dyDescent="0.25">
      <c r="A92" t="s">
        <v>139</v>
      </c>
      <c r="B92" s="1">
        <v>45932</v>
      </c>
      <c r="C92" s="1">
        <v>45934</v>
      </c>
      <c r="D92" t="s">
        <v>32</v>
      </c>
      <c r="E92" t="s">
        <v>33</v>
      </c>
      <c r="F92" t="s">
        <v>29</v>
      </c>
      <c r="G92" t="s">
        <v>26</v>
      </c>
      <c r="H92" t="s">
        <v>39</v>
      </c>
      <c r="I92">
        <v>2</v>
      </c>
      <c r="J92">
        <v>0</v>
      </c>
      <c r="K92">
        <v>463.21</v>
      </c>
      <c r="L92">
        <v>7</v>
      </c>
      <c r="M92" t="s">
        <v>2471</v>
      </c>
      <c r="N92" t="s">
        <v>2467</v>
      </c>
      <c r="O92" t="s">
        <v>2461</v>
      </c>
      <c r="P92">
        <v>112.09</v>
      </c>
      <c r="Q92">
        <v>192.47</v>
      </c>
      <c r="R92">
        <v>224.18</v>
      </c>
      <c r="S92">
        <v>232.02999999999997</v>
      </c>
      <c r="T92">
        <v>0.50091751041644172</v>
      </c>
      <c r="U92" s="1">
        <v>45931</v>
      </c>
      <c r="V92" t="s">
        <v>2499</v>
      </c>
      <c r="W92">
        <v>2025</v>
      </c>
    </row>
    <row r="93" spans="1:23" x14ac:dyDescent="0.25">
      <c r="A93" t="s">
        <v>140</v>
      </c>
      <c r="B93" s="1">
        <v>45903</v>
      </c>
      <c r="C93" s="1">
        <v>45905</v>
      </c>
      <c r="D93" t="s">
        <v>47</v>
      </c>
      <c r="E93" t="s">
        <v>48</v>
      </c>
      <c r="F93" t="s">
        <v>15</v>
      </c>
      <c r="G93" t="s">
        <v>20</v>
      </c>
      <c r="H93" t="s">
        <v>68</v>
      </c>
      <c r="I93">
        <v>3</v>
      </c>
      <c r="J93">
        <v>0</v>
      </c>
      <c r="K93">
        <v>171.28</v>
      </c>
      <c r="L93">
        <v>8.25</v>
      </c>
      <c r="M93" t="s">
        <v>2466</v>
      </c>
      <c r="N93" t="s">
        <v>2467</v>
      </c>
      <c r="O93" t="s">
        <v>2468</v>
      </c>
      <c r="P93">
        <v>25.33</v>
      </c>
      <c r="Q93">
        <v>51.56</v>
      </c>
      <c r="R93">
        <v>75.989999999999995</v>
      </c>
      <c r="S93">
        <v>87.04</v>
      </c>
      <c r="T93">
        <v>0.5081737505838394</v>
      </c>
      <c r="U93" s="1">
        <v>45901</v>
      </c>
      <c r="V93" t="s">
        <v>2499</v>
      </c>
      <c r="W93">
        <v>2025</v>
      </c>
    </row>
    <row r="94" spans="1:23" x14ac:dyDescent="0.25">
      <c r="A94" t="s">
        <v>141</v>
      </c>
      <c r="B94" s="1">
        <v>45295</v>
      </c>
      <c r="C94" s="1">
        <v>45300</v>
      </c>
      <c r="D94" t="s">
        <v>23</v>
      </c>
      <c r="E94" t="s">
        <v>59</v>
      </c>
      <c r="F94" t="s">
        <v>25</v>
      </c>
      <c r="G94" t="s">
        <v>20</v>
      </c>
      <c r="H94" t="s">
        <v>17</v>
      </c>
      <c r="I94">
        <v>4</v>
      </c>
      <c r="J94">
        <v>0.15</v>
      </c>
      <c r="K94">
        <v>388.72</v>
      </c>
      <c r="L94">
        <v>9.5</v>
      </c>
      <c r="M94" t="s">
        <v>2472</v>
      </c>
      <c r="N94" t="s">
        <v>2467</v>
      </c>
      <c r="O94" t="s">
        <v>2468</v>
      </c>
      <c r="P94">
        <v>63.69</v>
      </c>
      <c r="Q94">
        <v>125.5</v>
      </c>
      <c r="R94">
        <v>254.76</v>
      </c>
      <c r="S94">
        <v>124.46000000000004</v>
      </c>
      <c r="T94">
        <v>0.32017904918707563</v>
      </c>
      <c r="U94" s="1">
        <v>45292</v>
      </c>
      <c r="V94" t="s">
        <v>2500</v>
      </c>
      <c r="W94">
        <v>2024</v>
      </c>
    </row>
    <row r="95" spans="1:23" x14ac:dyDescent="0.25">
      <c r="A95" t="s">
        <v>142</v>
      </c>
      <c r="B95" s="1">
        <v>45677</v>
      </c>
      <c r="C95" s="1">
        <v>45680</v>
      </c>
      <c r="D95" t="s">
        <v>47</v>
      </c>
      <c r="E95" t="s">
        <v>71</v>
      </c>
      <c r="F95" t="s">
        <v>29</v>
      </c>
      <c r="G95" t="s">
        <v>16</v>
      </c>
      <c r="H95" t="s">
        <v>65</v>
      </c>
      <c r="I95">
        <v>4</v>
      </c>
      <c r="J95">
        <v>0.2</v>
      </c>
      <c r="K95">
        <v>765.87</v>
      </c>
      <c r="L95">
        <v>8.2200000000000006</v>
      </c>
      <c r="M95" t="s">
        <v>2457</v>
      </c>
      <c r="N95" t="s">
        <v>2458</v>
      </c>
      <c r="O95" t="s">
        <v>2459</v>
      </c>
      <c r="P95">
        <v>173.56</v>
      </c>
      <c r="Q95">
        <v>286.14999999999998</v>
      </c>
      <c r="R95">
        <v>694.24</v>
      </c>
      <c r="S95">
        <v>63.41</v>
      </c>
      <c r="T95">
        <v>8.2794730176139544E-2</v>
      </c>
      <c r="U95" s="1">
        <v>45658</v>
      </c>
      <c r="V95" t="s">
        <v>2500</v>
      </c>
      <c r="W95">
        <v>2025</v>
      </c>
    </row>
    <row r="96" spans="1:23" x14ac:dyDescent="0.25">
      <c r="A96" t="s">
        <v>143</v>
      </c>
      <c r="B96" s="1">
        <v>45862</v>
      </c>
      <c r="C96" s="1">
        <v>45863</v>
      </c>
      <c r="D96" t="s">
        <v>32</v>
      </c>
      <c r="E96" t="s">
        <v>62</v>
      </c>
      <c r="F96" t="s">
        <v>29</v>
      </c>
      <c r="G96" t="s">
        <v>16</v>
      </c>
      <c r="H96" t="s">
        <v>63</v>
      </c>
      <c r="I96">
        <v>7</v>
      </c>
      <c r="J96">
        <v>0</v>
      </c>
      <c r="K96">
        <v>78.84</v>
      </c>
      <c r="L96">
        <v>7.65</v>
      </c>
      <c r="M96" t="s">
        <v>2477</v>
      </c>
      <c r="N96" t="s">
        <v>2474</v>
      </c>
      <c r="O96" t="s">
        <v>2468</v>
      </c>
      <c r="P96">
        <v>6.33</v>
      </c>
      <c r="Q96">
        <v>12.16</v>
      </c>
      <c r="R96">
        <v>44.31</v>
      </c>
      <c r="S96">
        <v>26.880000000000003</v>
      </c>
      <c r="T96">
        <v>0.34094368340943687</v>
      </c>
      <c r="U96" s="1">
        <v>45839</v>
      </c>
      <c r="V96" t="s">
        <v>2499</v>
      </c>
      <c r="W96">
        <v>2025</v>
      </c>
    </row>
    <row r="97" spans="1:23" x14ac:dyDescent="0.25">
      <c r="A97" t="s">
        <v>144</v>
      </c>
      <c r="B97" s="1">
        <v>45983</v>
      </c>
      <c r="C97" s="1">
        <v>45989</v>
      </c>
      <c r="D97" t="s">
        <v>32</v>
      </c>
      <c r="E97" t="s">
        <v>62</v>
      </c>
      <c r="F97" t="s">
        <v>15</v>
      </c>
      <c r="G97" t="s">
        <v>20</v>
      </c>
      <c r="H97" t="s">
        <v>60</v>
      </c>
      <c r="I97">
        <v>3</v>
      </c>
      <c r="J97">
        <v>0.1</v>
      </c>
      <c r="K97">
        <v>406.74</v>
      </c>
      <c r="L97">
        <v>4.95</v>
      </c>
      <c r="M97" t="s">
        <v>2469</v>
      </c>
      <c r="N97" t="s">
        <v>2467</v>
      </c>
      <c r="O97" t="s">
        <v>2468</v>
      </c>
      <c r="P97">
        <v>54.95</v>
      </c>
      <c r="Q97">
        <v>112.56</v>
      </c>
      <c r="R97">
        <v>164.85000000000002</v>
      </c>
      <c r="S97">
        <v>236.94</v>
      </c>
      <c r="T97">
        <v>0.58253429709396665</v>
      </c>
      <c r="U97" s="1">
        <v>45962</v>
      </c>
      <c r="V97" t="s">
        <v>2498</v>
      </c>
      <c r="W97">
        <v>2025</v>
      </c>
    </row>
    <row r="98" spans="1:23" x14ac:dyDescent="0.25">
      <c r="A98" t="s">
        <v>145</v>
      </c>
      <c r="B98" s="1">
        <v>45303</v>
      </c>
      <c r="C98" s="1">
        <v>45309</v>
      </c>
      <c r="D98" t="s">
        <v>23</v>
      </c>
      <c r="E98" t="s">
        <v>43</v>
      </c>
      <c r="F98" t="s">
        <v>25</v>
      </c>
      <c r="G98" t="s">
        <v>20</v>
      </c>
      <c r="H98" t="s">
        <v>27</v>
      </c>
      <c r="I98">
        <v>13</v>
      </c>
      <c r="J98">
        <v>0</v>
      </c>
      <c r="K98">
        <v>325.66000000000003</v>
      </c>
      <c r="L98">
        <v>6.21</v>
      </c>
      <c r="M98" t="s">
        <v>2478</v>
      </c>
      <c r="N98" t="s">
        <v>2474</v>
      </c>
      <c r="O98" t="s">
        <v>2463</v>
      </c>
      <c r="P98">
        <v>16.760000000000002</v>
      </c>
      <c r="Q98">
        <v>27.71</v>
      </c>
      <c r="R98">
        <v>217.88000000000002</v>
      </c>
      <c r="S98">
        <v>101.57000000000001</v>
      </c>
      <c r="T98">
        <v>0.31188970091506479</v>
      </c>
      <c r="U98" s="1">
        <v>45292</v>
      </c>
      <c r="V98" t="s">
        <v>2499</v>
      </c>
      <c r="W98">
        <v>2024</v>
      </c>
    </row>
    <row r="99" spans="1:23" x14ac:dyDescent="0.25">
      <c r="A99" t="s">
        <v>146</v>
      </c>
      <c r="B99" s="1">
        <v>45749</v>
      </c>
      <c r="C99" s="1">
        <v>45750</v>
      </c>
      <c r="D99" t="s">
        <v>13</v>
      </c>
      <c r="E99" t="s">
        <v>14</v>
      </c>
      <c r="F99" t="s">
        <v>29</v>
      </c>
      <c r="G99" t="s">
        <v>20</v>
      </c>
      <c r="H99" t="s">
        <v>41</v>
      </c>
      <c r="I99">
        <v>9</v>
      </c>
      <c r="J99">
        <v>0.15</v>
      </c>
      <c r="K99">
        <v>48.6</v>
      </c>
      <c r="L99">
        <v>5.13</v>
      </c>
      <c r="M99" t="s">
        <v>2479</v>
      </c>
      <c r="N99" t="s">
        <v>2474</v>
      </c>
      <c r="O99" t="s">
        <v>2459</v>
      </c>
      <c r="P99">
        <v>3.3</v>
      </c>
      <c r="Q99">
        <v>6.13</v>
      </c>
      <c r="R99">
        <v>29.7</v>
      </c>
      <c r="S99">
        <v>13.770000000000003</v>
      </c>
      <c r="T99">
        <v>0.28333333333333338</v>
      </c>
      <c r="U99" s="1">
        <v>45748</v>
      </c>
      <c r="V99" t="s">
        <v>2500</v>
      </c>
      <c r="W99">
        <v>2025</v>
      </c>
    </row>
    <row r="100" spans="1:23" x14ac:dyDescent="0.25">
      <c r="A100" t="s">
        <v>147</v>
      </c>
      <c r="B100" s="1">
        <v>45661</v>
      </c>
      <c r="C100" s="1">
        <v>45665</v>
      </c>
      <c r="D100" t="s">
        <v>23</v>
      </c>
      <c r="E100" t="s">
        <v>59</v>
      </c>
      <c r="F100" t="s">
        <v>29</v>
      </c>
      <c r="G100" t="s">
        <v>20</v>
      </c>
      <c r="H100" t="s">
        <v>21</v>
      </c>
      <c r="I100">
        <v>5</v>
      </c>
      <c r="J100">
        <v>0.15</v>
      </c>
      <c r="K100">
        <v>442.51</v>
      </c>
      <c r="L100">
        <v>16</v>
      </c>
      <c r="M100" t="s">
        <v>2462</v>
      </c>
      <c r="N100" t="s">
        <v>2458</v>
      </c>
      <c r="O100" t="s">
        <v>2463</v>
      </c>
      <c r="P100">
        <v>71.489999999999995</v>
      </c>
      <c r="Q100">
        <v>112.88</v>
      </c>
      <c r="R100">
        <v>357.45</v>
      </c>
      <c r="S100">
        <v>69.06</v>
      </c>
      <c r="T100">
        <v>0.15606426973401732</v>
      </c>
      <c r="U100" s="1">
        <v>45658</v>
      </c>
      <c r="V100" t="s">
        <v>2500</v>
      </c>
      <c r="W100">
        <v>2025</v>
      </c>
    </row>
    <row r="101" spans="1:23" x14ac:dyDescent="0.25">
      <c r="A101" t="s">
        <v>148</v>
      </c>
      <c r="B101" s="1">
        <v>45681</v>
      </c>
      <c r="C101" s="1">
        <v>45687</v>
      </c>
      <c r="D101" t="s">
        <v>13</v>
      </c>
      <c r="E101" t="s">
        <v>36</v>
      </c>
      <c r="F101" t="s">
        <v>29</v>
      </c>
      <c r="G101" t="s">
        <v>16</v>
      </c>
      <c r="H101" t="s">
        <v>21</v>
      </c>
      <c r="I101">
        <v>4</v>
      </c>
      <c r="J101">
        <v>0</v>
      </c>
      <c r="K101">
        <v>401.66</v>
      </c>
      <c r="L101">
        <v>13.7</v>
      </c>
      <c r="M101" t="s">
        <v>2462</v>
      </c>
      <c r="N101" t="s">
        <v>2458</v>
      </c>
      <c r="O101" t="s">
        <v>2463</v>
      </c>
      <c r="P101">
        <v>71.489999999999995</v>
      </c>
      <c r="Q101">
        <v>112.88</v>
      </c>
      <c r="R101">
        <v>285.95999999999998</v>
      </c>
      <c r="S101">
        <v>102.00000000000004</v>
      </c>
      <c r="T101">
        <v>0.25394612358711355</v>
      </c>
      <c r="U101" s="1">
        <v>45658</v>
      </c>
      <c r="V101" t="s">
        <v>2499</v>
      </c>
      <c r="W101">
        <v>2025</v>
      </c>
    </row>
    <row r="102" spans="1:23" x14ac:dyDescent="0.25">
      <c r="A102" t="s">
        <v>149</v>
      </c>
      <c r="B102" s="1">
        <v>45764</v>
      </c>
      <c r="C102" s="1">
        <v>45770</v>
      </c>
      <c r="D102" t="s">
        <v>13</v>
      </c>
      <c r="E102" t="s">
        <v>14</v>
      </c>
      <c r="F102" t="s">
        <v>25</v>
      </c>
      <c r="G102" t="s">
        <v>26</v>
      </c>
      <c r="H102" t="s">
        <v>51</v>
      </c>
      <c r="I102">
        <v>12</v>
      </c>
      <c r="J102">
        <v>0.05</v>
      </c>
      <c r="K102">
        <v>161.91</v>
      </c>
      <c r="L102">
        <v>5.94</v>
      </c>
      <c r="M102" t="s">
        <v>2475</v>
      </c>
      <c r="N102" t="s">
        <v>2474</v>
      </c>
      <c r="O102" t="s">
        <v>2463</v>
      </c>
      <c r="P102">
        <v>7.93</v>
      </c>
      <c r="Q102">
        <v>14.78</v>
      </c>
      <c r="R102">
        <v>95.16</v>
      </c>
      <c r="S102">
        <v>60.81</v>
      </c>
      <c r="T102">
        <v>0.37557902538447285</v>
      </c>
      <c r="U102" s="1">
        <v>45748</v>
      </c>
      <c r="V102" t="s">
        <v>2498</v>
      </c>
      <c r="W102">
        <v>2025</v>
      </c>
    </row>
    <row r="103" spans="1:23" x14ac:dyDescent="0.25">
      <c r="A103" t="s">
        <v>150</v>
      </c>
      <c r="B103" s="1">
        <v>45599</v>
      </c>
      <c r="C103" s="1">
        <v>45600</v>
      </c>
      <c r="D103" t="s">
        <v>32</v>
      </c>
      <c r="E103" t="s">
        <v>45</v>
      </c>
      <c r="F103" t="s">
        <v>29</v>
      </c>
      <c r="G103" t="s">
        <v>20</v>
      </c>
      <c r="H103" t="s">
        <v>39</v>
      </c>
      <c r="I103">
        <v>4</v>
      </c>
      <c r="J103">
        <v>0.05</v>
      </c>
      <c r="K103">
        <v>1020.2</v>
      </c>
      <c r="L103">
        <v>9.5</v>
      </c>
      <c r="M103" t="s">
        <v>2471</v>
      </c>
      <c r="N103" t="s">
        <v>2467</v>
      </c>
      <c r="O103" t="s">
        <v>2461</v>
      </c>
      <c r="P103">
        <v>112.09</v>
      </c>
      <c r="Q103">
        <v>192.47</v>
      </c>
      <c r="R103">
        <v>448.36</v>
      </c>
      <c r="S103">
        <v>562.34</v>
      </c>
      <c r="T103">
        <v>0.55120564595177413</v>
      </c>
      <c r="U103" s="1">
        <v>45597</v>
      </c>
      <c r="V103" t="s">
        <v>2498</v>
      </c>
      <c r="W103">
        <v>2024</v>
      </c>
    </row>
    <row r="104" spans="1:23" x14ac:dyDescent="0.25">
      <c r="A104" t="s">
        <v>151</v>
      </c>
      <c r="B104" s="1">
        <v>45894</v>
      </c>
      <c r="C104" s="1">
        <v>45897</v>
      </c>
      <c r="D104" t="s">
        <v>13</v>
      </c>
      <c r="E104" t="s">
        <v>19</v>
      </c>
      <c r="F104" t="s">
        <v>29</v>
      </c>
      <c r="G104" t="s">
        <v>26</v>
      </c>
      <c r="H104" t="s">
        <v>87</v>
      </c>
      <c r="I104">
        <v>6</v>
      </c>
      <c r="J104">
        <v>0</v>
      </c>
      <c r="K104">
        <v>46.16</v>
      </c>
      <c r="L104">
        <v>7.2</v>
      </c>
      <c r="M104" t="s">
        <v>2476</v>
      </c>
      <c r="N104" t="s">
        <v>2474</v>
      </c>
      <c r="O104" t="s">
        <v>2459</v>
      </c>
      <c r="P104">
        <v>4.5</v>
      </c>
      <c r="Q104">
        <v>8.2899999999999991</v>
      </c>
      <c r="R104">
        <v>27</v>
      </c>
      <c r="S104">
        <v>11.959999999999997</v>
      </c>
      <c r="T104">
        <v>0.25909878682842286</v>
      </c>
      <c r="U104" s="1">
        <v>45870</v>
      </c>
      <c r="V104" t="s">
        <v>2499</v>
      </c>
      <c r="W104">
        <v>2025</v>
      </c>
    </row>
    <row r="105" spans="1:23" x14ac:dyDescent="0.25">
      <c r="A105" t="s">
        <v>152</v>
      </c>
      <c r="B105" s="1">
        <v>45416</v>
      </c>
      <c r="C105" s="1">
        <v>45418</v>
      </c>
      <c r="D105" t="s">
        <v>13</v>
      </c>
      <c r="E105" t="s">
        <v>14</v>
      </c>
      <c r="F105" t="s">
        <v>29</v>
      </c>
      <c r="G105" t="s">
        <v>26</v>
      </c>
      <c r="H105" t="s">
        <v>30</v>
      </c>
      <c r="I105">
        <v>7</v>
      </c>
      <c r="J105">
        <v>0</v>
      </c>
      <c r="K105">
        <v>44</v>
      </c>
      <c r="L105">
        <v>7.65</v>
      </c>
      <c r="M105" t="s">
        <v>2473</v>
      </c>
      <c r="N105" t="s">
        <v>2474</v>
      </c>
      <c r="O105" t="s">
        <v>2463</v>
      </c>
      <c r="P105">
        <v>3.62</v>
      </c>
      <c r="Q105">
        <v>6.03</v>
      </c>
      <c r="R105">
        <v>25.34</v>
      </c>
      <c r="S105">
        <v>11.01</v>
      </c>
      <c r="T105">
        <v>0.25022727272727274</v>
      </c>
      <c r="U105" s="1">
        <v>45413</v>
      </c>
      <c r="V105" t="s">
        <v>2499</v>
      </c>
      <c r="W105">
        <v>2024</v>
      </c>
    </row>
    <row r="106" spans="1:23" x14ac:dyDescent="0.25">
      <c r="A106" t="s">
        <v>153</v>
      </c>
      <c r="B106" s="1">
        <v>45530</v>
      </c>
      <c r="C106" s="1">
        <v>45532</v>
      </c>
      <c r="D106" t="s">
        <v>23</v>
      </c>
      <c r="E106" t="s">
        <v>59</v>
      </c>
      <c r="F106" t="s">
        <v>25</v>
      </c>
      <c r="G106" t="s">
        <v>16</v>
      </c>
      <c r="H106" t="s">
        <v>87</v>
      </c>
      <c r="I106">
        <v>5</v>
      </c>
      <c r="J106">
        <v>0</v>
      </c>
      <c r="K106">
        <v>37.82</v>
      </c>
      <c r="L106">
        <v>6.75</v>
      </c>
      <c r="M106" t="s">
        <v>2476</v>
      </c>
      <c r="N106" t="s">
        <v>2474</v>
      </c>
      <c r="O106" t="s">
        <v>2459</v>
      </c>
      <c r="P106">
        <v>4.5</v>
      </c>
      <c r="Q106">
        <v>8.2899999999999991</v>
      </c>
      <c r="R106">
        <v>22.5</v>
      </c>
      <c r="S106">
        <v>8.57</v>
      </c>
      <c r="T106">
        <v>0.22659968270756214</v>
      </c>
      <c r="U106" s="1">
        <v>45505</v>
      </c>
      <c r="V106" t="s">
        <v>2499</v>
      </c>
      <c r="W106">
        <v>2024</v>
      </c>
    </row>
    <row r="107" spans="1:23" x14ac:dyDescent="0.25">
      <c r="A107" t="s">
        <v>154</v>
      </c>
      <c r="B107" s="1">
        <v>45914</v>
      </c>
      <c r="C107" s="1">
        <v>45918</v>
      </c>
      <c r="D107" t="s">
        <v>32</v>
      </c>
      <c r="E107" t="s">
        <v>45</v>
      </c>
      <c r="F107" t="s">
        <v>29</v>
      </c>
      <c r="G107" t="s">
        <v>20</v>
      </c>
      <c r="H107" t="s">
        <v>65</v>
      </c>
      <c r="I107">
        <v>4</v>
      </c>
      <c r="J107">
        <v>0</v>
      </c>
      <c r="K107">
        <v>1163.2</v>
      </c>
      <c r="L107">
        <v>8.2200000000000006</v>
      </c>
      <c r="M107" t="s">
        <v>2457</v>
      </c>
      <c r="N107" t="s">
        <v>2458</v>
      </c>
      <c r="O107" t="s">
        <v>2459</v>
      </c>
      <c r="P107">
        <v>173.56</v>
      </c>
      <c r="Q107">
        <v>286.14999999999998</v>
      </c>
      <c r="R107">
        <v>694.24</v>
      </c>
      <c r="S107">
        <v>460.74</v>
      </c>
      <c r="T107">
        <v>0.39609697386519943</v>
      </c>
      <c r="U107" s="1">
        <v>45901</v>
      </c>
      <c r="V107" t="s">
        <v>2499</v>
      </c>
      <c r="W107">
        <v>2025</v>
      </c>
    </row>
    <row r="108" spans="1:23" x14ac:dyDescent="0.25">
      <c r="A108" t="s">
        <v>155</v>
      </c>
      <c r="B108" s="1">
        <v>45573</v>
      </c>
      <c r="C108" s="1">
        <v>45579</v>
      </c>
      <c r="D108" t="s">
        <v>32</v>
      </c>
      <c r="E108" t="s">
        <v>45</v>
      </c>
      <c r="F108" t="s">
        <v>25</v>
      </c>
      <c r="G108" t="s">
        <v>20</v>
      </c>
      <c r="H108" t="s">
        <v>60</v>
      </c>
      <c r="I108">
        <v>4</v>
      </c>
      <c r="J108">
        <v>0.2</v>
      </c>
      <c r="K108">
        <v>438.36</v>
      </c>
      <c r="L108">
        <v>9.5</v>
      </c>
      <c r="M108" t="s">
        <v>2469</v>
      </c>
      <c r="N108" t="s">
        <v>2467</v>
      </c>
      <c r="O108" t="s">
        <v>2468</v>
      </c>
      <c r="P108">
        <v>54.95</v>
      </c>
      <c r="Q108">
        <v>112.56</v>
      </c>
      <c r="R108">
        <v>219.8</v>
      </c>
      <c r="S108">
        <v>209.06</v>
      </c>
      <c r="T108">
        <v>0.47691395200291997</v>
      </c>
      <c r="U108" s="1">
        <v>45566</v>
      </c>
      <c r="V108" t="s">
        <v>2500</v>
      </c>
      <c r="W108">
        <v>2024</v>
      </c>
    </row>
    <row r="109" spans="1:23" x14ac:dyDescent="0.25">
      <c r="A109" t="s">
        <v>156</v>
      </c>
      <c r="B109" s="1">
        <v>45973</v>
      </c>
      <c r="C109" s="1">
        <v>45979</v>
      </c>
      <c r="D109" t="s">
        <v>13</v>
      </c>
      <c r="E109" t="s">
        <v>14</v>
      </c>
      <c r="F109" t="s">
        <v>29</v>
      </c>
      <c r="G109" t="s">
        <v>20</v>
      </c>
      <c r="H109" t="s">
        <v>53</v>
      </c>
      <c r="I109">
        <v>1</v>
      </c>
      <c r="J109">
        <v>0.15</v>
      </c>
      <c r="K109">
        <v>68.55</v>
      </c>
      <c r="L109">
        <v>5.75</v>
      </c>
      <c r="M109" t="s">
        <v>2470</v>
      </c>
      <c r="N109" t="s">
        <v>2467</v>
      </c>
      <c r="O109" t="s">
        <v>2459</v>
      </c>
      <c r="P109">
        <v>31.34</v>
      </c>
      <c r="Q109">
        <v>56.49</v>
      </c>
      <c r="R109">
        <v>31.34</v>
      </c>
      <c r="S109">
        <v>31.459999999999994</v>
      </c>
      <c r="T109">
        <v>0.45893508388037924</v>
      </c>
      <c r="U109" s="1">
        <v>45962</v>
      </c>
      <c r="V109" t="s">
        <v>2500</v>
      </c>
      <c r="W109">
        <v>2025</v>
      </c>
    </row>
    <row r="110" spans="1:23" x14ac:dyDescent="0.25">
      <c r="A110" t="s">
        <v>157</v>
      </c>
      <c r="B110" s="1">
        <v>45862</v>
      </c>
      <c r="C110" s="1">
        <v>45865</v>
      </c>
      <c r="D110" t="s">
        <v>13</v>
      </c>
      <c r="E110" t="s">
        <v>19</v>
      </c>
      <c r="F110" t="s">
        <v>25</v>
      </c>
      <c r="G110" t="s">
        <v>20</v>
      </c>
      <c r="H110" t="s">
        <v>21</v>
      </c>
      <c r="I110">
        <v>2</v>
      </c>
      <c r="J110">
        <v>0</v>
      </c>
      <c r="K110">
        <v>205.31</v>
      </c>
      <c r="L110">
        <v>5.46</v>
      </c>
      <c r="M110" t="s">
        <v>2462</v>
      </c>
      <c r="N110" t="s">
        <v>2458</v>
      </c>
      <c r="O110" t="s">
        <v>2463</v>
      </c>
      <c r="P110">
        <v>71.489999999999995</v>
      </c>
      <c r="Q110">
        <v>112.88</v>
      </c>
      <c r="R110">
        <v>142.97999999999999</v>
      </c>
      <c r="S110">
        <v>56.870000000000012</v>
      </c>
      <c r="T110">
        <v>0.27699576250547958</v>
      </c>
      <c r="U110" s="1">
        <v>45839</v>
      </c>
      <c r="V110" t="s">
        <v>2499</v>
      </c>
      <c r="W110">
        <v>2025</v>
      </c>
    </row>
    <row r="111" spans="1:23" x14ac:dyDescent="0.25">
      <c r="A111" t="s">
        <v>158</v>
      </c>
      <c r="B111" s="1">
        <v>45394</v>
      </c>
      <c r="C111" s="1">
        <v>45398</v>
      </c>
      <c r="D111" t="s">
        <v>23</v>
      </c>
      <c r="E111" t="s">
        <v>24</v>
      </c>
      <c r="F111" t="s">
        <v>25</v>
      </c>
      <c r="G111" t="s">
        <v>16</v>
      </c>
      <c r="H111" t="s">
        <v>65</v>
      </c>
      <c r="I111">
        <v>4</v>
      </c>
      <c r="J111">
        <v>0</v>
      </c>
      <c r="K111">
        <v>1086.5899999999999</v>
      </c>
      <c r="L111">
        <v>13.7</v>
      </c>
      <c r="M111" t="s">
        <v>2457</v>
      </c>
      <c r="N111" t="s">
        <v>2458</v>
      </c>
      <c r="O111" t="s">
        <v>2459</v>
      </c>
      <c r="P111">
        <v>173.56</v>
      </c>
      <c r="Q111">
        <v>286.14999999999998</v>
      </c>
      <c r="R111">
        <v>694.24</v>
      </c>
      <c r="S111">
        <v>378.64999999999992</v>
      </c>
      <c r="T111">
        <v>0.34847550594060311</v>
      </c>
      <c r="U111" s="1">
        <v>45383</v>
      </c>
      <c r="V111" t="s">
        <v>2499</v>
      </c>
      <c r="W111">
        <v>2024</v>
      </c>
    </row>
    <row r="112" spans="1:23" x14ac:dyDescent="0.25">
      <c r="A112" t="s">
        <v>159</v>
      </c>
      <c r="B112" s="1">
        <v>45586</v>
      </c>
      <c r="C112" s="1">
        <v>45587</v>
      </c>
      <c r="D112" t="s">
        <v>47</v>
      </c>
      <c r="E112" t="s">
        <v>48</v>
      </c>
      <c r="F112" t="s">
        <v>25</v>
      </c>
      <c r="G112" t="s">
        <v>20</v>
      </c>
      <c r="H112" t="s">
        <v>51</v>
      </c>
      <c r="I112">
        <v>10</v>
      </c>
      <c r="J112">
        <v>0</v>
      </c>
      <c r="K112">
        <v>171.87</v>
      </c>
      <c r="L112">
        <v>9</v>
      </c>
      <c r="M112" t="s">
        <v>2475</v>
      </c>
      <c r="N112" t="s">
        <v>2474</v>
      </c>
      <c r="O112" t="s">
        <v>2463</v>
      </c>
      <c r="P112">
        <v>7.93</v>
      </c>
      <c r="Q112">
        <v>14.78</v>
      </c>
      <c r="R112">
        <v>79.3</v>
      </c>
      <c r="S112">
        <v>83.570000000000007</v>
      </c>
      <c r="T112">
        <v>0.48623959969744579</v>
      </c>
      <c r="U112" s="1">
        <v>45566</v>
      </c>
      <c r="V112" t="s">
        <v>2499</v>
      </c>
      <c r="W112">
        <v>2024</v>
      </c>
    </row>
    <row r="113" spans="1:23" x14ac:dyDescent="0.25">
      <c r="A113" t="s">
        <v>160</v>
      </c>
      <c r="B113" s="1">
        <v>45945</v>
      </c>
      <c r="C113" s="1">
        <v>45948</v>
      </c>
      <c r="D113" t="s">
        <v>13</v>
      </c>
      <c r="E113" t="s">
        <v>14</v>
      </c>
      <c r="F113" t="s">
        <v>25</v>
      </c>
      <c r="G113" t="s">
        <v>26</v>
      </c>
      <c r="H113" t="s">
        <v>41</v>
      </c>
      <c r="I113">
        <v>12</v>
      </c>
      <c r="J113">
        <v>0</v>
      </c>
      <c r="K113">
        <v>89.24</v>
      </c>
      <c r="L113">
        <v>5.94</v>
      </c>
      <c r="M113" t="s">
        <v>2479</v>
      </c>
      <c r="N113" t="s">
        <v>2474</v>
      </c>
      <c r="O113" t="s">
        <v>2459</v>
      </c>
      <c r="P113">
        <v>3.3</v>
      </c>
      <c r="Q113">
        <v>6.13</v>
      </c>
      <c r="R113">
        <v>39.599999999999994</v>
      </c>
      <c r="S113">
        <v>43.7</v>
      </c>
      <c r="T113">
        <v>0.48969072164948457</v>
      </c>
      <c r="U113" s="1">
        <v>45931</v>
      </c>
      <c r="V113" t="s">
        <v>2499</v>
      </c>
      <c r="W113">
        <v>2025</v>
      </c>
    </row>
    <row r="114" spans="1:23" x14ac:dyDescent="0.25">
      <c r="A114" t="s">
        <v>161</v>
      </c>
      <c r="B114" s="1">
        <v>45829</v>
      </c>
      <c r="C114" s="1">
        <v>45831</v>
      </c>
      <c r="D114" t="s">
        <v>23</v>
      </c>
      <c r="E114" t="s">
        <v>59</v>
      </c>
      <c r="F114" t="s">
        <v>25</v>
      </c>
      <c r="G114" t="s">
        <v>20</v>
      </c>
      <c r="H114" t="s">
        <v>53</v>
      </c>
      <c r="I114">
        <v>1</v>
      </c>
      <c r="J114">
        <v>0.15</v>
      </c>
      <c r="K114">
        <v>49.09</v>
      </c>
      <c r="L114">
        <v>5.75</v>
      </c>
      <c r="M114" t="s">
        <v>2470</v>
      </c>
      <c r="N114" t="s">
        <v>2467</v>
      </c>
      <c r="O114" t="s">
        <v>2459</v>
      </c>
      <c r="P114">
        <v>31.34</v>
      </c>
      <c r="Q114">
        <v>56.49</v>
      </c>
      <c r="R114">
        <v>31.34</v>
      </c>
      <c r="S114">
        <v>12.000000000000004</v>
      </c>
      <c r="T114">
        <v>0.24444897127724594</v>
      </c>
      <c r="U114" s="1">
        <v>45809</v>
      </c>
      <c r="V114" t="s">
        <v>2500</v>
      </c>
      <c r="W114">
        <v>2025</v>
      </c>
    </row>
    <row r="115" spans="1:23" x14ac:dyDescent="0.25">
      <c r="A115" t="s">
        <v>162</v>
      </c>
      <c r="B115" s="1">
        <v>45798</v>
      </c>
      <c r="C115" s="1">
        <v>45801</v>
      </c>
      <c r="D115" t="s">
        <v>23</v>
      </c>
      <c r="E115" t="s">
        <v>59</v>
      </c>
      <c r="F115" t="s">
        <v>25</v>
      </c>
      <c r="G115" t="s">
        <v>26</v>
      </c>
      <c r="H115" t="s">
        <v>39</v>
      </c>
      <c r="I115">
        <v>4</v>
      </c>
      <c r="J115">
        <v>0</v>
      </c>
      <c r="K115">
        <v>764.32</v>
      </c>
      <c r="L115">
        <v>9.5</v>
      </c>
      <c r="M115" t="s">
        <v>2471</v>
      </c>
      <c r="N115" t="s">
        <v>2467</v>
      </c>
      <c r="O115" t="s">
        <v>2461</v>
      </c>
      <c r="P115">
        <v>112.09</v>
      </c>
      <c r="Q115">
        <v>192.47</v>
      </c>
      <c r="R115">
        <v>448.36</v>
      </c>
      <c r="S115">
        <v>306.46000000000004</v>
      </c>
      <c r="T115">
        <v>0.40095771404647268</v>
      </c>
      <c r="U115" s="1">
        <v>45778</v>
      </c>
      <c r="V115" t="s">
        <v>2499</v>
      </c>
      <c r="W115">
        <v>2025</v>
      </c>
    </row>
    <row r="116" spans="1:23" x14ac:dyDescent="0.25">
      <c r="A116" t="s">
        <v>163</v>
      </c>
      <c r="B116" s="1">
        <v>45503</v>
      </c>
      <c r="C116" s="1">
        <v>45505</v>
      </c>
      <c r="D116" t="s">
        <v>13</v>
      </c>
      <c r="E116" t="s">
        <v>36</v>
      </c>
      <c r="F116" t="s">
        <v>15</v>
      </c>
      <c r="G116" t="s">
        <v>20</v>
      </c>
      <c r="H116" t="s">
        <v>63</v>
      </c>
      <c r="I116">
        <v>11</v>
      </c>
      <c r="J116">
        <v>0.1</v>
      </c>
      <c r="K116">
        <v>110.57</v>
      </c>
      <c r="L116">
        <v>5.67</v>
      </c>
      <c r="M116" t="s">
        <v>2477</v>
      </c>
      <c r="N116" t="s">
        <v>2474</v>
      </c>
      <c r="O116" t="s">
        <v>2468</v>
      </c>
      <c r="P116">
        <v>6.33</v>
      </c>
      <c r="Q116">
        <v>12.16</v>
      </c>
      <c r="R116">
        <v>69.63</v>
      </c>
      <c r="S116">
        <v>35.269999999999996</v>
      </c>
      <c r="T116">
        <v>0.31898344939857104</v>
      </c>
      <c r="U116" s="1">
        <v>45474</v>
      </c>
      <c r="V116" t="s">
        <v>2498</v>
      </c>
      <c r="W116">
        <v>2024</v>
      </c>
    </row>
    <row r="117" spans="1:23" x14ac:dyDescent="0.25">
      <c r="A117" t="s">
        <v>164</v>
      </c>
      <c r="B117" s="1">
        <v>45513</v>
      </c>
      <c r="C117" s="1">
        <v>45519</v>
      </c>
      <c r="D117" t="s">
        <v>32</v>
      </c>
      <c r="E117" t="s">
        <v>45</v>
      </c>
      <c r="F117" t="s">
        <v>15</v>
      </c>
      <c r="G117" t="s">
        <v>16</v>
      </c>
      <c r="H117" t="s">
        <v>21</v>
      </c>
      <c r="I117">
        <v>4</v>
      </c>
      <c r="J117">
        <v>0</v>
      </c>
      <c r="K117">
        <v>405.64</v>
      </c>
      <c r="L117">
        <v>13.7</v>
      </c>
      <c r="M117" t="s">
        <v>2462</v>
      </c>
      <c r="N117" t="s">
        <v>2458</v>
      </c>
      <c r="O117" t="s">
        <v>2463</v>
      </c>
      <c r="P117">
        <v>71.489999999999995</v>
      </c>
      <c r="Q117">
        <v>112.88</v>
      </c>
      <c r="R117">
        <v>285.95999999999998</v>
      </c>
      <c r="S117">
        <v>105.98</v>
      </c>
      <c r="T117">
        <v>0.26126614732274928</v>
      </c>
      <c r="U117" s="1">
        <v>45505</v>
      </c>
      <c r="V117" t="s">
        <v>2499</v>
      </c>
      <c r="W117">
        <v>2024</v>
      </c>
    </row>
    <row r="118" spans="1:23" x14ac:dyDescent="0.25">
      <c r="A118" t="s">
        <v>165</v>
      </c>
      <c r="B118" s="1">
        <v>45772</v>
      </c>
      <c r="C118" s="1">
        <v>45777</v>
      </c>
      <c r="D118" t="s">
        <v>13</v>
      </c>
      <c r="E118" t="s">
        <v>36</v>
      </c>
      <c r="F118" t="s">
        <v>29</v>
      </c>
      <c r="G118" t="s">
        <v>16</v>
      </c>
      <c r="H118" t="s">
        <v>60</v>
      </c>
      <c r="I118">
        <v>4</v>
      </c>
      <c r="J118">
        <v>0.2</v>
      </c>
      <c r="K118">
        <v>334.56</v>
      </c>
      <c r="L118">
        <v>5.7</v>
      </c>
      <c r="M118" t="s">
        <v>2469</v>
      </c>
      <c r="N118" t="s">
        <v>2467</v>
      </c>
      <c r="O118" t="s">
        <v>2468</v>
      </c>
      <c r="P118">
        <v>54.95</v>
      </c>
      <c r="Q118">
        <v>112.56</v>
      </c>
      <c r="R118">
        <v>219.8</v>
      </c>
      <c r="S118">
        <v>109.05999999999999</v>
      </c>
      <c r="T118">
        <v>0.3259803921568627</v>
      </c>
      <c r="U118" s="1">
        <v>45748</v>
      </c>
      <c r="V118" t="s">
        <v>2500</v>
      </c>
      <c r="W118">
        <v>2025</v>
      </c>
    </row>
    <row r="119" spans="1:23" x14ac:dyDescent="0.25">
      <c r="A119" t="s">
        <v>166</v>
      </c>
      <c r="B119" s="1">
        <v>45629</v>
      </c>
      <c r="C119" s="1">
        <v>45630</v>
      </c>
      <c r="D119" t="s">
        <v>32</v>
      </c>
      <c r="E119" t="s">
        <v>33</v>
      </c>
      <c r="F119" t="s">
        <v>25</v>
      </c>
      <c r="G119" t="s">
        <v>20</v>
      </c>
      <c r="H119" t="s">
        <v>27</v>
      </c>
      <c r="I119">
        <v>5</v>
      </c>
      <c r="J119">
        <v>0</v>
      </c>
      <c r="K119">
        <v>195.69</v>
      </c>
      <c r="L119">
        <v>6.75</v>
      </c>
      <c r="M119" t="s">
        <v>2478</v>
      </c>
      <c r="N119" t="s">
        <v>2474</v>
      </c>
      <c r="O119" t="s">
        <v>2463</v>
      </c>
      <c r="P119">
        <v>16.760000000000002</v>
      </c>
      <c r="Q119">
        <v>27.71</v>
      </c>
      <c r="R119">
        <v>83.800000000000011</v>
      </c>
      <c r="S119">
        <v>105.13999999999999</v>
      </c>
      <c r="T119">
        <v>0.53727834840819655</v>
      </c>
      <c r="U119" s="1">
        <v>45627</v>
      </c>
      <c r="V119" t="s">
        <v>2499</v>
      </c>
      <c r="W119">
        <v>2024</v>
      </c>
    </row>
    <row r="120" spans="1:23" x14ac:dyDescent="0.25">
      <c r="A120" t="s">
        <v>167</v>
      </c>
      <c r="B120" s="1">
        <v>45724</v>
      </c>
      <c r="C120" s="1">
        <v>45727</v>
      </c>
      <c r="D120" t="s">
        <v>47</v>
      </c>
      <c r="E120" t="s">
        <v>50</v>
      </c>
      <c r="F120" t="s">
        <v>29</v>
      </c>
      <c r="G120" t="s">
        <v>16</v>
      </c>
      <c r="H120" t="s">
        <v>68</v>
      </c>
      <c r="I120">
        <v>4</v>
      </c>
      <c r="J120">
        <v>0.05</v>
      </c>
      <c r="K120">
        <v>182.07</v>
      </c>
      <c r="L120">
        <v>5.7</v>
      </c>
      <c r="M120" t="s">
        <v>2466</v>
      </c>
      <c r="N120" t="s">
        <v>2467</v>
      </c>
      <c r="O120" t="s">
        <v>2468</v>
      </c>
      <c r="P120">
        <v>25.33</v>
      </c>
      <c r="Q120">
        <v>51.56</v>
      </c>
      <c r="R120">
        <v>101.32</v>
      </c>
      <c r="S120">
        <v>75.05</v>
      </c>
      <c r="T120">
        <v>0.41220409732520458</v>
      </c>
      <c r="U120" s="1">
        <v>45717</v>
      </c>
      <c r="V120" t="s">
        <v>2498</v>
      </c>
      <c r="W120">
        <v>2025</v>
      </c>
    </row>
    <row r="121" spans="1:23" x14ac:dyDescent="0.25">
      <c r="A121" t="s">
        <v>168</v>
      </c>
      <c r="B121" s="1">
        <v>45300</v>
      </c>
      <c r="C121" s="1">
        <v>45303</v>
      </c>
      <c r="D121" t="s">
        <v>13</v>
      </c>
      <c r="E121" t="s">
        <v>36</v>
      </c>
      <c r="F121" t="s">
        <v>29</v>
      </c>
      <c r="G121" t="s">
        <v>16</v>
      </c>
      <c r="H121" t="s">
        <v>53</v>
      </c>
      <c r="I121">
        <v>4</v>
      </c>
      <c r="J121">
        <v>0.25</v>
      </c>
      <c r="K121">
        <v>158.08000000000001</v>
      </c>
      <c r="L121">
        <v>5.7</v>
      </c>
      <c r="M121" t="s">
        <v>2470</v>
      </c>
      <c r="N121" t="s">
        <v>2467</v>
      </c>
      <c r="O121" t="s">
        <v>2459</v>
      </c>
      <c r="P121">
        <v>31.34</v>
      </c>
      <c r="Q121">
        <v>56.49</v>
      </c>
      <c r="R121">
        <v>125.36</v>
      </c>
      <c r="S121">
        <v>27.020000000000014</v>
      </c>
      <c r="T121">
        <v>0.17092611336032396</v>
      </c>
      <c r="U121" s="1">
        <v>45292</v>
      </c>
      <c r="V121" t="s">
        <v>2501</v>
      </c>
      <c r="W121">
        <v>2024</v>
      </c>
    </row>
    <row r="122" spans="1:23" x14ac:dyDescent="0.25">
      <c r="A122" t="s">
        <v>169</v>
      </c>
      <c r="B122" s="1">
        <v>45439</v>
      </c>
      <c r="C122" s="1">
        <v>45440</v>
      </c>
      <c r="D122" t="s">
        <v>47</v>
      </c>
      <c r="E122" t="s">
        <v>50</v>
      </c>
      <c r="F122" t="s">
        <v>25</v>
      </c>
      <c r="G122" t="s">
        <v>26</v>
      </c>
      <c r="H122" t="s">
        <v>68</v>
      </c>
      <c r="I122">
        <v>3</v>
      </c>
      <c r="J122">
        <v>0</v>
      </c>
      <c r="K122">
        <v>162.52000000000001</v>
      </c>
      <c r="L122">
        <v>4.95</v>
      </c>
      <c r="M122" t="s">
        <v>2466</v>
      </c>
      <c r="N122" t="s">
        <v>2467</v>
      </c>
      <c r="O122" t="s">
        <v>2468</v>
      </c>
      <c r="P122">
        <v>25.33</v>
      </c>
      <c r="Q122">
        <v>51.56</v>
      </c>
      <c r="R122">
        <v>75.989999999999995</v>
      </c>
      <c r="S122">
        <v>81.580000000000013</v>
      </c>
      <c r="T122">
        <v>0.50196898843219295</v>
      </c>
      <c r="U122" s="1">
        <v>45413</v>
      </c>
      <c r="V122" t="s">
        <v>2499</v>
      </c>
      <c r="W122">
        <v>2024</v>
      </c>
    </row>
    <row r="123" spans="1:23" x14ac:dyDescent="0.25">
      <c r="A123" t="s">
        <v>170</v>
      </c>
      <c r="B123" s="1">
        <v>45379</v>
      </c>
      <c r="C123" s="1">
        <v>45385</v>
      </c>
      <c r="D123" t="s">
        <v>32</v>
      </c>
      <c r="E123" t="s">
        <v>33</v>
      </c>
      <c r="F123" t="s">
        <v>15</v>
      </c>
      <c r="G123" t="s">
        <v>16</v>
      </c>
      <c r="H123" t="s">
        <v>65</v>
      </c>
      <c r="I123">
        <v>1</v>
      </c>
      <c r="J123">
        <v>0.25</v>
      </c>
      <c r="K123">
        <v>202.1</v>
      </c>
      <c r="L123">
        <v>4.08</v>
      </c>
      <c r="M123" t="s">
        <v>2457</v>
      </c>
      <c r="N123" t="s">
        <v>2458</v>
      </c>
      <c r="O123" t="s">
        <v>2459</v>
      </c>
      <c r="P123">
        <v>173.56</v>
      </c>
      <c r="Q123">
        <v>286.14999999999998</v>
      </c>
      <c r="R123">
        <v>173.56</v>
      </c>
      <c r="S123">
        <v>24.459999999999994</v>
      </c>
      <c r="T123">
        <v>0.12102919346857988</v>
      </c>
      <c r="U123" s="1">
        <v>45352</v>
      </c>
      <c r="V123" t="s">
        <v>2501</v>
      </c>
      <c r="W123">
        <v>2024</v>
      </c>
    </row>
    <row r="124" spans="1:23" x14ac:dyDescent="0.25">
      <c r="A124" t="s">
        <v>171</v>
      </c>
      <c r="B124" s="1">
        <v>45955</v>
      </c>
      <c r="C124" s="1">
        <v>45961</v>
      </c>
      <c r="D124" t="s">
        <v>13</v>
      </c>
      <c r="E124" t="s">
        <v>14</v>
      </c>
      <c r="F124" t="s">
        <v>15</v>
      </c>
      <c r="G124" t="s">
        <v>20</v>
      </c>
      <c r="H124" t="s">
        <v>87</v>
      </c>
      <c r="I124">
        <v>3</v>
      </c>
      <c r="J124">
        <v>0</v>
      </c>
      <c r="K124">
        <v>30.25</v>
      </c>
      <c r="L124">
        <v>3.51</v>
      </c>
      <c r="M124" t="s">
        <v>2476</v>
      </c>
      <c r="N124" t="s">
        <v>2474</v>
      </c>
      <c r="O124" t="s">
        <v>2459</v>
      </c>
      <c r="P124">
        <v>4.5</v>
      </c>
      <c r="Q124">
        <v>8.2899999999999991</v>
      </c>
      <c r="R124">
        <v>13.5</v>
      </c>
      <c r="S124">
        <v>13.24</v>
      </c>
      <c r="T124">
        <v>0.43768595041322317</v>
      </c>
      <c r="U124" s="1">
        <v>45931</v>
      </c>
      <c r="V124" t="s">
        <v>2499</v>
      </c>
      <c r="W124">
        <v>2025</v>
      </c>
    </row>
    <row r="125" spans="1:23" x14ac:dyDescent="0.25">
      <c r="A125" t="s">
        <v>172</v>
      </c>
      <c r="B125" s="1">
        <v>45893</v>
      </c>
      <c r="C125" s="1">
        <v>45898</v>
      </c>
      <c r="D125" t="s">
        <v>13</v>
      </c>
      <c r="E125" t="s">
        <v>36</v>
      </c>
      <c r="F125" t="s">
        <v>15</v>
      </c>
      <c r="G125" t="s">
        <v>16</v>
      </c>
      <c r="H125" t="s">
        <v>87</v>
      </c>
      <c r="I125">
        <v>8</v>
      </c>
      <c r="J125">
        <v>0</v>
      </c>
      <c r="K125">
        <v>65.239999999999995</v>
      </c>
      <c r="L125">
        <v>4.8600000000000003</v>
      </c>
      <c r="M125" t="s">
        <v>2476</v>
      </c>
      <c r="N125" t="s">
        <v>2474</v>
      </c>
      <c r="O125" t="s">
        <v>2459</v>
      </c>
      <c r="P125">
        <v>4.5</v>
      </c>
      <c r="Q125">
        <v>8.2899999999999991</v>
      </c>
      <c r="R125">
        <v>36</v>
      </c>
      <c r="S125">
        <v>24.379999999999995</v>
      </c>
      <c r="T125">
        <v>0.37369711833231145</v>
      </c>
      <c r="U125" s="1">
        <v>45870</v>
      </c>
      <c r="V125" t="s">
        <v>2499</v>
      </c>
      <c r="W125">
        <v>2025</v>
      </c>
    </row>
    <row r="126" spans="1:23" x14ac:dyDescent="0.25">
      <c r="A126" t="s">
        <v>173</v>
      </c>
      <c r="B126" s="1">
        <v>45510</v>
      </c>
      <c r="C126" s="1">
        <v>45512</v>
      </c>
      <c r="D126" t="s">
        <v>13</v>
      </c>
      <c r="E126" t="s">
        <v>19</v>
      </c>
      <c r="F126" t="s">
        <v>25</v>
      </c>
      <c r="G126" t="s">
        <v>20</v>
      </c>
      <c r="H126" t="s">
        <v>53</v>
      </c>
      <c r="I126">
        <v>3</v>
      </c>
      <c r="J126">
        <v>0.15</v>
      </c>
      <c r="K126">
        <v>140.37</v>
      </c>
      <c r="L126">
        <v>8.25</v>
      </c>
      <c r="M126" t="s">
        <v>2470</v>
      </c>
      <c r="N126" t="s">
        <v>2467</v>
      </c>
      <c r="O126" t="s">
        <v>2459</v>
      </c>
      <c r="P126">
        <v>31.34</v>
      </c>
      <c r="Q126">
        <v>56.49</v>
      </c>
      <c r="R126">
        <v>94.02</v>
      </c>
      <c r="S126">
        <v>38.100000000000009</v>
      </c>
      <c r="T126">
        <v>0.27142551827313532</v>
      </c>
      <c r="U126" s="1">
        <v>45505</v>
      </c>
      <c r="V126" t="s">
        <v>2500</v>
      </c>
      <c r="W126">
        <v>2024</v>
      </c>
    </row>
    <row r="127" spans="1:23" x14ac:dyDescent="0.25">
      <c r="A127" t="s">
        <v>174</v>
      </c>
      <c r="B127" s="1">
        <v>45370</v>
      </c>
      <c r="C127" s="1">
        <v>45372</v>
      </c>
      <c r="D127" t="s">
        <v>23</v>
      </c>
      <c r="E127" t="s">
        <v>24</v>
      </c>
      <c r="F127" t="s">
        <v>15</v>
      </c>
      <c r="G127" t="s">
        <v>16</v>
      </c>
      <c r="H127" t="s">
        <v>30</v>
      </c>
      <c r="I127">
        <v>13</v>
      </c>
      <c r="J127">
        <v>0.1</v>
      </c>
      <c r="K127">
        <v>65.95</v>
      </c>
      <c r="L127">
        <v>6.21</v>
      </c>
      <c r="M127" t="s">
        <v>2473</v>
      </c>
      <c r="N127" t="s">
        <v>2474</v>
      </c>
      <c r="O127" t="s">
        <v>2463</v>
      </c>
      <c r="P127">
        <v>3.62</v>
      </c>
      <c r="Q127">
        <v>6.03</v>
      </c>
      <c r="R127">
        <v>47.06</v>
      </c>
      <c r="S127">
        <v>12.68</v>
      </c>
      <c r="T127">
        <v>0.1922668688400303</v>
      </c>
      <c r="U127" s="1">
        <v>45352</v>
      </c>
      <c r="V127" t="s">
        <v>2498</v>
      </c>
      <c r="W127">
        <v>2024</v>
      </c>
    </row>
    <row r="128" spans="1:23" x14ac:dyDescent="0.25">
      <c r="A128" t="s">
        <v>175</v>
      </c>
      <c r="B128" s="1">
        <v>45564</v>
      </c>
      <c r="C128" s="1">
        <v>45565</v>
      </c>
      <c r="D128" t="s">
        <v>23</v>
      </c>
      <c r="E128" t="s">
        <v>24</v>
      </c>
      <c r="F128" t="s">
        <v>25</v>
      </c>
      <c r="G128" t="s">
        <v>16</v>
      </c>
      <c r="H128" t="s">
        <v>27</v>
      </c>
      <c r="I128">
        <v>5</v>
      </c>
      <c r="J128">
        <v>0.1</v>
      </c>
      <c r="K128">
        <v>135.84</v>
      </c>
      <c r="L128">
        <v>6.75</v>
      </c>
      <c r="M128" t="s">
        <v>2478</v>
      </c>
      <c r="N128" t="s">
        <v>2474</v>
      </c>
      <c r="O128" t="s">
        <v>2463</v>
      </c>
      <c r="P128">
        <v>16.760000000000002</v>
      </c>
      <c r="Q128">
        <v>27.71</v>
      </c>
      <c r="R128">
        <v>83.800000000000011</v>
      </c>
      <c r="S128">
        <v>45.289999999999992</v>
      </c>
      <c r="T128">
        <v>0.33340694935217896</v>
      </c>
      <c r="U128" s="1">
        <v>45536</v>
      </c>
      <c r="V128" t="s">
        <v>2498</v>
      </c>
      <c r="W128">
        <v>2024</v>
      </c>
    </row>
    <row r="129" spans="1:23" x14ac:dyDescent="0.25">
      <c r="A129" t="s">
        <v>176</v>
      </c>
      <c r="B129" s="1">
        <v>45864</v>
      </c>
      <c r="C129" s="1">
        <v>45865</v>
      </c>
      <c r="D129" t="s">
        <v>32</v>
      </c>
      <c r="E129" t="s">
        <v>62</v>
      </c>
      <c r="F129" t="s">
        <v>15</v>
      </c>
      <c r="G129" t="s">
        <v>16</v>
      </c>
      <c r="H129" t="s">
        <v>37</v>
      </c>
      <c r="I129">
        <v>3</v>
      </c>
      <c r="J129">
        <v>0.15</v>
      </c>
      <c r="K129">
        <v>238.17</v>
      </c>
      <c r="L129">
        <v>6.84</v>
      </c>
      <c r="M129" t="s">
        <v>2464</v>
      </c>
      <c r="N129" t="s">
        <v>2458</v>
      </c>
      <c r="O129" t="s">
        <v>2465</v>
      </c>
      <c r="P129">
        <v>63.6</v>
      </c>
      <c r="Q129">
        <v>107.94</v>
      </c>
      <c r="R129">
        <v>190.8</v>
      </c>
      <c r="S129">
        <v>40.529999999999973</v>
      </c>
      <c r="T129">
        <v>0.17017256581433418</v>
      </c>
      <c r="U129" s="1">
        <v>45839</v>
      </c>
      <c r="V129" t="s">
        <v>2500</v>
      </c>
      <c r="W129">
        <v>2025</v>
      </c>
    </row>
    <row r="130" spans="1:23" x14ac:dyDescent="0.25">
      <c r="A130" t="s">
        <v>177</v>
      </c>
      <c r="B130" s="1">
        <v>45520</v>
      </c>
      <c r="C130" s="1">
        <v>45522</v>
      </c>
      <c r="D130" t="s">
        <v>32</v>
      </c>
      <c r="E130" t="s">
        <v>62</v>
      </c>
      <c r="F130" t="s">
        <v>29</v>
      </c>
      <c r="G130" t="s">
        <v>16</v>
      </c>
      <c r="H130" t="s">
        <v>51</v>
      </c>
      <c r="I130">
        <v>13</v>
      </c>
      <c r="J130">
        <v>0</v>
      </c>
      <c r="K130">
        <v>174.1</v>
      </c>
      <c r="L130">
        <v>10.35</v>
      </c>
      <c r="M130" t="s">
        <v>2475</v>
      </c>
      <c r="N130" t="s">
        <v>2474</v>
      </c>
      <c r="O130" t="s">
        <v>2463</v>
      </c>
      <c r="P130">
        <v>7.93</v>
      </c>
      <c r="Q130">
        <v>14.78</v>
      </c>
      <c r="R130">
        <v>103.09</v>
      </c>
      <c r="S130">
        <v>60.659999999999989</v>
      </c>
      <c r="T130">
        <v>0.34842044801838018</v>
      </c>
      <c r="U130" s="1">
        <v>45505</v>
      </c>
      <c r="V130" t="s">
        <v>2499</v>
      </c>
      <c r="W130">
        <v>2024</v>
      </c>
    </row>
    <row r="131" spans="1:23" x14ac:dyDescent="0.25">
      <c r="A131" t="s">
        <v>178</v>
      </c>
      <c r="B131" s="1">
        <v>45853</v>
      </c>
      <c r="C131" s="1">
        <v>45857</v>
      </c>
      <c r="D131" t="s">
        <v>47</v>
      </c>
      <c r="E131" t="s">
        <v>50</v>
      </c>
      <c r="F131" t="s">
        <v>15</v>
      </c>
      <c r="G131" t="s">
        <v>16</v>
      </c>
      <c r="H131" t="s">
        <v>27</v>
      </c>
      <c r="I131">
        <v>12</v>
      </c>
      <c r="J131">
        <v>0.1</v>
      </c>
      <c r="K131">
        <v>288.25</v>
      </c>
      <c r="L131">
        <v>5.94</v>
      </c>
      <c r="M131" t="s">
        <v>2478</v>
      </c>
      <c r="N131" t="s">
        <v>2474</v>
      </c>
      <c r="O131" t="s">
        <v>2463</v>
      </c>
      <c r="P131">
        <v>16.760000000000002</v>
      </c>
      <c r="Q131">
        <v>27.71</v>
      </c>
      <c r="R131">
        <v>201.12</v>
      </c>
      <c r="S131">
        <v>81.19</v>
      </c>
      <c r="T131">
        <v>0.28166522116218562</v>
      </c>
      <c r="U131" s="1">
        <v>45839</v>
      </c>
      <c r="V131" t="s">
        <v>2498</v>
      </c>
      <c r="W131">
        <v>2025</v>
      </c>
    </row>
    <row r="132" spans="1:23" x14ac:dyDescent="0.25">
      <c r="A132" t="s">
        <v>179</v>
      </c>
      <c r="B132" s="1">
        <v>45458</v>
      </c>
      <c r="C132" s="1">
        <v>45463</v>
      </c>
      <c r="D132" t="s">
        <v>13</v>
      </c>
      <c r="E132" t="s">
        <v>36</v>
      </c>
      <c r="F132" t="s">
        <v>29</v>
      </c>
      <c r="G132" t="s">
        <v>16</v>
      </c>
      <c r="H132" t="s">
        <v>51</v>
      </c>
      <c r="I132">
        <v>10</v>
      </c>
      <c r="J132">
        <v>0</v>
      </c>
      <c r="K132">
        <v>147.09</v>
      </c>
      <c r="L132">
        <v>5.4</v>
      </c>
      <c r="M132" t="s">
        <v>2475</v>
      </c>
      <c r="N132" t="s">
        <v>2474</v>
      </c>
      <c r="O132" t="s">
        <v>2463</v>
      </c>
      <c r="P132">
        <v>7.93</v>
      </c>
      <c r="Q132">
        <v>14.78</v>
      </c>
      <c r="R132">
        <v>79.3</v>
      </c>
      <c r="S132">
        <v>62.390000000000008</v>
      </c>
      <c r="T132">
        <v>0.42416207763954045</v>
      </c>
      <c r="U132" s="1">
        <v>45444</v>
      </c>
      <c r="V132" t="s">
        <v>2499</v>
      </c>
      <c r="W132">
        <v>2024</v>
      </c>
    </row>
    <row r="133" spans="1:23" x14ac:dyDescent="0.25">
      <c r="A133" t="s">
        <v>180</v>
      </c>
      <c r="B133" s="1">
        <v>45701</v>
      </c>
      <c r="C133" s="1">
        <v>45705</v>
      </c>
      <c r="D133" t="s">
        <v>13</v>
      </c>
      <c r="E133" t="s">
        <v>36</v>
      </c>
      <c r="F133" t="s">
        <v>29</v>
      </c>
      <c r="G133" t="s">
        <v>26</v>
      </c>
      <c r="H133" t="s">
        <v>53</v>
      </c>
      <c r="I133">
        <v>4</v>
      </c>
      <c r="J133">
        <v>0</v>
      </c>
      <c r="K133">
        <v>196.36</v>
      </c>
      <c r="L133">
        <v>5.7</v>
      </c>
      <c r="M133" t="s">
        <v>2470</v>
      </c>
      <c r="N133" t="s">
        <v>2467</v>
      </c>
      <c r="O133" t="s">
        <v>2459</v>
      </c>
      <c r="P133">
        <v>31.34</v>
      </c>
      <c r="Q133">
        <v>56.49</v>
      </c>
      <c r="R133">
        <v>125.36</v>
      </c>
      <c r="S133">
        <v>65.300000000000011</v>
      </c>
      <c r="T133">
        <v>0.3325524546750866</v>
      </c>
      <c r="U133" s="1">
        <v>45689</v>
      </c>
      <c r="V133" t="s">
        <v>2499</v>
      </c>
      <c r="W133">
        <v>2025</v>
      </c>
    </row>
    <row r="134" spans="1:23" x14ac:dyDescent="0.25">
      <c r="A134" t="s">
        <v>181</v>
      </c>
      <c r="B134" s="1">
        <v>45330</v>
      </c>
      <c r="C134" s="1">
        <v>45336</v>
      </c>
      <c r="D134" t="s">
        <v>13</v>
      </c>
      <c r="E134" t="s">
        <v>14</v>
      </c>
      <c r="F134" t="s">
        <v>15</v>
      </c>
      <c r="G134" t="s">
        <v>16</v>
      </c>
      <c r="H134" t="s">
        <v>53</v>
      </c>
      <c r="I134">
        <v>4</v>
      </c>
      <c r="J134">
        <v>0</v>
      </c>
      <c r="K134">
        <v>191.93</v>
      </c>
      <c r="L134">
        <v>5.7</v>
      </c>
      <c r="M134" t="s">
        <v>2470</v>
      </c>
      <c r="N134" t="s">
        <v>2467</v>
      </c>
      <c r="O134" t="s">
        <v>2459</v>
      </c>
      <c r="P134">
        <v>31.34</v>
      </c>
      <c r="Q134">
        <v>56.49</v>
      </c>
      <c r="R134">
        <v>125.36</v>
      </c>
      <c r="S134">
        <v>60.870000000000005</v>
      </c>
      <c r="T134">
        <v>0.31714687646537804</v>
      </c>
      <c r="U134" s="1">
        <v>45323</v>
      </c>
      <c r="V134" t="s">
        <v>2499</v>
      </c>
      <c r="W134">
        <v>2024</v>
      </c>
    </row>
    <row r="135" spans="1:23" x14ac:dyDescent="0.25">
      <c r="A135" t="s">
        <v>182</v>
      </c>
      <c r="B135" s="1">
        <v>45779</v>
      </c>
      <c r="C135" s="1">
        <v>45780</v>
      </c>
      <c r="D135" t="s">
        <v>47</v>
      </c>
      <c r="E135" t="s">
        <v>50</v>
      </c>
      <c r="F135" t="s">
        <v>29</v>
      </c>
      <c r="G135" t="s">
        <v>26</v>
      </c>
      <c r="H135" t="s">
        <v>68</v>
      </c>
      <c r="I135">
        <v>7</v>
      </c>
      <c r="J135">
        <v>0.2</v>
      </c>
      <c r="K135">
        <v>284.89999999999998</v>
      </c>
      <c r="L135">
        <v>7.95</v>
      </c>
      <c r="M135" t="s">
        <v>2466</v>
      </c>
      <c r="N135" t="s">
        <v>2467</v>
      </c>
      <c r="O135" t="s">
        <v>2468</v>
      </c>
      <c r="P135">
        <v>25.33</v>
      </c>
      <c r="Q135">
        <v>51.56</v>
      </c>
      <c r="R135">
        <v>177.31</v>
      </c>
      <c r="S135">
        <v>99.639999999999972</v>
      </c>
      <c r="T135">
        <v>0.34973674973674967</v>
      </c>
      <c r="U135" s="1">
        <v>45778</v>
      </c>
      <c r="V135" t="s">
        <v>2500</v>
      </c>
      <c r="W135">
        <v>2025</v>
      </c>
    </row>
    <row r="136" spans="1:23" x14ac:dyDescent="0.25">
      <c r="A136" t="s">
        <v>183</v>
      </c>
      <c r="B136" s="1">
        <v>45479</v>
      </c>
      <c r="C136" s="1">
        <v>45482</v>
      </c>
      <c r="D136" t="s">
        <v>32</v>
      </c>
      <c r="E136" t="s">
        <v>33</v>
      </c>
      <c r="F136" t="s">
        <v>25</v>
      </c>
      <c r="G136" t="s">
        <v>16</v>
      </c>
      <c r="H136" t="s">
        <v>17</v>
      </c>
      <c r="I136">
        <v>3</v>
      </c>
      <c r="J136">
        <v>0</v>
      </c>
      <c r="K136">
        <v>362.14</v>
      </c>
      <c r="L136">
        <v>4.95</v>
      </c>
      <c r="M136" t="s">
        <v>2472</v>
      </c>
      <c r="N136" t="s">
        <v>2467</v>
      </c>
      <c r="O136" t="s">
        <v>2468</v>
      </c>
      <c r="P136">
        <v>63.69</v>
      </c>
      <c r="Q136">
        <v>125.5</v>
      </c>
      <c r="R136">
        <v>191.07</v>
      </c>
      <c r="S136">
        <v>166.12</v>
      </c>
      <c r="T136">
        <v>0.4587176230187221</v>
      </c>
      <c r="U136" s="1">
        <v>45474</v>
      </c>
      <c r="V136" t="s">
        <v>2499</v>
      </c>
      <c r="W136">
        <v>2024</v>
      </c>
    </row>
    <row r="137" spans="1:23" x14ac:dyDescent="0.25">
      <c r="A137" t="s">
        <v>184</v>
      </c>
      <c r="B137" s="1">
        <v>45920</v>
      </c>
      <c r="C137" s="1">
        <v>45925</v>
      </c>
      <c r="D137" t="s">
        <v>47</v>
      </c>
      <c r="E137" t="s">
        <v>71</v>
      </c>
      <c r="F137" t="s">
        <v>15</v>
      </c>
      <c r="G137" t="s">
        <v>26</v>
      </c>
      <c r="H137" t="s">
        <v>39</v>
      </c>
      <c r="I137">
        <v>1</v>
      </c>
      <c r="J137">
        <v>0</v>
      </c>
      <c r="K137">
        <v>205.2</v>
      </c>
      <c r="L137">
        <v>3.45</v>
      </c>
      <c r="M137" t="s">
        <v>2471</v>
      </c>
      <c r="N137" t="s">
        <v>2467</v>
      </c>
      <c r="O137" t="s">
        <v>2461</v>
      </c>
      <c r="P137">
        <v>112.09</v>
      </c>
      <c r="Q137">
        <v>192.47</v>
      </c>
      <c r="R137">
        <v>112.09</v>
      </c>
      <c r="S137">
        <v>89.659999999999982</v>
      </c>
      <c r="T137">
        <v>0.43693957115009741</v>
      </c>
      <c r="U137" s="1">
        <v>45901</v>
      </c>
      <c r="V137" t="s">
        <v>2499</v>
      </c>
      <c r="W137">
        <v>2025</v>
      </c>
    </row>
    <row r="138" spans="1:23" x14ac:dyDescent="0.25">
      <c r="A138" t="s">
        <v>185</v>
      </c>
      <c r="B138" s="1">
        <v>45476</v>
      </c>
      <c r="C138" s="1">
        <v>45479</v>
      </c>
      <c r="D138" t="s">
        <v>23</v>
      </c>
      <c r="E138" t="s">
        <v>43</v>
      </c>
      <c r="F138" t="s">
        <v>25</v>
      </c>
      <c r="G138" t="s">
        <v>20</v>
      </c>
      <c r="H138" t="s">
        <v>17</v>
      </c>
      <c r="I138">
        <v>7</v>
      </c>
      <c r="J138">
        <v>0.15</v>
      </c>
      <c r="K138">
        <v>671.2</v>
      </c>
      <c r="L138">
        <v>7.95</v>
      </c>
      <c r="M138" t="s">
        <v>2472</v>
      </c>
      <c r="N138" t="s">
        <v>2467</v>
      </c>
      <c r="O138" t="s">
        <v>2468</v>
      </c>
      <c r="P138">
        <v>63.69</v>
      </c>
      <c r="Q138">
        <v>125.5</v>
      </c>
      <c r="R138">
        <v>445.83</v>
      </c>
      <c r="S138">
        <v>217.42000000000007</v>
      </c>
      <c r="T138">
        <v>0.32392729439809304</v>
      </c>
      <c r="U138" s="1">
        <v>45474</v>
      </c>
      <c r="V138" t="s">
        <v>2500</v>
      </c>
      <c r="W138">
        <v>2024</v>
      </c>
    </row>
    <row r="139" spans="1:23" x14ac:dyDescent="0.25">
      <c r="A139" t="s">
        <v>186</v>
      </c>
      <c r="B139" s="1">
        <v>45788</v>
      </c>
      <c r="C139" s="1">
        <v>45791</v>
      </c>
      <c r="D139" t="s">
        <v>23</v>
      </c>
      <c r="E139" t="s">
        <v>43</v>
      </c>
      <c r="F139" t="s">
        <v>25</v>
      </c>
      <c r="G139" t="s">
        <v>26</v>
      </c>
      <c r="H139" t="s">
        <v>17</v>
      </c>
      <c r="I139">
        <v>4</v>
      </c>
      <c r="J139">
        <v>0.2</v>
      </c>
      <c r="K139">
        <v>411.97</v>
      </c>
      <c r="L139">
        <v>5.7</v>
      </c>
      <c r="M139" t="s">
        <v>2472</v>
      </c>
      <c r="N139" t="s">
        <v>2467</v>
      </c>
      <c r="O139" t="s">
        <v>2468</v>
      </c>
      <c r="P139">
        <v>63.69</v>
      </c>
      <c r="Q139">
        <v>125.5</v>
      </c>
      <c r="R139">
        <v>254.76</v>
      </c>
      <c r="S139">
        <v>151.51000000000005</v>
      </c>
      <c r="T139">
        <v>0.36776949777896456</v>
      </c>
      <c r="U139" s="1">
        <v>45778</v>
      </c>
      <c r="V139" t="s">
        <v>2500</v>
      </c>
      <c r="W139">
        <v>2025</v>
      </c>
    </row>
    <row r="140" spans="1:23" x14ac:dyDescent="0.25">
      <c r="A140" t="s">
        <v>187</v>
      </c>
      <c r="B140" s="1">
        <v>45499</v>
      </c>
      <c r="C140" s="1">
        <v>45505</v>
      </c>
      <c r="D140" t="s">
        <v>13</v>
      </c>
      <c r="E140" t="s">
        <v>14</v>
      </c>
      <c r="F140" t="s">
        <v>25</v>
      </c>
      <c r="G140" t="s">
        <v>16</v>
      </c>
      <c r="H140" t="s">
        <v>68</v>
      </c>
      <c r="I140">
        <v>2</v>
      </c>
      <c r="J140">
        <v>0</v>
      </c>
      <c r="K140">
        <v>90.92</v>
      </c>
      <c r="L140">
        <v>4.2</v>
      </c>
      <c r="M140" t="s">
        <v>2466</v>
      </c>
      <c r="N140" t="s">
        <v>2467</v>
      </c>
      <c r="O140" t="s">
        <v>2468</v>
      </c>
      <c r="P140">
        <v>25.33</v>
      </c>
      <c r="Q140">
        <v>51.56</v>
      </c>
      <c r="R140">
        <v>50.66</v>
      </c>
      <c r="S140">
        <v>36.06</v>
      </c>
      <c r="T140">
        <v>0.39661240651121865</v>
      </c>
      <c r="U140" s="1">
        <v>45474</v>
      </c>
      <c r="V140" t="s">
        <v>2499</v>
      </c>
      <c r="W140">
        <v>2024</v>
      </c>
    </row>
    <row r="141" spans="1:23" x14ac:dyDescent="0.25">
      <c r="A141" t="s">
        <v>188</v>
      </c>
      <c r="B141" s="1">
        <v>45883</v>
      </c>
      <c r="C141" s="1">
        <v>45887</v>
      </c>
      <c r="D141" t="s">
        <v>47</v>
      </c>
      <c r="E141" t="s">
        <v>71</v>
      </c>
      <c r="F141" t="s">
        <v>29</v>
      </c>
      <c r="G141" t="s">
        <v>16</v>
      </c>
      <c r="H141" t="s">
        <v>27</v>
      </c>
      <c r="I141">
        <v>4</v>
      </c>
      <c r="J141">
        <v>0</v>
      </c>
      <c r="K141">
        <v>104.34</v>
      </c>
      <c r="L141">
        <v>3.78</v>
      </c>
      <c r="M141" t="s">
        <v>2478</v>
      </c>
      <c r="N141" t="s">
        <v>2474</v>
      </c>
      <c r="O141" t="s">
        <v>2463</v>
      </c>
      <c r="P141">
        <v>16.760000000000002</v>
      </c>
      <c r="Q141">
        <v>27.71</v>
      </c>
      <c r="R141">
        <v>67.040000000000006</v>
      </c>
      <c r="S141">
        <v>33.519999999999996</v>
      </c>
      <c r="T141">
        <v>0.32125742764040632</v>
      </c>
      <c r="U141" s="1">
        <v>45870</v>
      </c>
      <c r="V141" t="s">
        <v>2499</v>
      </c>
      <c r="W141">
        <v>2025</v>
      </c>
    </row>
    <row r="142" spans="1:23" x14ac:dyDescent="0.25">
      <c r="A142" t="s">
        <v>189</v>
      </c>
      <c r="B142" s="1">
        <v>45634</v>
      </c>
      <c r="C142" s="1">
        <v>45638</v>
      </c>
      <c r="D142" t="s">
        <v>47</v>
      </c>
      <c r="E142" t="s">
        <v>50</v>
      </c>
      <c r="F142" t="s">
        <v>25</v>
      </c>
      <c r="G142" t="s">
        <v>26</v>
      </c>
      <c r="H142" t="s">
        <v>68</v>
      </c>
      <c r="I142">
        <v>4</v>
      </c>
      <c r="J142">
        <v>0</v>
      </c>
      <c r="K142">
        <v>284.68</v>
      </c>
      <c r="L142">
        <v>9.5</v>
      </c>
      <c r="M142" t="s">
        <v>2466</v>
      </c>
      <c r="N142" t="s">
        <v>2467</v>
      </c>
      <c r="O142" t="s">
        <v>2468</v>
      </c>
      <c r="P142">
        <v>25.33</v>
      </c>
      <c r="Q142">
        <v>51.56</v>
      </c>
      <c r="R142">
        <v>101.32</v>
      </c>
      <c r="S142">
        <v>173.86</v>
      </c>
      <c r="T142">
        <v>0.61072080932977379</v>
      </c>
      <c r="U142" s="1">
        <v>45627</v>
      </c>
      <c r="V142" t="s">
        <v>2499</v>
      </c>
      <c r="W142">
        <v>2024</v>
      </c>
    </row>
    <row r="143" spans="1:23" x14ac:dyDescent="0.25">
      <c r="A143" t="s">
        <v>190</v>
      </c>
      <c r="B143" s="1">
        <v>45655</v>
      </c>
      <c r="C143" s="1">
        <v>45658</v>
      </c>
      <c r="D143" t="s">
        <v>47</v>
      </c>
      <c r="E143" t="s">
        <v>48</v>
      </c>
      <c r="F143" t="s">
        <v>25</v>
      </c>
      <c r="G143" t="s">
        <v>16</v>
      </c>
      <c r="H143" t="s">
        <v>34</v>
      </c>
      <c r="I143">
        <v>2</v>
      </c>
      <c r="J143">
        <v>0.25</v>
      </c>
      <c r="K143">
        <v>463.68</v>
      </c>
      <c r="L143">
        <v>5.46</v>
      </c>
      <c r="M143" t="s">
        <v>2460</v>
      </c>
      <c r="N143" t="s">
        <v>2458</v>
      </c>
      <c r="O143" t="s">
        <v>2461</v>
      </c>
      <c r="P143">
        <v>119.02</v>
      </c>
      <c r="Q143">
        <v>205.39</v>
      </c>
      <c r="R143">
        <v>238.04</v>
      </c>
      <c r="S143">
        <v>220.18</v>
      </c>
      <c r="T143">
        <v>0.47485334713595584</v>
      </c>
      <c r="U143" s="1">
        <v>45627</v>
      </c>
      <c r="V143" t="s">
        <v>2501</v>
      </c>
      <c r="W143">
        <v>2024</v>
      </c>
    </row>
    <row r="144" spans="1:23" x14ac:dyDescent="0.25">
      <c r="A144" t="s">
        <v>191</v>
      </c>
      <c r="B144" s="1">
        <v>45579</v>
      </c>
      <c r="C144" s="1">
        <v>45581</v>
      </c>
      <c r="D144" t="s">
        <v>32</v>
      </c>
      <c r="E144" t="s">
        <v>45</v>
      </c>
      <c r="F144" t="s">
        <v>25</v>
      </c>
      <c r="G144" t="s">
        <v>16</v>
      </c>
      <c r="H144" t="s">
        <v>17</v>
      </c>
      <c r="I144">
        <v>2</v>
      </c>
      <c r="J144">
        <v>0.05</v>
      </c>
      <c r="K144">
        <v>272.56</v>
      </c>
      <c r="L144">
        <v>7</v>
      </c>
      <c r="M144" t="s">
        <v>2472</v>
      </c>
      <c r="N144" t="s">
        <v>2467</v>
      </c>
      <c r="O144" t="s">
        <v>2468</v>
      </c>
      <c r="P144">
        <v>63.69</v>
      </c>
      <c r="Q144">
        <v>125.5</v>
      </c>
      <c r="R144">
        <v>127.38</v>
      </c>
      <c r="S144">
        <v>138.18</v>
      </c>
      <c r="T144">
        <v>0.50697094217786909</v>
      </c>
      <c r="U144" s="1">
        <v>45566</v>
      </c>
      <c r="V144" t="s">
        <v>2498</v>
      </c>
      <c r="W144">
        <v>2024</v>
      </c>
    </row>
    <row r="145" spans="1:23" x14ac:dyDescent="0.25">
      <c r="A145" t="s">
        <v>192</v>
      </c>
      <c r="B145" s="1">
        <v>45610</v>
      </c>
      <c r="C145" s="1">
        <v>45613</v>
      </c>
      <c r="D145" t="s">
        <v>23</v>
      </c>
      <c r="E145" t="s">
        <v>43</v>
      </c>
      <c r="F145" t="s">
        <v>15</v>
      </c>
      <c r="G145" t="s">
        <v>26</v>
      </c>
      <c r="H145" t="s">
        <v>60</v>
      </c>
      <c r="I145">
        <v>2</v>
      </c>
      <c r="J145">
        <v>0.05</v>
      </c>
      <c r="K145">
        <v>295.95</v>
      </c>
      <c r="L145">
        <v>7</v>
      </c>
      <c r="M145" t="s">
        <v>2469</v>
      </c>
      <c r="N145" t="s">
        <v>2467</v>
      </c>
      <c r="O145" t="s">
        <v>2468</v>
      </c>
      <c r="P145">
        <v>54.95</v>
      </c>
      <c r="Q145">
        <v>112.56</v>
      </c>
      <c r="R145">
        <v>109.9</v>
      </c>
      <c r="S145">
        <v>179.04999999999998</v>
      </c>
      <c r="T145">
        <v>0.60500084473728666</v>
      </c>
      <c r="U145" s="1">
        <v>45597</v>
      </c>
      <c r="V145" t="s">
        <v>2498</v>
      </c>
      <c r="W145">
        <v>2024</v>
      </c>
    </row>
    <row r="146" spans="1:23" x14ac:dyDescent="0.25">
      <c r="A146" t="s">
        <v>193</v>
      </c>
      <c r="B146" s="1">
        <v>45859</v>
      </c>
      <c r="C146" s="1">
        <v>45861</v>
      </c>
      <c r="D146" t="s">
        <v>23</v>
      </c>
      <c r="E146" t="s">
        <v>43</v>
      </c>
      <c r="F146" t="s">
        <v>15</v>
      </c>
      <c r="G146" t="s">
        <v>16</v>
      </c>
      <c r="H146" t="s">
        <v>17</v>
      </c>
      <c r="I146">
        <v>4</v>
      </c>
      <c r="J146">
        <v>0.1</v>
      </c>
      <c r="K146">
        <v>426.96</v>
      </c>
      <c r="L146">
        <v>5.7</v>
      </c>
      <c r="M146" t="s">
        <v>2472</v>
      </c>
      <c r="N146" t="s">
        <v>2467</v>
      </c>
      <c r="O146" t="s">
        <v>2468</v>
      </c>
      <c r="P146">
        <v>63.69</v>
      </c>
      <c r="Q146">
        <v>125.5</v>
      </c>
      <c r="R146">
        <v>254.76</v>
      </c>
      <c r="S146">
        <v>166.5</v>
      </c>
      <c r="T146">
        <v>0.38996627318718385</v>
      </c>
      <c r="U146" s="1">
        <v>45839</v>
      </c>
      <c r="V146" t="s">
        <v>2498</v>
      </c>
      <c r="W146">
        <v>2025</v>
      </c>
    </row>
    <row r="147" spans="1:23" x14ac:dyDescent="0.25">
      <c r="A147" t="s">
        <v>194</v>
      </c>
      <c r="B147" s="1">
        <v>45485</v>
      </c>
      <c r="C147" s="1">
        <v>45486</v>
      </c>
      <c r="D147" t="s">
        <v>13</v>
      </c>
      <c r="E147" t="s">
        <v>19</v>
      </c>
      <c r="F147" t="s">
        <v>25</v>
      </c>
      <c r="G147" t="s">
        <v>16</v>
      </c>
      <c r="H147" t="s">
        <v>30</v>
      </c>
      <c r="I147">
        <v>8</v>
      </c>
      <c r="J147">
        <v>0</v>
      </c>
      <c r="K147">
        <v>46.69</v>
      </c>
      <c r="L147">
        <v>8.1</v>
      </c>
      <c r="M147" t="s">
        <v>2473</v>
      </c>
      <c r="N147" t="s">
        <v>2474</v>
      </c>
      <c r="O147" t="s">
        <v>2463</v>
      </c>
      <c r="P147">
        <v>3.62</v>
      </c>
      <c r="Q147">
        <v>6.03</v>
      </c>
      <c r="R147">
        <v>28.96</v>
      </c>
      <c r="S147">
        <v>9.6299999999999972</v>
      </c>
      <c r="T147">
        <v>0.20625401584921821</v>
      </c>
      <c r="U147" s="1">
        <v>45474</v>
      </c>
      <c r="V147" t="s">
        <v>2499</v>
      </c>
      <c r="W147">
        <v>2024</v>
      </c>
    </row>
    <row r="148" spans="1:23" x14ac:dyDescent="0.25">
      <c r="A148" t="s">
        <v>195</v>
      </c>
      <c r="B148" s="1">
        <v>45407</v>
      </c>
      <c r="C148" s="1">
        <v>45412</v>
      </c>
      <c r="D148" t="s">
        <v>47</v>
      </c>
      <c r="E148" t="s">
        <v>50</v>
      </c>
      <c r="F148" t="s">
        <v>25</v>
      </c>
      <c r="G148" t="s">
        <v>16</v>
      </c>
      <c r="H148" t="s">
        <v>39</v>
      </c>
      <c r="I148">
        <v>2</v>
      </c>
      <c r="J148">
        <v>0.05</v>
      </c>
      <c r="K148">
        <v>352.76</v>
      </c>
      <c r="L148">
        <v>7</v>
      </c>
      <c r="M148" t="s">
        <v>2471</v>
      </c>
      <c r="N148" t="s">
        <v>2467</v>
      </c>
      <c r="O148" t="s">
        <v>2461</v>
      </c>
      <c r="P148">
        <v>112.09</v>
      </c>
      <c r="Q148">
        <v>192.47</v>
      </c>
      <c r="R148">
        <v>224.18</v>
      </c>
      <c r="S148">
        <v>121.57999999999998</v>
      </c>
      <c r="T148">
        <v>0.34465358884227232</v>
      </c>
      <c r="U148" s="1">
        <v>45383</v>
      </c>
      <c r="V148" t="s">
        <v>2498</v>
      </c>
      <c r="W148">
        <v>2024</v>
      </c>
    </row>
    <row r="149" spans="1:23" x14ac:dyDescent="0.25">
      <c r="A149" t="s">
        <v>196</v>
      </c>
      <c r="B149" s="1">
        <v>45580</v>
      </c>
      <c r="C149" s="1">
        <v>45581</v>
      </c>
      <c r="D149" t="s">
        <v>13</v>
      </c>
      <c r="E149" t="s">
        <v>36</v>
      </c>
      <c r="F149" t="s">
        <v>15</v>
      </c>
      <c r="G149" t="s">
        <v>20</v>
      </c>
      <c r="H149" t="s">
        <v>30</v>
      </c>
      <c r="I149">
        <v>7</v>
      </c>
      <c r="J149">
        <v>0</v>
      </c>
      <c r="K149">
        <v>50.39</v>
      </c>
      <c r="L149">
        <v>4.59</v>
      </c>
      <c r="M149" t="s">
        <v>2473</v>
      </c>
      <c r="N149" t="s">
        <v>2474</v>
      </c>
      <c r="O149" t="s">
        <v>2463</v>
      </c>
      <c r="P149">
        <v>3.62</v>
      </c>
      <c r="Q149">
        <v>6.03</v>
      </c>
      <c r="R149">
        <v>25.34</v>
      </c>
      <c r="S149">
        <v>20.46</v>
      </c>
      <c r="T149">
        <v>0.4060329430442548</v>
      </c>
      <c r="U149" s="1">
        <v>45566</v>
      </c>
      <c r="V149" t="s">
        <v>2499</v>
      </c>
      <c r="W149">
        <v>2024</v>
      </c>
    </row>
    <row r="150" spans="1:23" x14ac:dyDescent="0.25">
      <c r="A150" t="s">
        <v>197</v>
      </c>
      <c r="B150" s="1">
        <v>45321</v>
      </c>
      <c r="C150" s="1">
        <v>45326</v>
      </c>
      <c r="D150" t="s">
        <v>32</v>
      </c>
      <c r="E150" t="s">
        <v>45</v>
      </c>
      <c r="F150" t="s">
        <v>29</v>
      </c>
      <c r="G150" t="s">
        <v>26</v>
      </c>
      <c r="H150" t="s">
        <v>60</v>
      </c>
      <c r="I150">
        <v>3</v>
      </c>
      <c r="J150">
        <v>0</v>
      </c>
      <c r="K150">
        <v>293.66000000000003</v>
      </c>
      <c r="L150">
        <v>4.95</v>
      </c>
      <c r="M150" t="s">
        <v>2469</v>
      </c>
      <c r="N150" t="s">
        <v>2467</v>
      </c>
      <c r="O150" t="s">
        <v>2468</v>
      </c>
      <c r="P150">
        <v>54.95</v>
      </c>
      <c r="Q150">
        <v>112.56</v>
      </c>
      <c r="R150">
        <v>164.85000000000002</v>
      </c>
      <c r="S150">
        <v>123.86</v>
      </c>
      <c r="T150">
        <v>0.42178029013144447</v>
      </c>
      <c r="U150" s="1">
        <v>45292</v>
      </c>
      <c r="V150" t="s">
        <v>2499</v>
      </c>
      <c r="W150">
        <v>2024</v>
      </c>
    </row>
    <row r="151" spans="1:23" x14ac:dyDescent="0.25">
      <c r="A151" t="s">
        <v>198</v>
      </c>
      <c r="B151" s="1">
        <v>45514</v>
      </c>
      <c r="C151" s="1">
        <v>45518</v>
      </c>
      <c r="D151" t="s">
        <v>13</v>
      </c>
      <c r="E151" t="s">
        <v>19</v>
      </c>
      <c r="F151" t="s">
        <v>15</v>
      </c>
      <c r="G151" t="s">
        <v>26</v>
      </c>
      <c r="H151" t="s">
        <v>63</v>
      </c>
      <c r="I151">
        <v>11</v>
      </c>
      <c r="J151">
        <v>0.15</v>
      </c>
      <c r="K151">
        <v>102.19</v>
      </c>
      <c r="L151">
        <v>5.67</v>
      </c>
      <c r="M151" t="s">
        <v>2477</v>
      </c>
      <c r="N151" t="s">
        <v>2474</v>
      </c>
      <c r="O151" t="s">
        <v>2468</v>
      </c>
      <c r="P151">
        <v>6.33</v>
      </c>
      <c r="Q151">
        <v>12.16</v>
      </c>
      <c r="R151">
        <v>69.63</v>
      </c>
      <c r="S151">
        <v>26.89</v>
      </c>
      <c r="T151">
        <v>0.26313729327722868</v>
      </c>
      <c r="U151" s="1">
        <v>45505</v>
      </c>
      <c r="V151" t="s">
        <v>2500</v>
      </c>
      <c r="W151">
        <v>2024</v>
      </c>
    </row>
    <row r="152" spans="1:23" x14ac:dyDescent="0.25">
      <c r="A152" t="s">
        <v>199</v>
      </c>
      <c r="B152" s="1">
        <v>45529</v>
      </c>
      <c r="C152" s="1">
        <v>45530</v>
      </c>
      <c r="D152" t="s">
        <v>47</v>
      </c>
      <c r="E152" t="s">
        <v>50</v>
      </c>
      <c r="F152" t="s">
        <v>15</v>
      </c>
      <c r="G152" t="s">
        <v>16</v>
      </c>
      <c r="H152" t="s">
        <v>27</v>
      </c>
      <c r="I152">
        <v>8</v>
      </c>
      <c r="J152">
        <v>0</v>
      </c>
      <c r="K152">
        <v>199.21</v>
      </c>
      <c r="L152">
        <v>8.1</v>
      </c>
      <c r="M152" t="s">
        <v>2478</v>
      </c>
      <c r="N152" t="s">
        <v>2474</v>
      </c>
      <c r="O152" t="s">
        <v>2463</v>
      </c>
      <c r="P152">
        <v>16.760000000000002</v>
      </c>
      <c r="Q152">
        <v>27.71</v>
      </c>
      <c r="R152">
        <v>134.08000000000001</v>
      </c>
      <c r="S152">
        <v>57.029999999999994</v>
      </c>
      <c r="T152">
        <v>0.28628080919632543</v>
      </c>
      <c r="U152" s="1">
        <v>45505</v>
      </c>
      <c r="V152" t="s">
        <v>2499</v>
      </c>
      <c r="W152">
        <v>2024</v>
      </c>
    </row>
    <row r="153" spans="1:23" x14ac:dyDescent="0.25">
      <c r="A153" t="s">
        <v>200</v>
      </c>
      <c r="B153" s="1">
        <v>45989</v>
      </c>
      <c r="C153" s="1">
        <v>45994</v>
      </c>
      <c r="D153" t="s">
        <v>13</v>
      </c>
      <c r="E153" t="s">
        <v>19</v>
      </c>
      <c r="F153" t="s">
        <v>29</v>
      </c>
      <c r="G153" t="s">
        <v>26</v>
      </c>
      <c r="H153" t="s">
        <v>27</v>
      </c>
      <c r="I153">
        <v>6</v>
      </c>
      <c r="J153">
        <v>0</v>
      </c>
      <c r="K153">
        <v>215.06</v>
      </c>
      <c r="L153">
        <v>4.32</v>
      </c>
      <c r="M153" t="s">
        <v>2478</v>
      </c>
      <c r="N153" t="s">
        <v>2474</v>
      </c>
      <c r="O153" t="s">
        <v>2463</v>
      </c>
      <c r="P153">
        <v>16.760000000000002</v>
      </c>
      <c r="Q153">
        <v>27.71</v>
      </c>
      <c r="R153">
        <v>100.56</v>
      </c>
      <c r="S153">
        <v>110.18</v>
      </c>
      <c r="T153">
        <v>0.51232214265786291</v>
      </c>
      <c r="U153" s="1">
        <v>45962</v>
      </c>
      <c r="V153" t="s">
        <v>2499</v>
      </c>
      <c r="W153">
        <v>2025</v>
      </c>
    </row>
    <row r="154" spans="1:23" x14ac:dyDescent="0.25">
      <c r="A154" t="s">
        <v>201</v>
      </c>
      <c r="B154" s="1">
        <v>45333</v>
      </c>
      <c r="C154" s="1">
        <v>45334</v>
      </c>
      <c r="D154" t="s">
        <v>23</v>
      </c>
      <c r="E154" t="s">
        <v>24</v>
      </c>
      <c r="F154" t="s">
        <v>15</v>
      </c>
      <c r="G154" t="s">
        <v>20</v>
      </c>
      <c r="H154" t="s">
        <v>21</v>
      </c>
      <c r="I154">
        <v>2</v>
      </c>
      <c r="J154">
        <v>0.1</v>
      </c>
      <c r="K154">
        <v>178.36</v>
      </c>
      <c r="L154">
        <v>5.46</v>
      </c>
      <c r="M154" t="s">
        <v>2462</v>
      </c>
      <c r="N154" t="s">
        <v>2458</v>
      </c>
      <c r="O154" t="s">
        <v>2463</v>
      </c>
      <c r="P154">
        <v>71.489999999999995</v>
      </c>
      <c r="Q154">
        <v>112.88</v>
      </c>
      <c r="R154">
        <v>142.97999999999999</v>
      </c>
      <c r="S154">
        <v>29.920000000000023</v>
      </c>
      <c r="T154">
        <v>0.16775061673020869</v>
      </c>
      <c r="U154" s="1">
        <v>45323</v>
      </c>
      <c r="V154" t="s">
        <v>2498</v>
      </c>
      <c r="W154">
        <v>2024</v>
      </c>
    </row>
    <row r="155" spans="1:23" x14ac:dyDescent="0.25">
      <c r="A155" t="s">
        <v>202</v>
      </c>
      <c r="B155" s="1">
        <v>45546</v>
      </c>
      <c r="C155" s="1">
        <v>45548</v>
      </c>
      <c r="D155" t="s">
        <v>47</v>
      </c>
      <c r="E155" t="s">
        <v>48</v>
      </c>
      <c r="F155" t="s">
        <v>25</v>
      </c>
      <c r="G155" t="s">
        <v>16</v>
      </c>
      <c r="H155" t="s">
        <v>30</v>
      </c>
      <c r="I155">
        <v>6</v>
      </c>
      <c r="J155">
        <v>0</v>
      </c>
      <c r="K155">
        <v>38.92</v>
      </c>
      <c r="L155">
        <v>7.2</v>
      </c>
      <c r="M155" t="s">
        <v>2473</v>
      </c>
      <c r="N155" t="s">
        <v>2474</v>
      </c>
      <c r="O155" t="s">
        <v>2463</v>
      </c>
      <c r="P155">
        <v>3.62</v>
      </c>
      <c r="Q155">
        <v>6.03</v>
      </c>
      <c r="R155">
        <v>21.72</v>
      </c>
      <c r="S155">
        <v>10.000000000000004</v>
      </c>
      <c r="T155">
        <v>0.25693730729701963</v>
      </c>
      <c r="U155" s="1">
        <v>45536</v>
      </c>
      <c r="V155" t="s">
        <v>2499</v>
      </c>
      <c r="W155">
        <v>2024</v>
      </c>
    </row>
    <row r="156" spans="1:23" x14ac:dyDescent="0.25">
      <c r="A156" t="s">
        <v>203</v>
      </c>
      <c r="B156" s="1">
        <v>45561</v>
      </c>
      <c r="C156" s="1">
        <v>45564</v>
      </c>
      <c r="D156" t="s">
        <v>32</v>
      </c>
      <c r="E156" t="s">
        <v>45</v>
      </c>
      <c r="F156" t="s">
        <v>15</v>
      </c>
      <c r="G156" t="s">
        <v>26</v>
      </c>
      <c r="H156" t="s">
        <v>41</v>
      </c>
      <c r="I156">
        <v>23</v>
      </c>
      <c r="J156">
        <v>0</v>
      </c>
      <c r="K156">
        <v>160.51</v>
      </c>
      <c r="L156">
        <v>14.85</v>
      </c>
      <c r="M156" t="s">
        <v>2479</v>
      </c>
      <c r="N156" t="s">
        <v>2474</v>
      </c>
      <c r="O156" t="s">
        <v>2459</v>
      </c>
      <c r="P156">
        <v>3.3</v>
      </c>
      <c r="Q156">
        <v>6.13</v>
      </c>
      <c r="R156">
        <v>75.899999999999991</v>
      </c>
      <c r="S156">
        <v>69.760000000000005</v>
      </c>
      <c r="T156">
        <v>0.43461466575291263</v>
      </c>
      <c r="U156" s="1">
        <v>45536</v>
      </c>
      <c r="V156" t="s">
        <v>2499</v>
      </c>
      <c r="W156">
        <v>2024</v>
      </c>
    </row>
    <row r="157" spans="1:23" x14ac:dyDescent="0.25">
      <c r="A157" t="s">
        <v>204</v>
      </c>
      <c r="B157" s="1">
        <v>46018</v>
      </c>
      <c r="C157" s="1">
        <v>46019</v>
      </c>
      <c r="D157" t="s">
        <v>13</v>
      </c>
      <c r="E157" t="s">
        <v>14</v>
      </c>
      <c r="F157" t="s">
        <v>15</v>
      </c>
      <c r="G157" t="s">
        <v>26</v>
      </c>
      <c r="H157" t="s">
        <v>17</v>
      </c>
      <c r="I157">
        <v>3</v>
      </c>
      <c r="J157">
        <v>0</v>
      </c>
      <c r="K157">
        <v>564.28</v>
      </c>
      <c r="L157">
        <v>4.95</v>
      </c>
      <c r="M157" t="s">
        <v>2472</v>
      </c>
      <c r="N157" t="s">
        <v>2467</v>
      </c>
      <c r="O157" t="s">
        <v>2468</v>
      </c>
      <c r="P157">
        <v>63.69</v>
      </c>
      <c r="Q157">
        <v>125.5</v>
      </c>
      <c r="R157">
        <v>191.07</v>
      </c>
      <c r="S157">
        <v>368.26</v>
      </c>
      <c r="T157">
        <v>0.65261926703055217</v>
      </c>
      <c r="U157" s="1">
        <v>45992</v>
      </c>
      <c r="V157" t="s">
        <v>2499</v>
      </c>
      <c r="W157">
        <v>2025</v>
      </c>
    </row>
    <row r="158" spans="1:23" x14ac:dyDescent="0.25">
      <c r="A158" t="s">
        <v>205</v>
      </c>
      <c r="B158" s="1">
        <v>45517</v>
      </c>
      <c r="C158" s="1">
        <v>45521</v>
      </c>
      <c r="D158" t="s">
        <v>13</v>
      </c>
      <c r="E158" t="s">
        <v>14</v>
      </c>
      <c r="F158" t="s">
        <v>25</v>
      </c>
      <c r="G158" t="s">
        <v>16</v>
      </c>
      <c r="H158" t="s">
        <v>39</v>
      </c>
      <c r="I158">
        <v>3</v>
      </c>
      <c r="J158">
        <v>0.25</v>
      </c>
      <c r="K158">
        <v>429.09</v>
      </c>
      <c r="L158">
        <v>8.25</v>
      </c>
      <c r="M158" t="s">
        <v>2471</v>
      </c>
      <c r="N158" t="s">
        <v>2467</v>
      </c>
      <c r="O158" t="s">
        <v>2461</v>
      </c>
      <c r="P158">
        <v>112.09</v>
      </c>
      <c r="Q158">
        <v>192.47</v>
      </c>
      <c r="R158">
        <v>336.27</v>
      </c>
      <c r="S158">
        <v>84.57</v>
      </c>
      <c r="T158">
        <v>0.19709151926169335</v>
      </c>
      <c r="U158" s="1">
        <v>45505</v>
      </c>
      <c r="V158" t="s">
        <v>2501</v>
      </c>
      <c r="W158">
        <v>2024</v>
      </c>
    </row>
    <row r="159" spans="1:23" x14ac:dyDescent="0.25">
      <c r="A159" t="s">
        <v>206</v>
      </c>
      <c r="B159" s="1">
        <v>45865</v>
      </c>
      <c r="C159" s="1">
        <v>45869</v>
      </c>
      <c r="D159" t="s">
        <v>13</v>
      </c>
      <c r="E159" t="s">
        <v>36</v>
      </c>
      <c r="F159" t="s">
        <v>15</v>
      </c>
      <c r="G159" t="s">
        <v>26</v>
      </c>
      <c r="H159" t="s">
        <v>21</v>
      </c>
      <c r="I159">
        <v>5</v>
      </c>
      <c r="J159">
        <v>0.1</v>
      </c>
      <c r="K159">
        <v>483.95</v>
      </c>
      <c r="L159">
        <v>16</v>
      </c>
      <c r="M159" t="s">
        <v>2462</v>
      </c>
      <c r="N159" t="s">
        <v>2458</v>
      </c>
      <c r="O159" t="s">
        <v>2463</v>
      </c>
      <c r="P159">
        <v>71.489999999999995</v>
      </c>
      <c r="Q159">
        <v>112.88</v>
      </c>
      <c r="R159">
        <v>357.45</v>
      </c>
      <c r="S159">
        <v>110.5</v>
      </c>
      <c r="T159">
        <v>0.22832937286909805</v>
      </c>
      <c r="U159" s="1">
        <v>45839</v>
      </c>
      <c r="V159" t="s">
        <v>2498</v>
      </c>
      <c r="W159">
        <v>2025</v>
      </c>
    </row>
    <row r="160" spans="1:23" x14ac:dyDescent="0.25">
      <c r="A160" t="s">
        <v>207</v>
      </c>
      <c r="B160" s="1">
        <v>45872</v>
      </c>
      <c r="C160" s="1">
        <v>45875</v>
      </c>
      <c r="D160" t="s">
        <v>32</v>
      </c>
      <c r="E160" t="s">
        <v>45</v>
      </c>
      <c r="F160" t="s">
        <v>15</v>
      </c>
      <c r="G160" t="s">
        <v>20</v>
      </c>
      <c r="H160" t="s">
        <v>17</v>
      </c>
      <c r="I160">
        <v>2</v>
      </c>
      <c r="J160">
        <v>0.25</v>
      </c>
      <c r="K160">
        <v>174.11</v>
      </c>
      <c r="L160">
        <v>7</v>
      </c>
      <c r="M160" t="s">
        <v>2472</v>
      </c>
      <c r="N160" t="s">
        <v>2467</v>
      </c>
      <c r="O160" t="s">
        <v>2468</v>
      </c>
      <c r="P160">
        <v>63.69</v>
      </c>
      <c r="Q160">
        <v>125.5</v>
      </c>
      <c r="R160">
        <v>127.38</v>
      </c>
      <c r="S160">
        <v>39.730000000000018</v>
      </c>
      <c r="T160">
        <v>0.22818907587157553</v>
      </c>
      <c r="U160" s="1">
        <v>45870</v>
      </c>
      <c r="V160" t="s">
        <v>2501</v>
      </c>
      <c r="W160">
        <v>2025</v>
      </c>
    </row>
    <row r="161" spans="1:23" x14ac:dyDescent="0.25">
      <c r="A161" t="s">
        <v>208</v>
      </c>
      <c r="B161" s="1">
        <v>45367</v>
      </c>
      <c r="C161" s="1">
        <v>45372</v>
      </c>
      <c r="D161" t="s">
        <v>47</v>
      </c>
      <c r="E161" t="s">
        <v>71</v>
      </c>
      <c r="F161" t="s">
        <v>25</v>
      </c>
      <c r="G161" t="s">
        <v>20</v>
      </c>
      <c r="H161" t="s">
        <v>34</v>
      </c>
      <c r="I161">
        <v>1</v>
      </c>
      <c r="J161">
        <v>0</v>
      </c>
      <c r="K161">
        <v>197.86</v>
      </c>
      <c r="L161">
        <v>6.8</v>
      </c>
      <c r="M161" t="s">
        <v>2460</v>
      </c>
      <c r="N161" t="s">
        <v>2458</v>
      </c>
      <c r="O161" t="s">
        <v>2461</v>
      </c>
      <c r="P161">
        <v>119.02</v>
      </c>
      <c r="Q161">
        <v>205.39</v>
      </c>
      <c r="R161">
        <v>119.02</v>
      </c>
      <c r="S161">
        <v>72.04000000000002</v>
      </c>
      <c r="T161">
        <v>0.36409582533104223</v>
      </c>
      <c r="U161" s="1">
        <v>45352</v>
      </c>
      <c r="V161" t="s">
        <v>2499</v>
      </c>
      <c r="W161">
        <v>2024</v>
      </c>
    </row>
    <row r="162" spans="1:23" x14ac:dyDescent="0.25">
      <c r="A162" t="s">
        <v>209</v>
      </c>
      <c r="B162" s="1">
        <v>45307</v>
      </c>
      <c r="C162" s="1">
        <v>45308</v>
      </c>
      <c r="D162" t="s">
        <v>13</v>
      </c>
      <c r="E162" t="s">
        <v>14</v>
      </c>
      <c r="F162" t="s">
        <v>25</v>
      </c>
      <c r="G162" t="s">
        <v>16</v>
      </c>
      <c r="H162" t="s">
        <v>37</v>
      </c>
      <c r="I162">
        <v>2</v>
      </c>
      <c r="J162">
        <v>0.15</v>
      </c>
      <c r="K162">
        <v>162.97</v>
      </c>
      <c r="L162">
        <v>5.46</v>
      </c>
      <c r="M162" t="s">
        <v>2464</v>
      </c>
      <c r="N162" t="s">
        <v>2458</v>
      </c>
      <c r="O162" t="s">
        <v>2465</v>
      </c>
      <c r="P162">
        <v>63.6</v>
      </c>
      <c r="Q162">
        <v>107.94</v>
      </c>
      <c r="R162">
        <v>127.2</v>
      </c>
      <c r="S162">
        <v>30.309999999999995</v>
      </c>
      <c r="T162">
        <v>0.18598515064122229</v>
      </c>
      <c r="U162" s="1">
        <v>45292</v>
      </c>
      <c r="V162" t="s">
        <v>2500</v>
      </c>
      <c r="W162">
        <v>2024</v>
      </c>
    </row>
    <row r="163" spans="1:23" x14ac:dyDescent="0.25">
      <c r="A163" t="s">
        <v>210</v>
      </c>
      <c r="B163" s="1">
        <v>45729</v>
      </c>
      <c r="C163" s="1">
        <v>45735</v>
      </c>
      <c r="D163" t="s">
        <v>23</v>
      </c>
      <c r="E163" t="s">
        <v>43</v>
      </c>
      <c r="F163" t="s">
        <v>25</v>
      </c>
      <c r="G163" t="s">
        <v>16</v>
      </c>
      <c r="H163" t="s">
        <v>65</v>
      </c>
      <c r="I163">
        <v>1</v>
      </c>
      <c r="J163">
        <v>0</v>
      </c>
      <c r="K163">
        <v>274.7</v>
      </c>
      <c r="L163">
        <v>6.8</v>
      </c>
      <c r="M163" t="s">
        <v>2457</v>
      </c>
      <c r="N163" t="s">
        <v>2458</v>
      </c>
      <c r="O163" t="s">
        <v>2459</v>
      </c>
      <c r="P163">
        <v>173.56</v>
      </c>
      <c r="Q163">
        <v>286.14999999999998</v>
      </c>
      <c r="R163">
        <v>173.56</v>
      </c>
      <c r="S163">
        <v>94.339999999999989</v>
      </c>
      <c r="T163">
        <v>0.34342919548598466</v>
      </c>
      <c r="U163" s="1">
        <v>45717</v>
      </c>
      <c r="V163" t="s">
        <v>2499</v>
      </c>
      <c r="W163">
        <v>2025</v>
      </c>
    </row>
    <row r="164" spans="1:23" x14ac:dyDescent="0.25">
      <c r="A164" t="s">
        <v>211</v>
      </c>
      <c r="B164" s="1">
        <v>45936</v>
      </c>
      <c r="C164" s="1">
        <v>45942</v>
      </c>
      <c r="D164" t="s">
        <v>23</v>
      </c>
      <c r="E164" t="s">
        <v>59</v>
      </c>
      <c r="F164" t="s">
        <v>29</v>
      </c>
      <c r="G164" t="s">
        <v>20</v>
      </c>
      <c r="H164" t="s">
        <v>39</v>
      </c>
      <c r="I164">
        <v>1</v>
      </c>
      <c r="J164">
        <v>0</v>
      </c>
      <c r="K164">
        <v>215.38</v>
      </c>
      <c r="L164">
        <v>3.45</v>
      </c>
      <c r="M164" t="s">
        <v>2471</v>
      </c>
      <c r="N164" t="s">
        <v>2467</v>
      </c>
      <c r="O164" t="s">
        <v>2461</v>
      </c>
      <c r="P164">
        <v>112.09</v>
      </c>
      <c r="Q164">
        <v>192.47</v>
      </c>
      <c r="R164">
        <v>112.09</v>
      </c>
      <c r="S164">
        <v>99.839999999999989</v>
      </c>
      <c r="T164">
        <v>0.46355279041693748</v>
      </c>
      <c r="U164" s="1">
        <v>45931</v>
      </c>
      <c r="V164" t="s">
        <v>2499</v>
      </c>
      <c r="W164">
        <v>2025</v>
      </c>
    </row>
    <row r="165" spans="1:23" x14ac:dyDescent="0.25">
      <c r="A165" t="s">
        <v>212</v>
      </c>
      <c r="B165" s="1">
        <v>45400</v>
      </c>
      <c r="C165" s="1">
        <v>45405</v>
      </c>
      <c r="D165" t="s">
        <v>23</v>
      </c>
      <c r="E165" t="s">
        <v>59</v>
      </c>
      <c r="F165" t="s">
        <v>25</v>
      </c>
      <c r="G165" t="s">
        <v>16</v>
      </c>
      <c r="H165" t="s">
        <v>63</v>
      </c>
      <c r="I165">
        <v>8</v>
      </c>
      <c r="J165">
        <v>0</v>
      </c>
      <c r="K165">
        <v>95.35</v>
      </c>
      <c r="L165">
        <v>8.1</v>
      </c>
      <c r="M165" t="s">
        <v>2477</v>
      </c>
      <c r="N165" t="s">
        <v>2474</v>
      </c>
      <c r="O165" t="s">
        <v>2468</v>
      </c>
      <c r="P165">
        <v>6.33</v>
      </c>
      <c r="Q165">
        <v>12.16</v>
      </c>
      <c r="R165">
        <v>50.64</v>
      </c>
      <c r="S165">
        <v>36.609999999999992</v>
      </c>
      <c r="T165">
        <v>0.38395385422128991</v>
      </c>
      <c r="U165" s="1">
        <v>45383</v>
      </c>
      <c r="V165" t="s">
        <v>2499</v>
      </c>
      <c r="W165">
        <v>2024</v>
      </c>
    </row>
    <row r="166" spans="1:23" x14ac:dyDescent="0.25">
      <c r="A166" t="s">
        <v>213</v>
      </c>
      <c r="B166" s="1">
        <v>45756</v>
      </c>
      <c r="C166" s="1">
        <v>45761</v>
      </c>
      <c r="D166" t="s">
        <v>23</v>
      </c>
      <c r="E166" t="s">
        <v>24</v>
      </c>
      <c r="F166" t="s">
        <v>29</v>
      </c>
      <c r="G166" t="s">
        <v>16</v>
      </c>
      <c r="H166" t="s">
        <v>68</v>
      </c>
      <c r="I166">
        <v>3</v>
      </c>
      <c r="J166">
        <v>0</v>
      </c>
      <c r="K166">
        <v>146.08000000000001</v>
      </c>
      <c r="L166">
        <v>4.95</v>
      </c>
      <c r="M166" t="s">
        <v>2466</v>
      </c>
      <c r="N166" t="s">
        <v>2467</v>
      </c>
      <c r="O166" t="s">
        <v>2468</v>
      </c>
      <c r="P166">
        <v>25.33</v>
      </c>
      <c r="Q166">
        <v>51.56</v>
      </c>
      <c r="R166">
        <v>75.989999999999995</v>
      </c>
      <c r="S166">
        <v>65.140000000000015</v>
      </c>
      <c r="T166">
        <v>0.44592004381161016</v>
      </c>
      <c r="U166" s="1">
        <v>45748</v>
      </c>
      <c r="V166" t="s">
        <v>2499</v>
      </c>
      <c r="W166">
        <v>2025</v>
      </c>
    </row>
    <row r="167" spans="1:23" x14ac:dyDescent="0.25">
      <c r="A167" t="s">
        <v>214</v>
      </c>
      <c r="B167" s="1">
        <v>45490</v>
      </c>
      <c r="C167" s="1">
        <v>45496</v>
      </c>
      <c r="D167" t="s">
        <v>32</v>
      </c>
      <c r="E167" t="s">
        <v>62</v>
      </c>
      <c r="F167" t="s">
        <v>15</v>
      </c>
      <c r="G167" t="s">
        <v>16</v>
      </c>
      <c r="H167" t="s">
        <v>34</v>
      </c>
      <c r="I167">
        <v>3</v>
      </c>
      <c r="J167">
        <v>0</v>
      </c>
      <c r="K167">
        <v>600.47</v>
      </c>
      <c r="L167">
        <v>6.84</v>
      </c>
      <c r="M167" t="s">
        <v>2460</v>
      </c>
      <c r="N167" t="s">
        <v>2458</v>
      </c>
      <c r="O167" t="s">
        <v>2461</v>
      </c>
      <c r="P167">
        <v>119.02</v>
      </c>
      <c r="Q167">
        <v>205.39</v>
      </c>
      <c r="R167">
        <v>357.06</v>
      </c>
      <c r="S167">
        <v>236.57000000000002</v>
      </c>
      <c r="T167">
        <v>0.39397471980282112</v>
      </c>
      <c r="U167" s="1">
        <v>45474</v>
      </c>
      <c r="V167" t="s">
        <v>2499</v>
      </c>
      <c r="W167">
        <v>2024</v>
      </c>
    </row>
    <row r="168" spans="1:23" x14ac:dyDescent="0.25">
      <c r="A168" t="s">
        <v>215</v>
      </c>
      <c r="B168" s="1">
        <v>45663</v>
      </c>
      <c r="C168" s="1">
        <v>45665</v>
      </c>
      <c r="D168" t="s">
        <v>32</v>
      </c>
      <c r="E168" t="s">
        <v>33</v>
      </c>
      <c r="F168" t="s">
        <v>29</v>
      </c>
      <c r="G168" t="s">
        <v>26</v>
      </c>
      <c r="H168" t="s">
        <v>51</v>
      </c>
      <c r="I168">
        <v>14</v>
      </c>
      <c r="J168">
        <v>0.05</v>
      </c>
      <c r="K168">
        <v>166.91</v>
      </c>
      <c r="L168">
        <v>10.8</v>
      </c>
      <c r="M168" t="s">
        <v>2475</v>
      </c>
      <c r="N168" t="s">
        <v>2474</v>
      </c>
      <c r="O168" t="s">
        <v>2463</v>
      </c>
      <c r="P168">
        <v>7.93</v>
      </c>
      <c r="Q168">
        <v>14.78</v>
      </c>
      <c r="R168">
        <v>111.02</v>
      </c>
      <c r="S168">
        <v>45.09</v>
      </c>
      <c r="T168">
        <v>0.27014558744233425</v>
      </c>
      <c r="U168" s="1">
        <v>45658</v>
      </c>
      <c r="V168" t="s">
        <v>2498</v>
      </c>
      <c r="W168">
        <v>2025</v>
      </c>
    </row>
    <row r="169" spans="1:23" x14ac:dyDescent="0.25">
      <c r="A169" t="s">
        <v>216</v>
      </c>
      <c r="B169" s="1">
        <v>45768</v>
      </c>
      <c r="C169" s="1">
        <v>45772</v>
      </c>
      <c r="D169" t="s">
        <v>13</v>
      </c>
      <c r="E169" t="s">
        <v>14</v>
      </c>
      <c r="F169" t="s">
        <v>15</v>
      </c>
      <c r="G169" t="s">
        <v>26</v>
      </c>
      <c r="H169" t="s">
        <v>63</v>
      </c>
      <c r="I169">
        <v>4</v>
      </c>
      <c r="J169">
        <v>0.1</v>
      </c>
      <c r="K169">
        <v>45.1</v>
      </c>
      <c r="L169">
        <v>3.78</v>
      </c>
      <c r="M169" t="s">
        <v>2477</v>
      </c>
      <c r="N169" t="s">
        <v>2474</v>
      </c>
      <c r="O169" t="s">
        <v>2468</v>
      </c>
      <c r="P169">
        <v>6.33</v>
      </c>
      <c r="Q169">
        <v>12.16</v>
      </c>
      <c r="R169">
        <v>25.32</v>
      </c>
      <c r="S169">
        <v>16</v>
      </c>
      <c r="T169">
        <v>0.35476718403547669</v>
      </c>
      <c r="U169" s="1">
        <v>45748</v>
      </c>
      <c r="V169" t="s">
        <v>2498</v>
      </c>
      <c r="W169">
        <v>2025</v>
      </c>
    </row>
    <row r="170" spans="1:23" x14ac:dyDescent="0.25">
      <c r="A170" t="s">
        <v>217</v>
      </c>
      <c r="B170" s="1">
        <v>45932</v>
      </c>
      <c r="C170" s="1">
        <v>45937</v>
      </c>
      <c r="D170" t="s">
        <v>13</v>
      </c>
      <c r="E170" t="s">
        <v>36</v>
      </c>
      <c r="F170" t="s">
        <v>15</v>
      </c>
      <c r="G170" t="s">
        <v>16</v>
      </c>
      <c r="H170" t="s">
        <v>39</v>
      </c>
      <c r="I170">
        <v>4</v>
      </c>
      <c r="J170">
        <v>0.05</v>
      </c>
      <c r="K170">
        <v>864.55</v>
      </c>
      <c r="L170">
        <v>9.5</v>
      </c>
      <c r="M170" t="s">
        <v>2471</v>
      </c>
      <c r="N170" t="s">
        <v>2467</v>
      </c>
      <c r="O170" t="s">
        <v>2461</v>
      </c>
      <c r="P170">
        <v>112.09</v>
      </c>
      <c r="Q170">
        <v>192.47</v>
      </c>
      <c r="R170">
        <v>448.36</v>
      </c>
      <c r="S170">
        <v>406.68999999999994</v>
      </c>
      <c r="T170">
        <v>0.4704065698918512</v>
      </c>
      <c r="U170" s="1">
        <v>45931</v>
      </c>
      <c r="V170" t="s">
        <v>2498</v>
      </c>
      <c r="W170">
        <v>2025</v>
      </c>
    </row>
    <row r="171" spans="1:23" x14ac:dyDescent="0.25">
      <c r="A171" t="s">
        <v>218</v>
      </c>
      <c r="B171" s="1">
        <v>45708</v>
      </c>
      <c r="C171" s="1">
        <v>45714</v>
      </c>
      <c r="D171" t="s">
        <v>47</v>
      </c>
      <c r="E171" t="s">
        <v>50</v>
      </c>
      <c r="F171" t="s">
        <v>15</v>
      </c>
      <c r="G171" t="s">
        <v>16</v>
      </c>
      <c r="H171" t="s">
        <v>17</v>
      </c>
      <c r="I171">
        <v>4</v>
      </c>
      <c r="J171">
        <v>0</v>
      </c>
      <c r="K171">
        <v>433.61</v>
      </c>
      <c r="L171">
        <v>5.7</v>
      </c>
      <c r="M171" t="s">
        <v>2472</v>
      </c>
      <c r="N171" t="s">
        <v>2467</v>
      </c>
      <c r="O171" t="s">
        <v>2468</v>
      </c>
      <c r="P171">
        <v>63.69</v>
      </c>
      <c r="Q171">
        <v>125.5</v>
      </c>
      <c r="R171">
        <v>254.76</v>
      </c>
      <c r="S171">
        <v>173.15000000000003</v>
      </c>
      <c r="T171">
        <v>0.39932197135674924</v>
      </c>
      <c r="U171" s="1">
        <v>45689</v>
      </c>
      <c r="V171" t="s">
        <v>2499</v>
      </c>
      <c r="W171">
        <v>2025</v>
      </c>
    </row>
    <row r="172" spans="1:23" x14ac:dyDescent="0.25">
      <c r="A172" t="s">
        <v>219</v>
      </c>
      <c r="B172" s="1">
        <v>45319</v>
      </c>
      <c r="C172" s="1">
        <v>45321</v>
      </c>
      <c r="D172" t="s">
        <v>13</v>
      </c>
      <c r="E172" t="s">
        <v>36</v>
      </c>
      <c r="F172" t="s">
        <v>29</v>
      </c>
      <c r="G172" t="s">
        <v>26</v>
      </c>
      <c r="H172" t="s">
        <v>51</v>
      </c>
      <c r="I172">
        <v>7</v>
      </c>
      <c r="J172">
        <v>0</v>
      </c>
      <c r="K172">
        <v>95.54</v>
      </c>
      <c r="L172">
        <v>4.59</v>
      </c>
      <c r="M172" t="s">
        <v>2475</v>
      </c>
      <c r="N172" t="s">
        <v>2474</v>
      </c>
      <c r="O172" t="s">
        <v>2463</v>
      </c>
      <c r="P172">
        <v>7.93</v>
      </c>
      <c r="Q172">
        <v>14.78</v>
      </c>
      <c r="R172">
        <v>55.51</v>
      </c>
      <c r="S172">
        <v>35.440000000000012</v>
      </c>
      <c r="T172">
        <v>0.37094410718023874</v>
      </c>
      <c r="U172" s="1">
        <v>45292</v>
      </c>
      <c r="V172" t="s">
        <v>2499</v>
      </c>
      <c r="W172">
        <v>2024</v>
      </c>
    </row>
    <row r="173" spans="1:23" x14ac:dyDescent="0.25">
      <c r="A173" t="s">
        <v>220</v>
      </c>
      <c r="B173" s="1">
        <v>45620</v>
      </c>
      <c r="C173" s="1">
        <v>45625</v>
      </c>
      <c r="D173" t="s">
        <v>32</v>
      </c>
      <c r="E173" t="s">
        <v>62</v>
      </c>
      <c r="F173" t="s">
        <v>29</v>
      </c>
      <c r="G173" t="s">
        <v>16</v>
      </c>
      <c r="H173" t="s">
        <v>60</v>
      </c>
      <c r="I173">
        <v>3</v>
      </c>
      <c r="J173">
        <v>0.05</v>
      </c>
      <c r="K173">
        <v>408.63</v>
      </c>
      <c r="L173">
        <v>4.95</v>
      </c>
      <c r="M173" t="s">
        <v>2469</v>
      </c>
      <c r="N173" t="s">
        <v>2467</v>
      </c>
      <c r="O173" t="s">
        <v>2468</v>
      </c>
      <c r="P173">
        <v>54.95</v>
      </c>
      <c r="Q173">
        <v>112.56</v>
      </c>
      <c r="R173">
        <v>164.85000000000002</v>
      </c>
      <c r="S173">
        <v>238.82999999999998</v>
      </c>
      <c r="T173">
        <v>0.58446516408486893</v>
      </c>
      <c r="U173" s="1">
        <v>45597</v>
      </c>
      <c r="V173" t="s">
        <v>2498</v>
      </c>
      <c r="W173">
        <v>2024</v>
      </c>
    </row>
    <row r="174" spans="1:23" x14ac:dyDescent="0.25">
      <c r="A174" t="s">
        <v>221</v>
      </c>
      <c r="B174" s="1">
        <v>45517</v>
      </c>
      <c r="C174" s="1">
        <v>45518</v>
      </c>
      <c r="D174" t="s">
        <v>23</v>
      </c>
      <c r="E174" t="s">
        <v>24</v>
      </c>
      <c r="F174" t="s">
        <v>15</v>
      </c>
      <c r="G174" t="s">
        <v>16</v>
      </c>
      <c r="H174" t="s">
        <v>34</v>
      </c>
      <c r="I174">
        <v>2</v>
      </c>
      <c r="J174">
        <v>0</v>
      </c>
      <c r="K174">
        <v>393.65</v>
      </c>
      <c r="L174">
        <v>5.46</v>
      </c>
      <c r="M174" t="s">
        <v>2460</v>
      </c>
      <c r="N174" t="s">
        <v>2458</v>
      </c>
      <c r="O174" t="s">
        <v>2461</v>
      </c>
      <c r="P174">
        <v>119.02</v>
      </c>
      <c r="Q174">
        <v>205.39</v>
      </c>
      <c r="R174">
        <v>238.04</v>
      </c>
      <c r="S174">
        <v>150.14999999999998</v>
      </c>
      <c r="T174">
        <v>0.38143020449637999</v>
      </c>
      <c r="U174" s="1">
        <v>45505</v>
      </c>
      <c r="V174" t="s">
        <v>2499</v>
      </c>
      <c r="W174">
        <v>2024</v>
      </c>
    </row>
    <row r="175" spans="1:23" x14ac:dyDescent="0.25">
      <c r="A175" t="s">
        <v>222</v>
      </c>
      <c r="B175" s="1">
        <v>45687</v>
      </c>
      <c r="C175" s="1">
        <v>45692</v>
      </c>
      <c r="D175" t="s">
        <v>13</v>
      </c>
      <c r="E175" t="s">
        <v>14</v>
      </c>
      <c r="F175" t="s">
        <v>29</v>
      </c>
      <c r="G175" t="s">
        <v>20</v>
      </c>
      <c r="H175" t="s">
        <v>34</v>
      </c>
      <c r="I175">
        <v>3</v>
      </c>
      <c r="J175">
        <v>0.15</v>
      </c>
      <c r="K175">
        <v>437.79</v>
      </c>
      <c r="L175">
        <v>11.4</v>
      </c>
      <c r="M175" t="s">
        <v>2460</v>
      </c>
      <c r="N175" t="s">
        <v>2458</v>
      </c>
      <c r="O175" t="s">
        <v>2461</v>
      </c>
      <c r="P175">
        <v>119.02</v>
      </c>
      <c r="Q175">
        <v>205.39</v>
      </c>
      <c r="R175">
        <v>357.06</v>
      </c>
      <c r="S175">
        <v>69.330000000000013</v>
      </c>
      <c r="T175">
        <v>0.15836359898581515</v>
      </c>
      <c r="U175" s="1">
        <v>45658</v>
      </c>
      <c r="V175" t="s">
        <v>2500</v>
      </c>
      <c r="W175">
        <v>2025</v>
      </c>
    </row>
    <row r="176" spans="1:23" x14ac:dyDescent="0.25">
      <c r="A176" t="s">
        <v>223</v>
      </c>
      <c r="B176" s="1">
        <v>45766</v>
      </c>
      <c r="C176" s="1">
        <v>45768</v>
      </c>
      <c r="D176" t="s">
        <v>23</v>
      </c>
      <c r="E176" t="s">
        <v>24</v>
      </c>
      <c r="F176" t="s">
        <v>15</v>
      </c>
      <c r="G176" t="s">
        <v>16</v>
      </c>
      <c r="H176" t="s">
        <v>63</v>
      </c>
      <c r="I176">
        <v>20</v>
      </c>
      <c r="J176">
        <v>0</v>
      </c>
      <c r="K176">
        <v>230.65</v>
      </c>
      <c r="L176">
        <v>8.1</v>
      </c>
      <c r="M176" t="s">
        <v>2477</v>
      </c>
      <c r="N176" t="s">
        <v>2474</v>
      </c>
      <c r="O176" t="s">
        <v>2468</v>
      </c>
      <c r="P176">
        <v>6.33</v>
      </c>
      <c r="Q176">
        <v>12.16</v>
      </c>
      <c r="R176">
        <v>126.6</v>
      </c>
      <c r="S176">
        <v>95.950000000000017</v>
      </c>
      <c r="T176">
        <v>0.41599826577064825</v>
      </c>
      <c r="U176" s="1">
        <v>45748</v>
      </c>
      <c r="V176" t="s">
        <v>2499</v>
      </c>
      <c r="W176">
        <v>2025</v>
      </c>
    </row>
    <row r="177" spans="1:23" x14ac:dyDescent="0.25">
      <c r="A177" t="s">
        <v>224</v>
      </c>
      <c r="B177" s="1">
        <v>45294</v>
      </c>
      <c r="C177" s="1">
        <v>45297</v>
      </c>
      <c r="D177" t="s">
        <v>23</v>
      </c>
      <c r="E177" t="s">
        <v>43</v>
      </c>
      <c r="F177" t="s">
        <v>29</v>
      </c>
      <c r="G177" t="s">
        <v>20</v>
      </c>
      <c r="H177" t="s">
        <v>27</v>
      </c>
      <c r="I177">
        <v>5</v>
      </c>
      <c r="J177">
        <v>0</v>
      </c>
      <c r="K177">
        <v>118.12</v>
      </c>
      <c r="L177">
        <v>4.05</v>
      </c>
      <c r="M177" t="s">
        <v>2478</v>
      </c>
      <c r="N177" t="s">
        <v>2474</v>
      </c>
      <c r="O177" t="s">
        <v>2463</v>
      </c>
      <c r="P177">
        <v>16.760000000000002</v>
      </c>
      <c r="Q177">
        <v>27.71</v>
      </c>
      <c r="R177">
        <v>83.800000000000011</v>
      </c>
      <c r="S177">
        <v>30.269999999999992</v>
      </c>
      <c r="T177">
        <v>0.25626481544192342</v>
      </c>
      <c r="U177" s="1">
        <v>45292</v>
      </c>
      <c r="V177" t="s">
        <v>2499</v>
      </c>
      <c r="W177">
        <v>2024</v>
      </c>
    </row>
    <row r="178" spans="1:23" x14ac:dyDescent="0.25">
      <c r="A178" t="s">
        <v>225</v>
      </c>
      <c r="B178" s="1">
        <v>46014</v>
      </c>
      <c r="C178" s="1">
        <v>46017</v>
      </c>
      <c r="D178" t="s">
        <v>13</v>
      </c>
      <c r="E178" t="s">
        <v>19</v>
      </c>
      <c r="F178" t="s">
        <v>25</v>
      </c>
      <c r="G178" t="s">
        <v>20</v>
      </c>
      <c r="H178" t="s">
        <v>21</v>
      </c>
      <c r="I178">
        <v>1</v>
      </c>
      <c r="J178">
        <v>0</v>
      </c>
      <c r="K178">
        <v>165.14</v>
      </c>
      <c r="L178">
        <v>6.8</v>
      </c>
      <c r="M178" t="s">
        <v>2462</v>
      </c>
      <c r="N178" t="s">
        <v>2458</v>
      </c>
      <c r="O178" t="s">
        <v>2463</v>
      </c>
      <c r="P178">
        <v>71.489999999999995</v>
      </c>
      <c r="Q178">
        <v>112.88</v>
      </c>
      <c r="R178">
        <v>71.489999999999995</v>
      </c>
      <c r="S178">
        <v>86.85</v>
      </c>
      <c r="T178">
        <v>0.52591740341528403</v>
      </c>
      <c r="U178" s="1">
        <v>45992</v>
      </c>
      <c r="V178" t="s">
        <v>2499</v>
      </c>
      <c r="W178">
        <v>2025</v>
      </c>
    </row>
    <row r="179" spans="1:23" x14ac:dyDescent="0.25">
      <c r="A179" t="s">
        <v>226</v>
      </c>
      <c r="B179" s="1">
        <v>45775</v>
      </c>
      <c r="C179" s="1">
        <v>45776</v>
      </c>
      <c r="D179" t="s">
        <v>47</v>
      </c>
      <c r="E179" t="s">
        <v>71</v>
      </c>
      <c r="F179" t="s">
        <v>29</v>
      </c>
      <c r="G179" t="s">
        <v>26</v>
      </c>
      <c r="H179" t="s">
        <v>51</v>
      </c>
      <c r="I179">
        <v>8</v>
      </c>
      <c r="J179">
        <v>0</v>
      </c>
      <c r="K179">
        <v>121.37</v>
      </c>
      <c r="L179">
        <v>8.1</v>
      </c>
      <c r="M179" t="s">
        <v>2475</v>
      </c>
      <c r="N179" t="s">
        <v>2474</v>
      </c>
      <c r="O179" t="s">
        <v>2463</v>
      </c>
      <c r="P179">
        <v>7.93</v>
      </c>
      <c r="Q179">
        <v>14.78</v>
      </c>
      <c r="R179">
        <v>63.44</v>
      </c>
      <c r="S179">
        <v>49.830000000000005</v>
      </c>
      <c r="T179">
        <v>0.4105627420285079</v>
      </c>
      <c r="U179" s="1">
        <v>45748</v>
      </c>
      <c r="V179" t="s">
        <v>2499</v>
      </c>
      <c r="W179">
        <v>2025</v>
      </c>
    </row>
    <row r="180" spans="1:23" x14ac:dyDescent="0.25">
      <c r="A180" t="s">
        <v>227</v>
      </c>
      <c r="B180" s="1">
        <v>45939</v>
      </c>
      <c r="C180" s="1">
        <v>45945</v>
      </c>
      <c r="D180" t="s">
        <v>47</v>
      </c>
      <c r="E180" t="s">
        <v>71</v>
      </c>
      <c r="F180" t="s">
        <v>15</v>
      </c>
      <c r="G180" t="s">
        <v>26</v>
      </c>
      <c r="H180" t="s">
        <v>60</v>
      </c>
      <c r="I180">
        <v>1</v>
      </c>
      <c r="J180">
        <v>0</v>
      </c>
      <c r="K180">
        <v>133.91</v>
      </c>
      <c r="L180">
        <v>3.45</v>
      </c>
      <c r="M180" t="s">
        <v>2469</v>
      </c>
      <c r="N180" t="s">
        <v>2467</v>
      </c>
      <c r="O180" t="s">
        <v>2468</v>
      </c>
      <c r="P180">
        <v>54.95</v>
      </c>
      <c r="Q180">
        <v>112.56</v>
      </c>
      <c r="R180">
        <v>54.95</v>
      </c>
      <c r="S180">
        <v>75.509999999999991</v>
      </c>
      <c r="T180">
        <v>0.56388619221865421</v>
      </c>
      <c r="U180" s="1">
        <v>45931</v>
      </c>
      <c r="V180" t="s">
        <v>2499</v>
      </c>
      <c r="W180">
        <v>2025</v>
      </c>
    </row>
    <row r="181" spans="1:23" x14ac:dyDescent="0.25">
      <c r="A181" t="s">
        <v>228</v>
      </c>
      <c r="B181" s="1">
        <v>45952</v>
      </c>
      <c r="C181" s="1">
        <v>45953</v>
      </c>
      <c r="D181" t="s">
        <v>13</v>
      </c>
      <c r="E181" t="s">
        <v>36</v>
      </c>
      <c r="F181" t="s">
        <v>29</v>
      </c>
      <c r="G181" t="s">
        <v>16</v>
      </c>
      <c r="H181" t="s">
        <v>37</v>
      </c>
      <c r="I181">
        <v>4</v>
      </c>
      <c r="J181">
        <v>0</v>
      </c>
      <c r="K181">
        <v>471.48</v>
      </c>
      <c r="L181">
        <v>8.2200000000000006</v>
      </c>
      <c r="M181" t="s">
        <v>2464</v>
      </c>
      <c r="N181" t="s">
        <v>2458</v>
      </c>
      <c r="O181" t="s">
        <v>2465</v>
      </c>
      <c r="P181">
        <v>63.6</v>
      </c>
      <c r="Q181">
        <v>107.94</v>
      </c>
      <c r="R181">
        <v>254.4</v>
      </c>
      <c r="S181">
        <v>208.86</v>
      </c>
      <c r="T181">
        <v>0.442988037668618</v>
      </c>
      <c r="U181" s="1">
        <v>45931</v>
      </c>
      <c r="V181" t="s">
        <v>2499</v>
      </c>
      <c r="W181">
        <v>2025</v>
      </c>
    </row>
    <row r="182" spans="1:23" x14ac:dyDescent="0.25">
      <c r="A182" t="s">
        <v>229</v>
      </c>
      <c r="B182" s="1">
        <v>45342</v>
      </c>
      <c r="C182" s="1">
        <v>45347</v>
      </c>
      <c r="D182" t="s">
        <v>13</v>
      </c>
      <c r="E182" t="s">
        <v>36</v>
      </c>
      <c r="F182" t="s">
        <v>29</v>
      </c>
      <c r="G182" t="s">
        <v>26</v>
      </c>
      <c r="H182" t="s">
        <v>17</v>
      </c>
      <c r="I182">
        <v>3</v>
      </c>
      <c r="J182">
        <v>0</v>
      </c>
      <c r="K182">
        <v>319.39999999999998</v>
      </c>
      <c r="L182">
        <v>8.25</v>
      </c>
      <c r="M182" t="s">
        <v>2472</v>
      </c>
      <c r="N182" t="s">
        <v>2467</v>
      </c>
      <c r="O182" t="s">
        <v>2468</v>
      </c>
      <c r="P182">
        <v>63.69</v>
      </c>
      <c r="Q182">
        <v>125.5</v>
      </c>
      <c r="R182">
        <v>191.07</v>
      </c>
      <c r="S182">
        <v>120.07999999999998</v>
      </c>
      <c r="T182">
        <v>0.37595491546649967</v>
      </c>
      <c r="U182" s="1">
        <v>45323</v>
      </c>
      <c r="V182" t="s">
        <v>2499</v>
      </c>
      <c r="W182">
        <v>2024</v>
      </c>
    </row>
    <row r="183" spans="1:23" x14ac:dyDescent="0.25">
      <c r="A183" t="s">
        <v>230</v>
      </c>
      <c r="B183" s="1">
        <v>45863</v>
      </c>
      <c r="C183" s="1">
        <v>45866</v>
      </c>
      <c r="D183" t="s">
        <v>23</v>
      </c>
      <c r="E183" t="s">
        <v>59</v>
      </c>
      <c r="F183" t="s">
        <v>25</v>
      </c>
      <c r="G183" t="s">
        <v>16</v>
      </c>
      <c r="H183" t="s">
        <v>65</v>
      </c>
      <c r="I183">
        <v>5</v>
      </c>
      <c r="J183">
        <v>0</v>
      </c>
      <c r="K183">
        <v>1302.1500000000001</v>
      </c>
      <c r="L183">
        <v>16</v>
      </c>
      <c r="M183" t="s">
        <v>2457</v>
      </c>
      <c r="N183" t="s">
        <v>2458</v>
      </c>
      <c r="O183" t="s">
        <v>2459</v>
      </c>
      <c r="P183">
        <v>173.56</v>
      </c>
      <c r="Q183">
        <v>286.14999999999998</v>
      </c>
      <c r="R183">
        <v>867.8</v>
      </c>
      <c r="S183">
        <v>418.35000000000014</v>
      </c>
      <c r="T183">
        <v>0.32127635065084675</v>
      </c>
      <c r="U183" s="1">
        <v>45839</v>
      </c>
      <c r="V183" t="s">
        <v>2499</v>
      </c>
      <c r="W183">
        <v>2025</v>
      </c>
    </row>
    <row r="184" spans="1:23" x14ac:dyDescent="0.25">
      <c r="A184" t="s">
        <v>231</v>
      </c>
      <c r="B184" s="1">
        <v>45607</v>
      </c>
      <c r="C184" s="1">
        <v>45608</v>
      </c>
      <c r="D184" t="s">
        <v>32</v>
      </c>
      <c r="E184" t="s">
        <v>45</v>
      </c>
      <c r="F184" t="s">
        <v>25</v>
      </c>
      <c r="G184" t="s">
        <v>20</v>
      </c>
      <c r="H184" t="s">
        <v>60</v>
      </c>
      <c r="I184">
        <v>2</v>
      </c>
      <c r="J184">
        <v>0.2</v>
      </c>
      <c r="K184">
        <v>236.38</v>
      </c>
      <c r="L184">
        <v>7</v>
      </c>
      <c r="M184" t="s">
        <v>2469</v>
      </c>
      <c r="N184" t="s">
        <v>2467</v>
      </c>
      <c r="O184" t="s">
        <v>2468</v>
      </c>
      <c r="P184">
        <v>54.95</v>
      </c>
      <c r="Q184">
        <v>112.56</v>
      </c>
      <c r="R184">
        <v>109.9</v>
      </c>
      <c r="S184">
        <v>119.47999999999999</v>
      </c>
      <c r="T184">
        <v>0.50545731449361198</v>
      </c>
      <c r="U184" s="1">
        <v>45597</v>
      </c>
      <c r="V184" t="s">
        <v>2500</v>
      </c>
      <c r="W184">
        <v>2024</v>
      </c>
    </row>
    <row r="185" spans="1:23" x14ac:dyDescent="0.25">
      <c r="A185" t="s">
        <v>232</v>
      </c>
      <c r="B185" s="1">
        <v>45558</v>
      </c>
      <c r="C185" s="1">
        <v>45559</v>
      </c>
      <c r="D185" t="s">
        <v>23</v>
      </c>
      <c r="E185" t="s">
        <v>24</v>
      </c>
      <c r="F185" t="s">
        <v>25</v>
      </c>
      <c r="G185" t="s">
        <v>26</v>
      </c>
      <c r="H185" t="s">
        <v>87</v>
      </c>
      <c r="I185">
        <v>5</v>
      </c>
      <c r="J185">
        <v>0.2</v>
      </c>
      <c r="K185">
        <v>34.78</v>
      </c>
      <c r="L185">
        <v>6.75</v>
      </c>
      <c r="M185" t="s">
        <v>2476</v>
      </c>
      <c r="N185" t="s">
        <v>2474</v>
      </c>
      <c r="O185" t="s">
        <v>2459</v>
      </c>
      <c r="P185">
        <v>4.5</v>
      </c>
      <c r="Q185">
        <v>8.2899999999999991</v>
      </c>
      <c r="R185">
        <v>22.5</v>
      </c>
      <c r="S185">
        <v>5.5300000000000011</v>
      </c>
      <c r="T185">
        <v>0.1589994249568718</v>
      </c>
      <c r="U185" s="1">
        <v>45536</v>
      </c>
      <c r="V185" t="s">
        <v>2500</v>
      </c>
      <c r="W185">
        <v>2024</v>
      </c>
    </row>
    <row r="186" spans="1:23" x14ac:dyDescent="0.25">
      <c r="A186" t="s">
        <v>233</v>
      </c>
      <c r="B186" s="1">
        <v>45655</v>
      </c>
      <c r="C186" s="1">
        <v>45657</v>
      </c>
      <c r="D186" t="s">
        <v>13</v>
      </c>
      <c r="E186" t="s">
        <v>14</v>
      </c>
      <c r="F186" t="s">
        <v>29</v>
      </c>
      <c r="G186" t="s">
        <v>16</v>
      </c>
      <c r="H186" t="s">
        <v>39</v>
      </c>
      <c r="I186">
        <v>4</v>
      </c>
      <c r="J186">
        <v>0.1</v>
      </c>
      <c r="K186">
        <v>1018</v>
      </c>
      <c r="L186">
        <v>9.5</v>
      </c>
      <c r="M186" t="s">
        <v>2471</v>
      </c>
      <c r="N186" t="s">
        <v>2467</v>
      </c>
      <c r="O186" t="s">
        <v>2461</v>
      </c>
      <c r="P186">
        <v>112.09</v>
      </c>
      <c r="Q186">
        <v>192.47</v>
      </c>
      <c r="R186">
        <v>448.36</v>
      </c>
      <c r="S186">
        <v>560.14</v>
      </c>
      <c r="T186">
        <v>0.55023575638506872</v>
      </c>
      <c r="U186" s="1">
        <v>45627</v>
      </c>
      <c r="V186" t="s">
        <v>2498</v>
      </c>
      <c r="W186">
        <v>2024</v>
      </c>
    </row>
    <row r="187" spans="1:23" x14ac:dyDescent="0.25">
      <c r="A187" t="s">
        <v>234</v>
      </c>
      <c r="B187" s="1">
        <v>45760</v>
      </c>
      <c r="C187" s="1">
        <v>45764</v>
      </c>
      <c r="D187" t="s">
        <v>13</v>
      </c>
      <c r="E187" t="s">
        <v>36</v>
      </c>
      <c r="F187" t="s">
        <v>29</v>
      </c>
      <c r="G187" t="s">
        <v>26</v>
      </c>
      <c r="H187" t="s">
        <v>51</v>
      </c>
      <c r="I187">
        <v>14</v>
      </c>
      <c r="J187">
        <v>0</v>
      </c>
      <c r="K187">
        <v>207.46</v>
      </c>
      <c r="L187">
        <v>6.48</v>
      </c>
      <c r="M187" t="s">
        <v>2475</v>
      </c>
      <c r="N187" t="s">
        <v>2474</v>
      </c>
      <c r="O187" t="s">
        <v>2463</v>
      </c>
      <c r="P187">
        <v>7.93</v>
      </c>
      <c r="Q187">
        <v>14.78</v>
      </c>
      <c r="R187">
        <v>111.02</v>
      </c>
      <c r="S187">
        <v>89.960000000000008</v>
      </c>
      <c r="T187">
        <v>0.43362575918249302</v>
      </c>
      <c r="U187" s="1">
        <v>45748</v>
      </c>
      <c r="V187" t="s">
        <v>2499</v>
      </c>
      <c r="W187">
        <v>2025</v>
      </c>
    </row>
    <row r="188" spans="1:23" x14ac:dyDescent="0.25">
      <c r="A188" t="s">
        <v>235</v>
      </c>
      <c r="B188" s="1">
        <v>45381</v>
      </c>
      <c r="C188" s="1">
        <v>45384</v>
      </c>
      <c r="D188" t="s">
        <v>23</v>
      </c>
      <c r="E188" t="s">
        <v>24</v>
      </c>
      <c r="F188" t="s">
        <v>29</v>
      </c>
      <c r="G188" t="s">
        <v>20</v>
      </c>
      <c r="H188" t="s">
        <v>17</v>
      </c>
      <c r="I188">
        <v>1</v>
      </c>
      <c r="J188">
        <v>0.1</v>
      </c>
      <c r="K188">
        <v>106.88</v>
      </c>
      <c r="L188">
        <v>3.45</v>
      </c>
      <c r="M188" t="s">
        <v>2472</v>
      </c>
      <c r="N188" t="s">
        <v>2467</v>
      </c>
      <c r="O188" t="s">
        <v>2468</v>
      </c>
      <c r="P188">
        <v>63.69</v>
      </c>
      <c r="Q188">
        <v>125.5</v>
      </c>
      <c r="R188">
        <v>63.69</v>
      </c>
      <c r="S188">
        <v>39.739999999999995</v>
      </c>
      <c r="T188">
        <v>0.37181886227544908</v>
      </c>
      <c r="U188" s="1">
        <v>45352</v>
      </c>
      <c r="V188" t="s">
        <v>2498</v>
      </c>
      <c r="W188">
        <v>2024</v>
      </c>
    </row>
    <row r="189" spans="1:23" x14ac:dyDescent="0.25">
      <c r="A189" t="s">
        <v>236</v>
      </c>
      <c r="B189" s="1">
        <v>45324</v>
      </c>
      <c r="C189" s="1">
        <v>45327</v>
      </c>
      <c r="D189" t="s">
        <v>32</v>
      </c>
      <c r="E189" t="s">
        <v>33</v>
      </c>
      <c r="F189" t="s">
        <v>15</v>
      </c>
      <c r="G189" t="s">
        <v>26</v>
      </c>
      <c r="H189" t="s">
        <v>60</v>
      </c>
      <c r="I189">
        <v>4</v>
      </c>
      <c r="J189">
        <v>0</v>
      </c>
      <c r="K189">
        <v>408.99</v>
      </c>
      <c r="L189">
        <v>5.7</v>
      </c>
      <c r="M189" t="s">
        <v>2469</v>
      </c>
      <c r="N189" t="s">
        <v>2467</v>
      </c>
      <c r="O189" t="s">
        <v>2468</v>
      </c>
      <c r="P189">
        <v>54.95</v>
      </c>
      <c r="Q189">
        <v>112.56</v>
      </c>
      <c r="R189">
        <v>219.8</v>
      </c>
      <c r="S189">
        <v>183.49</v>
      </c>
      <c r="T189">
        <v>0.4486417760825448</v>
      </c>
      <c r="U189" s="1">
        <v>45323</v>
      </c>
      <c r="V189" t="s">
        <v>2499</v>
      </c>
      <c r="W189">
        <v>2024</v>
      </c>
    </row>
    <row r="190" spans="1:23" x14ac:dyDescent="0.25">
      <c r="A190" t="s">
        <v>237</v>
      </c>
      <c r="B190" s="1">
        <v>45648</v>
      </c>
      <c r="C190" s="1">
        <v>45649</v>
      </c>
      <c r="D190" t="s">
        <v>13</v>
      </c>
      <c r="E190" t="s">
        <v>19</v>
      </c>
      <c r="F190" t="s">
        <v>29</v>
      </c>
      <c r="G190" t="s">
        <v>16</v>
      </c>
      <c r="H190" t="s">
        <v>17</v>
      </c>
      <c r="I190">
        <v>4</v>
      </c>
      <c r="J190">
        <v>0</v>
      </c>
      <c r="K190">
        <v>756.56</v>
      </c>
      <c r="L190">
        <v>9.5</v>
      </c>
      <c r="M190" t="s">
        <v>2472</v>
      </c>
      <c r="N190" t="s">
        <v>2467</v>
      </c>
      <c r="O190" t="s">
        <v>2468</v>
      </c>
      <c r="P190">
        <v>63.69</v>
      </c>
      <c r="Q190">
        <v>125.5</v>
      </c>
      <c r="R190">
        <v>254.76</v>
      </c>
      <c r="S190">
        <v>492.29999999999995</v>
      </c>
      <c r="T190">
        <v>0.65070846991646403</v>
      </c>
      <c r="U190" s="1">
        <v>45627</v>
      </c>
      <c r="V190" t="s">
        <v>2499</v>
      </c>
      <c r="W190">
        <v>2024</v>
      </c>
    </row>
    <row r="191" spans="1:23" x14ac:dyDescent="0.25">
      <c r="A191" t="s">
        <v>238</v>
      </c>
      <c r="B191" s="1">
        <v>45299</v>
      </c>
      <c r="C191" s="1">
        <v>45302</v>
      </c>
      <c r="D191" t="s">
        <v>32</v>
      </c>
      <c r="E191" t="s">
        <v>62</v>
      </c>
      <c r="F191" t="s">
        <v>29</v>
      </c>
      <c r="G191" t="s">
        <v>20</v>
      </c>
      <c r="H191" t="s">
        <v>37</v>
      </c>
      <c r="I191">
        <v>1</v>
      </c>
      <c r="J191">
        <v>0.1</v>
      </c>
      <c r="K191">
        <v>85.59</v>
      </c>
      <c r="L191">
        <v>4.08</v>
      </c>
      <c r="M191" t="s">
        <v>2464</v>
      </c>
      <c r="N191" t="s">
        <v>2458</v>
      </c>
      <c r="O191" t="s">
        <v>2465</v>
      </c>
      <c r="P191">
        <v>63.6</v>
      </c>
      <c r="Q191">
        <v>107.94</v>
      </c>
      <c r="R191">
        <v>63.6</v>
      </c>
      <c r="S191">
        <v>17.910000000000004</v>
      </c>
      <c r="T191">
        <v>0.20925341745531023</v>
      </c>
      <c r="U191" s="1">
        <v>45292</v>
      </c>
      <c r="V191" t="s">
        <v>2498</v>
      </c>
      <c r="W191">
        <v>2024</v>
      </c>
    </row>
    <row r="192" spans="1:23" x14ac:dyDescent="0.25">
      <c r="A192" t="s">
        <v>239</v>
      </c>
      <c r="B192" s="1">
        <v>45894</v>
      </c>
      <c r="C192" s="1">
        <v>45897</v>
      </c>
      <c r="D192" t="s">
        <v>47</v>
      </c>
      <c r="E192" t="s">
        <v>50</v>
      </c>
      <c r="F192" t="s">
        <v>25</v>
      </c>
      <c r="G192" t="s">
        <v>26</v>
      </c>
      <c r="H192" t="s">
        <v>51</v>
      </c>
      <c r="I192">
        <v>3</v>
      </c>
      <c r="J192">
        <v>0.2</v>
      </c>
      <c r="K192">
        <v>33.49</v>
      </c>
      <c r="L192">
        <v>3.51</v>
      </c>
      <c r="M192" t="s">
        <v>2475</v>
      </c>
      <c r="N192" t="s">
        <v>2474</v>
      </c>
      <c r="O192" t="s">
        <v>2463</v>
      </c>
      <c r="P192">
        <v>7.93</v>
      </c>
      <c r="Q192">
        <v>14.78</v>
      </c>
      <c r="R192">
        <v>23.79</v>
      </c>
      <c r="S192">
        <v>6.1900000000000031</v>
      </c>
      <c r="T192">
        <v>0.18483129292326075</v>
      </c>
      <c r="U192" s="1">
        <v>45870</v>
      </c>
      <c r="V192" t="s">
        <v>2500</v>
      </c>
      <c r="W192">
        <v>2025</v>
      </c>
    </row>
    <row r="193" spans="1:23" x14ac:dyDescent="0.25">
      <c r="A193" t="s">
        <v>240</v>
      </c>
      <c r="B193" s="1">
        <v>45551</v>
      </c>
      <c r="C193" s="1">
        <v>45552</v>
      </c>
      <c r="D193" t="s">
        <v>47</v>
      </c>
      <c r="E193" t="s">
        <v>71</v>
      </c>
      <c r="F193" t="s">
        <v>25</v>
      </c>
      <c r="G193" t="s">
        <v>20</v>
      </c>
      <c r="H193" t="s">
        <v>87</v>
      </c>
      <c r="I193">
        <v>10</v>
      </c>
      <c r="J193">
        <v>0</v>
      </c>
      <c r="K193">
        <v>93.55</v>
      </c>
      <c r="L193">
        <v>5.4</v>
      </c>
      <c r="M193" t="s">
        <v>2476</v>
      </c>
      <c r="N193" t="s">
        <v>2474</v>
      </c>
      <c r="O193" t="s">
        <v>2459</v>
      </c>
      <c r="P193">
        <v>4.5</v>
      </c>
      <c r="Q193">
        <v>8.2899999999999991</v>
      </c>
      <c r="R193">
        <v>45</v>
      </c>
      <c r="S193">
        <v>43.15</v>
      </c>
      <c r="T193">
        <v>0.46125066809192944</v>
      </c>
      <c r="U193" s="1">
        <v>45536</v>
      </c>
      <c r="V193" t="s">
        <v>2499</v>
      </c>
      <c r="W193">
        <v>2024</v>
      </c>
    </row>
    <row r="194" spans="1:23" x14ac:dyDescent="0.25">
      <c r="A194" t="s">
        <v>241</v>
      </c>
      <c r="B194" s="1">
        <v>45635</v>
      </c>
      <c r="C194" s="1">
        <v>45637</v>
      </c>
      <c r="D194" t="s">
        <v>23</v>
      </c>
      <c r="E194" t="s">
        <v>59</v>
      </c>
      <c r="F194" t="s">
        <v>25</v>
      </c>
      <c r="G194" t="s">
        <v>20</v>
      </c>
      <c r="H194" t="s">
        <v>34</v>
      </c>
      <c r="I194">
        <v>1</v>
      </c>
      <c r="J194">
        <v>0</v>
      </c>
      <c r="K194">
        <v>302.95</v>
      </c>
      <c r="L194">
        <v>4.08</v>
      </c>
      <c r="M194" t="s">
        <v>2460</v>
      </c>
      <c r="N194" t="s">
        <v>2458</v>
      </c>
      <c r="O194" t="s">
        <v>2461</v>
      </c>
      <c r="P194">
        <v>119.02</v>
      </c>
      <c r="Q194">
        <v>205.39</v>
      </c>
      <c r="R194">
        <v>119.02</v>
      </c>
      <c r="S194">
        <v>179.85</v>
      </c>
      <c r="T194">
        <v>0.5936623205149365</v>
      </c>
      <c r="U194" s="1">
        <v>45627</v>
      </c>
      <c r="V194" t="s">
        <v>2499</v>
      </c>
      <c r="W194">
        <v>2024</v>
      </c>
    </row>
    <row r="195" spans="1:23" x14ac:dyDescent="0.25">
      <c r="A195" t="s">
        <v>242</v>
      </c>
      <c r="B195" s="1">
        <v>45939</v>
      </c>
      <c r="C195" s="1">
        <v>45943</v>
      </c>
      <c r="D195" t="s">
        <v>23</v>
      </c>
      <c r="E195" t="s">
        <v>43</v>
      </c>
      <c r="F195" t="s">
        <v>29</v>
      </c>
      <c r="G195" t="s">
        <v>16</v>
      </c>
      <c r="H195" t="s">
        <v>17</v>
      </c>
      <c r="I195">
        <v>1</v>
      </c>
      <c r="J195">
        <v>0.15</v>
      </c>
      <c r="K195">
        <v>129.21</v>
      </c>
      <c r="L195">
        <v>5.75</v>
      </c>
      <c r="M195" t="s">
        <v>2472</v>
      </c>
      <c r="N195" t="s">
        <v>2467</v>
      </c>
      <c r="O195" t="s">
        <v>2468</v>
      </c>
      <c r="P195">
        <v>63.69</v>
      </c>
      <c r="Q195">
        <v>125.5</v>
      </c>
      <c r="R195">
        <v>63.69</v>
      </c>
      <c r="S195">
        <v>59.77000000000001</v>
      </c>
      <c r="T195">
        <v>0.46258029564275216</v>
      </c>
      <c r="U195" s="1">
        <v>45931</v>
      </c>
      <c r="V195" t="s">
        <v>2500</v>
      </c>
      <c r="W195">
        <v>2025</v>
      </c>
    </row>
    <row r="196" spans="1:23" x14ac:dyDescent="0.25">
      <c r="A196" t="s">
        <v>243</v>
      </c>
      <c r="B196" s="1">
        <v>45514</v>
      </c>
      <c r="C196" s="1">
        <v>45520</v>
      </c>
      <c r="D196" t="s">
        <v>13</v>
      </c>
      <c r="E196" t="s">
        <v>19</v>
      </c>
      <c r="F196" t="s">
        <v>29</v>
      </c>
      <c r="G196" t="s">
        <v>26</v>
      </c>
      <c r="H196" t="s">
        <v>34</v>
      </c>
      <c r="I196">
        <v>2</v>
      </c>
      <c r="J196">
        <v>0</v>
      </c>
      <c r="K196">
        <v>406.86</v>
      </c>
      <c r="L196">
        <v>9.1</v>
      </c>
      <c r="M196" t="s">
        <v>2460</v>
      </c>
      <c r="N196" t="s">
        <v>2458</v>
      </c>
      <c r="O196" t="s">
        <v>2461</v>
      </c>
      <c r="P196">
        <v>119.02</v>
      </c>
      <c r="Q196">
        <v>205.39</v>
      </c>
      <c r="R196">
        <v>238.04</v>
      </c>
      <c r="S196">
        <v>159.72000000000003</v>
      </c>
      <c r="T196">
        <v>0.39256746792508485</v>
      </c>
      <c r="U196" s="1">
        <v>45505</v>
      </c>
      <c r="V196" t="s">
        <v>2499</v>
      </c>
      <c r="W196">
        <v>2024</v>
      </c>
    </row>
    <row r="197" spans="1:23" x14ac:dyDescent="0.25">
      <c r="A197" t="s">
        <v>244</v>
      </c>
      <c r="B197" s="1">
        <v>45342</v>
      </c>
      <c r="C197" s="1">
        <v>45346</v>
      </c>
      <c r="D197" t="s">
        <v>23</v>
      </c>
      <c r="E197" t="s">
        <v>43</v>
      </c>
      <c r="F197" t="s">
        <v>29</v>
      </c>
      <c r="G197" t="s">
        <v>16</v>
      </c>
      <c r="H197" t="s">
        <v>41</v>
      </c>
      <c r="I197">
        <v>4</v>
      </c>
      <c r="J197">
        <v>0.15</v>
      </c>
      <c r="K197">
        <v>19.559999999999999</v>
      </c>
      <c r="L197">
        <v>3.78</v>
      </c>
      <c r="M197" t="s">
        <v>2479</v>
      </c>
      <c r="N197" t="s">
        <v>2474</v>
      </c>
      <c r="O197" t="s">
        <v>2459</v>
      </c>
      <c r="P197">
        <v>3.3</v>
      </c>
      <c r="Q197">
        <v>6.13</v>
      </c>
      <c r="R197">
        <v>13.2</v>
      </c>
      <c r="S197">
        <v>2.5799999999999996</v>
      </c>
      <c r="T197">
        <v>0.13190184049079753</v>
      </c>
      <c r="U197" s="1">
        <v>45323</v>
      </c>
      <c r="V197" t="s">
        <v>2500</v>
      </c>
      <c r="W197">
        <v>2024</v>
      </c>
    </row>
    <row r="198" spans="1:23" x14ac:dyDescent="0.25">
      <c r="A198" t="s">
        <v>245</v>
      </c>
      <c r="B198" s="1">
        <v>45905</v>
      </c>
      <c r="C198" s="1">
        <v>45910</v>
      </c>
      <c r="D198" t="s">
        <v>32</v>
      </c>
      <c r="E198" t="s">
        <v>33</v>
      </c>
      <c r="F198" t="s">
        <v>25</v>
      </c>
      <c r="G198" t="s">
        <v>16</v>
      </c>
      <c r="H198" t="s">
        <v>27</v>
      </c>
      <c r="I198">
        <v>11</v>
      </c>
      <c r="J198">
        <v>0.1</v>
      </c>
      <c r="K198">
        <v>296.26</v>
      </c>
      <c r="L198">
        <v>5.67</v>
      </c>
      <c r="M198" t="s">
        <v>2478</v>
      </c>
      <c r="N198" t="s">
        <v>2474</v>
      </c>
      <c r="O198" t="s">
        <v>2463</v>
      </c>
      <c r="P198">
        <v>16.760000000000002</v>
      </c>
      <c r="Q198">
        <v>27.71</v>
      </c>
      <c r="R198">
        <v>184.36</v>
      </c>
      <c r="S198">
        <v>106.22999999999998</v>
      </c>
      <c r="T198">
        <v>0.35857017484641862</v>
      </c>
      <c r="U198" s="1">
        <v>45901</v>
      </c>
      <c r="V198" t="s">
        <v>2498</v>
      </c>
      <c r="W198">
        <v>2025</v>
      </c>
    </row>
    <row r="199" spans="1:23" x14ac:dyDescent="0.25">
      <c r="A199" t="s">
        <v>246</v>
      </c>
      <c r="B199" s="1">
        <v>45599</v>
      </c>
      <c r="C199" s="1">
        <v>45601</v>
      </c>
      <c r="D199" t="s">
        <v>47</v>
      </c>
      <c r="E199" t="s">
        <v>48</v>
      </c>
      <c r="F199" t="s">
        <v>25</v>
      </c>
      <c r="G199" t="s">
        <v>16</v>
      </c>
      <c r="H199" t="s">
        <v>60</v>
      </c>
      <c r="I199">
        <v>1</v>
      </c>
      <c r="J199">
        <v>0.25</v>
      </c>
      <c r="K199">
        <v>108.26</v>
      </c>
      <c r="L199">
        <v>5.75</v>
      </c>
      <c r="M199" t="s">
        <v>2469</v>
      </c>
      <c r="N199" t="s">
        <v>2467</v>
      </c>
      <c r="O199" t="s">
        <v>2468</v>
      </c>
      <c r="P199">
        <v>54.95</v>
      </c>
      <c r="Q199">
        <v>112.56</v>
      </c>
      <c r="R199">
        <v>54.95</v>
      </c>
      <c r="S199">
        <v>47.56</v>
      </c>
      <c r="T199">
        <v>0.43931276556438204</v>
      </c>
      <c r="U199" s="1">
        <v>45597</v>
      </c>
      <c r="V199" t="s">
        <v>2501</v>
      </c>
      <c r="W199">
        <v>2024</v>
      </c>
    </row>
    <row r="200" spans="1:23" x14ac:dyDescent="0.25">
      <c r="A200" t="s">
        <v>247</v>
      </c>
      <c r="B200" s="1">
        <v>46017</v>
      </c>
      <c r="C200" s="1">
        <v>46019</v>
      </c>
      <c r="D200" t="s">
        <v>32</v>
      </c>
      <c r="E200" t="s">
        <v>45</v>
      </c>
      <c r="F200" t="s">
        <v>29</v>
      </c>
      <c r="G200" t="s">
        <v>20</v>
      </c>
      <c r="H200" t="s">
        <v>41</v>
      </c>
      <c r="I200">
        <v>11</v>
      </c>
      <c r="J200">
        <v>0</v>
      </c>
      <c r="K200">
        <v>93.16</v>
      </c>
      <c r="L200">
        <v>9.4499999999999993</v>
      </c>
      <c r="M200" t="s">
        <v>2479</v>
      </c>
      <c r="N200" t="s">
        <v>2474</v>
      </c>
      <c r="O200" t="s">
        <v>2459</v>
      </c>
      <c r="P200">
        <v>3.3</v>
      </c>
      <c r="Q200">
        <v>6.13</v>
      </c>
      <c r="R200">
        <v>36.299999999999997</v>
      </c>
      <c r="S200">
        <v>47.41</v>
      </c>
      <c r="T200">
        <v>0.50890940317732936</v>
      </c>
      <c r="U200" s="1">
        <v>45992</v>
      </c>
      <c r="V200" t="s">
        <v>2499</v>
      </c>
      <c r="W200">
        <v>2025</v>
      </c>
    </row>
    <row r="201" spans="1:23" x14ac:dyDescent="0.25">
      <c r="A201" t="s">
        <v>248</v>
      </c>
      <c r="B201" s="1">
        <v>45770</v>
      </c>
      <c r="C201" s="1">
        <v>45776</v>
      </c>
      <c r="D201" t="s">
        <v>32</v>
      </c>
      <c r="E201" t="s">
        <v>33</v>
      </c>
      <c r="F201" t="s">
        <v>25</v>
      </c>
      <c r="G201" t="s">
        <v>26</v>
      </c>
      <c r="H201" t="s">
        <v>87</v>
      </c>
      <c r="I201">
        <v>8</v>
      </c>
      <c r="J201">
        <v>0</v>
      </c>
      <c r="K201">
        <v>62.59</v>
      </c>
      <c r="L201">
        <v>4.8600000000000003</v>
      </c>
      <c r="M201" t="s">
        <v>2476</v>
      </c>
      <c r="N201" t="s">
        <v>2474</v>
      </c>
      <c r="O201" t="s">
        <v>2459</v>
      </c>
      <c r="P201">
        <v>4.5</v>
      </c>
      <c r="Q201">
        <v>8.2899999999999991</v>
      </c>
      <c r="R201">
        <v>36</v>
      </c>
      <c r="S201">
        <v>21.730000000000004</v>
      </c>
      <c r="T201">
        <v>0.34718006071257396</v>
      </c>
      <c r="U201" s="1">
        <v>45748</v>
      </c>
      <c r="V201" t="s">
        <v>2499</v>
      </c>
      <c r="W201">
        <v>2025</v>
      </c>
    </row>
    <row r="202" spans="1:23" x14ac:dyDescent="0.25">
      <c r="A202" t="s">
        <v>249</v>
      </c>
      <c r="B202" s="1">
        <v>45847</v>
      </c>
      <c r="C202" s="1">
        <v>45848</v>
      </c>
      <c r="D202" t="s">
        <v>32</v>
      </c>
      <c r="E202" t="s">
        <v>45</v>
      </c>
      <c r="F202" t="s">
        <v>29</v>
      </c>
      <c r="G202" t="s">
        <v>20</v>
      </c>
      <c r="H202" t="s">
        <v>17</v>
      </c>
      <c r="I202">
        <v>1</v>
      </c>
      <c r="J202">
        <v>0.2</v>
      </c>
      <c r="K202">
        <v>90.1</v>
      </c>
      <c r="L202">
        <v>3.45</v>
      </c>
      <c r="M202" t="s">
        <v>2472</v>
      </c>
      <c r="N202" t="s">
        <v>2467</v>
      </c>
      <c r="O202" t="s">
        <v>2468</v>
      </c>
      <c r="P202">
        <v>63.69</v>
      </c>
      <c r="Q202">
        <v>125.5</v>
      </c>
      <c r="R202">
        <v>63.69</v>
      </c>
      <c r="S202">
        <v>22.959999999999997</v>
      </c>
      <c r="T202">
        <v>0.25482796892341841</v>
      </c>
      <c r="U202" s="1">
        <v>45839</v>
      </c>
      <c r="V202" t="s">
        <v>2500</v>
      </c>
      <c r="W202">
        <v>2025</v>
      </c>
    </row>
    <row r="203" spans="1:23" x14ac:dyDescent="0.25">
      <c r="A203" t="s">
        <v>250</v>
      </c>
      <c r="B203" s="1">
        <v>45452</v>
      </c>
      <c r="C203" s="1">
        <v>45457</v>
      </c>
      <c r="D203" t="s">
        <v>13</v>
      </c>
      <c r="E203" t="s">
        <v>19</v>
      </c>
      <c r="F203" t="s">
        <v>15</v>
      </c>
      <c r="G203" t="s">
        <v>26</v>
      </c>
      <c r="H203" t="s">
        <v>65</v>
      </c>
      <c r="I203">
        <v>7</v>
      </c>
      <c r="J203">
        <v>0.15</v>
      </c>
      <c r="K203">
        <v>1717.7</v>
      </c>
      <c r="L203">
        <v>12.36</v>
      </c>
      <c r="M203" t="s">
        <v>2457</v>
      </c>
      <c r="N203" t="s">
        <v>2458</v>
      </c>
      <c r="O203" t="s">
        <v>2459</v>
      </c>
      <c r="P203">
        <v>173.56</v>
      </c>
      <c r="Q203">
        <v>286.14999999999998</v>
      </c>
      <c r="R203">
        <v>1214.92</v>
      </c>
      <c r="S203">
        <v>490.41999999999996</v>
      </c>
      <c r="T203">
        <v>0.28550969319438779</v>
      </c>
      <c r="U203" s="1">
        <v>45444</v>
      </c>
      <c r="V203" t="s">
        <v>2500</v>
      </c>
      <c r="W203">
        <v>2024</v>
      </c>
    </row>
    <row r="204" spans="1:23" x14ac:dyDescent="0.25">
      <c r="A204" t="s">
        <v>251</v>
      </c>
      <c r="B204" s="1">
        <v>45357</v>
      </c>
      <c r="C204" s="1">
        <v>45362</v>
      </c>
      <c r="D204" t="s">
        <v>13</v>
      </c>
      <c r="E204" t="s">
        <v>36</v>
      </c>
      <c r="F204" t="s">
        <v>25</v>
      </c>
      <c r="G204" t="s">
        <v>26</v>
      </c>
      <c r="H204" t="s">
        <v>65</v>
      </c>
      <c r="I204">
        <v>1</v>
      </c>
      <c r="J204">
        <v>0.15</v>
      </c>
      <c r="K204">
        <v>239.65</v>
      </c>
      <c r="L204">
        <v>6.8</v>
      </c>
      <c r="M204" t="s">
        <v>2457</v>
      </c>
      <c r="N204" t="s">
        <v>2458</v>
      </c>
      <c r="O204" t="s">
        <v>2459</v>
      </c>
      <c r="P204">
        <v>173.56</v>
      </c>
      <c r="Q204">
        <v>286.14999999999998</v>
      </c>
      <c r="R204">
        <v>173.56</v>
      </c>
      <c r="S204">
        <v>59.290000000000006</v>
      </c>
      <c r="T204">
        <v>0.24740246192363866</v>
      </c>
      <c r="U204" s="1">
        <v>45352</v>
      </c>
      <c r="V204" t="s">
        <v>2500</v>
      </c>
      <c r="W204">
        <v>2024</v>
      </c>
    </row>
    <row r="205" spans="1:23" x14ac:dyDescent="0.25">
      <c r="A205" t="s">
        <v>252</v>
      </c>
      <c r="B205" s="1">
        <v>45828</v>
      </c>
      <c r="C205" s="1">
        <v>45832</v>
      </c>
      <c r="D205" t="s">
        <v>13</v>
      </c>
      <c r="E205" t="s">
        <v>36</v>
      </c>
      <c r="F205" t="s">
        <v>29</v>
      </c>
      <c r="G205" t="s">
        <v>20</v>
      </c>
      <c r="H205" t="s">
        <v>63</v>
      </c>
      <c r="I205">
        <v>7</v>
      </c>
      <c r="J205">
        <v>0</v>
      </c>
      <c r="K205">
        <v>92.57</v>
      </c>
      <c r="L205">
        <v>7.65</v>
      </c>
      <c r="M205" t="s">
        <v>2477</v>
      </c>
      <c r="N205" t="s">
        <v>2474</v>
      </c>
      <c r="O205" t="s">
        <v>2468</v>
      </c>
      <c r="P205">
        <v>6.33</v>
      </c>
      <c r="Q205">
        <v>12.16</v>
      </c>
      <c r="R205">
        <v>44.31</v>
      </c>
      <c r="S205">
        <v>40.609999999999992</v>
      </c>
      <c r="T205">
        <v>0.43869504159014794</v>
      </c>
      <c r="U205" s="1">
        <v>45809</v>
      </c>
      <c r="V205" t="s">
        <v>2499</v>
      </c>
      <c r="W205">
        <v>2025</v>
      </c>
    </row>
    <row r="206" spans="1:23" x14ac:dyDescent="0.25">
      <c r="A206" t="s">
        <v>253</v>
      </c>
      <c r="B206" s="1">
        <v>46011</v>
      </c>
      <c r="C206" s="1">
        <v>46015</v>
      </c>
      <c r="D206" t="s">
        <v>32</v>
      </c>
      <c r="E206" t="s">
        <v>33</v>
      </c>
      <c r="F206" t="s">
        <v>25</v>
      </c>
      <c r="G206" t="s">
        <v>20</v>
      </c>
      <c r="H206" t="s">
        <v>60</v>
      </c>
      <c r="I206">
        <v>4</v>
      </c>
      <c r="J206">
        <v>0</v>
      </c>
      <c r="K206">
        <v>682.3</v>
      </c>
      <c r="L206">
        <v>5.7</v>
      </c>
      <c r="M206" t="s">
        <v>2469</v>
      </c>
      <c r="N206" t="s">
        <v>2467</v>
      </c>
      <c r="O206" t="s">
        <v>2468</v>
      </c>
      <c r="P206">
        <v>54.95</v>
      </c>
      <c r="Q206">
        <v>112.56</v>
      </c>
      <c r="R206">
        <v>219.8</v>
      </c>
      <c r="S206">
        <v>456.79999999999995</v>
      </c>
      <c r="T206">
        <v>0.66950021984464314</v>
      </c>
      <c r="U206" s="1">
        <v>45992</v>
      </c>
      <c r="V206" t="s">
        <v>2499</v>
      </c>
      <c r="W206">
        <v>2025</v>
      </c>
    </row>
    <row r="207" spans="1:23" x14ac:dyDescent="0.25">
      <c r="A207" t="s">
        <v>254</v>
      </c>
      <c r="B207" s="1">
        <v>45563</v>
      </c>
      <c r="C207" s="1">
        <v>45564</v>
      </c>
      <c r="D207" t="s">
        <v>47</v>
      </c>
      <c r="E207" t="s">
        <v>71</v>
      </c>
      <c r="F207" t="s">
        <v>29</v>
      </c>
      <c r="G207" t="s">
        <v>20</v>
      </c>
      <c r="H207" t="s">
        <v>17</v>
      </c>
      <c r="I207">
        <v>5</v>
      </c>
      <c r="J207">
        <v>0</v>
      </c>
      <c r="K207">
        <v>702.28</v>
      </c>
      <c r="L207">
        <v>6.45</v>
      </c>
      <c r="M207" t="s">
        <v>2472</v>
      </c>
      <c r="N207" t="s">
        <v>2467</v>
      </c>
      <c r="O207" t="s">
        <v>2468</v>
      </c>
      <c r="P207">
        <v>63.69</v>
      </c>
      <c r="Q207">
        <v>125.5</v>
      </c>
      <c r="R207">
        <v>318.45</v>
      </c>
      <c r="S207">
        <v>377.38</v>
      </c>
      <c r="T207">
        <v>0.53736401435324943</v>
      </c>
      <c r="U207" s="1">
        <v>45536</v>
      </c>
      <c r="V207" t="s">
        <v>2499</v>
      </c>
      <c r="W207">
        <v>2024</v>
      </c>
    </row>
    <row r="208" spans="1:23" x14ac:dyDescent="0.25">
      <c r="A208" t="s">
        <v>255</v>
      </c>
      <c r="B208" s="1">
        <v>45641</v>
      </c>
      <c r="C208" s="1">
        <v>45644</v>
      </c>
      <c r="D208" t="s">
        <v>23</v>
      </c>
      <c r="E208" t="s">
        <v>24</v>
      </c>
      <c r="F208" t="s">
        <v>15</v>
      </c>
      <c r="G208" t="s">
        <v>26</v>
      </c>
      <c r="H208" t="s">
        <v>37</v>
      </c>
      <c r="I208">
        <v>1</v>
      </c>
      <c r="J208">
        <v>0</v>
      </c>
      <c r="K208">
        <v>152.43</v>
      </c>
      <c r="L208">
        <v>4.08</v>
      </c>
      <c r="M208" t="s">
        <v>2464</v>
      </c>
      <c r="N208" t="s">
        <v>2458</v>
      </c>
      <c r="O208" t="s">
        <v>2465</v>
      </c>
      <c r="P208">
        <v>63.6</v>
      </c>
      <c r="Q208">
        <v>107.94</v>
      </c>
      <c r="R208">
        <v>63.6</v>
      </c>
      <c r="S208">
        <v>84.750000000000014</v>
      </c>
      <c r="T208">
        <v>0.55599291478055513</v>
      </c>
      <c r="U208" s="1">
        <v>45627</v>
      </c>
      <c r="V208" t="s">
        <v>2499</v>
      </c>
      <c r="W208">
        <v>2024</v>
      </c>
    </row>
    <row r="209" spans="1:23" x14ac:dyDescent="0.25">
      <c r="A209" t="s">
        <v>256</v>
      </c>
      <c r="B209" s="1">
        <v>45578</v>
      </c>
      <c r="C209" s="1">
        <v>45580</v>
      </c>
      <c r="D209" t="s">
        <v>13</v>
      </c>
      <c r="E209" t="s">
        <v>14</v>
      </c>
      <c r="F209" t="s">
        <v>25</v>
      </c>
      <c r="G209" t="s">
        <v>16</v>
      </c>
      <c r="H209" t="s">
        <v>65</v>
      </c>
      <c r="I209">
        <v>1</v>
      </c>
      <c r="J209">
        <v>0.05</v>
      </c>
      <c r="K209">
        <v>308.32</v>
      </c>
      <c r="L209">
        <v>4.08</v>
      </c>
      <c r="M209" t="s">
        <v>2457</v>
      </c>
      <c r="N209" t="s">
        <v>2458</v>
      </c>
      <c r="O209" t="s">
        <v>2459</v>
      </c>
      <c r="P209">
        <v>173.56</v>
      </c>
      <c r="Q209">
        <v>286.14999999999998</v>
      </c>
      <c r="R209">
        <v>173.56</v>
      </c>
      <c r="S209">
        <v>130.67999999999998</v>
      </c>
      <c r="T209">
        <v>0.42384535547483126</v>
      </c>
      <c r="U209" s="1">
        <v>45566</v>
      </c>
      <c r="V209" t="s">
        <v>2498</v>
      </c>
      <c r="W209">
        <v>2024</v>
      </c>
    </row>
    <row r="210" spans="1:23" x14ac:dyDescent="0.25">
      <c r="A210" t="s">
        <v>257</v>
      </c>
      <c r="B210" s="1">
        <v>45878</v>
      </c>
      <c r="C210" s="1">
        <v>45881</v>
      </c>
      <c r="D210" t="s">
        <v>13</v>
      </c>
      <c r="E210" t="s">
        <v>19</v>
      </c>
      <c r="F210" t="s">
        <v>29</v>
      </c>
      <c r="G210" t="s">
        <v>20</v>
      </c>
      <c r="H210" t="s">
        <v>21</v>
      </c>
      <c r="I210">
        <v>1</v>
      </c>
      <c r="J210">
        <v>0.05</v>
      </c>
      <c r="K210">
        <v>105.73</v>
      </c>
      <c r="L210">
        <v>4.08</v>
      </c>
      <c r="M210" t="s">
        <v>2462</v>
      </c>
      <c r="N210" t="s">
        <v>2458</v>
      </c>
      <c r="O210" t="s">
        <v>2463</v>
      </c>
      <c r="P210">
        <v>71.489999999999995</v>
      </c>
      <c r="Q210">
        <v>112.88</v>
      </c>
      <c r="R210">
        <v>71.489999999999995</v>
      </c>
      <c r="S210">
        <v>30.160000000000011</v>
      </c>
      <c r="T210">
        <v>0.2852548945427032</v>
      </c>
      <c r="U210" s="1">
        <v>45870</v>
      </c>
      <c r="V210" t="s">
        <v>2498</v>
      </c>
      <c r="W210">
        <v>2025</v>
      </c>
    </row>
    <row r="211" spans="1:23" x14ac:dyDescent="0.25">
      <c r="A211" t="s">
        <v>258</v>
      </c>
      <c r="B211" s="1">
        <v>45913</v>
      </c>
      <c r="C211" s="1">
        <v>45914</v>
      </c>
      <c r="D211" t="s">
        <v>47</v>
      </c>
      <c r="E211" t="s">
        <v>50</v>
      </c>
      <c r="F211" t="s">
        <v>29</v>
      </c>
      <c r="G211" t="s">
        <v>20</v>
      </c>
      <c r="H211" t="s">
        <v>41</v>
      </c>
      <c r="I211">
        <v>4</v>
      </c>
      <c r="J211">
        <v>0.25</v>
      </c>
      <c r="K211">
        <v>19.27</v>
      </c>
      <c r="L211">
        <v>3.78</v>
      </c>
      <c r="M211" t="s">
        <v>2479</v>
      </c>
      <c r="N211" t="s">
        <v>2474</v>
      </c>
      <c r="O211" t="s">
        <v>2459</v>
      </c>
      <c r="P211">
        <v>3.3</v>
      </c>
      <c r="Q211">
        <v>6.13</v>
      </c>
      <c r="R211">
        <v>13.2</v>
      </c>
      <c r="S211">
        <v>2.2900000000000005</v>
      </c>
      <c r="T211">
        <v>0.11883757135443698</v>
      </c>
      <c r="U211" s="1">
        <v>45901</v>
      </c>
      <c r="V211" t="s">
        <v>2501</v>
      </c>
      <c r="W211">
        <v>2025</v>
      </c>
    </row>
    <row r="212" spans="1:23" x14ac:dyDescent="0.25">
      <c r="A212" t="s">
        <v>259</v>
      </c>
      <c r="B212" s="1">
        <v>45556</v>
      </c>
      <c r="C212" s="1">
        <v>45562</v>
      </c>
      <c r="D212" t="s">
        <v>47</v>
      </c>
      <c r="E212" t="s">
        <v>71</v>
      </c>
      <c r="F212" t="s">
        <v>15</v>
      </c>
      <c r="G212" t="s">
        <v>20</v>
      </c>
      <c r="H212" t="s">
        <v>60</v>
      </c>
      <c r="I212">
        <v>1</v>
      </c>
      <c r="J212">
        <v>0</v>
      </c>
      <c r="K212">
        <v>121.59</v>
      </c>
      <c r="L212">
        <v>3.45</v>
      </c>
      <c r="M212" t="s">
        <v>2469</v>
      </c>
      <c r="N212" t="s">
        <v>2467</v>
      </c>
      <c r="O212" t="s">
        <v>2468</v>
      </c>
      <c r="P212">
        <v>54.95</v>
      </c>
      <c r="Q212">
        <v>112.56</v>
      </c>
      <c r="R212">
        <v>54.95</v>
      </c>
      <c r="S212">
        <v>63.19</v>
      </c>
      <c r="T212">
        <v>0.5196973435315404</v>
      </c>
      <c r="U212" s="1">
        <v>45536</v>
      </c>
      <c r="V212" t="s">
        <v>2499</v>
      </c>
      <c r="W212">
        <v>2024</v>
      </c>
    </row>
    <row r="213" spans="1:23" x14ac:dyDescent="0.25">
      <c r="A213" t="s">
        <v>260</v>
      </c>
      <c r="B213" s="1">
        <v>45731</v>
      </c>
      <c r="C213" s="1">
        <v>45736</v>
      </c>
      <c r="D213" t="s">
        <v>23</v>
      </c>
      <c r="E213" t="s">
        <v>43</v>
      </c>
      <c r="F213" t="s">
        <v>29</v>
      </c>
      <c r="G213" t="s">
        <v>20</v>
      </c>
      <c r="H213" t="s">
        <v>41</v>
      </c>
      <c r="I213">
        <v>5</v>
      </c>
      <c r="J213">
        <v>0</v>
      </c>
      <c r="K213">
        <v>27.99</v>
      </c>
      <c r="L213">
        <v>6.75</v>
      </c>
      <c r="M213" t="s">
        <v>2479</v>
      </c>
      <c r="N213" t="s">
        <v>2474</v>
      </c>
      <c r="O213" t="s">
        <v>2459</v>
      </c>
      <c r="P213">
        <v>3.3</v>
      </c>
      <c r="Q213">
        <v>6.13</v>
      </c>
      <c r="R213">
        <v>16.5</v>
      </c>
      <c r="S213">
        <v>4.7399999999999984</v>
      </c>
      <c r="T213">
        <v>0.16934619506966769</v>
      </c>
      <c r="U213" s="1">
        <v>45717</v>
      </c>
      <c r="V213" t="s">
        <v>2499</v>
      </c>
      <c r="W213">
        <v>2025</v>
      </c>
    </row>
    <row r="214" spans="1:23" x14ac:dyDescent="0.25">
      <c r="A214" t="s">
        <v>261</v>
      </c>
      <c r="B214" s="1">
        <v>46000</v>
      </c>
      <c r="C214" s="1">
        <v>46003</v>
      </c>
      <c r="D214" t="s">
        <v>13</v>
      </c>
      <c r="E214" t="s">
        <v>19</v>
      </c>
      <c r="F214" t="s">
        <v>29</v>
      </c>
      <c r="G214" t="s">
        <v>20</v>
      </c>
      <c r="H214" t="s">
        <v>17</v>
      </c>
      <c r="I214">
        <v>4</v>
      </c>
      <c r="J214">
        <v>0.1</v>
      </c>
      <c r="K214">
        <v>675.3</v>
      </c>
      <c r="L214">
        <v>9.5</v>
      </c>
      <c r="M214" t="s">
        <v>2472</v>
      </c>
      <c r="N214" t="s">
        <v>2467</v>
      </c>
      <c r="O214" t="s">
        <v>2468</v>
      </c>
      <c r="P214">
        <v>63.69</v>
      </c>
      <c r="Q214">
        <v>125.5</v>
      </c>
      <c r="R214">
        <v>254.76</v>
      </c>
      <c r="S214">
        <v>411.03999999999996</v>
      </c>
      <c r="T214">
        <v>0.60867762475936615</v>
      </c>
      <c r="U214" s="1">
        <v>45992</v>
      </c>
      <c r="V214" t="s">
        <v>2498</v>
      </c>
      <c r="W214">
        <v>2025</v>
      </c>
    </row>
    <row r="215" spans="1:23" x14ac:dyDescent="0.25">
      <c r="A215" t="s">
        <v>262</v>
      </c>
      <c r="B215" s="1">
        <v>45633</v>
      </c>
      <c r="C215" s="1">
        <v>45636</v>
      </c>
      <c r="D215" t="s">
        <v>13</v>
      </c>
      <c r="E215" t="s">
        <v>19</v>
      </c>
      <c r="F215" t="s">
        <v>29</v>
      </c>
      <c r="G215" t="s">
        <v>26</v>
      </c>
      <c r="H215" t="s">
        <v>65</v>
      </c>
      <c r="I215">
        <v>7</v>
      </c>
      <c r="J215">
        <v>0</v>
      </c>
      <c r="K215">
        <v>2809.08</v>
      </c>
      <c r="L215">
        <v>12.36</v>
      </c>
      <c r="M215" t="s">
        <v>2457</v>
      </c>
      <c r="N215" t="s">
        <v>2458</v>
      </c>
      <c r="O215" t="s">
        <v>2459</v>
      </c>
      <c r="P215">
        <v>173.56</v>
      </c>
      <c r="Q215">
        <v>286.14999999999998</v>
      </c>
      <c r="R215">
        <v>1214.92</v>
      </c>
      <c r="S215">
        <v>1581.8</v>
      </c>
      <c r="T215">
        <v>0.56310251043046122</v>
      </c>
      <c r="U215" s="1">
        <v>45627</v>
      </c>
      <c r="V215" t="s">
        <v>2499</v>
      </c>
      <c r="W215">
        <v>2024</v>
      </c>
    </row>
    <row r="216" spans="1:23" x14ac:dyDescent="0.25">
      <c r="A216" t="s">
        <v>263</v>
      </c>
      <c r="B216" s="1">
        <v>45739</v>
      </c>
      <c r="C216" s="1">
        <v>45740</v>
      </c>
      <c r="D216" t="s">
        <v>47</v>
      </c>
      <c r="E216" t="s">
        <v>48</v>
      </c>
      <c r="F216" t="s">
        <v>25</v>
      </c>
      <c r="G216" t="s">
        <v>26</v>
      </c>
      <c r="H216" t="s">
        <v>63</v>
      </c>
      <c r="I216">
        <v>11</v>
      </c>
      <c r="J216">
        <v>0</v>
      </c>
      <c r="K216">
        <v>130.91</v>
      </c>
      <c r="L216">
        <v>5.67</v>
      </c>
      <c r="M216" t="s">
        <v>2477</v>
      </c>
      <c r="N216" t="s">
        <v>2474</v>
      </c>
      <c r="O216" t="s">
        <v>2468</v>
      </c>
      <c r="P216">
        <v>6.33</v>
      </c>
      <c r="Q216">
        <v>12.16</v>
      </c>
      <c r="R216">
        <v>69.63</v>
      </c>
      <c r="S216">
        <v>55.61</v>
      </c>
      <c r="T216">
        <v>0.42479566114124206</v>
      </c>
      <c r="U216" s="1">
        <v>45717</v>
      </c>
      <c r="V216" t="s">
        <v>2499</v>
      </c>
      <c r="W216">
        <v>2025</v>
      </c>
    </row>
    <row r="217" spans="1:23" x14ac:dyDescent="0.25">
      <c r="A217" t="s">
        <v>264</v>
      </c>
      <c r="B217" s="1">
        <v>45868</v>
      </c>
      <c r="C217" s="1">
        <v>45870</v>
      </c>
      <c r="D217" t="s">
        <v>32</v>
      </c>
      <c r="E217" t="s">
        <v>45</v>
      </c>
      <c r="F217" t="s">
        <v>25</v>
      </c>
      <c r="G217" t="s">
        <v>20</v>
      </c>
      <c r="H217" t="s">
        <v>21</v>
      </c>
      <c r="I217">
        <v>3</v>
      </c>
      <c r="J217">
        <v>0</v>
      </c>
      <c r="K217">
        <v>325</v>
      </c>
      <c r="L217">
        <v>11.4</v>
      </c>
      <c r="M217" t="s">
        <v>2462</v>
      </c>
      <c r="N217" t="s">
        <v>2458</v>
      </c>
      <c r="O217" t="s">
        <v>2463</v>
      </c>
      <c r="P217">
        <v>71.489999999999995</v>
      </c>
      <c r="Q217">
        <v>112.88</v>
      </c>
      <c r="R217">
        <v>214.46999999999997</v>
      </c>
      <c r="S217">
        <v>99.130000000000024</v>
      </c>
      <c r="T217">
        <v>0.30501538461538469</v>
      </c>
      <c r="U217" s="1">
        <v>45839</v>
      </c>
      <c r="V217" t="s">
        <v>2499</v>
      </c>
      <c r="W217">
        <v>2025</v>
      </c>
    </row>
    <row r="218" spans="1:23" x14ac:dyDescent="0.25">
      <c r="A218" t="s">
        <v>265</v>
      </c>
      <c r="B218" s="1">
        <v>45393</v>
      </c>
      <c r="C218" s="1">
        <v>45394</v>
      </c>
      <c r="D218" t="s">
        <v>13</v>
      </c>
      <c r="E218" t="s">
        <v>19</v>
      </c>
      <c r="F218" t="s">
        <v>15</v>
      </c>
      <c r="G218" t="s">
        <v>26</v>
      </c>
      <c r="H218" t="s">
        <v>53</v>
      </c>
      <c r="I218">
        <v>5</v>
      </c>
      <c r="J218">
        <v>0</v>
      </c>
      <c r="K218">
        <v>275.57</v>
      </c>
      <c r="L218">
        <v>10.75</v>
      </c>
      <c r="M218" t="s">
        <v>2470</v>
      </c>
      <c r="N218" t="s">
        <v>2467</v>
      </c>
      <c r="O218" t="s">
        <v>2459</v>
      </c>
      <c r="P218">
        <v>31.34</v>
      </c>
      <c r="Q218">
        <v>56.49</v>
      </c>
      <c r="R218">
        <v>156.69999999999999</v>
      </c>
      <c r="S218">
        <v>108.12</v>
      </c>
      <c r="T218">
        <v>0.39235040098704504</v>
      </c>
      <c r="U218" s="1">
        <v>45383</v>
      </c>
      <c r="V218" t="s">
        <v>2499</v>
      </c>
      <c r="W218">
        <v>2024</v>
      </c>
    </row>
    <row r="219" spans="1:23" x14ac:dyDescent="0.25">
      <c r="A219" t="s">
        <v>266</v>
      </c>
      <c r="B219" s="1">
        <v>45939</v>
      </c>
      <c r="C219" s="1">
        <v>45942</v>
      </c>
      <c r="D219" t="s">
        <v>13</v>
      </c>
      <c r="E219" t="s">
        <v>19</v>
      </c>
      <c r="F219" t="s">
        <v>15</v>
      </c>
      <c r="G219" t="s">
        <v>20</v>
      </c>
      <c r="H219" t="s">
        <v>21</v>
      </c>
      <c r="I219">
        <v>3</v>
      </c>
      <c r="J219">
        <v>0.15</v>
      </c>
      <c r="K219">
        <v>315.11</v>
      </c>
      <c r="L219">
        <v>6.84</v>
      </c>
      <c r="M219" t="s">
        <v>2462</v>
      </c>
      <c r="N219" t="s">
        <v>2458</v>
      </c>
      <c r="O219" t="s">
        <v>2463</v>
      </c>
      <c r="P219">
        <v>71.489999999999995</v>
      </c>
      <c r="Q219">
        <v>112.88</v>
      </c>
      <c r="R219">
        <v>214.46999999999997</v>
      </c>
      <c r="S219">
        <v>93.80000000000004</v>
      </c>
      <c r="T219">
        <v>0.29767382818698246</v>
      </c>
      <c r="U219" s="1">
        <v>45931</v>
      </c>
      <c r="V219" t="s">
        <v>2500</v>
      </c>
      <c r="W219">
        <v>2025</v>
      </c>
    </row>
    <row r="220" spans="1:23" x14ac:dyDescent="0.25">
      <c r="A220" t="s">
        <v>267</v>
      </c>
      <c r="B220" s="1">
        <v>45961</v>
      </c>
      <c r="C220" s="1">
        <v>45966</v>
      </c>
      <c r="D220" t="s">
        <v>32</v>
      </c>
      <c r="E220" t="s">
        <v>45</v>
      </c>
      <c r="F220" t="s">
        <v>25</v>
      </c>
      <c r="G220" t="s">
        <v>20</v>
      </c>
      <c r="H220" t="s">
        <v>17</v>
      </c>
      <c r="I220">
        <v>4</v>
      </c>
      <c r="J220">
        <v>0.15</v>
      </c>
      <c r="K220">
        <v>475.11</v>
      </c>
      <c r="L220">
        <v>5.7</v>
      </c>
      <c r="M220" t="s">
        <v>2472</v>
      </c>
      <c r="N220" t="s">
        <v>2467</v>
      </c>
      <c r="O220" t="s">
        <v>2468</v>
      </c>
      <c r="P220">
        <v>63.69</v>
      </c>
      <c r="Q220">
        <v>125.5</v>
      </c>
      <c r="R220">
        <v>254.76</v>
      </c>
      <c r="S220">
        <v>214.65000000000003</v>
      </c>
      <c r="T220">
        <v>0.45179011176359163</v>
      </c>
      <c r="U220" s="1">
        <v>45931</v>
      </c>
      <c r="V220" t="s">
        <v>2500</v>
      </c>
      <c r="W220">
        <v>2025</v>
      </c>
    </row>
    <row r="221" spans="1:23" x14ac:dyDescent="0.25">
      <c r="A221" t="s">
        <v>268</v>
      </c>
      <c r="B221" s="1">
        <v>45498</v>
      </c>
      <c r="C221" s="1">
        <v>45503</v>
      </c>
      <c r="D221" t="s">
        <v>32</v>
      </c>
      <c r="E221" t="s">
        <v>62</v>
      </c>
      <c r="F221" t="s">
        <v>29</v>
      </c>
      <c r="G221" t="s">
        <v>26</v>
      </c>
      <c r="H221" t="s">
        <v>68</v>
      </c>
      <c r="I221">
        <v>2</v>
      </c>
      <c r="J221">
        <v>0</v>
      </c>
      <c r="K221">
        <v>98.57</v>
      </c>
      <c r="L221">
        <v>7</v>
      </c>
      <c r="M221" t="s">
        <v>2466</v>
      </c>
      <c r="N221" t="s">
        <v>2467</v>
      </c>
      <c r="O221" t="s">
        <v>2468</v>
      </c>
      <c r="P221">
        <v>25.33</v>
      </c>
      <c r="Q221">
        <v>51.56</v>
      </c>
      <c r="R221">
        <v>50.66</v>
      </c>
      <c r="S221">
        <v>40.909999999999997</v>
      </c>
      <c r="T221">
        <v>0.41503500050725373</v>
      </c>
      <c r="U221" s="1">
        <v>45474</v>
      </c>
      <c r="V221" t="s">
        <v>2499</v>
      </c>
      <c r="W221">
        <v>2024</v>
      </c>
    </row>
    <row r="222" spans="1:23" x14ac:dyDescent="0.25">
      <c r="A222" t="s">
        <v>269</v>
      </c>
      <c r="B222" s="1">
        <v>45932</v>
      </c>
      <c r="C222" s="1">
        <v>45934</v>
      </c>
      <c r="D222" t="s">
        <v>32</v>
      </c>
      <c r="E222" t="s">
        <v>45</v>
      </c>
      <c r="F222" t="s">
        <v>25</v>
      </c>
      <c r="G222" t="s">
        <v>16</v>
      </c>
      <c r="H222" t="s">
        <v>34</v>
      </c>
      <c r="I222">
        <v>1</v>
      </c>
      <c r="J222">
        <v>0</v>
      </c>
      <c r="K222">
        <v>243.71</v>
      </c>
      <c r="L222">
        <v>4.08</v>
      </c>
      <c r="M222" t="s">
        <v>2460</v>
      </c>
      <c r="N222" t="s">
        <v>2458</v>
      </c>
      <c r="O222" t="s">
        <v>2461</v>
      </c>
      <c r="P222">
        <v>119.02</v>
      </c>
      <c r="Q222">
        <v>205.39</v>
      </c>
      <c r="R222">
        <v>119.02</v>
      </c>
      <c r="S222">
        <v>120.61000000000001</v>
      </c>
      <c r="T222">
        <v>0.49489146936933243</v>
      </c>
      <c r="U222" s="1">
        <v>45931</v>
      </c>
      <c r="V222" t="s">
        <v>2499</v>
      </c>
      <c r="W222">
        <v>2025</v>
      </c>
    </row>
    <row r="223" spans="1:23" x14ac:dyDescent="0.25">
      <c r="A223" t="s">
        <v>270</v>
      </c>
      <c r="B223" s="1">
        <v>45885</v>
      </c>
      <c r="C223" s="1">
        <v>45888</v>
      </c>
      <c r="D223" t="s">
        <v>47</v>
      </c>
      <c r="E223" t="s">
        <v>71</v>
      </c>
      <c r="F223" t="s">
        <v>29</v>
      </c>
      <c r="G223" t="s">
        <v>16</v>
      </c>
      <c r="H223" t="s">
        <v>41</v>
      </c>
      <c r="I223">
        <v>3</v>
      </c>
      <c r="J223">
        <v>0</v>
      </c>
      <c r="K223">
        <v>16.829999999999998</v>
      </c>
      <c r="L223">
        <v>3.51</v>
      </c>
      <c r="M223" t="s">
        <v>2479</v>
      </c>
      <c r="N223" t="s">
        <v>2474</v>
      </c>
      <c r="O223" t="s">
        <v>2459</v>
      </c>
      <c r="P223">
        <v>3.3</v>
      </c>
      <c r="Q223">
        <v>6.13</v>
      </c>
      <c r="R223">
        <v>9.8999999999999986</v>
      </c>
      <c r="S223">
        <v>3.42</v>
      </c>
      <c r="T223">
        <v>0.20320855614973263</v>
      </c>
      <c r="U223" s="1">
        <v>45870</v>
      </c>
      <c r="V223" t="s">
        <v>2499</v>
      </c>
      <c r="W223">
        <v>2025</v>
      </c>
    </row>
    <row r="224" spans="1:23" x14ac:dyDescent="0.25">
      <c r="A224" t="s">
        <v>271</v>
      </c>
      <c r="B224" s="1">
        <v>45898</v>
      </c>
      <c r="C224" s="1">
        <v>45900</v>
      </c>
      <c r="D224" t="s">
        <v>13</v>
      </c>
      <c r="E224" t="s">
        <v>14</v>
      </c>
      <c r="F224" t="s">
        <v>15</v>
      </c>
      <c r="G224" t="s">
        <v>20</v>
      </c>
      <c r="H224" t="s">
        <v>60</v>
      </c>
      <c r="I224">
        <v>5</v>
      </c>
      <c r="J224">
        <v>0</v>
      </c>
      <c r="K224">
        <v>506.92</v>
      </c>
      <c r="L224">
        <v>10.75</v>
      </c>
      <c r="M224" t="s">
        <v>2469</v>
      </c>
      <c r="N224" t="s">
        <v>2467</v>
      </c>
      <c r="O224" t="s">
        <v>2468</v>
      </c>
      <c r="P224">
        <v>54.95</v>
      </c>
      <c r="Q224">
        <v>112.56</v>
      </c>
      <c r="R224">
        <v>274.75</v>
      </c>
      <c r="S224">
        <v>221.42000000000002</v>
      </c>
      <c r="T224">
        <v>0.43679476051447963</v>
      </c>
      <c r="U224" s="1">
        <v>45870</v>
      </c>
      <c r="V224" t="s">
        <v>2499</v>
      </c>
      <c r="W224">
        <v>2025</v>
      </c>
    </row>
    <row r="225" spans="1:23" x14ac:dyDescent="0.25">
      <c r="A225" t="s">
        <v>272</v>
      </c>
      <c r="B225" s="1">
        <v>45824</v>
      </c>
      <c r="C225" s="1">
        <v>45825</v>
      </c>
      <c r="D225" t="s">
        <v>47</v>
      </c>
      <c r="E225" t="s">
        <v>50</v>
      </c>
      <c r="F225" t="s">
        <v>25</v>
      </c>
      <c r="G225" t="s">
        <v>20</v>
      </c>
      <c r="H225" t="s">
        <v>37</v>
      </c>
      <c r="I225">
        <v>3</v>
      </c>
      <c r="J225">
        <v>0</v>
      </c>
      <c r="K225">
        <v>332.52</v>
      </c>
      <c r="L225">
        <v>11.4</v>
      </c>
      <c r="M225" t="s">
        <v>2464</v>
      </c>
      <c r="N225" t="s">
        <v>2458</v>
      </c>
      <c r="O225" t="s">
        <v>2465</v>
      </c>
      <c r="P225">
        <v>63.6</v>
      </c>
      <c r="Q225">
        <v>107.94</v>
      </c>
      <c r="R225">
        <v>190.8</v>
      </c>
      <c r="S225">
        <v>130.31999999999996</v>
      </c>
      <c r="T225">
        <v>0.39191627571273902</v>
      </c>
      <c r="U225" s="1">
        <v>45809</v>
      </c>
      <c r="V225" t="s">
        <v>2499</v>
      </c>
      <c r="W225">
        <v>2025</v>
      </c>
    </row>
    <row r="226" spans="1:23" x14ac:dyDescent="0.25">
      <c r="A226" t="s">
        <v>273</v>
      </c>
      <c r="B226" s="1">
        <v>45624</v>
      </c>
      <c r="C226" s="1">
        <v>45625</v>
      </c>
      <c r="D226" t="s">
        <v>23</v>
      </c>
      <c r="E226" t="s">
        <v>59</v>
      </c>
      <c r="F226" t="s">
        <v>29</v>
      </c>
      <c r="G226" t="s">
        <v>16</v>
      </c>
      <c r="H226" t="s">
        <v>39</v>
      </c>
      <c r="I226">
        <v>3</v>
      </c>
      <c r="J226">
        <v>0</v>
      </c>
      <c r="K226">
        <v>804.09</v>
      </c>
      <c r="L226">
        <v>4.95</v>
      </c>
      <c r="M226" t="s">
        <v>2471</v>
      </c>
      <c r="N226" t="s">
        <v>2467</v>
      </c>
      <c r="O226" t="s">
        <v>2461</v>
      </c>
      <c r="P226">
        <v>112.09</v>
      </c>
      <c r="Q226">
        <v>192.47</v>
      </c>
      <c r="R226">
        <v>336.27</v>
      </c>
      <c r="S226">
        <v>462.87000000000006</v>
      </c>
      <c r="T226">
        <v>0.57564451740476819</v>
      </c>
      <c r="U226" s="1">
        <v>45597</v>
      </c>
      <c r="V226" t="s">
        <v>2499</v>
      </c>
      <c r="W226">
        <v>2024</v>
      </c>
    </row>
    <row r="227" spans="1:23" x14ac:dyDescent="0.25">
      <c r="A227" t="s">
        <v>274</v>
      </c>
      <c r="B227" s="1">
        <v>45875</v>
      </c>
      <c r="C227" s="1">
        <v>45876</v>
      </c>
      <c r="D227" t="s">
        <v>13</v>
      </c>
      <c r="E227" t="s">
        <v>19</v>
      </c>
      <c r="F227" t="s">
        <v>15</v>
      </c>
      <c r="G227" t="s">
        <v>20</v>
      </c>
      <c r="H227" t="s">
        <v>30</v>
      </c>
      <c r="I227">
        <v>8</v>
      </c>
      <c r="J227">
        <v>0.15</v>
      </c>
      <c r="K227">
        <v>40.75</v>
      </c>
      <c r="L227">
        <v>8.1</v>
      </c>
      <c r="M227" t="s">
        <v>2473</v>
      </c>
      <c r="N227" t="s">
        <v>2474</v>
      </c>
      <c r="O227" t="s">
        <v>2463</v>
      </c>
      <c r="P227">
        <v>3.62</v>
      </c>
      <c r="Q227">
        <v>6.03</v>
      </c>
      <c r="R227">
        <v>28.96</v>
      </c>
      <c r="S227">
        <v>3.6899999999999995</v>
      </c>
      <c r="T227">
        <v>9.0552147239263789E-2</v>
      </c>
      <c r="U227" s="1">
        <v>45870</v>
      </c>
      <c r="V227" t="s">
        <v>2500</v>
      </c>
      <c r="W227">
        <v>2025</v>
      </c>
    </row>
    <row r="228" spans="1:23" x14ac:dyDescent="0.25">
      <c r="A228" t="s">
        <v>275</v>
      </c>
      <c r="B228" s="1">
        <v>45735</v>
      </c>
      <c r="C228" s="1">
        <v>45738</v>
      </c>
      <c r="D228" t="s">
        <v>13</v>
      </c>
      <c r="E228" t="s">
        <v>19</v>
      </c>
      <c r="F228" t="s">
        <v>29</v>
      </c>
      <c r="G228" t="s">
        <v>16</v>
      </c>
      <c r="H228" t="s">
        <v>63</v>
      </c>
      <c r="I228">
        <v>13</v>
      </c>
      <c r="J228">
        <v>0.05</v>
      </c>
      <c r="K228">
        <v>148.63999999999999</v>
      </c>
      <c r="L228">
        <v>10.35</v>
      </c>
      <c r="M228" t="s">
        <v>2477</v>
      </c>
      <c r="N228" t="s">
        <v>2474</v>
      </c>
      <c r="O228" t="s">
        <v>2468</v>
      </c>
      <c r="P228">
        <v>6.33</v>
      </c>
      <c r="Q228">
        <v>12.16</v>
      </c>
      <c r="R228">
        <v>82.29</v>
      </c>
      <c r="S228">
        <v>55.999999999999979</v>
      </c>
      <c r="T228">
        <v>0.37674919268030127</v>
      </c>
      <c r="U228" s="1">
        <v>45717</v>
      </c>
      <c r="V228" t="s">
        <v>2498</v>
      </c>
      <c r="W228">
        <v>2025</v>
      </c>
    </row>
    <row r="229" spans="1:23" x14ac:dyDescent="0.25">
      <c r="A229" t="s">
        <v>276</v>
      </c>
      <c r="B229" s="1">
        <v>45533</v>
      </c>
      <c r="C229" s="1">
        <v>45536</v>
      </c>
      <c r="D229" t="s">
        <v>32</v>
      </c>
      <c r="E229" t="s">
        <v>33</v>
      </c>
      <c r="F229" t="s">
        <v>15</v>
      </c>
      <c r="G229" t="s">
        <v>26</v>
      </c>
      <c r="H229" t="s">
        <v>39</v>
      </c>
      <c r="I229">
        <v>2</v>
      </c>
      <c r="J229">
        <v>0.2</v>
      </c>
      <c r="K229">
        <v>278.97000000000003</v>
      </c>
      <c r="L229">
        <v>7</v>
      </c>
      <c r="M229" t="s">
        <v>2471</v>
      </c>
      <c r="N229" t="s">
        <v>2467</v>
      </c>
      <c r="O229" t="s">
        <v>2461</v>
      </c>
      <c r="P229">
        <v>112.09</v>
      </c>
      <c r="Q229">
        <v>192.47</v>
      </c>
      <c r="R229">
        <v>224.18</v>
      </c>
      <c r="S229">
        <v>47.79000000000002</v>
      </c>
      <c r="T229">
        <v>0.17130874287557807</v>
      </c>
      <c r="U229" s="1">
        <v>45505</v>
      </c>
      <c r="V229" t="s">
        <v>2500</v>
      </c>
      <c r="W229">
        <v>2024</v>
      </c>
    </row>
    <row r="230" spans="1:23" x14ac:dyDescent="0.25">
      <c r="A230" t="s">
        <v>277</v>
      </c>
      <c r="B230" s="1">
        <v>45325</v>
      </c>
      <c r="C230" s="1">
        <v>45326</v>
      </c>
      <c r="D230" t="s">
        <v>13</v>
      </c>
      <c r="E230" t="s">
        <v>19</v>
      </c>
      <c r="F230" t="s">
        <v>15</v>
      </c>
      <c r="G230" t="s">
        <v>20</v>
      </c>
      <c r="H230" t="s">
        <v>37</v>
      </c>
      <c r="I230">
        <v>4</v>
      </c>
      <c r="J230">
        <v>0</v>
      </c>
      <c r="K230">
        <v>374.67</v>
      </c>
      <c r="L230">
        <v>8.2200000000000006</v>
      </c>
      <c r="M230" t="s">
        <v>2464</v>
      </c>
      <c r="N230" t="s">
        <v>2458</v>
      </c>
      <c r="O230" t="s">
        <v>2465</v>
      </c>
      <c r="P230">
        <v>63.6</v>
      </c>
      <c r="Q230">
        <v>107.94</v>
      </c>
      <c r="R230">
        <v>254.4</v>
      </c>
      <c r="S230">
        <v>112.05000000000001</v>
      </c>
      <c r="T230">
        <v>0.29906317559452322</v>
      </c>
      <c r="U230" s="1">
        <v>45323</v>
      </c>
      <c r="V230" t="s">
        <v>2499</v>
      </c>
      <c r="W230">
        <v>2024</v>
      </c>
    </row>
    <row r="231" spans="1:23" x14ac:dyDescent="0.25">
      <c r="A231" t="s">
        <v>278</v>
      </c>
      <c r="B231" s="1">
        <v>45419</v>
      </c>
      <c r="C231" s="1">
        <v>45424</v>
      </c>
      <c r="D231" t="s">
        <v>23</v>
      </c>
      <c r="E231" t="s">
        <v>59</v>
      </c>
      <c r="F231" t="s">
        <v>29</v>
      </c>
      <c r="G231" t="s">
        <v>26</v>
      </c>
      <c r="H231" t="s">
        <v>53</v>
      </c>
      <c r="I231">
        <v>4</v>
      </c>
      <c r="J231">
        <v>0.05</v>
      </c>
      <c r="K231">
        <v>222.97</v>
      </c>
      <c r="L231">
        <v>5.7</v>
      </c>
      <c r="M231" t="s">
        <v>2470</v>
      </c>
      <c r="N231" t="s">
        <v>2467</v>
      </c>
      <c r="O231" t="s">
        <v>2459</v>
      </c>
      <c r="P231">
        <v>31.34</v>
      </c>
      <c r="Q231">
        <v>56.49</v>
      </c>
      <c r="R231">
        <v>125.36</v>
      </c>
      <c r="S231">
        <v>91.91</v>
      </c>
      <c r="T231">
        <v>0.41220792034802889</v>
      </c>
      <c r="U231" s="1">
        <v>45413</v>
      </c>
      <c r="V231" t="s">
        <v>2498</v>
      </c>
      <c r="W231">
        <v>2024</v>
      </c>
    </row>
    <row r="232" spans="1:23" x14ac:dyDescent="0.25">
      <c r="A232" t="s">
        <v>279</v>
      </c>
      <c r="B232" s="1">
        <v>45525</v>
      </c>
      <c r="C232" s="1">
        <v>45526</v>
      </c>
      <c r="D232" t="s">
        <v>32</v>
      </c>
      <c r="E232" t="s">
        <v>33</v>
      </c>
      <c r="F232" t="s">
        <v>15</v>
      </c>
      <c r="G232" t="s">
        <v>16</v>
      </c>
      <c r="H232" t="s">
        <v>41</v>
      </c>
      <c r="I232">
        <v>10</v>
      </c>
      <c r="J232">
        <v>0</v>
      </c>
      <c r="K232">
        <v>57.33</v>
      </c>
      <c r="L232">
        <v>5.4</v>
      </c>
      <c r="M232" t="s">
        <v>2479</v>
      </c>
      <c r="N232" t="s">
        <v>2474</v>
      </c>
      <c r="O232" t="s">
        <v>2459</v>
      </c>
      <c r="P232">
        <v>3.3</v>
      </c>
      <c r="Q232">
        <v>6.13</v>
      </c>
      <c r="R232">
        <v>33</v>
      </c>
      <c r="S232">
        <v>18.93</v>
      </c>
      <c r="T232">
        <v>0.33019361590790164</v>
      </c>
      <c r="U232" s="1">
        <v>45505</v>
      </c>
      <c r="V232" t="s">
        <v>2499</v>
      </c>
      <c r="W232">
        <v>2024</v>
      </c>
    </row>
    <row r="233" spans="1:23" x14ac:dyDescent="0.25">
      <c r="A233" t="s">
        <v>280</v>
      </c>
      <c r="B233" s="1">
        <v>45881</v>
      </c>
      <c r="C233" s="1">
        <v>45885</v>
      </c>
      <c r="D233" t="s">
        <v>32</v>
      </c>
      <c r="E233" t="s">
        <v>45</v>
      </c>
      <c r="F233" t="s">
        <v>15</v>
      </c>
      <c r="G233" t="s">
        <v>16</v>
      </c>
      <c r="H233" t="s">
        <v>30</v>
      </c>
      <c r="I233">
        <v>4</v>
      </c>
      <c r="J233">
        <v>0</v>
      </c>
      <c r="K233">
        <v>24</v>
      </c>
      <c r="L233">
        <v>6.3</v>
      </c>
      <c r="M233" t="s">
        <v>2473</v>
      </c>
      <c r="N233" t="s">
        <v>2474</v>
      </c>
      <c r="O233" t="s">
        <v>2463</v>
      </c>
      <c r="P233">
        <v>3.62</v>
      </c>
      <c r="Q233">
        <v>6.03</v>
      </c>
      <c r="R233">
        <v>14.48</v>
      </c>
      <c r="S233">
        <v>3.2199999999999998</v>
      </c>
      <c r="T233">
        <v>0.13416666666666666</v>
      </c>
      <c r="U233" s="1">
        <v>45870</v>
      </c>
      <c r="V233" t="s">
        <v>2499</v>
      </c>
      <c r="W233">
        <v>2025</v>
      </c>
    </row>
    <row r="234" spans="1:23" x14ac:dyDescent="0.25">
      <c r="A234" t="s">
        <v>281</v>
      </c>
      <c r="B234" s="1">
        <v>45428</v>
      </c>
      <c r="C234" s="1">
        <v>45433</v>
      </c>
      <c r="D234" t="s">
        <v>13</v>
      </c>
      <c r="E234" t="s">
        <v>36</v>
      </c>
      <c r="F234" t="s">
        <v>29</v>
      </c>
      <c r="G234" t="s">
        <v>20</v>
      </c>
      <c r="H234" t="s">
        <v>65</v>
      </c>
      <c r="I234">
        <v>3</v>
      </c>
      <c r="J234">
        <v>0</v>
      </c>
      <c r="K234">
        <v>857</v>
      </c>
      <c r="L234">
        <v>6.84</v>
      </c>
      <c r="M234" t="s">
        <v>2457</v>
      </c>
      <c r="N234" t="s">
        <v>2458</v>
      </c>
      <c r="O234" t="s">
        <v>2459</v>
      </c>
      <c r="P234">
        <v>173.56</v>
      </c>
      <c r="Q234">
        <v>286.14999999999998</v>
      </c>
      <c r="R234">
        <v>520.68000000000006</v>
      </c>
      <c r="S234">
        <v>329.47999999999996</v>
      </c>
      <c r="T234">
        <v>0.38445740956826135</v>
      </c>
      <c r="U234" s="1">
        <v>45413</v>
      </c>
      <c r="V234" t="s">
        <v>2499</v>
      </c>
      <c r="W234">
        <v>2024</v>
      </c>
    </row>
    <row r="235" spans="1:23" x14ac:dyDescent="0.25">
      <c r="A235" t="s">
        <v>282</v>
      </c>
      <c r="B235" s="1">
        <v>45528</v>
      </c>
      <c r="C235" s="1">
        <v>45533</v>
      </c>
      <c r="D235" t="s">
        <v>32</v>
      </c>
      <c r="E235" t="s">
        <v>33</v>
      </c>
      <c r="F235" t="s">
        <v>29</v>
      </c>
      <c r="G235" t="s">
        <v>20</v>
      </c>
      <c r="H235" t="s">
        <v>63</v>
      </c>
      <c r="I235">
        <v>16</v>
      </c>
      <c r="J235">
        <v>0</v>
      </c>
      <c r="K235">
        <v>177.53</v>
      </c>
      <c r="L235">
        <v>7.02</v>
      </c>
      <c r="M235" t="s">
        <v>2477</v>
      </c>
      <c r="N235" t="s">
        <v>2474</v>
      </c>
      <c r="O235" t="s">
        <v>2468</v>
      </c>
      <c r="P235">
        <v>6.33</v>
      </c>
      <c r="Q235">
        <v>12.16</v>
      </c>
      <c r="R235">
        <v>101.28</v>
      </c>
      <c r="S235">
        <v>69.23</v>
      </c>
      <c r="T235">
        <v>0.38996225989973526</v>
      </c>
      <c r="U235" s="1">
        <v>45505</v>
      </c>
      <c r="V235" t="s">
        <v>2499</v>
      </c>
      <c r="W235">
        <v>2024</v>
      </c>
    </row>
    <row r="236" spans="1:23" x14ac:dyDescent="0.25">
      <c r="A236" t="s">
        <v>283</v>
      </c>
      <c r="B236" s="1">
        <v>45427</v>
      </c>
      <c r="C236" s="1">
        <v>45432</v>
      </c>
      <c r="D236" t="s">
        <v>47</v>
      </c>
      <c r="E236" t="s">
        <v>50</v>
      </c>
      <c r="F236" t="s">
        <v>25</v>
      </c>
      <c r="G236" t="s">
        <v>26</v>
      </c>
      <c r="H236" t="s">
        <v>68</v>
      </c>
      <c r="I236">
        <v>1</v>
      </c>
      <c r="J236">
        <v>0</v>
      </c>
      <c r="K236">
        <v>53.09</v>
      </c>
      <c r="L236">
        <v>3.45</v>
      </c>
      <c r="M236" t="s">
        <v>2466</v>
      </c>
      <c r="N236" t="s">
        <v>2467</v>
      </c>
      <c r="O236" t="s">
        <v>2468</v>
      </c>
      <c r="P236">
        <v>25.33</v>
      </c>
      <c r="Q236">
        <v>51.56</v>
      </c>
      <c r="R236">
        <v>25.33</v>
      </c>
      <c r="S236">
        <v>24.310000000000006</v>
      </c>
      <c r="T236">
        <v>0.45790167639856855</v>
      </c>
      <c r="U236" s="1">
        <v>45413</v>
      </c>
      <c r="V236" t="s">
        <v>2499</v>
      </c>
      <c r="W236">
        <v>2024</v>
      </c>
    </row>
    <row r="237" spans="1:23" x14ac:dyDescent="0.25">
      <c r="A237" t="s">
        <v>284</v>
      </c>
      <c r="B237" s="1">
        <v>45349</v>
      </c>
      <c r="C237" s="1">
        <v>45355</v>
      </c>
      <c r="D237" t="s">
        <v>47</v>
      </c>
      <c r="E237" t="s">
        <v>50</v>
      </c>
      <c r="F237" t="s">
        <v>15</v>
      </c>
      <c r="G237" t="s">
        <v>26</v>
      </c>
      <c r="H237" t="s">
        <v>60</v>
      </c>
      <c r="I237">
        <v>1</v>
      </c>
      <c r="J237">
        <v>0</v>
      </c>
      <c r="K237">
        <v>101.23</v>
      </c>
      <c r="L237">
        <v>5.75</v>
      </c>
      <c r="M237" t="s">
        <v>2469</v>
      </c>
      <c r="N237" t="s">
        <v>2467</v>
      </c>
      <c r="O237" t="s">
        <v>2468</v>
      </c>
      <c r="P237">
        <v>54.95</v>
      </c>
      <c r="Q237">
        <v>112.56</v>
      </c>
      <c r="R237">
        <v>54.95</v>
      </c>
      <c r="S237">
        <v>40.53</v>
      </c>
      <c r="T237">
        <v>0.40037538279166257</v>
      </c>
      <c r="U237" s="1">
        <v>45323</v>
      </c>
      <c r="V237" t="s">
        <v>2499</v>
      </c>
      <c r="W237">
        <v>2024</v>
      </c>
    </row>
    <row r="238" spans="1:23" x14ac:dyDescent="0.25">
      <c r="A238" t="s">
        <v>285</v>
      </c>
      <c r="B238" s="1">
        <v>45929</v>
      </c>
      <c r="C238" s="1">
        <v>45935</v>
      </c>
      <c r="D238" t="s">
        <v>13</v>
      </c>
      <c r="E238" t="s">
        <v>36</v>
      </c>
      <c r="F238" t="s">
        <v>25</v>
      </c>
      <c r="G238" t="s">
        <v>16</v>
      </c>
      <c r="H238" t="s">
        <v>27</v>
      </c>
      <c r="I238">
        <v>9</v>
      </c>
      <c r="J238">
        <v>0.1</v>
      </c>
      <c r="K238">
        <v>249.32</v>
      </c>
      <c r="L238">
        <v>5.13</v>
      </c>
      <c r="M238" t="s">
        <v>2478</v>
      </c>
      <c r="N238" t="s">
        <v>2474</v>
      </c>
      <c r="O238" t="s">
        <v>2463</v>
      </c>
      <c r="P238">
        <v>16.760000000000002</v>
      </c>
      <c r="Q238">
        <v>27.71</v>
      </c>
      <c r="R238">
        <v>150.84</v>
      </c>
      <c r="S238">
        <v>93.35</v>
      </c>
      <c r="T238">
        <v>0.37441841809722443</v>
      </c>
      <c r="U238" s="1">
        <v>45901</v>
      </c>
      <c r="V238" t="s">
        <v>2498</v>
      </c>
      <c r="W238">
        <v>2025</v>
      </c>
    </row>
    <row r="239" spans="1:23" x14ac:dyDescent="0.25">
      <c r="A239" t="s">
        <v>286</v>
      </c>
      <c r="B239" s="1">
        <v>45358</v>
      </c>
      <c r="C239" s="1">
        <v>45361</v>
      </c>
      <c r="D239" t="s">
        <v>32</v>
      </c>
      <c r="E239" t="s">
        <v>45</v>
      </c>
      <c r="F239" t="s">
        <v>29</v>
      </c>
      <c r="G239" t="s">
        <v>16</v>
      </c>
      <c r="H239" t="s">
        <v>39</v>
      </c>
      <c r="I239">
        <v>4</v>
      </c>
      <c r="J239">
        <v>0.1</v>
      </c>
      <c r="K239">
        <v>623.67999999999995</v>
      </c>
      <c r="L239">
        <v>9.5</v>
      </c>
      <c r="M239" t="s">
        <v>2471</v>
      </c>
      <c r="N239" t="s">
        <v>2467</v>
      </c>
      <c r="O239" t="s">
        <v>2461</v>
      </c>
      <c r="P239">
        <v>112.09</v>
      </c>
      <c r="Q239">
        <v>192.47</v>
      </c>
      <c r="R239">
        <v>448.36</v>
      </c>
      <c r="S239">
        <v>165.81999999999994</v>
      </c>
      <c r="T239">
        <v>0.26587352488455612</v>
      </c>
      <c r="U239" s="1">
        <v>45352</v>
      </c>
      <c r="V239" t="s">
        <v>2498</v>
      </c>
      <c r="W239">
        <v>2024</v>
      </c>
    </row>
    <row r="240" spans="1:23" x14ac:dyDescent="0.25">
      <c r="A240" t="s">
        <v>287</v>
      </c>
      <c r="B240" s="1">
        <v>45791</v>
      </c>
      <c r="C240" s="1">
        <v>45796</v>
      </c>
      <c r="D240" t="s">
        <v>47</v>
      </c>
      <c r="E240" t="s">
        <v>48</v>
      </c>
      <c r="F240" t="s">
        <v>25</v>
      </c>
      <c r="G240" t="s">
        <v>26</v>
      </c>
      <c r="H240" t="s">
        <v>65</v>
      </c>
      <c r="I240">
        <v>2</v>
      </c>
      <c r="J240">
        <v>0</v>
      </c>
      <c r="K240">
        <v>589.42999999999995</v>
      </c>
      <c r="L240">
        <v>9.1</v>
      </c>
      <c r="M240" t="s">
        <v>2457</v>
      </c>
      <c r="N240" t="s">
        <v>2458</v>
      </c>
      <c r="O240" t="s">
        <v>2459</v>
      </c>
      <c r="P240">
        <v>173.56</v>
      </c>
      <c r="Q240">
        <v>286.14999999999998</v>
      </c>
      <c r="R240">
        <v>347.12</v>
      </c>
      <c r="S240">
        <v>233.20999999999995</v>
      </c>
      <c r="T240">
        <v>0.39565342788795949</v>
      </c>
      <c r="U240" s="1">
        <v>45778</v>
      </c>
      <c r="V240" t="s">
        <v>2499</v>
      </c>
      <c r="W240">
        <v>2025</v>
      </c>
    </row>
    <row r="241" spans="1:23" x14ac:dyDescent="0.25">
      <c r="A241" t="s">
        <v>288</v>
      </c>
      <c r="B241" s="1">
        <v>45584</v>
      </c>
      <c r="C241" s="1">
        <v>45588</v>
      </c>
      <c r="D241" t="s">
        <v>23</v>
      </c>
      <c r="E241" t="s">
        <v>59</v>
      </c>
      <c r="F241" t="s">
        <v>29</v>
      </c>
      <c r="G241" t="s">
        <v>16</v>
      </c>
      <c r="H241" t="s">
        <v>39</v>
      </c>
      <c r="I241">
        <v>3</v>
      </c>
      <c r="J241">
        <v>0</v>
      </c>
      <c r="K241">
        <v>669.63</v>
      </c>
      <c r="L241">
        <v>4.95</v>
      </c>
      <c r="M241" t="s">
        <v>2471</v>
      </c>
      <c r="N241" t="s">
        <v>2467</v>
      </c>
      <c r="O241" t="s">
        <v>2461</v>
      </c>
      <c r="P241">
        <v>112.09</v>
      </c>
      <c r="Q241">
        <v>192.47</v>
      </c>
      <c r="R241">
        <v>336.27</v>
      </c>
      <c r="S241">
        <v>328.41</v>
      </c>
      <c r="T241">
        <v>0.49043501635231401</v>
      </c>
      <c r="U241" s="1">
        <v>45566</v>
      </c>
      <c r="V241" t="s">
        <v>2499</v>
      </c>
      <c r="W241">
        <v>2024</v>
      </c>
    </row>
    <row r="242" spans="1:23" x14ac:dyDescent="0.25">
      <c r="A242" t="s">
        <v>289</v>
      </c>
      <c r="B242" s="1">
        <v>45965</v>
      </c>
      <c r="C242" s="1">
        <v>45968</v>
      </c>
      <c r="D242" t="s">
        <v>23</v>
      </c>
      <c r="E242" t="s">
        <v>43</v>
      </c>
      <c r="F242" t="s">
        <v>15</v>
      </c>
      <c r="G242" t="s">
        <v>20</v>
      </c>
      <c r="H242" t="s">
        <v>17</v>
      </c>
      <c r="I242">
        <v>3</v>
      </c>
      <c r="J242">
        <v>0.05</v>
      </c>
      <c r="K242">
        <v>473.62</v>
      </c>
      <c r="L242">
        <v>4.95</v>
      </c>
      <c r="M242" t="s">
        <v>2472</v>
      </c>
      <c r="N242" t="s">
        <v>2467</v>
      </c>
      <c r="O242" t="s">
        <v>2468</v>
      </c>
      <c r="P242">
        <v>63.69</v>
      </c>
      <c r="Q242">
        <v>125.5</v>
      </c>
      <c r="R242">
        <v>191.07</v>
      </c>
      <c r="S242">
        <v>277.60000000000002</v>
      </c>
      <c r="T242">
        <v>0.58612389679489896</v>
      </c>
      <c r="U242" s="1">
        <v>45962</v>
      </c>
      <c r="V242" t="s">
        <v>2498</v>
      </c>
      <c r="W242">
        <v>2025</v>
      </c>
    </row>
    <row r="243" spans="1:23" x14ac:dyDescent="0.25">
      <c r="A243" t="s">
        <v>290</v>
      </c>
      <c r="B243" s="1">
        <v>45913</v>
      </c>
      <c r="C243" s="1">
        <v>45915</v>
      </c>
      <c r="D243" t="s">
        <v>13</v>
      </c>
      <c r="E243" t="s">
        <v>19</v>
      </c>
      <c r="F243" t="s">
        <v>25</v>
      </c>
      <c r="G243" t="s">
        <v>26</v>
      </c>
      <c r="H243" t="s">
        <v>27</v>
      </c>
      <c r="I243">
        <v>14</v>
      </c>
      <c r="J243">
        <v>0.25</v>
      </c>
      <c r="K243">
        <v>303.95</v>
      </c>
      <c r="L243">
        <v>6.48</v>
      </c>
      <c r="M243" t="s">
        <v>2478</v>
      </c>
      <c r="N243" t="s">
        <v>2474</v>
      </c>
      <c r="O243" t="s">
        <v>2463</v>
      </c>
      <c r="P243">
        <v>16.760000000000002</v>
      </c>
      <c r="Q243">
        <v>27.71</v>
      </c>
      <c r="R243">
        <v>234.64000000000001</v>
      </c>
      <c r="S243">
        <v>62.82999999999997</v>
      </c>
      <c r="T243">
        <v>0.20671163020233582</v>
      </c>
      <c r="U243" s="1">
        <v>45901</v>
      </c>
      <c r="V243" t="s">
        <v>2501</v>
      </c>
      <c r="W243">
        <v>2025</v>
      </c>
    </row>
    <row r="244" spans="1:23" x14ac:dyDescent="0.25">
      <c r="A244" t="s">
        <v>291</v>
      </c>
      <c r="B244" s="1">
        <v>45523</v>
      </c>
      <c r="C244" s="1">
        <v>45527</v>
      </c>
      <c r="D244" t="s">
        <v>47</v>
      </c>
      <c r="E244" t="s">
        <v>71</v>
      </c>
      <c r="F244" t="s">
        <v>29</v>
      </c>
      <c r="G244" t="s">
        <v>20</v>
      </c>
      <c r="H244" t="s">
        <v>27</v>
      </c>
      <c r="I244">
        <v>8</v>
      </c>
      <c r="J244">
        <v>0</v>
      </c>
      <c r="K244">
        <v>216.53</v>
      </c>
      <c r="L244">
        <v>4.8600000000000003</v>
      </c>
      <c r="M244" t="s">
        <v>2478</v>
      </c>
      <c r="N244" t="s">
        <v>2474</v>
      </c>
      <c r="O244" t="s">
        <v>2463</v>
      </c>
      <c r="P244">
        <v>16.760000000000002</v>
      </c>
      <c r="Q244">
        <v>27.71</v>
      </c>
      <c r="R244">
        <v>134.08000000000001</v>
      </c>
      <c r="S244">
        <v>77.589999999999989</v>
      </c>
      <c r="T244">
        <v>0.35833371819147458</v>
      </c>
      <c r="U244" s="1">
        <v>45505</v>
      </c>
      <c r="V244" t="s">
        <v>2499</v>
      </c>
      <c r="W244">
        <v>2024</v>
      </c>
    </row>
    <row r="245" spans="1:23" x14ac:dyDescent="0.25">
      <c r="A245" t="s">
        <v>292</v>
      </c>
      <c r="B245" s="1">
        <v>45440</v>
      </c>
      <c r="C245" s="1">
        <v>45445</v>
      </c>
      <c r="D245" t="s">
        <v>13</v>
      </c>
      <c r="E245" t="s">
        <v>36</v>
      </c>
      <c r="F245" t="s">
        <v>15</v>
      </c>
      <c r="G245" t="s">
        <v>16</v>
      </c>
      <c r="H245" t="s">
        <v>21</v>
      </c>
      <c r="I245">
        <v>3</v>
      </c>
      <c r="J245">
        <v>0</v>
      </c>
      <c r="K245">
        <v>333.4</v>
      </c>
      <c r="L245">
        <v>6.84</v>
      </c>
      <c r="M245" t="s">
        <v>2462</v>
      </c>
      <c r="N245" t="s">
        <v>2458</v>
      </c>
      <c r="O245" t="s">
        <v>2463</v>
      </c>
      <c r="P245">
        <v>71.489999999999995</v>
      </c>
      <c r="Q245">
        <v>112.88</v>
      </c>
      <c r="R245">
        <v>214.46999999999997</v>
      </c>
      <c r="S245">
        <v>112.09</v>
      </c>
      <c r="T245">
        <v>0.3362027594481104</v>
      </c>
      <c r="U245" s="1">
        <v>45413</v>
      </c>
      <c r="V245" t="s">
        <v>2499</v>
      </c>
      <c r="W245">
        <v>2024</v>
      </c>
    </row>
    <row r="246" spans="1:23" x14ac:dyDescent="0.25">
      <c r="A246" t="s">
        <v>293</v>
      </c>
      <c r="B246" s="1">
        <v>46021</v>
      </c>
      <c r="C246" s="1">
        <v>46026</v>
      </c>
      <c r="D246" t="s">
        <v>32</v>
      </c>
      <c r="E246" t="s">
        <v>62</v>
      </c>
      <c r="F246" t="s">
        <v>25</v>
      </c>
      <c r="G246" t="s">
        <v>16</v>
      </c>
      <c r="H246" t="s">
        <v>51</v>
      </c>
      <c r="I246">
        <v>12</v>
      </c>
      <c r="J246">
        <v>0</v>
      </c>
      <c r="K246">
        <v>240.97</v>
      </c>
      <c r="L246">
        <v>9.9</v>
      </c>
      <c r="M246" t="s">
        <v>2475</v>
      </c>
      <c r="N246" t="s">
        <v>2474</v>
      </c>
      <c r="O246" t="s">
        <v>2463</v>
      </c>
      <c r="P246">
        <v>7.93</v>
      </c>
      <c r="Q246">
        <v>14.78</v>
      </c>
      <c r="R246">
        <v>95.16</v>
      </c>
      <c r="S246">
        <v>135.91</v>
      </c>
      <c r="T246">
        <v>0.5640121176909989</v>
      </c>
      <c r="U246" s="1">
        <v>45992</v>
      </c>
      <c r="V246" t="s">
        <v>2499</v>
      </c>
      <c r="W246">
        <v>2025</v>
      </c>
    </row>
    <row r="247" spans="1:23" x14ac:dyDescent="0.25">
      <c r="A247" t="s">
        <v>294</v>
      </c>
      <c r="B247" s="1">
        <v>45960</v>
      </c>
      <c r="C247" s="1">
        <v>45966</v>
      </c>
      <c r="D247" t="s">
        <v>32</v>
      </c>
      <c r="E247" t="s">
        <v>45</v>
      </c>
      <c r="F247" t="s">
        <v>29</v>
      </c>
      <c r="G247" t="s">
        <v>20</v>
      </c>
      <c r="H247" t="s">
        <v>51</v>
      </c>
      <c r="I247">
        <v>5</v>
      </c>
      <c r="J247">
        <v>0</v>
      </c>
      <c r="K247">
        <v>87.21</v>
      </c>
      <c r="L247">
        <v>4.05</v>
      </c>
      <c r="M247" t="s">
        <v>2475</v>
      </c>
      <c r="N247" t="s">
        <v>2474</v>
      </c>
      <c r="O247" t="s">
        <v>2463</v>
      </c>
      <c r="P247">
        <v>7.93</v>
      </c>
      <c r="Q247">
        <v>14.78</v>
      </c>
      <c r="R247">
        <v>39.65</v>
      </c>
      <c r="S247">
        <v>43.51</v>
      </c>
      <c r="T247">
        <v>0.4989106753812636</v>
      </c>
      <c r="U247" s="1">
        <v>45931</v>
      </c>
      <c r="V247" t="s">
        <v>2499</v>
      </c>
      <c r="W247">
        <v>2025</v>
      </c>
    </row>
    <row r="248" spans="1:23" x14ac:dyDescent="0.25">
      <c r="A248" t="s">
        <v>295</v>
      </c>
      <c r="B248" s="1">
        <v>45704</v>
      </c>
      <c r="C248" s="1">
        <v>45709</v>
      </c>
      <c r="D248" t="s">
        <v>47</v>
      </c>
      <c r="E248" t="s">
        <v>48</v>
      </c>
      <c r="F248" t="s">
        <v>29</v>
      </c>
      <c r="G248" t="s">
        <v>26</v>
      </c>
      <c r="H248" t="s">
        <v>21</v>
      </c>
      <c r="I248">
        <v>1</v>
      </c>
      <c r="J248">
        <v>0</v>
      </c>
      <c r="K248">
        <v>100.68</v>
      </c>
      <c r="L248">
        <v>4.08</v>
      </c>
      <c r="M248" t="s">
        <v>2462</v>
      </c>
      <c r="N248" t="s">
        <v>2458</v>
      </c>
      <c r="O248" t="s">
        <v>2463</v>
      </c>
      <c r="P248">
        <v>71.489999999999995</v>
      </c>
      <c r="Q248">
        <v>112.88</v>
      </c>
      <c r="R248">
        <v>71.489999999999995</v>
      </c>
      <c r="S248">
        <v>25.110000000000014</v>
      </c>
      <c r="T248">
        <v>0.24940405244338509</v>
      </c>
      <c r="U248" s="1">
        <v>45689</v>
      </c>
      <c r="V248" t="s">
        <v>2499</v>
      </c>
      <c r="W248">
        <v>2025</v>
      </c>
    </row>
    <row r="249" spans="1:23" x14ac:dyDescent="0.25">
      <c r="A249" t="s">
        <v>296</v>
      </c>
      <c r="B249" s="1">
        <v>45546</v>
      </c>
      <c r="C249" s="1">
        <v>45548</v>
      </c>
      <c r="D249" t="s">
        <v>13</v>
      </c>
      <c r="E249" t="s">
        <v>19</v>
      </c>
      <c r="F249" t="s">
        <v>25</v>
      </c>
      <c r="G249" t="s">
        <v>26</v>
      </c>
      <c r="H249" t="s">
        <v>30</v>
      </c>
      <c r="I249">
        <v>11</v>
      </c>
      <c r="J249">
        <v>0.15</v>
      </c>
      <c r="K249">
        <v>58.44</v>
      </c>
      <c r="L249">
        <v>5.67</v>
      </c>
      <c r="M249" t="s">
        <v>2473</v>
      </c>
      <c r="N249" t="s">
        <v>2474</v>
      </c>
      <c r="O249" t="s">
        <v>2463</v>
      </c>
      <c r="P249">
        <v>3.62</v>
      </c>
      <c r="Q249">
        <v>6.03</v>
      </c>
      <c r="R249">
        <v>39.82</v>
      </c>
      <c r="S249">
        <v>12.949999999999998</v>
      </c>
      <c r="T249">
        <v>0.22159479808350441</v>
      </c>
      <c r="U249" s="1">
        <v>45536</v>
      </c>
      <c r="V249" t="s">
        <v>2500</v>
      </c>
      <c r="W249">
        <v>2024</v>
      </c>
    </row>
    <row r="250" spans="1:23" x14ac:dyDescent="0.25">
      <c r="A250" t="s">
        <v>297</v>
      </c>
      <c r="B250" s="1">
        <v>45382</v>
      </c>
      <c r="C250" s="1">
        <v>45386</v>
      </c>
      <c r="D250" t="s">
        <v>13</v>
      </c>
      <c r="E250" t="s">
        <v>36</v>
      </c>
      <c r="F250" t="s">
        <v>29</v>
      </c>
      <c r="G250" t="s">
        <v>26</v>
      </c>
      <c r="H250" t="s">
        <v>21</v>
      </c>
      <c r="I250">
        <v>2</v>
      </c>
      <c r="J250">
        <v>0</v>
      </c>
      <c r="K250">
        <v>204.69</v>
      </c>
      <c r="L250">
        <v>9.1</v>
      </c>
      <c r="M250" t="s">
        <v>2462</v>
      </c>
      <c r="N250" t="s">
        <v>2458</v>
      </c>
      <c r="O250" t="s">
        <v>2463</v>
      </c>
      <c r="P250">
        <v>71.489999999999995</v>
      </c>
      <c r="Q250">
        <v>112.88</v>
      </c>
      <c r="R250">
        <v>142.97999999999999</v>
      </c>
      <c r="S250">
        <v>52.610000000000007</v>
      </c>
      <c r="T250">
        <v>0.25702281498851925</v>
      </c>
      <c r="U250" s="1">
        <v>45352</v>
      </c>
      <c r="V250" t="s">
        <v>2499</v>
      </c>
      <c r="W250">
        <v>2024</v>
      </c>
    </row>
    <row r="251" spans="1:23" x14ac:dyDescent="0.25">
      <c r="A251" t="s">
        <v>298</v>
      </c>
      <c r="B251" s="1">
        <v>45880</v>
      </c>
      <c r="C251" s="1">
        <v>45882</v>
      </c>
      <c r="D251" t="s">
        <v>13</v>
      </c>
      <c r="E251" t="s">
        <v>36</v>
      </c>
      <c r="F251" t="s">
        <v>25</v>
      </c>
      <c r="G251" t="s">
        <v>26</v>
      </c>
      <c r="H251" t="s">
        <v>30</v>
      </c>
      <c r="I251">
        <v>5</v>
      </c>
      <c r="J251">
        <v>0</v>
      </c>
      <c r="K251">
        <v>27.29</v>
      </c>
      <c r="L251">
        <v>4.05</v>
      </c>
      <c r="M251" t="s">
        <v>2473</v>
      </c>
      <c r="N251" t="s">
        <v>2474</v>
      </c>
      <c r="O251" t="s">
        <v>2463</v>
      </c>
      <c r="P251">
        <v>3.62</v>
      </c>
      <c r="Q251">
        <v>6.03</v>
      </c>
      <c r="R251">
        <v>18.100000000000001</v>
      </c>
      <c r="S251">
        <v>5.1399999999999979</v>
      </c>
      <c r="T251">
        <v>0.18834737999267123</v>
      </c>
      <c r="U251" s="1">
        <v>45870</v>
      </c>
      <c r="V251" t="s">
        <v>2499</v>
      </c>
      <c r="W251">
        <v>2025</v>
      </c>
    </row>
    <row r="252" spans="1:23" x14ac:dyDescent="0.25">
      <c r="A252" t="s">
        <v>299</v>
      </c>
      <c r="B252" s="1">
        <v>45994</v>
      </c>
      <c r="C252" s="1">
        <v>46000</v>
      </c>
      <c r="D252" t="s">
        <v>47</v>
      </c>
      <c r="E252" t="s">
        <v>50</v>
      </c>
      <c r="F252" t="s">
        <v>15</v>
      </c>
      <c r="G252" t="s">
        <v>20</v>
      </c>
      <c r="H252" t="s">
        <v>21</v>
      </c>
      <c r="I252">
        <v>4</v>
      </c>
      <c r="J252">
        <v>0</v>
      </c>
      <c r="K252">
        <v>640.98</v>
      </c>
      <c r="L252">
        <v>13.7</v>
      </c>
      <c r="M252" t="s">
        <v>2462</v>
      </c>
      <c r="N252" t="s">
        <v>2458</v>
      </c>
      <c r="O252" t="s">
        <v>2463</v>
      </c>
      <c r="P252">
        <v>71.489999999999995</v>
      </c>
      <c r="Q252">
        <v>112.88</v>
      </c>
      <c r="R252">
        <v>285.95999999999998</v>
      </c>
      <c r="S252">
        <v>341.32000000000005</v>
      </c>
      <c r="T252">
        <v>0.53249711379450226</v>
      </c>
      <c r="U252" s="1">
        <v>45992</v>
      </c>
      <c r="V252" t="s">
        <v>2499</v>
      </c>
      <c r="W252">
        <v>2025</v>
      </c>
    </row>
    <row r="253" spans="1:23" x14ac:dyDescent="0.25">
      <c r="A253" t="s">
        <v>300</v>
      </c>
      <c r="B253" s="1">
        <v>45654</v>
      </c>
      <c r="C253" s="1">
        <v>45659</v>
      </c>
      <c r="D253" t="s">
        <v>23</v>
      </c>
      <c r="E253" t="s">
        <v>24</v>
      </c>
      <c r="F253" t="s">
        <v>15</v>
      </c>
      <c r="G253" t="s">
        <v>20</v>
      </c>
      <c r="H253" t="s">
        <v>17</v>
      </c>
      <c r="I253">
        <v>1</v>
      </c>
      <c r="J253">
        <v>0</v>
      </c>
      <c r="K253">
        <v>179.55</v>
      </c>
      <c r="L253">
        <v>3.45</v>
      </c>
      <c r="M253" t="s">
        <v>2472</v>
      </c>
      <c r="N253" t="s">
        <v>2467</v>
      </c>
      <c r="O253" t="s">
        <v>2468</v>
      </c>
      <c r="P253">
        <v>63.69</v>
      </c>
      <c r="Q253">
        <v>125.5</v>
      </c>
      <c r="R253">
        <v>63.69</v>
      </c>
      <c r="S253">
        <v>112.41000000000001</v>
      </c>
      <c r="T253">
        <v>0.62606516290726821</v>
      </c>
      <c r="U253" s="1">
        <v>45627</v>
      </c>
      <c r="V253" t="s">
        <v>2499</v>
      </c>
      <c r="W253">
        <v>2024</v>
      </c>
    </row>
    <row r="254" spans="1:23" x14ac:dyDescent="0.25">
      <c r="A254" t="s">
        <v>301</v>
      </c>
      <c r="B254" s="1">
        <v>46020</v>
      </c>
      <c r="C254" s="1">
        <v>46022</v>
      </c>
      <c r="D254" t="s">
        <v>23</v>
      </c>
      <c r="E254" t="s">
        <v>59</v>
      </c>
      <c r="F254" t="s">
        <v>29</v>
      </c>
      <c r="G254" t="s">
        <v>16</v>
      </c>
      <c r="H254" t="s">
        <v>51</v>
      </c>
      <c r="I254">
        <v>14</v>
      </c>
      <c r="J254">
        <v>0</v>
      </c>
      <c r="K254">
        <v>304.69</v>
      </c>
      <c r="L254">
        <v>10.8</v>
      </c>
      <c r="M254" t="s">
        <v>2475</v>
      </c>
      <c r="N254" t="s">
        <v>2474</v>
      </c>
      <c r="O254" t="s">
        <v>2463</v>
      </c>
      <c r="P254">
        <v>7.93</v>
      </c>
      <c r="Q254">
        <v>14.78</v>
      </c>
      <c r="R254">
        <v>111.02</v>
      </c>
      <c r="S254">
        <v>182.87</v>
      </c>
      <c r="T254">
        <v>0.60018379336374683</v>
      </c>
      <c r="U254" s="1">
        <v>45992</v>
      </c>
      <c r="V254" t="s">
        <v>2499</v>
      </c>
      <c r="W254">
        <v>2025</v>
      </c>
    </row>
    <row r="255" spans="1:23" x14ac:dyDescent="0.25">
      <c r="A255" t="s">
        <v>302</v>
      </c>
      <c r="B255" s="1">
        <v>45407</v>
      </c>
      <c r="C255" s="1">
        <v>45410</v>
      </c>
      <c r="D255" t="s">
        <v>13</v>
      </c>
      <c r="E255" t="s">
        <v>14</v>
      </c>
      <c r="F255" t="s">
        <v>29</v>
      </c>
      <c r="G255" t="s">
        <v>20</v>
      </c>
      <c r="H255" t="s">
        <v>68</v>
      </c>
      <c r="I255">
        <v>3</v>
      </c>
      <c r="J255">
        <v>0.05</v>
      </c>
      <c r="K255">
        <v>151.05000000000001</v>
      </c>
      <c r="L255">
        <v>4.95</v>
      </c>
      <c r="M255" t="s">
        <v>2466</v>
      </c>
      <c r="N255" t="s">
        <v>2467</v>
      </c>
      <c r="O255" t="s">
        <v>2468</v>
      </c>
      <c r="P255">
        <v>25.33</v>
      </c>
      <c r="Q255">
        <v>51.56</v>
      </c>
      <c r="R255">
        <v>75.989999999999995</v>
      </c>
      <c r="S255">
        <v>70.110000000000014</v>
      </c>
      <c r="T255">
        <v>0.46415094339622648</v>
      </c>
      <c r="U255" s="1">
        <v>45383</v>
      </c>
      <c r="V255" t="s">
        <v>2498</v>
      </c>
      <c r="W255">
        <v>2024</v>
      </c>
    </row>
    <row r="256" spans="1:23" x14ac:dyDescent="0.25">
      <c r="A256" t="s">
        <v>303</v>
      </c>
      <c r="B256" s="1">
        <v>45875</v>
      </c>
      <c r="C256" s="1">
        <v>45878</v>
      </c>
      <c r="D256" t="s">
        <v>23</v>
      </c>
      <c r="E256" t="s">
        <v>43</v>
      </c>
      <c r="F256" t="s">
        <v>25</v>
      </c>
      <c r="G256" t="s">
        <v>26</v>
      </c>
      <c r="H256" t="s">
        <v>63</v>
      </c>
      <c r="I256">
        <v>13</v>
      </c>
      <c r="J256">
        <v>0</v>
      </c>
      <c r="K256">
        <v>159.1</v>
      </c>
      <c r="L256">
        <v>10.35</v>
      </c>
      <c r="M256" t="s">
        <v>2477</v>
      </c>
      <c r="N256" t="s">
        <v>2474</v>
      </c>
      <c r="O256" t="s">
        <v>2468</v>
      </c>
      <c r="P256">
        <v>6.33</v>
      </c>
      <c r="Q256">
        <v>12.16</v>
      </c>
      <c r="R256">
        <v>82.29</v>
      </c>
      <c r="S256">
        <v>66.459999999999994</v>
      </c>
      <c r="T256">
        <v>0.41772470144563167</v>
      </c>
      <c r="U256" s="1">
        <v>45870</v>
      </c>
      <c r="V256" t="s">
        <v>2499</v>
      </c>
      <c r="W256">
        <v>2025</v>
      </c>
    </row>
    <row r="257" spans="1:23" x14ac:dyDescent="0.25">
      <c r="A257" t="s">
        <v>304</v>
      </c>
      <c r="B257" s="1">
        <v>45804</v>
      </c>
      <c r="C257" s="1">
        <v>45810</v>
      </c>
      <c r="D257" t="s">
        <v>47</v>
      </c>
      <c r="E257" t="s">
        <v>50</v>
      </c>
      <c r="F257" t="s">
        <v>15</v>
      </c>
      <c r="G257" t="s">
        <v>16</v>
      </c>
      <c r="H257" t="s">
        <v>51</v>
      </c>
      <c r="I257">
        <v>7</v>
      </c>
      <c r="J257">
        <v>0.1</v>
      </c>
      <c r="K257">
        <v>90.74</v>
      </c>
      <c r="L257">
        <v>4.59</v>
      </c>
      <c r="M257" t="s">
        <v>2475</v>
      </c>
      <c r="N257" t="s">
        <v>2474</v>
      </c>
      <c r="O257" t="s">
        <v>2463</v>
      </c>
      <c r="P257">
        <v>7.93</v>
      </c>
      <c r="Q257">
        <v>14.78</v>
      </c>
      <c r="R257">
        <v>55.51</v>
      </c>
      <c r="S257">
        <v>30.639999999999997</v>
      </c>
      <c r="T257">
        <v>0.33766806259642934</v>
      </c>
      <c r="U257" s="1">
        <v>45778</v>
      </c>
      <c r="V257" t="s">
        <v>2498</v>
      </c>
      <c r="W257">
        <v>2025</v>
      </c>
    </row>
    <row r="258" spans="1:23" x14ac:dyDescent="0.25">
      <c r="A258" t="s">
        <v>305</v>
      </c>
      <c r="B258" s="1">
        <v>45953</v>
      </c>
      <c r="C258" s="1">
        <v>45954</v>
      </c>
      <c r="D258" t="s">
        <v>13</v>
      </c>
      <c r="E258" t="s">
        <v>19</v>
      </c>
      <c r="F258" t="s">
        <v>29</v>
      </c>
      <c r="G258" t="s">
        <v>20</v>
      </c>
      <c r="H258" t="s">
        <v>37</v>
      </c>
      <c r="I258">
        <v>3</v>
      </c>
      <c r="J258">
        <v>0.15</v>
      </c>
      <c r="K258">
        <v>305.83999999999997</v>
      </c>
      <c r="L258">
        <v>6.84</v>
      </c>
      <c r="M258" t="s">
        <v>2464</v>
      </c>
      <c r="N258" t="s">
        <v>2458</v>
      </c>
      <c r="O258" t="s">
        <v>2465</v>
      </c>
      <c r="P258">
        <v>63.6</v>
      </c>
      <c r="Q258">
        <v>107.94</v>
      </c>
      <c r="R258">
        <v>190.8</v>
      </c>
      <c r="S258">
        <v>108.19999999999996</v>
      </c>
      <c r="T258">
        <v>0.35377975411980112</v>
      </c>
      <c r="U258" s="1">
        <v>45931</v>
      </c>
      <c r="V258" t="s">
        <v>2500</v>
      </c>
      <c r="W258">
        <v>2025</v>
      </c>
    </row>
    <row r="259" spans="1:23" x14ac:dyDescent="0.25">
      <c r="A259" t="s">
        <v>306</v>
      </c>
      <c r="B259" s="1">
        <v>45418</v>
      </c>
      <c r="C259" s="1">
        <v>45424</v>
      </c>
      <c r="D259" t="s">
        <v>13</v>
      </c>
      <c r="E259" t="s">
        <v>14</v>
      </c>
      <c r="F259" t="s">
        <v>15</v>
      </c>
      <c r="G259" t="s">
        <v>20</v>
      </c>
      <c r="H259" t="s">
        <v>37</v>
      </c>
      <c r="I259">
        <v>3</v>
      </c>
      <c r="J259">
        <v>0</v>
      </c>
      <c r="K259">
        <v>347.25</v>
      </c>
      <c r="L259">
        <v>6.84</v>
      </c>
      <c r="M259" t="s">
        <v>2464</v>
      </c>
      <c r="N259" t="s">
        <v>2458</v>
      </c>
      <c r="O259" t="s">
        <v>2465</v>
      </c>
      <c r="P259">
        <v>63.6</v>
      </c>
      <c r="Q259">
        <v>107.94</v>
      </c>
      <c r="R259">
        <v>190.8</v>
      </c>
      <c r="S259">
        <v>149.60999999999999</v>
      </c>
      <c r="T259">
        <v>0.43084233261339089</v>
      </c>
      <c r="U259" s="1">
        <v>45413</v>
      </c>
      <c r="V259" t="s">
        <v>2499</v>
      </c>
      <c r="W259">
        <v>2024</v>
      </c>
    </row>
    <row r="260" spans="1:23" x14ac:dyDescent="0.25">
      <c r="A260" t="s">
        <v>307</v>
      </c>
      <c r="B260" s="1">
        <v>45355</v>
      </c>
      <c r="C260" s="1">
        <v>45358</v>
      </c>
      <c r="D260" t="s">
        <v>13</v>
      </c>
      <c r="E260" t="s">
        <v>36</v>
      </c>
      <c r="F260" t="s">
        <v>15</v>
      </c>
      <c r="G260" t="s">
        <v>16</v>
      </c>
      <c r="H260" t="s">
        <v>21</v>
      </c>
      <c r="I260">
        <v>4</v>
      </c>
      <c r="J260">
        <v>0.05</v>
      </c>
      <c r="K260">
        <v>384.91</v>
      </c>
      <c r="L260">
        <v>13.7</v>
      </c>
      <c r="M260" t="s">
        <v>2462</v>
      </c>
      <c r="N260" t="s">
        <v>2458</v>
      </c>
      <c r="O260" t="s">
        <v>2463</v>
      </c>
      <c r="P260">
        <v>71.489999999999995</v>
      </c>
      <c r="Q260">
        <v>112.88</v>
      </c>
      <c r="R260">
        <v>285.95999999999998</v>
      </c>
      <c r="S260">
        <v>85.250000000000043</v>
      </c>
      <c r="T260">
        <v>0.22148034605492203</v>
      </c>
      <c r="U260" s="1">
        <v>45352</v>
      </c>
      <c r="V260" t="s">
        <v>2498</v>
      </c>
      <c r="W260">
        <v>2024</v>
      </c>
    </row>
    <row r="261" spans="1:23" x14ac:dyDescent="0.25">
      <c r="A261" t="s">
        <v>308</v>
      </c>
      <c r="B261" s="1">
        <v>45434</v>
      </c>
      <c r="C261" s="1">
        <v>45438</v>
      </c>
      <c r="D261" t="s">
        <v>23</v>
      </c>
      <c r="E261" t="s">
        <v>43</v>
      </c>
      <c r="F261" t="s">
        <v>29</v>
      </c>
      <c r="G261" t="s">
        <v>16</v>
      </c>
      <c r="H261" t="s">
        <v>39</v>
      </c>
      <c r="I261">
        <v>1</v>
      </c>
      <c r="J261">
        <v>0</v>
      </c>
      <c r="K261">
        <v>205.39</v>
      </c>
      <c r="L261">
        <v>3.45</v>
      </c>
      <c r="M261" t="s">
        <v>2471</v>
      </c>
      <c r="N261" t="s">
        <v>2467</v>
      </c>
      <c r="O261" t="s">
        <v>2461</v>
      </c>
      <c r="P261">
        <v>112.09</v>
      </c>
      <c r="Q261">
        <v>192.47</v>
      </c>
      <c r="R261">
        <v>112.09</v>
      </c>
      <c r="S261">
        <v>89.84999999999998</v>
      </c>
      <c r="T261">
        <v>0.4374604411120307</v>
      </c>
      <c r="U261" s="1">
        <v>45413</v>
      </c>
      <c r="V261" t="s">
        <v>2499</v>
      </c>
      <c r="W261">
        <v>2024</v>
      </c>
    </row>
    <row r="262" spans="1:23" x14ac:dyDescent="0.25">
      <c r="A262" t="s">
        <v>309</v>
      </c>
      <c r="B262" s="1">
        <v>45527</v>
      </c>
      <c r="C262" s="1">
        <v>45530</v>
      </c>
      <c r="D262" t="s">
        <v>32</v>
      </c>
      <c r="E262" t="s">
        <v>62</v>
      </c>
      <c r="F262" t="s">
        <v>29</v>
      </c>
      <c r="G262" t="s">
        <v>16</v>
      </c>
      <c r="H262" t="s">
        <v>17</v>
      </c>
      <c r="I262">
        <v>3</v>
      </c>
      <c r="J262">
        <v>0</v>
      </c>
      <c r="K262">
        <v>352.7</v>
      </c>
      <c r="L262">
        <v>8.25</v>
      </c>
      <c r="M262" t="s">
        <v>2472</v>
      </c>
      <c r="N262" t="s">
        <v>2467</v>
      </c>
      <c r="O262" t="s">
        <v>2468</v>
      </c>
      <c r="P262">
        <v>63.69</v>
      </c>
      <c r="Q262">
        <v>125.5</v>
      </c>
      <c r="R262">
        <v>191.07</v>
      </c>
      <c r="S262">
        <v>153.38</v>
      </c>
      <c r="T262">
        <v>0.43487383045080807</v>
      </c>
      <c r="U262" s="1">
        <v>45505</v>
      </c>
      <c r="V262" t="s">
        <v>2499</v>
      </c>
      <c r="W262">
        <v>2024</v>
      </c>
    </row>
    <row r="263" spans="1:23" x14ac:dyDescent="0.25">
      <c r="A263" t="s">
        <v>310</v>
      </c>
      <c r="B263" s="1">
        <v>45679</v>
      </c>
      <c r="C263" s="1">
        <v>45681</v>
      </c>
      <c r="D263" t="s">
        <v>13</v>
      </c>
      <c r="E263" t="s">
        <v>19</v>
      </c>
      <c r="F263" t="s">
        <v>15</v>
      </c>
      <c r="G263" t="s">
        <v>16</v>
      </c>
      <c r="H263" t="s">
        <v>30</v>
      </c>
      <c r="I263">
        <v>14</v>
      </c>
      <c r="J263">
        <v>0</v>
      </c>
      <c r="K263">
        <v>74.81</v>
      </c>
      <c r="L263">
        <v>6.48</v>
      </c>
      <c r="M263" t="s">
        <v>2473</v>
      </c>
      <c r="N263" t="s">
        <v>2474</v>
      </c>
      <c r="O263" t="s">
        <v>2463</v>
      </c>
      <c r="P263">
        <v>3.62</v>
      </c>
      <c r="Q263">
        <v>6.03</v>
      </c>
      <c r="R263">
        <v>50.68</v>
      </c>
      <c r="S263">
        <v>17.650000000000002</v>
      </c>
      <c r="T263">
        <v>0.23593102526400217</v>
      </c>
      <c r="U263" s="1">
        <v>45658</v>
      </c>
      <c r="V263" t="s">
        <v>2499</v>
      </c>
      <c r="W263">
        <v>2025</v>
      </c>
    </row>
    <row r="264" spans="1:23" x14ac:dyDescent="0.25">
      <c r="A264" t="s">
        <v>311</v>
      </c>
      <c r="B264" s="1">
        <v>45907</v>
      </c>
      <c r="C264" s="1">
        <v>45913</v>
      </c>
      <c r="D264" t="s">
        <v>13</v>
      </c>
      <c r="E264" t="s">
        <v>14</v>
      </c>
      <c r="F264" t="s">
        <v>25</v>
      </c>
      <c r="G264" t="s">
        <v>26</v>
      </c>
      <c r="H264" t="s">
        <v>21</v>
      </c>
      <c r="I264">
        <v>4</v>
      </c>
      <c r="J264">
        <v>0</v>
      </c>
      <c r="K264">
        <v>507.75</v>
      </c>
      <c r="L264">
        <v>8.2200000000000006</v>
      </c>
      <c r="M264" t="s">
        <v>2462</v>
      </c>
      <c r="N264" t="s">
        <v>2458</v>
      </c>
      <c r="O264" t="s">
        <v>2463</v>
      </c>
      <c r="P264">
        <v>71.489999999999995</v>
      </c>
      <c r="Q264">
        <v>112.88</v>
      </c>
      <c r="R264">
        <v>285.95999999999998</v>
      </c>
      <c r="S264">
        <v>213.57000000000002</v>
      </c>
      <c r="T264">
        <v>0.42062038404726743</v>
      </c>
      <c r="U264" s="1">
        <v>45901</v>
      </c>
      <c r="V264" t="s">
        <v>2499</v>
      </c>
      <c r="W264">
        <v>2025</v>
      </c>
    </row>
    <row r="265" spans="1:23" x14ac:dyDescent="0.25">
      <c r="A265" t="s">
        <v>312</v>
      </c>
      <c r="B265" s="1">
        <v>45720</v>
      </c>
      <c r="C265" s="1">
        <v>45723</v>
      </c>
      <c r="D265" t="s">
        <v>47</v>
      </c>
      <c r="E265" t="s">
        <v>50</v>
      </c>
      <c r="F265" t="s">
        <v>15</v>
      </c>
      <c r="G265" t="s">
        <v>20</v>
      </c>
      <c r="H265" t="s">
        <v>53</v>
      </c>
      <c r="I265">
        <v>1</v>
      </c>
      <c r="J265">
        <v>0.25</v>
      </c>
      <c r="K265">
        <v>38.090000000000003</v>
      </c>
      <c r="L265">
        <v>5.75</v>
      </c>
      <c r="M265" t="s">
        <v>2470</v>
      </c>
      <c r="N265" t="s">
        <v>2467</v>
      </c>
      <c r="O265" t="s">
        <v>2459</v>
      </c>
      <c r="P265">
        <v>31.34</v>
      </c>
      <c r="Q265">
        <v>56.49</v>
      </c>
      <c r="R265">
        <v>31.34</v>
      </c>
      <c r="S265">
        <v>1.0000000000000036</v>
      </c>
      <c r="T265">
        <v>2.6253609871357404E-2</v>
      </c>
      <c r="U265" s="1">
        <v>45717</v>
      </c>
      <c r="V265" t="s">
        <v>2501</v>
      </c>
      <c r="W265">
        <v>2025</v>
      </c>
    </row>
    <row r="266" spans="1:23" x14ac:dyDescent="0.25">
      <c r="A266" t="s">
        <v>313</v>
      </c>
      <c r="B266" s="1">
        <v>45989</v>
      </c>
      <c r="C266" s="1">
        <v>45993</v>
      </c>
      <c r="D266" t="s">
        <v>13</v>
      </c>
      <c r="E266" t="s">
        <v>36</v>
      </c>
      <c r="F266" t="s">
        <v>29</v>
      </c>
      <c r="G266" t="s">
        <v>16</v>
      </c>
      <c r="H266" t="s">
        <v>34</v>
      </c>
      <c r="I266">
        <v>1</v>
      </c>
      <c r="J266">
        <v>0.1</v>
      </c>
      <c r="K266">
        <v>248.18</v>
      </c>
      <c r="L266">
        <v>6.8</v>
      </c>
      <c r="M266" t="s">
        <v>2460</v>
      </c>
      <c r="N266" t="s">
        <v>2458</v>
      </c>
      <c r="O266" t="s">
        <v>2461</v>
      </c>
      <c r="P266">
        <v>119.02</v>
      </c>
      <c r="Q266">
        <v>205.39</v>
      </c>
      <c r="R266">
        <v>119.02</v>
      </c>
      <c r="S266">
        <v>122.36000000000003</v>
      </c>
      <c r="T266">
        <v>0.49302925296156025</v>
      </c>
      <c r="U266" s="1">
        <v>45962</v>
      </c>
      <c r="V266" t="s">
        <v>2498</v>
      </c>
      <c r="W266">
        <v>2025</v>
      </c>
    </row>
    <row r="267" spans="1:23" x14ac:dyDescent="0.25">
      <c r="A267" t="s">
        <v>314</v>
      </c>
      <c r="B267" s="1">
        <v>45972</v>
      </c>
      <c r="C267" s="1">
        <v>45975</v>
      </c>
      <c r="D267" t="s">
        <v>13</v>
      </c>
      <c r="E267" t="s">
        <v>14</v>
      </c>
      <c r="F267" t="s">
        <v>15</v>
      </c>
      <c r="G267" t="s">
        <v>26</v>
      </c>
      <c r="H267" t="s">
        <v>68</v>
      </c>
      <c r="I267">
        <v>1</v>
      </c>
      <c r="J267">
        <v>0</v>
      </c>
      <c r="K267">
        <v>65.930000000000007</v>
      </c>
      <c r="L267">
        <v>5.75</v>
      </c>
      <c r="M267" t="s">
        <v>2466</v>
      </c>
      <c r="N267" t="s">
        <v>2467</v>
      </c>
      <c r="O267" t="s">
        <v>2468</v>
      </c>
      <c r="P267">
        <v>25.33</v>
      </c>
      <c r="Q267">
        <v>51.56</v>
      </c>
      <c r="R267">
        <v>25.33</v>
      </c>
      <c r="S267">
        <v>34.850000000000009</v>
      </c>
      <c r="T267">
        <v>0.52859092977400279</v>
      </c>
      <c r="U267" s="1">
        <v>45962</v>
      </c>
      <c r="V267" t="s">
        <v>2499</v>
      </c>
      <c r="W267">
        <v>2025</v>
      </c>
    </row>
    <row r="268" spans="1:23" x14ac:dyDescent="0.25">
      <c r="A268" t="s">
        <v>315</v>
      </c>
      <c r="B268" s="1">
        <v>45793</v>
      </c>
      <c r="C268" s="1">
        <v>45795</v>
      </c>
      <c r="D268" t="s">
        <v>32</v>
      </c>
      <c r="E268" t="s">
        <v>33</v>
      </c>
      <c r="F268" t="s">
        <v>29</v>
      </c>
      <c r="G268" t="s">
        <v>20</v>
      </c>
      <c r="H268" t="s">
        <v>87</v>
      </c>
      <c r="I268">
        <v>6</v>
      </c>
      <c r="J268">
        <v>0.15</v>
      </c>
      <c r="K268">
        <v>44.91</v>
      </c>
      <c r="L268">
        <v>7.2</v>
      </c>
      <c r="M268" t="s">
        <v>2476</v>
      </c>
      <c r="N268" t="s">
        <v>2474</v>
      </c>
      <c r="O268" t="s">
        <v>2459</v>
      </c>
      <c r="P268">
        <v>4.5</v>
      </c>
      <c r="Q268">
        <v>8.2899999999999991</v>
      </c>
      <c r="R268">
        <v>27</v>
      </c>
      <c r="S268">
        <v>10.709999999999997</v>
      </c>
      <c r="T268">
        <v>0.23847695390781559</v>
      </c>
      <c r="U268" s="1">
        <v>45778</v>
      </c>
      <c r="V268" t="s">
        <v>2500</v>
      </c>
      <c r="W268">
        <v>2025</v>
      </c>
    </row>
    <row r="269" spans="1:23" x14ac:dyDescent="0.25">
      <c r="A269" t="s">
        <v>316</v>
      </c>
      <c r="B269" s="1">
        <v>45681</v>
      </c>
      <c r="C269" s="1">
        <v>45685</v>
      </c>
      <c r="D269" t="s">
        <v>13</v>
      </c>
      <c r="E269" t="s">
        <v>19</v>
      </c>
      <c r="F269" t="s">
        <v>29</v>
      </c>
      <c r="G269" t="s">
        <v>20</v>
      </c>
      <c r="H269" t="s">
        <v>60</v>
      </c>
      <c r="I269">
        <v>2</v>
      </c>
      <c r="J269">
        <v>0.1</v>
      </c>
      <c r="K269">
        <v>174.33</v>
      </c>
      <c r="L269">
        <v>7</v>
      </c>
      <c r="M269" t="s">
        <v>2469</v>
      </c>
      <c r="N269" t="s">
        <v>2467</v>
      </c>
      <c r="O269" t="s">
        <v>2468</v>
      </c>
      <c r="P269">
        <v>54.95</v>
      </c>
      <c r="Q269">
        <v>112.56</v>
      </c>
      <c r="R269">
        <v>109.9</v>
      </c>
      <c r="S269">
        <v>57.430000000000007</v>
      </c>
      <c r="T269">
        <v>0.32943268513738316</v>
      </c>
      <c r="U269" s="1">
        <v>45658</v>
      </c>
      <c r="V269" t="s">
        <v>2498</v>
      </c>
      <c r="W269">
        <v>2025</v>
      </c>
    </row>
    <row r="270" spans="1:23" x14ac:dyDescent="0.25">
      <c r="A270" t="s">
        <v>317</v>
      </c>
      <c r="B270" s="1">
        <v>45362</v>
      </c>
      <c r="C270" s="1">
        <v>45366</v>
      </c>
      <c r="D270" t="s">
        <v>47</v>
      </c>
      <c r="E270" t="s">
        <v>71</v>
      </c>
      <c r="F270" t="s">
        <v>25</v>
      </c>
      <c r="G270" t="s">
        <v>20</v>
      </c>
      <c r="H270" t="s">
        <v>39</v>
      </c>
      <c r="I270">
        <v>4</v>
      </c>
      <c r="J270">
        <v>0.25</v>
      </c>
      <c r="K270">
        <v>516.13</v>
      </c>
      <c r="L270">
        <v>9.5</v>
      </c>
      <c r="M270" t="s">
        <v>2471</v>
      </c>
      <c r="N270" t="s">
        <v>2467</v>
      </c>
      <c r="O270" t="s">
        <v>2461</v>
      </c>
      <c r="P270">
        <v>112.09</v>
      </c>
      <c r="Q270">
        <v>192.47</v>
      </c>
      <c r="R270">
        <v>448.36</v>
      </c>
      <c r="S270">
        <v>58.269999999999982</v>
      </c>
      <c r="T270">
        <v>0.1128979133164125</v>
      </c>
      <c r="U270" s="1">
        <v>45352</v>
      </c>
      <c r="V270" t="s">
        <v>2501</v>
      </c>
      <c r="W270">
        <v>2024</v>
      </c>
    </row>
    <row r="271" spans="1:23" x14ac:dyDescent="0.25">
      <c r="A271" t="s">
        <v>318</v>
      </c>
      <c r="B271" s="1">
        <v>45991</v>
      </c>
      <c r="C271" s="1">
        <v>45997</v>
      </c>
      <c r="D271" t="s">
        <v>13</v>
      </c>
      <c r="E271" t="s">
        <v>36</v>
      </c>
      <c r="F271" t="s">
        <v>25</v>
      </c>
      <c r="G271" t="s">
        <v>16</v>
      </c>
      <c r="H271" t="s">
        <v>17</v>
      </c>
      <c r="I271">
        <v>3</v>
      </c>
      <c r="J271">
        <v>0.25</v>
      </c>
      <c r="K271">
        <v>390.74</v>
      </c>
      <c r="L271">
        <v>4.95</v>
      </c>
      <c r="M271" t="s">
        <v>2472</v>
      </c>
      <c r="N271" t="s">
        <v>2467</v>
      </c>
      <c r="O271" t="s">
        <v>2468</v>
      </c>
      <c r="P271">
        <v>63.69</v>
      </c>
      <c r="Q271">
        <v>125.5</v>
      </c>
      <c r="R271">
        <v>191.07</v>
      </c>
      <c r="S271">
        <v>194.72000000000003</v>
      </c>
      <c r="T271">
        <v>0.49833648973742134</v>
      </c>
      <c r="U271" s="1">
        <v>45962</v>
      </c>
      <c r="V271" t="s">
        <v>2501</v>
      </c>
      <c r="W271">
        <v>2025</v>
      </c>
    </row>
    <row r="272" spans="1:23" x14ac:dyDescent="0.25">
      <c r="A272" t="s">
        <v>319</v>
      </c>
      <c r="B272" s="1">
        <v>45591</v>
      </c>
      <c r="C272" s="1">
        <v>45592</v>
      </c>
      <c r="D272" t="s">
        <v>32</v>
      </c>
      <c r="E272" t="s">
        <v>33</v>
      </c>
      <c r="F272" t="s">
        <v>15</v>
      </c>
      <c r="G272" t="s">
        <v>16</v>
      </c>
      <c r="H272" t="s">
        <v>60</v>
      </c>
      <c r="I272">
        <v>1</v>
      </c>
      <c r="J272">
        <v>0</v>
      </c>
      <c r="K272">
        <v>123.53</v>
      </c>
      <c r="L272">
        <v>5.75</v>
      </c>
      <c r="M272" t="s">
        <v>2469</v>
      </c>
      <c r="N272" t="s">
        <v>2467</v>
      </c>
      <c r="O272" t="s">
        <v>2468</v>
      </c>
      <c r="P272">
        <v>54.95</v>
      </c>
      <c r="Q272">
        <v>112.56</v>
      </c>
      <c r="R272">
        <v>54.95</v>
      </c>
      <c r="S272">
        <v>62.83</v>
      </c>
      <c r="T272">
        <v>0.50862138751720232</v>
      </c>
      <c r="U272" s="1">
        <v>45566</v>
      </c>
      <c r="V272" t="s">
        <v>2499</v>
      </c>
      <c r="W272">
        <v>2024</v>
      </c>
    </row>
    <row r="273" spans="1:23" x14ac:dyDescent="0.25">
      <c r="A273" t="s">
        <v>320</v>
      </c>
      <c r="B273" s="1">
        <v>45986</v>
      </c>
      <c r="C273" s="1">
        <v>45992</v>
      </c>
      <c r="D273" t="s">
        <v>32</v>
      </c>
      <c r="E273" t="s">
        <v>33</v>
      </c>
      <c r="F273" t="s">
        <v>15</v>
      </c>
      <c r="G273" t="s">
        <v>20</v>
      </c>
      <c r="H273" t="s">
        <v>65</v>
      </c>
      <c r="I273">
        <v>1</v>
      </c>
      <c r="J273">
        <v>0.2</v>
      </c>
      <c r="K273">
        <v>312.44</v>
      </c>
      <c r="L273">
        <v>4.08</v>
      </c>
      <c r="M273" t="s">
        <v>2457</v>
      </c>
      <c r="N273" t="s">
        <v>2458</v>
      </c>
      <c r="O273" t="s">
        <v>2459</v>
      </c>
      <c r="P273">
        <v>173.56</v>
      </c>
      <c r="Q273">
        <v>286.14999999999998</v>
      </c>
      <c r="R273">
        <v>173.56</v>
      </c>
      <c r="S273">
        <v>134.79999999999998</v>
      </c>
      <c r="T273">
        <v>0.4314428370247087</v>
      </c>
      <c r="U273" s="1">
        <v>45962</v>
      </c>
      <c r="V273" t="s">
        <v>2500</v>
      </c>
      <c r="W273">
        <v>2025</v>
      </c>
    </row>
    <row r="274" spans="1:23" x14ac:dyDescent="0.25">
      <c r="A274" t="s">
        <v>321</v>
      </c>
      <c r="B274" s="1">
        <v>45813</v>
      </c>
      <c r="C274" s="1">
        <v>45818</v>
      </c>
      <c r="D274" t="s">
        <v>13</v>
      </c>
      <c r="E274" t="s">
        <v>19</v>
      </c>
      <c r="F274" t="s">
        <v>25</v>
      </c>
      <c r="G274" t="s">
        <v>20</v>
      </c>
      <c r="H274" t="s">
        <v>37</v>
      </c>
      <c r="I274">
        <v>4</v>
      </c>
      <c r="J274">
        <v>0</v>
      </c>
      <c r="K274">
        <v>451.72</v>
      </c>
      <c r="L274">
        <v>8.2200000000000006</v>
      </c>
      <c r="M274" t="s">
        <v>2464</v>
      </c>
      <c r="N274" t="s">
        <v>2458</v>
      </c>
      <c r="O274" t="s">
        <v>2465</v>
      </c>
      <c r="P274">
        <v>63.6</v>
      </c>
      <c r="Q274">
        <v>107.94</v>
      </c>
      <c r="R274">
        <v>254.4</v>
      </c>
      <c r="S274">
        <v>189.10000000000002</v>
      </c>
      <c r="T274">
        <v>0.41862215531745334</v>
      </c>
      <c r="U274" s="1">
        <v>45809</v>
      </c>
      <c r="V274" t="s">
        <v>2499</v>
      </c>
      <c r="W274">
        <v>2025</v>
      </c>
    </row>
    <row r="275" spans="1:23" x14ac:dyDescent="0.25">
      <c r="A275" t="s">
        <v>322</v>
      </c>
      <c r="B275" s="1">
        <v>45693</v>
      </c>
      <c r="C275" s="1">
        <v>45696</v>
      </c>
      <c r="D275" t="s">
        <v>47</v>
      </c>
      <c r="E275" t="s">
        <v>48</v>
      </c>
      <c r="F275" t="s">
        <v>15</v>
      </c>
      <c r="G275" t="s">
        <v>20</v>
      </c>
      <c r="H275" t="s">
        <v>53</v>
      </c>
      <c r="I275">
        <v>3</v>
      </c>
      <c r="J275">
        <v>0</v>
      </c>
      <c r="K275">
        <v>144.91999999999999</v>
      </c>
      <c r="L275">
        <v>8.25</v>
      </c>
      <c r="M275" t="s">
        <v>2470</v>
      </c>
      <c r="N275" t="s">
        <v>2467</v>
      </c>
      <c r="O275" t="s">
        <v>2459</v>
      </c>
      <c r="P275">
        <v>31.34</v>
      </c>
      <c r="Q275">
        <v>56.49</v>
      </c>
      <c r="R275">
        <v>94.02</v>
      </c>
      <c r="S275">
        <v>42.649999999999991</v>
      </c>
      <c r="T275">
        <v>0.29430030361578796</v>
      </c>
      <c r="U275" s="1">
        <v>45689</v>
      </c>
      <c r="V275" t="s">
        <v>2499</v>
      </c>
      <c r="W275">
        <v>2025</v>
      </c>
    </row>
    <row r="276" spans="1:23" x14ac:dyDescent="0.25">
      <c r="A276" t="s">
        <v>323</v>
      </c>
      <c r="B276" s="1">
        <v>45923</v>
      </c>
      <c r="C276" s="1">
        <v>45929</v>
      </c>
      <c r="D276" t="s">
        <v>47</v>
      </c>
      <c r="E276" t="s">
        <v>50</v>
      </c>
      <c r="F276" t="s">
        <v>25</v>
      </c>
      <c r="G276" t="s">
        <v>20</v>
      </c>
      <c r="H276" t="s">
        <v>60</v>
      </c>
      <c r="I276">
        <v>2</v>
      </c>
      <c r="J276">
        <v>0.2</v>
      </c>
      <c r="K276">
        <v>186.26</v>
      </c>
      <c r="L276">
        <v>7</v>
      </c>
      <c r="M276" t="s">
        <v>2469</v>
      </c>
      <c r="N276" t="s">
        <v>2467</v>
      </c>
      <c r="O276" t="s">
        <v>2468</v>
      </c>
      <c r="P276">
        <v>54.95</v>
      </c>
      <c r="Q276">
        <v>112.56</v>
      </c>
      <c r="R276">
        <v>109.9</v>
      </c>
      <c r="S276">
        <v>69.359999999999985</v>
      </c>
      <c r="T276">
        <v>0.37238269086223552</v>
      </c>
      <c r="U276" s="1">
        <v>45901</v>
      </c>
      <c r="V276" t="s">
        <v>2500</v>
      </c>
      <c r="W276">
        <v>2025</v>
      </c>
    </row>
    <row r="277" spans="1:23" x14ac:dyDescent="0.25">
      <c r="A277" t="s">
        <v>324</v>
      </c>
      <c r="B277" s="1">
        <v>45504</v>
      </c>
      <c r="C277" s="1">
        <v>45505</v>
      </c>
      <c r="D277" t="s">
        <v>32</v>
      </c>
      <c r="E277" t="s">
        <v>33</v>
      </c>
      <c r="F277" t="s">
        <v>25</v>
      </c>
      <c r="G277" t="s">
        <v>16</v>
      </c>
      <c r="H277" t="s">
        <v>21</v>
      </c>
      <c r="I277">
        <v>3</v>
      </c>
      <c r="J277">
        <v>0</v>
      </c>
      <c r="K277">
        <v>295.58</v>
      </c>
      <c r="L277">
        <v>6.84</v>
      </c>
      <c r="M277" t="s">
        <v>2462</v>
      </c>
      <c r="N277" t="s">
        <v>2458</v>
      </c>
      <c r="O277" t="s">
        <v>2463</v>
      </c>
      <c r="P277">
        <v>71.489999999999995</v>
      </c>
      <c r="Q277">
        <v>112.88</v>
      </c>
      <c r="R277">
        <v>214.46999999999997</v>
      </c>
      <c r="S277">
        <v>74.27000000000001</v>
      </c>
      <c r="T277">
        <v>0.25126869206306252</v>
      </c>
      <c r="U277" s="1">
        <v>45474</v>
      </c>
      <c r="V277" t="s">
        <v>2499</v>
      </c>
      <c r="W277">
        <v>2024</v>
      </c>
    </row>
    <row r="278" spans="1:23" x14ac:dyDescent="0.25">
      <c r="A278" t="s">
        <v>325</v>
      </c>
      <c r="B278" s="1">
        <v>45749</v>
      </c>
      <c r="C278" s="1">
        <v>45751</v>
      </c>
      <c r="D278" t="s">
        <v>47</v>
      </c>
      <c r="E278" t="s">
        <v>48</v>
      </c>
      <c r="F278" t="s">
        <v>25</v>
      </c>
      <c r="G278" t="s">
        <v>16</v>
      </c>
      <c r="H278" t="s">
        <v>21</v>
      </c>
      <c r="I278">
        <v>4</v>
      </c>
      <c r="J278">
        <v>0.05</v>
      </c>
      <c r="K278">
        <v>427.15</v>
      </c>
      <c r="L278">
        <v>13.7</v>
      </c>
      <c r="M278" t="s">
        <v>2462</v>
      </c>
      <c r="N278" t="s">
        <v>2458</v>
      </c>
      <c r="O278" t="s">
        <v>2463</v>
      </c>
      <c r="P278">
        <v>71.489999999999995</v>
      </c>
      <c r="Q278">
        <v>112.88</v>
      </c>
      <c r="R278">
        <v>285.95999999999998</v>
      </c>
      <c r="S278">
        <v>127.49</v>
      </c>
      <c r="T278">
        <v>0.29846658082640759</v>
      </c>
      <c r="U278" s="1">
        <v>45748</v>
      </c>
      <c r="V278" t="s">
        <v>2498</v>
      </c>
      <c r="W278">
        <v>2025</v>
      </c>
    </row>
    <row r="279" spans="1:23" x14ac:dyDescent="0.25">
      <c r="A279" t="s">
        <v>326</v>
      </c>
      <c r="B279" s="1">
        <v>45663</v>
      </c>
      <c r="C279" s="1">
        <v>45668</v>
      </c>
      <c r="D279" t="s">
        <v>47</v>
      </c>
      <c r="E279" t="s">
        <v>48</v>
      </c>
      <c r="F279" t="s">
        <v>29</v>
      </c>
      <c r="G279" t="s">
        <v>20</v>
      </c>
      <c r="H279" t="s">
        <v>37</v>
      </c>
      <c r="I279">
        <v>1</v>
      </c>
      <c r="J279">
        <v>0</v>
      </c>
      <c r="K279">
        <v>92.61</v>
      </c>
      <c r="L279">
        <v>4.08</v>
      </c>
      <c r="M279" t="s">
        <v>2464</v>
      </c>
      <c r="N279" t="s">
        <v>2458</v>
      </c>
      <c r="O279" t="s">
        <v>2465</v>
      </c>
      <c r="P279">
        <v>63.6</v>
      </c>
      <c r="Q279">
        <v>107.94</v>
      </c>
      <c r="R279">
        <v>63.6</v>
      </c>
      <c r="S279">
        <v>24.93</v>
      </c>
      <c r="T279">
        <v>0.26919339164237122</v>
      </c>
      <c r="U279" s="1">
        <v>45658</v>
      </c>
      <c r="V279" t="s">
        <v>2499</v>
      </c>
      <c r="W279">
        <v>2025</v>
      </c>
    </row>
    <row r="280" spans="1:23" x14ac:dyDescent="0.25">
      <c r="A280" t="s">
        <v>327</v>
      </c>
      <c r="B280" s="1">
        <v>45916</v>
      </c>
      <c r="C280" s="1">
        <v>45919</v>
      </c>
      <c r="D280" t="s">
        <v>13</v>
      </c>
      <c r="E280" t="s">
        <v>36</v>
      </c>
      <c r="F280" t="s">
        <v>29</v>
      </c>
      <c r="G280" t="s">
        <v>26</v>
      </c>
      <c r="H280" t="s">
        <v>68</v>
      </c>
      <c r="I280">
        <v>1</v>
      </c>
      <c r="J280">
        <v>0.05</v>
      </c>
      <c r="K280">
        <v>50.22</v>
      </c>
      <c r="L280">
        <v>3.45</v>
      </c>
      <c r="M280" t="s">
        <v>2466</v>
      </c>
      <c r="N280" t="s">
        <v>2467</v>
      </c>
      <c r="O280" t="s">
        <v>2468</v>
      </c>
      <c r="P280">
        <v>25.33</v>
      </c>
      <c r="Q280">
        <v>51.56</v>
      </c>
      <c r="R280">
        <v>25.33</v>
      </c>
      <c r="S280">
        <v>21.44</v>
      </c>
      <c r="T280">
        <v>0.42692154520111514</v>
      </c>
      <c r="U280" s="1">
        <v>45901</v>
      </c>
      <c r="V280" t="s">
        <v>2498</v>
      </c>
      <c r="W280">
        <v>2025</v>
      </c>
    </row>
    <row r="281" spans="1:23" x14ac:dyDescent="0.25">
      <c r="A281" t="s">
        <v>328</v>
      </c>
      <c r="B281" s="1">
        <v>46002</v>
      </c>
      <c r="C281" s="1">
        <v>46004</v>
      </c>
      <c r="D281" t="s">
        <v>23</v>
      </c>
      <c r="E281" t="s">
        <v>24</v>
      </c>
      <c r="F281" t="s">
        <v>15</v>
      </c>
      <c r="G281" t="s">
        <v>20</v>
      </c>
      <c r="H281" t="s">
        <v>21</v>
      </c>
      <c r="I281">
        <v>1</v>
      </c>
      <c r="J281">
        <v>0</v>
      </c>
      <c r="K281">
        <v>153.72</v>
      </c>
      <c r="L281">
        <v>4.08</v>
      </c>
      <c r="M281" t="s">
        <v>2462</v>
      </c>
      <c r="N281" t="s">
        <v>2458</v>
      </c>
      <c r="O281" t="s">
        <v>2463</v>
      </c>
      <c r="P281">
        <v>71.489999999999995</v>
      </c>
      <c r="Q281">
        <v>112.88</v>
      </c>
      <c r="R281">
        <v>71.489999999999995</v>
      </c>
      <c r="S281">
        <v>78.150000000000006</v>
      </c>
      <c r="T281">
        <v>0.50839188134270108</v>
      </c>
      <c r="U281" s="1">
        <v>45992</v>
      </c>
      <c r="V281" t="s">
        <v>2499</v>
      </c>
      <c r="W281">
        <v>2025</v>
      </c>
    </row>
    <row r="282" spans="1:23" x14ac:dyDescent="0.25">
      <c r="A282" t="s">
        <v>329</v>
      </c>
      <c r="B282" s="1">
        <v>45765</v>
      </c>
      <c r="C282" s="1">
        <v>45770</v>
      </c>
      <c r="D282" t="s">
        <v>13</v>
      </c>
      <c r="E282" t="s">
        <v>19</v>
      </c>
      <c r="F282" t="s">
        <v>15</v>
      </c>
      <c r="G282" t="s">
        <v>16</v>
      </c>
      <c r="H282" t="s">
        <v>21</v>
      </c>
      <c r="I282">
        <v>1</v>
      </c>
      <c r="J282">
        <v>0</v>
      </c>
      <c r="K282">
        <v>109.51</v>
      </c>
      <c r="L282">
        <v>4.08</v>
      </c>
      <c r="M282" t="s">
        <v>2462</v>
      </c>
      <c r="N282" t="s">
        <v>2458</v>
      </c>
      <c r="O282" t="s">
        <v>2463</v>
      </c>
      <c r="P282">
        <v>71.489999999999995</v>
      </c>
      <c r="Q282">
        <v>112.88</v>
      </c>
      <c r="R282">
        <v>71.489999999999995</v>
      </c>
      <c r="S282">
        <v>33.940000000000012</v>
      </c>
      <c r="T282">
        <v>0.30992603415213232</v>
      </c>
      <c r="U282" s="1">
        <v>45748</v>
      </c>
      <c r="V282" t="s">
        <v>2499</v>
      </c>
      <c r="W282">
        <v>2025</v>
      </c>
    </row>
    <row r="283" spans="1:23" x14ac:dyDescent="0.25">
      <c r="A283" t="s">
        <v>330</v>
      </c>
      <c r="B283" s="1">
        <v>45371</v>
      </c>
      <c r="C283" s="1">
        <v>45376</v>
      </c>
      <c r="D283" t="s">
        <v>23</v>
      </c>
      <c r="E283" t="s">
        <v>43</v>
      </c>
      <c r="F283" t="s">
        <v>25</v>
      </c>
      <c r="G283" t="s">
        <v>16</v>
      </c>
      <c r="H283" t="s">
        <v>87</v>
      </c>
      <c r="I283">
        <v>14</v>
      </c>
      <c r="J283">
        <v>0</v>
      </c>
      <c r="K283">
        <v>107.62</v>
      </c>
      <c r="L283">
        <v>6.48</v>
      </c>
      <c r="M283" t="s">
        <v>2476</v>
      </c>
      <c r="N283" t="s">
        <v>2474</v>
      </c>
      <c r="O283" t="s">
        <v>2459</v>
      </c>
      <c r="P283">
        <v>4.5</v>
      </c>
      <c r="Q283">
        <v>8.2899999999999991</v>
      </c>
      <c r="R283">
        <v>63</v>
      </c>
      <c r="S283">
        <v>38.14</v>
      </c>
      <c r="T283">
        <v>0.35439509384872697</v>
      </c>
      <c r="U283" s="1">
        <v>45352</v>
      </c>
      <c r="V283" t="s">
        <v>2499</v>
      </c>
      <c r="W283">
        <v>2024</v>
      </c>
    </row>
    <row r="284" spans="1:23" x14ac:dyDescent="0.25">
      <c r="A284" t="s">
        <v>331</v>
      </c>
      <c r="B284" s="1">
        <v>45412</v>
      </c>
      <c r="C284" s="1">
        <v>45415</v>
      </c>
      <c r="D284" t="s">
        <v>13</v>
      </c>
      <c r="E284" t="s">
        <v>36</v>
      </c>
      <c r="F284" t="s">
        <v>25</v>
      </c>
      <c r="G284" t="s">
        <v>26</v>
      </c>
      <c r="H284" t="s">
        <v>21</v>
      </c>
      <c r="I284">
        <v>2</v>
      </c>
      <c r="J284">
        <v>0.15</v>
      </c>
      <c r="K284">
        <v>195.12</v>
      </c>
      <c r="L284">
        <v>5.46</v>
      </c>
      <c r="M284" t="s">
        <v>2462</v>
      </c>
      <c r="N284" t="s">
        <v>2458</v>
      </c>
      <c r="O284" t="s">
        <v>2463</v>
      </c>
      <c r="P284">
        <v>71.489999999999995</v>
      </c>
      <c r="Q284">
        <v>112.88</v>
      </c>
      <c r="R284">
        <v>142.97999999999999</v>
      </c>
      <c r="S284">
        <v>46.680000000000014</v>
      </c>
      <c r="T284">
        <v>0.2392373923739238</v>
      </c>
      <c r="U284" s="1">
        <v>45383</v>
      </c>
      <c r="V284" t="s">
        <v>2500</v>
      </c>
      <c r="W284">
        <v>2024</v>
      </c>
    </row>
    <row r="285" spans="1:23" x14ac:dyDescent="0.25">
      <c r="A285" t="s">
        <v>332</v>
      </c>
      <c r="B285" s="1">
        <v>45927</v>
      </c>
      <c r="C285" s="1">
        <v>45930</v>
      </c>
      <c r="D285" t="s">
        <v>47</v>
      </c>
      <c r="E285" t="s">
        <v>71</v>
      </c>
      <c r="F285" t="s">
        <v>25</v>
      </c>
      <c r="G285" t="s">
        <v>26</v>
      </c>
      <c r="H285" t="s">
        <v>37</v>
      </c>
      <c r="I285">
        <v>2</v>
      </c>
      <c r="J285">
        <v>0</v>
      </c>
      <c r="K285">
        <v>228.54</v>
      </c>
      <c r="L285">
        <v>5.46</v>
      </c>
      <c r="M285" t="s">
        <v>2464</v>
      </c>
      <c r="N285" t="s">
        <v>2458</v>
      </c>
      <c r="O285" t="s">
        <v>2465</v>
      </c>
      <c r="P285">
        <v>63.6</v>
      </c>
      <c r="Q285">
        <v>107.94</v>
      </c>
      <c r="R285">
        <v>127.2</v>
      </c>
      <c r="S285">
        <v>95.88</v>
      </c>
      <c r="T285">
        <v>0.41953268574428981</v>
      </c>
      <c r="U285" s="1">
        <v>45901</v>
      </c>
      <c r="V285" t="s">
        <v>2499</v>
      </c>
      <c r="W285">
        <v>2025</v>
      </c>
    </row>
    <row r="286" spans="1:23" x14ac:dyDescent="0.25">
      <c r="A286" t="s">
        <v>333</v>
      </c>
      <c r="B286" s="1">
        <v>45876</v>
      </c>
      <c r="C286" s="1">
        <v>45880</v>
      </c>
      <c r="D286" t="s">
        <v>47</v>
      </c>
      <c r="E286" t="s">
        <v>71</v>
      </c>
      <c r="F286" t="s">
        <v>25</v>
      </c>
      <c r="G286" t="s">
        <v>16</v>
      </c>
      <c r="H286" t="s">
        <v>51</v>
      </c>
      <c r="I286">
        <v>6</v>
      </c>
      <c r="J286">
        <v>0.2</v>
      </c>
      <c r="K286">
        <v>65.489999999999995</v>
      </c>
      <c r="L286">
        <v>4.32</v>
      </c>
      <c r="M286" t="s">
        <v>2475</v>
      </c>
      <c r="N286" t="s">
        <v>2474</v>
      </c>
      <c r="O286" t="s">
        <v>2463</v>
      </c>
      <c r="P286">
        <v>7.93</v>
      </c>
      <c r="Q286">
        <v>14.78</v>
      </c>
      <c r="R286">
        <v>47.58</v>
      </c>
      <c r="S286">
        <v>13.589999999999996</v>
      </c>
      <c r="T286">
        <v>0.20751259734310579</v>
      </c>
      <c r="U286" s="1">
        <v>45870</v>
      </c>
      <c r="V286" t="s">
        <v>2500</v>
      </c>
      <c r="W286">
        <v>2025</v>
      </c>
    </row>
    <row r="287" spans="1:23" x14ac:dyDescent="0.25">
      <c r="A287" t="s">
        <v>334</v>
      </c>
      <c r="B287" s="1">
        <v>45779</v>
      </c>
      <c r="C287" s="1">
        <v>45785</v>
      </c>
      <c r="D287" t="s">
        <v>47</v>
      </c>
      <c r="E287" t="s">
        <v>50</v>
      </c>
      <c r="F287" t="s">
        <v>25</v>
      </c>
      <c r="G287" t="s">
        <v>16</v>
      </c>
      <c r="H287" t="s">
        <v>27</v>
      </c>
      <c r="I287">
        <v>11</v>
      </c>
      <c r="J287">
        <v>0</v>
      </c>
      <c r="K287">
        <v>322.87</v>
      </c>
      <c r="L287">
        <v>5.67</v>
      </c>
      <c r="M287" t="s">
        <v>2478</v>
      </c>
      <c r="N287" t="s">
        <v>2474</v>
      </c>
      <c r="O287" t="s">
        <v>2463</v>
      </c>
      <c r="P287">
        <v>16.760000000000002</v>
      </c>
      <c r="Q287">
        <v>27.71</v>
      </c>
      <c r="R287">
        <v>184.36</v>
      </c>
      <c r="S287">
        <v>132.84</v>
      </c>
      <c r="T287">
        <v>0.41143494285625792</v>
      </c>
      <c r="U287" s="1">
        <v>45778</v>
      </c>
      <c r="V287" t="s">
        <v>2499</v>
      </c>
      <c r="W287">
        <v>2025</v>
      </c>
    </row>
    <row r="288" spans="1:23" x14ac:dyDescent="0.25">
      <c r="A288" t="s">
        <v>335</v>
      </c>
      <c r="B288" s="1">
        <v>45386</v>
      </c>
      <c r="C288" s="1">
        <v>45387</v>
      </c>
      <c r="D288" t="s">
        <v>47</v>
      </c>
      <c r="E288" t="s">
        <v>50</v>
      </c>
      <c r="F288" t="s">
        <v>25</v>
      </c>
      <c r="G288" t="s">
        <v>26</v>
      </c>
      <c r="H288" t="s">
        <v>63</v>
      </c>
      <c r="I288">
        <v>6</v>
      </c>
      <c r="J288">
        <v>0.2</v>
      </c>
      <c r="K288">
        <v>59.01</v>
      </c>
      <c r="L288">
        <v>7.2</v>
      </c>
      <c r="M288" t="s">
        <v>2477</v>
      </c>
      <c r="N288" t="s">
        <v>2474</v>
      </c>
      <c r="O288" t="s">
        <v>2468</v>
      </c>
      <c r="P288">
        <v>6.33</v>
      </c>
      <c r="Q288">
        <v>12.16</v>
      </c>
      <c r="R288">
        <v>37.980000000000004</v>
      </c>
      <c r="S288">
        <v>13.829999999999995</v>
      </c>
      <c r="T288">
        <v>0.2343670564311133</v>
      </c>
      <c r="U288" s="1">
        <v>45383</v>
      </c>
      <c r="V288" t="s">
        <v>2500</v>
      </c>
      <c r="W288">
        <v>2024</v>
      </c>
    </row>
    <row r="289" spans="1:23" x14ac:dyDescent="0.25">
      <c r="A289" t="s">
        <v>336</v>
      </c>
      <c r="B289" s="1">
        <v>45782</v>
      </c>
      <c r="C289" s="1">
        <v>45784</v>
      </c>
      <c r="D289" t="s">
        <v>32</v>
      </c>
      <c r="E289" t="s">
        <v>45</v>
      </c>
      <c r="F289" t="s">
        <v>29</v>
      </c>
      <c r="G289" t="s">
        <v>16</v>
      </c>
      <c r="H289" t="s">
        <v>87</v>
      </c>
      <c r="I289">
        <v>5</v>
      </c>
      <c r="J289">
        <v>0</v>
      </c>
      <c r="K289">
        <v>40.35</v>
      </c>
      <c r="L289">
        <v>4.05</v>
      </c>
      <c r="M289" t="s">
        <v>2476</v>
      </c>
      <c r="N289" t="s">
        <v>2474</v>
      </c>
      <c r="O289" t="s">
        <v>2459</v>
      </c>
      <c r="P289">
        <v>4.5</v>
      </c>
      <c r="Q289">
        <v>8.2899999999999991</v>
      </c>
      <c r="R289">
        <v>22.5</v>
      </c>
      <c r="S289">
        <v>13.8</v>
      </c>
      <c r="T289">
        <v>0.34200743494423791</v>
      </c>
      <c r="U289" s="1">
        <v>45778</v>
      </c>
      <c r="V289" t="s">
        <v>2499</v>
      </c>
      <c r="W289">
        <v>2025</v>
      </c>
    </row>
    <row r="290" spans="1:23" x14ac:dyDescent="0.25">
      <c r="A290" t="s">
        <v>337</v>
      </c>
      <c r="B290" s="1">
        <v>45446</v>
      </c>
      <c r="C290" s="1">
        <v>45451</v>
      </c>
      <c r="D290" t="s">
        <v>13</v>
      </c>
      <c r="E290" t="s">
        <v>14</v>
      </c>
      <c r="F290" t="s">
        <v>15</v>
      </c>
      <c r="G290" t="s">
        <v>16</v>
      </c>
      <c r="H290" t="s">
        <v>53</v>
      </c>
      <c r="I290">
        <v>4</v>
      </c>
      <c r="J290">
        <v>0</v>
      </c>
      <c r="K290">
        <v>248.09</v>
      </c>
      <c r="L290">
        <v>5.7</v>
      </c>
      <c r="M290" t="s">
        <v>2470</v>
      </c>
      <c r="N290" t="s">
        <v>2467</v>
      </c>
      <c r="O290" t="s">
        <v>2459</v>
      </c>
      <c r="P290">
        <v>31.34</v>
      </c>
      <c r="Q290">
        <v>56.49</v>
      </c>
      <c r="R290">
        <v>125.36</v>
      </c>
      <c r="S290">
        <v>117.03</v>
      </c>
      <c r="T290">
        <v>0.47172397113950582</v>
      </c>
      <c r="U290" s="1">
        <v>45444</v>
      </c>
      <c r="V290" t="s">
        <v>2499</v>
      </c>
      <c r="W290">
        <v>2024</v>
      </c>
    </row>
    <row r="291" spans="1:23" x14ac:dyDescent="0.25">
      <c r="A291" t="s">
        <v>338</v>
      </c>
      <c r="B291" s="1">
        <v>45440</v>
      </c>
      <c r="C291" s="1">
        <v>45444</v>
      </c>
      <c r="D291" t="s">
        <v>23</v>
      </c>
      <c r="E291" t="s">
        <v>43</v>
      </c>
      <c r="F291" t="s">
        <v>25</v>
      </c>
      <c r="G291" t="s">
        <v>26</v>
      </c>
      <c r="H291" t="s">
        <v>63</v>
      </c>
      <c r="I291">
        <v>13</v>
      </c>
      <c r="J291">
        <v>0</v>
      </c>
      <c r="K291">
        <v>169.94</v>
      </c>
      <c r="L291">
        <v>6.21</v>
      </c>
      <c r="M291" t="s">
        <v>2477</v>
      </c>
      <c r="N291" t="s">
        <v>2474</v>
      </c>
      <c r="O291" t="s">
        <v>2468</v>
      </c>
      <c r="P291">
        <v>6.33</v>
      </c>
      <c r="Q291">
        <v>12.16</v>
      </c>
      <c r="R291">
        <v>82.29</v>
      </c>
      <c r="S291">
        <v>81.44</v>
      </c>
      <c r="T291">
        <v>0.47922796281040364</v>
      </c>
      <c r="U291" s="1">
        <v>45413</v>
      </c>
      <c r="V291" t="s">
        <v>2499</v>
      </c>
      <c r="W291">
        <v>2024</v>
      </c>
    </row>
    <row r="292" spans="1:23" x14ac:dyDescent="0.25">
      <c r="A292" t="s">
        <v>339</v>
      </c>
      <c r="B292" s="1">
        <v>45610</v>
      </c>
      <c r="C292" s="1">
        <v>45611</v>
      </c>
      <c r="D292" t="s">
        <v>13</v>
      </c>
      <c r="E292" t="s">
        <v>36</v>
      </c>
      <c r="F292" t="s">
        <v>25</v>
      </c>
      <c r="G292" t="s">
        <v>16</v>
      </c>
      <c r="H292" t="s">
        <v>21</v>
      </c>
      <c r="I292">
        <v>2</v>
      </c>
      <c r="J292">
        <v>0.05</v>
      </c>
      <c r="K292">
        <v>281.49</v>
      </c>
      <c r="L292">
        <v>5.46</v>
      </c>
      <c r="M292" t="s">
        <v>2462</v>
      </c>
      <c r="N292" t="s">
        <v>2458</v>
      </c>
      <c r="O292" t="s">
        <v>2463</v>
      </c>
      <c r="P292">
        <v>71.489999999999995</v>
      </c>
      <c r="Q292">
        <v>112.88</v>
      </c>
      <c r="R292">
        <v>142.97999999999999</v>
      </c>
      <c r="S292">
        <v>133.05000000000001</v>
      </c>
      <c r="T292">
        <v>0.47266332729404242</v>
      </c>
      <c r="U292" s="1">
        <v>45597</v>
      </c>
      <c r="V292" t="s">
        <v>2498</v>
      </c>
      <c r="W292">
        <v>2024</v>
      </c>
    </row>
    <row r="293" spans="1:23" x14ac:dyDescent="0.25">
      <c r="A293" t="s">
        <v>340</v>
      </c>
      <c r="B293" s="1">
        <v>45350</v>
      </c>
      <c r="C293" s="1">
        <v>45355</v>
      </c>
      <c r="D293" t="s">
        <v>32</v>
      </c>
      <c r="E293" t="s">
        <v>33</v>
      </c>
      <c r="F293" t="s">
        <v>29</v>
      </c>
      <c r="G293" t="s">
        <v>20</v>
      </c>
      <c r="H293" t="s">
        <v>27</v>
      </c>
      <c r="I293">
        <v>13</v>
      </c>
      <c r="J293">
        <v>0.15</v>
      </c>
      <c r="K293">
        <v>269.49</v>
      </c>
      <c r="L293">
        <v>6.21</v>
      </c>
      <c r="M293" t="s">
        <v>2478</v>
      </c>
      <c r="N293" t="s">
        <v>2474</v>
      </c>
      <c r="O293" t="s">
        <v>2463</v>
      </c>
      <c r="P293">
        <v>16.760000000000002</v>
      </c>
      <c r="Q293">
        <v>27.71</v>
      </c>
      <c r="R293">
        <v>217.88000000000002</v>
      </c>
      <c r="S293">
        <v>45.399999999999984</v>
      </c>
      <c r="T293">
        <v>0.16846636238821472</v>
      </c>
      <c r="U293" s="1">
        <v>45323</v>
      </c>
      <c r="V293" t="s">
        <v>2500</v>
      </c>
      <c r="W293">
        <v>2024</v>
      </c>
    </row>
    <row r="294" spans="1:23" x14ac:dyDescent="0.25">
      <c r="A294" t="s">
        <v>341</v>
      </c>
      <c r="B294" s="1">
        <v>45358</v>
      </c>
      <c r="C294" s="1">
        <v>45363</v>
      </c>
      <c r="D294" t="s">
        <v>13</v>
      </c>
      <c r="E294" t="s">
        <v>19</v>
      </c>
      <c r="F294" t="s">
        <v>15</v>
      </c>
      <c r="G294" t="s">
        <v>20</v>
      </c>
      <c r="H294" t="s">
        <v>53</v>
      </c>
      <c r="I294">
        <v>1</v>
      </c>
      <c r="J294">
        <v>0.1</v>
      </c>
      <c r="K294">
        <v>50.23</v>
      </c>
      <c r="L294">
        <v>5.75</v>
      </c>
      <c r="M294" t="s">
        <v>2470</v>
      </c>
      <c r="N294" t="s">
        <v>2467</v>
      </c>
      <c r="O294" t="s">
        <v>2459</v>
      </c>
      <c r="P294">
        <v>31.34</v>
      </c>
      <c r="Q294">
        <v>56.49</v>
      </c>
      <c r="R294">
        <v>31.34</v>
      </c>
      <c r="S294">
        <v>13.139999999999997</v>
      </c>
      <c r="T294">
        <v>0.26159665538522792</v>
      </c>
      <c r="U294" s="1">
        <v>45352</v>
      </c>
      <c r="V294" t="s">
        <v>2498</v>
      </c>
      <c r="W294">
        <v>2024</v>
      </c>
    </row>
    <row r="295" spans="1:23" x14ac:dyDescent="0.25">
      <c r="A295" t="s">
        <v>342</v>
      </c>
      <c r="B295" s="1">
        <v>45354</v>
      </c>
      <c r="C295" s="1">
        <v>45356</v>
      </c>
      <c r="D295" t="s">
        <v>32</v>
      </c>
      <c r="E295" t="s">
        <v>45</v>
      </c>
      <c r="F295" t="s">
        <v>25</v>
      </c>
      <c r="G295" t="s">
        <v>20</v>
      </c>
      <c r="H295" t="s">
        <v>65</v>
      </c>
      <c r="I295">
        <v>3</v>
      </c>
      <c r="J295">
        <v>0.1</v>
      </c>
      <c r="K295">
        <v>725.92</v>
      </c>
      <c r="L295">
        <v>6.84</v>
      </c>
      <c r="M295" t="s">
        <v>2457</v>
      </c>
      <c r="N295" t="s">
        <v>2458</v>
      </c>
      <c r="O295" t="s">
        <v>2459</v>
      </c>
      <c r="P295">
        <v>173.56</v>
      </c>
      <c r="Q295">
        <v>286.14999999999998</v>
      </c>
      <c r="R295">
        <v>520.68000000000006</v>
      </c>
      <c r="S295">
        <v>198.39999999999989</v>
      </c>
      <c r="T295">
        <v>0.27330835353757976</v>
      </c>
      <c r="U295" s="1">
        <v>45352</v>
      </c>
      <c r="V295" t="s">
        <v>2498</v>
      </c>
      <c r="W295">
        <v>2024</v>
      </c>
    </row>
    <row r="296" spans="1:23" x14ac:dyDescent="0.25">
      <c r="A296" t="s">
        <v>343</v>
      </c>
      <c r="B296" s="1">
        <v>45514</v>
      </c>
      <c r="C296" s="1">
        <v>45519</v>
      </c>
      <c r="D296" t="s">
        <v>47</v>
      </c>
      <c r="E296" t="s">
        <v>71</v>
      </c>
      <c r="F296" t="s">
        <v>25</v>
      </c>
      <c r="G296" t="s">
        <v>26</v>
      </c>
      <c r="H296" t="s">
        <v>17</v>
      </c>
      <c r="I296">
        <v>4</v>
      </c>
      <c r="J296">
        <v>0</v>
      </c>
      <c r="K296">
        <v>465.66</v>
      </c>
      <c r="L296">
        <v>5.7</v>
      </c>
      <c r="M296" t="s">
        <v>2472</v>
      </c>
      <c r="N296" t="s">
        <v>2467</v>
      </c>
      <c r="O296" t="s">
        <v>2468</v>
      </c>
      <c r="P296">
        <v>63.69</v>
      </c>
      <c r="Q296">
        <v>125.5</v>
      </c>
      <c r="R296">
        <v>254.76</v>
      </c>
      <c r="S296">
        <v>205.20000000000005</v>
      </c>
      <c r="T296">
        <v>0.44066486277541561</v>
      </c>
      <c r="U296" s="1">
        <v>45505</v>
      </c>
      <c r="V296" t="s">
        <v>2499</v>
      </c>
      <c r="W296">
        <v>2024</v>
      </c>
    </row>
    <row r="297" spans="1:23" x14ac:dyDescent="0.25">
      <c r="A297" t="s">
        <v>344</v>
      </c>
      <c r="B297" s="1">
        <v>45717</v>
      </c>
      <c r="C297" s="1">
        <v>45722</v>
      </c>
      <c r="D297" t="s">
        <v>13</v>
      </c>
      <c r="E297" t="s">
        <v>19</v>
      </c>
      <c r="F297" t="s">
        <v>29</v>
      </c>
      <c r="G297" t="s">
        <v>26</v>
      </c>
      <c r="H297" t="s">
        <v>27</v>
      </c>
      <c r="I297">
        <v>6</v>
      </c>
      <c r="J297">
        <v>0.15</v>
      </c>
      <c r="K297">
        <v>129.54</v>
      </c>
      <c r="L297">
        <v>4.32</v>
      </c>
      <c r="M297" t="s">
        <v>2478</v>
      </c>
      <c r="N297" t="s">
        <v>2474</v>
      </c>
      <c r="O297" t="s">
        <v>2463</v>
      </c>
      <c r="P297">
        <v>16.760000000000002</v>
      </c>
      <c r="Q297">
        <v>27.71</v>
      </c>
      <c r="R297">
        <v>100.56</v>
      </c>
      <c r="S297">
        <v>24.659999999999989</v>
      </c>
      <c r="T297">
        <v>0.19036591014358492</v>
      </c>
      <c r="U297" s="1">
        <v>45717</v>
      </c>
      <c r="V297" t="s">
        <v>2500</v>
      </c>
      <c r="W297">
        <v>2025</v>
      </c>
    </row>
    <row r="298" spans="1:23" x14ac:dyDescent="0.25">
      <c r="A298" t="s">
        <v>345</v>
      </c>
      <c r="B298" s="1">
        <v>46019</v>
      </c>
      <c r="C298" s="1">
        <v>46020</v>
      </c>
      <c r="D298" t="s">
        <v>23</v>
      </c>
      <c r="E298" t="s">
        <v>43</v>
      </c>
      <c r="F298" t="s">
        <v>25</v>
      </c>
      <c r="G298" t="s">
        <v>26</v>
      </c>
      <c r="H298" t="s">
        <v>34</v>
      </c>
      <c r="I298">
        <v>2</v>
      </c>
      <c r="J298">
        <v>0</v>
      </c>
      <c r="K298">
        <v>575.03</v>
      </c>
      <c r="L298">
        <v>5.46</v>
      </c>
      <c r="M298" t="s">
        <v>2460</v>
      </c>
      <c r="N298" t="s">
        <v>2458</v>
      </c>
      <c r="O298" t="s">
        <v>2461</v>
      </c>
      <c r="P298">
        <v>119.02</v>
      </c>
      <c r="Q298">
        <v>205.39</v>
      </c>
      <c r="R298">
        <v>238.04</v>
      </c>
      <c r="S298">
        <v>331.53000000000003</v>
      </c>
      <c r="T298">
        <v>0.57654383249569596</v>
      </c>
      <c r="U298" s="1">
        <v>45992</v>
      </c>
      <c r="V298" t="s">
        <v>2499</v>
      </c>
      <c r="W298">
        <v>2025</v>
      </c>
    </row>
    <row r="299" spans="1:23" x14ac:dyDescent="0.25">
      <c r="A299" t="s">
        <v>346</v>
      </c>
      <c r="B299" s="1">
        <v>45493</v>
      </c>
      <c r="C299" s="1">
        <v>45495</v>
      </c>
      <c r="D299" t="s">
        <v>23</v>
      </c>
      <c r="E299" t="s">
        <v>59</v>
      </c>
      <c r="F299" t="s">
        <v>25</v>
      </c>
      <c r="G299" t="s">
        <v>26</v>
      </c>
      <c r="H299" t="s">
        <v>68</v>
      </c>
      <c r="I299">
        <v>2</v>
      </c>
      <c r="J299">
        <v>0.25</v>
      </c>
      <c r="K299">
        <v>69.83</v>
      </c>
      <c r="L299">
        <v>7</v>
      </c>
      <c r="M299" t="s">
        <v>2466</v>
      </c>
      <c r="N299" t="s">
        <v>2467</v>
      </c>
      <c r="O299" t="s">
        <v>2468</v>
      </c>
      <c r="P299">
        <v>25.33</v>
      </c>
      <c r="Q299">
        <v>51.56</v>
      </c>
      <c r="R299">
        <v>50.66</v>
      </c>
      <c r="S299">
        <v>12.170000000000002</v>
      </c>
      <c r="T299">
        <v>0.17428039524559646</v>
      </c>
      <c r="U299" s="1">
        <v>45474</v>
      </c>
      <c r="V299" t="s">
        <v>2501</v>
      </c>
      <c r="W299">
        <v>2024</v>
      </c>
    </row>
    <row r="300" spans="1:23" x14ac:dyDescent="0.25">
      <c r="A300" t="s">
        <v>347</v>
      </c>
      <c r="B300" s="1">
        <v>45343</v>
      </c>
      <c r="C300" s="1">
        <v>45347</v>
      </c>
      <c r="D300" t="s">
        <v>47</v>
      </c>
      <c r="E300" t="s">
        <v>48</v>
      </c>
      <c r="F300" t="s">
        <v>15</v>
      </c>
      <c r="G300" t="s">
        <v>20</v>
      </c>
      <c r="H300" t="s">
        <v>53</v>
      </c>
      <c r="I300">
        <v>3</v>
      </c>
      <c r="J300">
        <v>0</v>
      </c>
      <c r="K300">
        <v>149.63999999999999</v>
      </c>
      <c r="L300">
        <v>4.95</v>
      </c>
      <c r="M300" t="s">
        <v>2470</v>
      </c>
      <c r="N300" t="s">
        <v>2467</v>
      </c>
      <c r="O300" t="s">
        <v>2459</v>
      </c>
      <c r="P300">
        <v>31.34</v>
      </c>
      <c r="Q300">
        <v>56.49</v>
      </c>
      <c r="R300">
        <v>94.02</v>
      </c>
      <c r="S300">
        <v>50.669999999999987</v>
      </c>
      <c r="T300">
        <v>0.33861267040898152</v>
      </c>
      <c r="U300" s="1">
        <v>45323</v>
      </c>
      <c r="V300" t="s">
        <v>2499</v>
      </c>
      <c r="W300">
        <v>2024</v>
      </c>
    </row>
    <row r="301" spans="1:23" x14ac:dyDescent="0.25">
      <c r="A301" t="s">
        <v>348</v>
      </c>
      <c r="B301" s="1">
        <v>45582</v>
      </c>
      <c r="C301" s="1">
        <v>45587</v>
      </c>
      <c r="D301" t="s">
        <v>47</v>
      </c>
      <c r="E301" t="s">
        <v>48</v>
      </c>
      <c r="F301" t="s">
        <v>15</v>
      </c>
      <c r="G301" t="s">
        <v>20</v>
      </c>
      <c r="H301" t="s">
        <v>51</v>
      </c>
      <c r="I301">
        <v>9</v>
      </c>
      <c r="J301">
        <v>0</v>
      </c>
      <c r="K301">
        <v>162.91999999999999</v>
      </c>
      <c r="L301">
        <v>5.13</v>
      </c>
      <c r="M301" t="s">
        <v>2475</v>
      </c>
      <c r="N301" t="s">
        <v>2474</v>
      </c>
      <c r="O301" t="s">
        <v>2463</v>
      </c>
      <c r="P301">
        <v>7.93</v>
      </c>
      <c r="Q301">
        <v>14.78</v>
      </c>
      <c r="R301">
        <v>71.37</v>
      </c>
      <c r="S301">
        <v>86.419999999999987</v>
      </c>
      <c r="T301">
        <v>0.53044438988460596</v>
      </c>
      <c r="U301" s="1">
        <v>45566</v>
      </c>
      <c r="V301" t="s">
        <v>2499</v>
      </c>
      <c r="W301">
        <v>2024</v>
      </c>
    </row>
    <row r="302" spans="1:23" x14ac:dyDescent="0.25">
      <c r="A302" t="s">
        <v>349</v>
      </c>
      <c r="B302" s="1">
        <v>45386</v>
      </c>
      <c r="C302" s="1">
        <v>45391</v>
      </c>
      <c r="D302" t="s">
        <v>47</v>
      </c>
      <c r="E302" t="s">
        <v>71</v>
      </c>
      <c r="F302" t="s">
        <v>25</v>
      </c>
      <c r="G302" t="s">
        <v>20</v>
      </c>
      <c r="H302" t="s">
        <v>39</v>
      </c>
      <c r="I302">
        <v>3</v>
      </c>
      <c r="J302">
        <v>0</v>
      </c>
      <c r="K302">
        <v>561.95000000000005</v>
      </c>
      <c r="L302">
        <v>8.25</v>
      </c>
      <c r="M302" t="s">
        <v>2471</v>
      </c>
      <c r="N302" t="s">
        <v>2467</v>
      </c>
      <c r="O302" t="s">
        <v>2461</v>
      </c>
      <c r="P302">
        <v>112.09</v>
      </c>
      <c r="Q302">
        <v>192.47</v>
      </c>
      <c r="R302">
        <v>336.27</v>
      </c>
      <c r="S302">
        <v>217.43000000000006</v>
      </c>
      <c r="T302">
        <v>0.3869205445324318</v>
      </c>
      <c r="U302" s="1">
        <v>45383</v>
      </c>
      <c r="V302" t="s">
        <v>2499</v>
      </c>
      <c r="W302">
        <v>2024</v>
      </c>
    </row>
    <row r="303" spans="1:23" x14ac:dyDescent="0.25">
      <c r="A303" t="s">
        <v>350</v>
      </c>
      <c r="B303" s="1">
        <v>45923</v>
      </c>
      <c r="C303" s="1">
        <v>45924</v>
      </c>
      <c r="D303" t="s">
        <v>13</v>
      </c>
      <c r="E303" t="s">
        <v>14</v>
      </c>
      <c r="F303" t="s">
        <v>29</v>
      </c>
      <c r="G303" t="s">
        <v>26</v>
      </c>
      <c r="H303" t="s">
        <v>27</v>
      </c>
      <c r="I303">
        <v>12</v>
      </c>
      <c r="J303">
        <v>0.25</v>
      </c>
      <c r="K303">
        <v>270.29000000000002</v>
      </c>
      <c r="L303">
        <v>9.9</v>
      </c>
      <c r="M303" t="s">
        <v>2478</v>
      </c>
      <c r="N303" t="s">
        <v>2474</v>
      </c>
      <c r="O303" t="s">
        <v>2463</v>
      </c>
      <c r="P303">
        <v>16.760000000000002</v>
      </c>
      <c r="Q303">
        <v>27.71</v>
      </c>
      <c r="R303">
        <v>201.12</v>
      </c>
      <c r="S303">
        <v>59.270000000000017</v>
      </c>
      <c r="T303">
        <v>0.21928299234155912</v>
      </c>
      <c r="U303" s="1">
        <v>45901</v>
      </c>
      <c r="V303" t="s">
        <v>2501</v>
      </c>
      <c r="W303">
        <v>2025</v>
      </c>
    </row>
    <row r="304" spans="1:23" x14ac:dyDescent="0.25">
      <c r="A304" t="s">
        <v>351</v>
      </c>
      <c r="B304" s="1">
        <v>45632</v>
      </c>
      <c r="C304" s="1">
        <v>45637</v>
      </c>
      <c r="D304" t="s">
        <v>32</v>
      </c>
      <c r="E304" t="s">
        <v>33</v>
      </c>
      <c r="F304" t="s">
        <v>15</v>
      </c>
      <c r="G304" t="s">
        <v>16</v>
      </c>
      <c r="H304" t="s">
        <v>30</v>
      </c>
      <c r="I304">
        <v>14</v>
      </c>
      <c r="J304">
        <v>0</v>
      </c>
      <c r="K304">
        <v>119.52</v>
      </c>
      <c r="L304">
        <v>10.8</v>
      </c>
      <c r="M304" t="s">
        <v>2473</v>
      </c>
      <c r="N304" t="s">
        <v>2474</v>
      </c>
      <c r="O304" t="s">
        <v>2463</v>
      </c>
      <c r="P304">
        <v>3.62</v>
      </c>
      <c r="Q304">
        <v>6.03</v>
      </c>
      <c r="R304">
        <v>50.68</v>
      </c>
      <c r="S304">
        <v>58.040000000000006</v>
      </c>
      <c r="T304">
        <v>0.48560910307898264</v>
      </c>
      <c r="U304" s="1">
        <v>45627</v>
      </c>
      <c r="V304" t="s">
        <v>2499</v>
      </c>
      <c r="W304">
        <v>2024</v>
      </c>
    </row>
    <row r="305" spans="1:23" x14ac:dyDescent="0.25">
      <c r="A305" t="s">
        <v>352</v>
      </c>
      <c r="B305" s="1">
        <v>45724</v>
      </c>
      <c r="C305" s="1">
        <v>45726</v>
      </c>
      <c r="D305" t="s">
        <v>32</v>
      </c>
      <c r="E305" t="s">
        <v>45</v>
      </c>
      <c r="F305" t="s">
        <v>29</v>
      </c>
      <c r="G305" t="s">
        <v>16</v>
      </c>
      <c r="H305" t="s">
        <v>87</v>
      </c>
      <c r="I305">
        <v>6</v>
      </c>
      <c r="J305">
        <v>0.1</v>
      </c>
      <c r="K305">
        <v>43.52</v>
      </c>
      <c r="L305">
        <v>7.2</v>
      </c>
      <c r="M305" t="s">
        <v>2476</v>
      </c>
      <c r="N305" t="s">
        <v>2474</v>
      </c>
      <c r="O305" t="s">
        <v>2459</v>
      </c>
      <c r="P305">
        <v>4.5</v>
      </c>
      <c r="Q305">
        <v>8.2899999999999991</v>
      </c>
      <c r="R305">
        <v>27</v>
      </c>
      <c r="S305">
        <v>9.3200000000000038</v>
      </c>
      <c r="T305">
        <v>0.21415441176470595</v>
      </c>
      <c r="U305" s="1">
        <v>45717</v>
      </c>
      <c r="V305" t="s">
        <v>2498</v>
      </c>
      <c r="W305">
        <v>2025</v>
      </c>
    </row>
    <row r="306" spans="1:23" x14ac:dyDescent="0.25">
      <c r="A306" t="s">
        <v>353</v>
      </c>
      <c r="B306" s="1">
        <v>45519</v>
      </c>
      <c r="C306" s="1">
        <v>45523</v>
      </c>
      <c r="D306" t="s">
        <v>23</v>
      </c>
      <c r="E306" t="s">
        <v>43</v>
      </c>
      <c r="F306" t="s">
        <v>25</v>
      </c>
      <c r="G306" t="s">
        <v>20</v>
      </c>
      <c r="H306" t="s">
        <v>63</v>
      </c>
      <c r="I306">
        <v>7</v>
      </c>
      <c r="J306">
        <v>0</v>
      </c>
      <c r="K306">
        <v>81.02</v>
      </c>
      <c r="L306">
        <v>4.59</v>
      </c>
      <c r="M306" t="s">
        <v>2477</v>
      </c>
      <c r="N306" t="s">
        <v>2474</v>
      </c>
      <c r="O306" t="s">
        <v>2468</v>
      </c>
      <c r="P306">
        <v>6.33</v>
      </c>
      <c r="Q306">
        <v>12.16</v>
      </c>
      <c r="R306">
        <v>44.31</v>
      </c>
      <c r="S306">
        <v>32.11999999999999</v>
      </c>
      <c r="T306">
        <v>0.39644532214268074</v>
      </c>
      <c r="U306" s="1">
        <v>45505</v>
      </c>
      <c r="V306" t="s">
        <v>2499</v>
      </c>
      <c r="W306">
        <v>2024</v>
      </c>
    </row>
    <row r="307" spans="1:23" x14ac:dyDescent="0.25">
      <c r="A307" t="s">
        <v>354</v>
      </c>
      <c r="B307" s="1">
        <v>45993</v>
      </c>
      <c r="C307" s="1">
        <v>45999</v>
      </c>
      <c r="D307" t="s">
        <v>32</v>
      </c>
      <c r="E307" t="s">
        <v>45</v>
      </c>
      <c r="F307" t="s">
        <v>15</v>
      </c>
      <c r="G307" t="s">
        <v>16</v>
      </c>
      <c r="H307" t="s">
        <v>63</v>
      </c>
      <c r="I307">
        <v>3</v>
      </c>
      <c r="J307">
        <v>0.05</v>
      </c>
      <c r="K307">
        <v>48.87</v>
      </c>
      <c r="L307">
        <v>5.85</v>
      </c>
      <c r="M307" t="s">
        <v>2477</v>
      </c>
      <c r="N307" t="s">
        <v>2474</v>
      </c>
      <c r="O307" t="s">
        <v>2468</v>
      </c>
      <c r="P307">
        <v>6.33</v>
      </c>
      <c r="Q307">
        <v>12.16</v>
      </c>
      <c r="R307">
        <v>18.990000000000002</v>
      </c>
      <c r="S307">
        <v>24.029999999999994</v>
      </c>
      <c r="T307">
        <v>0.49171270718232035</v>
      </c>
      <c r="U307" s="1">
        <v>45992</v>
      </c>
      <c r="V307" t="s">
        <v>2498</v>
      </c>
      <c r="W307">
        <v>2025</v>
      </c>
    </row>
    <row r="308" spans="1:23" x14ac:dyDescent="0.25">
      <c r="A308" t="s">
        <v>355</v>
      </c>
      <c r="B308" s="1">
        <v>45851</v>
      </c>
      <c r="C308" s="1">
        <v>45855</v>
      </c>
      <c r="D308" t="s">
        <v>13</v>
      </c>
      <c r="E308" t="s">
        <v>19</v>
      </c>
      <c r="F308" t="s">
        <v>29</v>
      </c>
      <c r="G308" t="s">
        <v>20</v>
      </c>
      <c r="H308" t="s">
        <v>51</v>
      </c>
      <c r="I308">
        <v>5</v>
      </c>
      <c r="J308">
        <v>0.15</v>
      </c>
      <c r="K308">
        <v>55.8</v>
      </c>
      <c r="L308">
        <v>4.05</v>
      </c>
      <c r="M308" t="s">
        <v>2475</v>
      </c>
      <c r="N308" t="s">
        <v>2474</v>
      </c>
      <c r="O308" t="s">
        <v>2463</v>
      </c>
      <c r="P308">
        <v>7.93</v>
      </c>
      <c r="Q308">
        <v>14.78</v>
      </c>
      <c r="R308">
        <v>39.65</v>
      </c>
      <c r="S308">
        <v>12.099999999999998</v>
      </c>
      <c r="T308">
        <v>0.21684587813620068</v>
      </c>
      <c r="U308" s="1">
        <v>45839</v>
      </c>
      <c r="V308" t="s">
        <v>2500</v>
      </c>
      <c r="W308">
        <v>2025</v>
      </c>
    </row>
    <row r="309" spans="1:23" x14ac:dyDescent="0.25">
      <c r="A309" t="s">
        <v>356</v>
      </c>
      <c r="B309" s="1">
        <v>45941</v>
      </c>
      <c r="C309" s="1">
        <v>45946</v>
      </c>
      <c r="D309" t="s">
        <v>47</v>
      </c>
      <c r="E309" t="s">
        <v>71</v>
      </c>
      <c r="F309" t="s">
        <v>29</v>
      </c>
      <c r="G309" t="s">
        <v>26</v>
      </c>
      <c r="H309" t="s">
        <v>65</v>
      </c>
      <c r="I309">
        <v>4</v>
      </c>
      <c r="J309">
        <v>0.2</v>
      </c>
      <c r="K309">
        <v>1057.79</v>
      </c>
      <c r="L309">
        <v>13.7</v>
      </c>
      <c r="M309" t="s">
        <v>2457</v>
      </c>
      <c r="N309" t="s">
        <v>2458</v>
      </c>
      <c r="O309" t="s">
        <v>2459</v>
      </c>
      <c r="P309">
        <v>173.56</v>
      </c>
      <c r="Q309">
        <v>286.14999999999998</v>
      </c>
      <c r="R309">
        <v>694.24</v>
      </c>
      <c r="S309">
        <v>349.84999999999997</v>
      </c>
      <c r="T309">
        <v>0.3307367246807022</v>
      </c>
      <c r="U309" s="1">
        <v>45931</v>
      </c>
      <c r="V309" t="s">
        <v>2500</v>
      </c>
      <c r="W309">
        <v>2025</v>
      </c>
    </row>
    <row r="310" spans="1:23" x14ac:dyDescent="0.25">
      <c r="A310" t="s">
        <v>357</v>
      </c>
      <c r="B310" s="1">
        <v>45911</v>
      </c>
      <c r="C310" s="1">
        <v>45914</v>
      </c>
      <c r="D310" t="s">
        <v>32</v>
      </c>
      <c r="E310" t="s">
        <v>33</v>
      </c>
      <c r="F310" t="s">
        <v>15</v>
      </c>
      <c r="G310" t="s">
        <v>16</v>
      </c>
      <c r="H310" t="s">
        <v>68</v>
      </c>
      <c r="I310">
        <v>1</v>
      </c>
      <c r="J310">
        <v>0.2</v>
      </c>
      <c r="K310">
        <v>46.81</v>
      </c>
      <c r="L310">
        <v>5.75</v>
      </c>
      <c r="M310" t="s">
        <v>2466</v>
      </c>
      <c r="N310" t="s">
        <v>2467</v>
      </c>
      <c r="O310" t="s">
        <v>2468</v>
      </c>
      <c r="P310">
        <v>25.33</v>
      </c>
      <c r="Q310">
        <v>51.56</v>
      </c>
      <c r="R310">
        <v>25.33</v>
      </c>
      <c r="S310">
        <v>15.730000000000004</v>
      </c>
      <c r="T310">
        <v>0.33603930784020514</v>
      </c>
      <c r="U310" s="1">
        <v>45901</v>
      </c>
      <c r="V310" t="s">
        <v>2500</v>
      </c>
      <c r="W310">
        <v>2025</v>
      </c>
    </row>
    <row r="311" spans="1:23" x14ac:dyDescent="0.25">
      <c r="A311" t="s">
        <v>358</v>
      </c>
      <c r="B311" s="1">
        <v>45292</v>
      </c>
      <c r="C311" s="1">
        <v>45296</v>
      </c>
      <c r="D311" t="s">
        <v>32</v>
      </c>
      <c r="E311" t="s">
        <v>45</v>
      </c>
      <c r="F311" t="s">
        <v>25</v>
      </c>
      <c r="G311" t="s">
        <v>26</v>
      </c>
      <c r="H311" t="s">
        <v>37</v>
      </c>
      <c r="I311">
        <v>2</v>
      </c>
      <c r="J311">
        <v>0.1</v>
      </c>
      <c r="K311">
        <v>164.59</v>
      </c>
      <c r="L311">
        <v>5.46</v>
      </c>
      <c r="M311" t="s">
        <v>2464</v>
      </c>
      <c r="N311" t="s">
        <v>2458</v>
      </c>
      <c r="O311" t="s">
        <v>2465</v>
      </c>
      <c r="P311">
        <v>63.6</v>
      </c>
      <c r="Q311">
        <v>107.94</v>
      </c>
      <c r="R311">
        <v>127.2</v>
      </c>
      <c r="S311">
        <v>31.93</v>
      </c>
      <c r="T311">
        <v>0.19399720517649918</v>
      </c>
      <c r="U311" s="1">
        <v>45292</v>
      </c>
      <c r="V311" t="s">
        <v>2498</v>
      </c>
      <c r="W311">
        <v>2024</v>
      </c>
    </row>
    <row r="312" spans="1:23" x14ac:dyDescent="0.25">
      <c r="A312" t="s">
        <v>359</v>
      </c>
      <c r="B312" s="1">
        <v>45334</v>
      </c>
      <c r="C312" s="1">
        <v>45336</v>
      </c>
      <c r="D312" t="s">
        <v>32</v>
      </c>
      <c r="E312" t="s">
        <v>45</v>
      </c>
      <c r="F312" t="s">
        <v>15</v>
      </c>
      <c r="G312" t="s">
        <v>16</v>
      </c>
      <c r="H312" t="s">
        <v>60</v>
      </c>
      <c r="I312">
        <v>4</v>
      </c>
      <c r="J312">
        <v>0</v>
      </c>
      <c r="K312">
        <v>385.29</v>
      </c>
      <c r="L312">
        <v>5.7</v>
      </c>
      <c r="M312" t="s">
        <v>2469</v>
      </c>
      <c r="N312" t="s">
        <v>2467</v>
      </c>
      <c r="O312" t="s">
        <v>2468</v>
      </c>
      <c r="P312">
        <v>54.95</v>
      </c>
      <c r="Q312">
        <v>112.56</v>
      </c>
      <c r="R312">
        <v>219.8</v>
      </c>
      <c r="S312">
        <v>159.79000000000002</v>
      </c>
      <c r="T312">
        <v>0.414726569596927</v>
      </c>
      <c r="U312" s="1">
        <v>45323</v>
      </c>
      <c r="V312" t="s">
        <v>2499</v>
      </c>
      <c r="W312">
        <v>2024</v>
      </c>
    </row>
    <row r="313" spans="1:23" x14ac:dyDescent="0.25">
      <c r="A313" t="s">
        <v>360</v>
      </c>
      <c r="B313" s="1">
        <v>45729</v>
      </c>
      <c r="C313" s="1">
        <v>45732</v>
      </c>
      <c r="D313" t="s">
        <v>47</v>
      </c>
      <c r="E313" t="s">
        <v>48</v>
      </c>
      <c r="F313" t="s">
        <v>25</v>
      </c>
      <c r="G313" t="s">
        <v>26</v>
      </c>
      <c r="H313" t="s">
        <v>68</v>
      </c>
      <c r="I313">
        <v>5</v>
      </c>
      <c r="J313">
        <v>0</v>
      </c>
      <c r="K313">
        <v>244.48</v>
      </c>
      <c r="L313">
        <v>6.45</v>
      </c>
      <c r="M313" t="s">
        <v>2466</v>
      </c>
      <c r="N313" t="s">
        <v>2467</v>
      </c>
      <c r="O313" t="s">
        <v>2468</v>
      </c>
      <c r="P313">
        <v>25.33</v>
      </c>
      <c r="Q313">
        <v>51.56</v>
      </c>
      <c r="R313">
        <v>126.64999999999999</v>
      </c>
      <c r="S313">
        <v>111.38</v>
      </c>
      <c r="T313">
        <v>0.45557918848167539</v>
      </c>
      <c r="U313" s="1">
        <v>45717</v>
      </c>
      <c r="V313" t="s">
        <v>2499</v>
      </c>
      <c r="W313">
        <v>2025</v>
      </c>
    </row>
    <row r="314" spans="1:23" x14ac:dyDescent="0.25">
      <c r="A314" t="s">
        <v>361</v>
      </c>
      <c r="B314" s="1">
        <v>45528</v>
      </c>
      <c r="C314" s="1">
        <v>45530</v>
      </c>
      <c r="D314" t="s">
        <v>32</v>
      </c>
      <c r="E314" t="s">
        <v>62</v>
      </c>
      <c r="F314" t="s">
        <v>25</v>
      </c>
      <c r="G314" t="s">
        <v>16</v>
      </c>
      <c r="H314" t="s">
        <v>53</v>
      </c>
      <c r="I314">
        <v>1</v>
      </c>
      <c r="J314">
        <v>0</v>
      </c>
      <c r="K314">
        <v>55.82</v>
      </c>
      <c r="L314">
        <v>3.45</v>
      </c>
      <c r="M314" t="s">
        <v>2470</v>
      </c>
      <c r="N314" t="s">
        <v>2467</v>
      </c>
      <c r="O314" t="s">
        <v>2459</v>
      </c>
      <c r="P314">
        <v>31.34</v>
      </c>
      <c r="Q314">
        <v>56.49</v>
      </c>
      <c r="R314">
        <v>31.34</v>
      </c>
      <c r="S314">
        <v>21.03</v>
      </c>
      <c r="T314">
        <v>0.37674668577570763</v>
      </c>
      <c r="U314" s="1">
        <v>45505</v>
      </c>
      <c r="V314" t="s">
        <v>2499</v>
      </c>
      <c r="W314">
        <v>2024</v>
      </c>
    </row>
    <row r="315" spans="1:23" x14ac:dyDescent="0.25">
      <c r="A315" t="s">
        <v>362</v>
      </c>
      <c r="B315" s="1">
        <v>45680</v>
      </c>
      <c r="C315" s="1">
        <v>45686</v>
      </c>
      <c r="D315" t="s">
        <v>23</v>
      </c>
      <c r="E315" t="s">
        <v>24</v>
      </c>
      <c r="F315" t="s">
        <v>15</v>
      </c>
      <c r="G315" t="s">
        <v>20</v>
      </c>
      <c r="H315" t="s">
        <v>41</v>
      </c>
      <c r="I315">
        <v>3</v>
      </c>
      <c r="J315">
        <v>0.1</v>
      </c>
      <c r="K315">
        <v>14.04</v>
      </c>
      <c r="L315">
        <v>5.85</v>
      </c>
      <c r="M315" t="s">
        <v>2479</v>
      </c>
      <c r="N315" t="s">
        <v>2474</v>
      </c>
      <c r="O315" t="s">
        <v>2459</v>
      </c>
      <c r="P315">
        <v>3.3</v>
      </c>
      <c r="Q315">
        <v>6.13</v>
      </c>
      <c r="R315">
        <v>9.8999999999999986</v>
      </c>
      <c r="S315">
        <v>-1.7099999999999991</v>
      </c>
      <c r="T315">
        <v>-0.12179487179487174</v>
      </c>
      <c r="U315" s="1">
        <v>45658</v>
      </c>
      <c r="V315" t="s">
        <v>2498</v>
      </c>
      <c r="W315">
        <v>2025</v>
      </c>
    </row>
    <row r="316" spans="1:23" x14ac:dyDescent="0.25">
      <c r="A316" t="s">
        <v>363</v>
      </c>
      <c r="B316" s="1">
        <v>45582</v>
      </c>
      <c r="C316" s="1">
        <v>45588</v>
      </c>
      <c r="D316" t="s">
        <v>47</v>
      </c>
      <c r="E316" t="s">
        <v>48</v>
      </c>
      <c r="F316" t="s">
        <v>29</v>
      </c>
      <c r="G316" t="s">
        <v>20</v>
      </c>
      <c r="H316" t="s">
        <v>41</v>
      </c>
      <c r="I316">
        <v>23</v>
      </c>
      <c r="J316">
        <v>0</v>
      </c>
      <c r="K316">
        <v>167.36</v>
      </c>
      <c r="L316">
        <v>8.91</v>
      </c>
      <c r="M316" t="s">
        <v>2479</v>
      </c>
      <c r="N316" t="s">
        <v>2474</v>
      </c>
      <c r="O316" t="s">
        <v>2459</v>
      </c>
      <c r="P316">
        <v>3.3</v>
      </c>
      <c r="Q316">
        <v>6.13</v>
      </c>
      <c r="R316">
        <v>75.899999999999991</v>
      </c>
      <c r="S316">
        <v>82.550000000000026</v>
      </c>
      <c r="T316">
        <v>0.49324808795411101</v>
      </c>
      <c r="U316" s="1">
        <v>45566</v>
      </c>
      <c r="V316" t="s">
        <v>2499</v>
      </c>
      <c r="W316">
        <v>2024</v>
      </c>
    </row>
    <row r="317" spans="1:23" x14ac:dyDescent="0.25">
      <c r="A317" t="s">
        <v>364</v>
      </c>
      <c r="B317" s="1">
        <v>45794</v>
      </c>
      <c r="C317" s="1">
        <v>45796</v>
      </c>
      <c r="D317" t="s">
        <v>47</v>
      </c>
      <c r="E317" t="s">
        <v>71</v>
      </c>
      <c r="F317" t="s">
        <v>25</v>
      </c>
      <c r="G317" t="s">
        <v>16</v>
      </c>
      <c r="H317" t="s">
        <v>63</v>
      </c>
      <c r="I317">
        <v>10</v>
      </c>
      <c r="J317">
        <v>0</v>
      </c>
      <c r="K317">
        <v>120.18</v>
      </c>
      <c r="L317">
        <v>5.4</v>
      </c>
      <c r="M317" t="s">
        <v>2477</v>
      </c>
      <c r="N317" t="s">
        <v>2474</v>
      </c>
      <c r="O317" t="s">
        <v>2468</v>
      </c>
      <c r="P317">
        <v>6.33</v>
      </c>
      <c r="Q317">
        <v>12.16</v>
      </c>
      <c r="R317">
        <v>63.3</v>
      </c>
      <c r="S317">
        <v>51.480000000000011</v>
      </c>
      <c r="T317">
        <v>0.42835746380429363</v>
      </c>
      <c r="U317" s="1">
        <v>45778</v>
      </c>
      <c r="V317" t="s">
        <v>2499</v>
      </c>
      <c r="W317">
        <v>2025</v>
      </c>
    </row>
    <row r="318" spans="1:23" x14ac:dyDescent="0.25">
      <c r="A318" t="s">
        <v>365</v>
      </c>
      <c r="B318" s="1">
        <v>45816</v>
      </c>
      <c r="C318" s="1">
        <v>45818</v>
      </c>
      <c r="D318" t="s">
        <v>23</v>
      </c>
      <c r="E318" t="s">
        <v>43</v>
      </c>
      <c r="F318" t="s">
        <v>29</v>
      </c>
      <c r="G318" t="s">
        <v>26</v>
      </c>
      <c r="H318" t="s">
        <v>34</v>
      </c>
      <c r="I318">
        <v>1</v>
      </c>
      <c r="J318">
        <v>0</v>
      </c>
      <c r="K318">
        <v>225.17</v>
      </c>
      <c r="L318">
        <v>6.8</v>
      </c>
      <c r="M318" t="s">
        <v>2460</v>
      </c>
      <c r="N318" t="s">
        <v>2458</v>
      </c>
      <c r="O318" t="s">
        <v>2461</v>
      </c>
      <c r="P318">
        <v>119.02</v>
      </c>
      <c r="Q318">
        <v>205.39</v>
      </c>
      <c r="R318">
        <v>119.02</v>
      </c>
      <c r="S318">
        <v>99.35</v>
      </c>
      <c r="T318">
        <v>0.44122218768041926</v>
      </c>
      <c r="U318" s="1">
        <v>45809</v>
      </c>
      <c r="V318" t="s">
        <v>2499</v>
      </c>
      <c r="W318">
        <v>2025</v>
      </c>
    </row>
    <row r="319" spans="1:23" x14ac:dyDescent="0.25">
      <c r="A319" t="s">
        <v>366</v>
      </c>
      <c r="B319" s="1">
        <v>45522</v>
      </c>
      <c r="C319" s="1">
        <v>45527</v>
      </c>
      <c r="D319" t="s">
        <v>13</v>
      </c>
      <c r="E319" t="s">
        <v>36</v>
      </c>
      <c r="F319" t="s">
        <v>15</v>
      </c>
      <c r="G319" t="s">
        <v>20</v>
      </c>
      <c r="H319" t="s">
        <v>63</v>
      </c>
      <c r="I319">
        <v>8</v>
      </c>
      <c r="J319">
        <v>0.1</v>
      </c>
      <c r="K319">
        <v>78.459999999999994</v>
      </c>
      <c r="L319">
        <v>4.8600000000000003</v>
      </c>
      <c r="M319" t="s">
        <v>2477</v>
      </c>
      <c r="N319" t="s">
        <v>2474</v>
      </c>
      <c r="O319" t="s">
        <v>2468</v>
      </c>
      <c r="P319">
        <v>6.33</v>
      </c>
      <c r="Q319">
        <v>12.16</v>
      </c>
      <c r="R319">
        <v>50.64</v>
      </c>
      <c r="S319">
        <v>22.959999999999994</v>
      </c>
      <c r="T319">
        <v>0.29263318888605655</v>
      </c>
      <c r="U319" s="1">
        <v>45505</v>
      </c>
      <c r="V319" t="s">
        <v>2498</v>
      </c>
      <c r="W319">
        <v>2024</v>
      </c>
    </row>
    <row r="320" spans="1:23" x14ac:dyDescent="0.25">
      <c r="A320" t="s">
        <v>367</v>
      </c>
      <c r="B320" s="1">
        <v>45652</v>
      </c>
      <c r="C320" s="1">
        <v>45654</v>
      </c>
      <c r="D320" t="s">
        <v>13</v>
      </c>
      <c r="E320" t="s">
        <v>36</v>
      </c>
      <c r="F320" t="s">
        <v>29</v>
      </c>
      <c r="G320" t="s">
        <v>26</v>
      </c>
      <c r="H320" t="s">
        <v>34</v>
      </c>
      <c r="I320">
        <v>1</v>
      </c>
      <c r="J320">
        <v>0</v>
      </c>
      <c r="K320">
        <v>278.35000000000002</v>
      </c>
      <c r="L320">
        <v>6.8</v>
      </c>
      <c r="M320" t="s">
        <v>2460</v>
      </c>
      <c r="N320" t="s">
        <v>2458</v>
      </c>
      <c r="O320" t="s">
        <v>2461</v>
      </c>
      <c r="P320">
        <v>119.02</v>
      </c>
      <c r="Q320">
        <v>205.39</v>
      </c>
      <c r="R320">
        <v>119.02</v>
      </c>
      <c r="S320">
        <v>152.53000000000003</v>
      </c>
      <c r="T320">
        <v>0.54797916292437587</v>
      </c>
      <c r="U320" s="1">
        <v>45627</v>
      </c>
      <c r="V320" t="s">
        <v>2499</v>
      </c>
      <c r="W320">
        <v>2024</v>
      </c>
    </row>
    <row r="321" spans="1:23" x14ac:dyDescent="0.25">
      <c r="A321" t="s">
        <v>368</v>
      </c>
      <c r="B321" s="1">
        <v>45660</v>
      </c>
      <c r="C321" s="1">
        <v>45661</v>
      </c>
      <c r="D321" t="s">
        <v>13</v>
      </c>
      <c r="E321" t="s">
        <v>19</v>
      </c>
      <c r="F321" t="s">
        <v>15</v>
      </c>
      <c r="G321" t="s">
        <v>16</v>
      </c>
      <c r="H321" t="s">
        <v>37</v>
      </c>
      <c r="I321">
        <v>4</v>
      </c>
      <c r="J321">
        <v>0.05</v>
      </c>
      <c r="K321">
        <v>343.43</v>
      </c>
      <c r="L321">
        <v>8.2200000000000006</v>
      </c>
      <c r="M321" t="s">
        <v>2464</v>
      </c>
      <c r="N321" t="s">
        <v>2458</v>
      </c>
      <c r="O321" t="s">
        <v>2465</v>
      </c>
      <c r="P321">
        <v>63.6</v>
      </c>
      <c r="Q321">
        <v>107.94</v>
      </c>
      <c r="R321">
        <v>254.4</v>
      </c>
      <c r="S321">
        <v>80.81</v>
      </c>
      <c r="T321">
        <v>0.23530268176921063</v>
      </c>
      <c r="U321" s="1">
        <v>45658</v>
      </c>
      <c r="V321" t="s">
        <v>2498</v>
      </c>
      <c r="W321">
        <v>2025</v>
      </c>
    </row>
    <row r="322" spans="1:23" x14ac:dyDescent="0.25">
      <c r="A322" t="s">
        <v>369</v>
      </c>
      <c r="B322" s="1">
        <v>45627</v>
      </c>
      <c r="C322" s="1">
        <v>45632</v>
      </c>
      <c r="D322" t="s">
        <v>47</v>
      </c>
      <c r="E322" t="s">
        <v>48</v>
      </c>
      <c r="F322" t="s">
        <v>25</v>
      </c>
      <c r="G322" t="s">
        <v>20</v>
      </c>
      <c r="H322" t="s">
        <v>87</v>
      </c>
      <c r="I322">
        <v>9</v>
      </c>
      <c r="J322">
        <v>0.1</v>
      </c>
      <c r="K322">
        <v>101.54</v>
      </c>
      <c r="L322">
        <v>5.13</v>
      </c>
      <c r="M322" t="s">
        <v>2476</v>
      </c>
      <c r="N322" t="s">
        <v>2474</v>
      </c>
      <c r="O322" t="s">
        <v>2459</v>
      </c>
      <c r="P322">
        <v>4.5</v>
      </c>
      <c r="Q322">
        <v>8.2899999999999991</v>
      </c>
      <c r="R322">
        <v>40.5</v>
      </c>
      <c r="S322">
        <v>55.910000000000004</v>
      </c>
      <c r="T322">
        <v>0.55062044514477049</v>
      </c>
      <c r="U322" s="1">
        <v>45627</v>
      </c>
      <c r="V322" t="s">
        <v>2498</v>
      </c>
      <c r="W322">
        <v>2024</v>
      </c>
    </row>
    <row r="323" spans="1:23" x14ac:dyDescent="0.25">
      <c r="A323" t="s">
        <v>370</v>
      </c>
      <c r="B323" s="1">
        <v>45301</v>
      </c>
      <c r="C323" s="1">
        <v>45302</v>
      </c>
      <c r="D323" t="s">
        <v>13</v>
      </c>
      <c r="E323" t="s">
        <v>19</v>
      </c>
      <c r="F323" t="s">
        <v>25</v>
      </c>
      <c r="G323" t="s">
        <v>16</v>
      </c>
      <c r="H323" t="s">
        <v>65</v>
      </c>
      <c r="I323">
        <v>2</v>
      </c>
      <c r="J323">
        <v>0</v>
      </c>
      <c r="K323">
        <v>483.53</v>
      </c>
      <c r="L323">
        <v>9.1</v>
      </c>
      <c r="M323" t="s">
        <v>2457</v>
      </c>
      <c r="N323" t="s">
        <v>2458</v>
      </c>
      <c r="O323" t="s">
        <v>2459</v>
      </c>
      <c r="P323">
        <v>173.56</v>
      </c>
      <c r="Q323">
        <v>286.14999999999998</v>
      </c>
      <c r="R323">
        <v>347.12</v>
      </c>
      <c r="S323">
        <v>127.30999999999997</v>
      </c>
      <c r="T323">
        <v>0.26329286704030769</v>
      </c>
      <c r="U323" s="1">
        <v>45292</v>
      </c>
      <c r="V323" t="s">
        <v>2499</v>
      </c>
      <c r="W323">
        <v>2024</v>
      </c>
    </row>
    <row r="324" spans="1:23" x14ac:dyDescent="0.25">
      <c r="A324" t="s">
        <v>371</v>
      </c>
      <c r="B324" s="1">
        <v>45344</v>
      </c>
      <c r="C324" s="1">
        <v>45347</v>
      </c>
      <c r="D324" t="s">
        <v>47</v>
      </c>
      <c r="E324" t="s">
        <v>48</v>
      </c>
      <c r="F324" t="s">
        <v>29</v>
      </c>
      <c r="G324" t="s">
        <v>26</v>
      </c>
      <c r="H324" t="s">
        <v>37</v>
      </c>
      <c r="I324">
        <v>2</v>
      </c>
      <c r="J324">
        <v>0.2</v>
      </c>
      <c r="K324">
        <v>150.33000000000001</v>
      </c>
      <c r="L324">
        <v>9.1</v>
      </c>
      <c r="M324" t="s">
        <v>2464</v>
      </c>
      <c r="N324" t="s">
        <v>2458</v>
      </c>
      <c r="O324" t="s">
        <v>2465</v>
      </c>
      <c r="P324">
        <v>63.6</v>
      </c>
      <c r="Q324">
        <v>107.94</v>
      </c>
      <c r="R324">
        <v>127.2</v>
      </c>
      <c r="S324">
        <v>14.03000000000001</v>
      </c>
      <c r="T324">
        <v>9.3328011707576722E-2</v>
      </c>
      <c r="U324" s="1">
        <v>45323</v>
      </c>
      <c r="V324" t="s">
        <v>2500</v>
      </c>
      <c r="W324">
        <v>2024</v>
      </c>
    </row>
    <row r="325" spans="1:23" x14ac:dyDescent="0.25">
      <c r="A325" t="s">
        <v>372</v>
      </c>
      <c r="B325" s="1">
        <v>45586</v>
      </c>
      <c r="C325" s="1">
        <v>45588</v>
      </c>
      <c r="D325" t="s">
        <v>23</v>
      </c>
      <c r="E325" t="s">
        <v>43</v>
      </c>
      <c r="F325" t="s">
        <v>15</v>
      </c>
      <c r="G325" t="s">
        <v>16</v>
      </c>
      <c r="H325" t="s">
        <v>39</v>
      </c>
      <c r="I325">
        <v>1</v>
      </c>
      <c r="J325">
        <v>0</v>
      </c>
      <c r="K325">
        <v>232.68</v>
      </c>
      <c r="L325">
        <v>3.45</v>
      </c>
      <c r="M325" t="s">
        <v>2471</v>
      </c>
      <c r="N325" t="s">
        <v>2467</v>
      </c>
      <c r="O325" t="s">
        <v>2461</v>
      </c>
      <c r="P325">
        <v>112.09</v>
      </c>
      <c r="Q325">
        <v>192.47</v>
      </c>
      <c r="R325">
        <v>112.09</v>
      </c>
      <c r="S325">
        <v>117.14</v>
      </c>
      <c r="T325">
        <v>0.5034381983840468</v>
      </c>
      <c r="U325" s="1">
        <v>45566</v>
      </c>
      <c r="V325" t="s">
        <v>2499</v>
      </c>
      <c r="W325">
        <v>2024</v>
      </c>
    </row>
    <row r="326" spans="1:23" x14ac:dyDescent="0.25">
      <c r="A326" t="s">
        <v>373</v>
      </c>
      <c r="B326" s="1">
        <v>45796</v>
      </c>
      <c r="C326" s="1">
        <v>45799</v>
      </c>
      <c r="D326" t="s">
        <v>13</v>
      </c>
      <c r="E326" t="s">
        <v>36</v>
      </c>
      <c r="F326" t="s">
        <v>25</v>
      </c>
      <c r="G326" t="s">
        <v>16</v>
      </c>
      <c r="H326" t="s">
        <v>37</v>
      </c>
      <c r="I326">
        <v>7</v>
      </c>
      <c r="J326">
        <v>0</v>
      </c>
      <c r="K326">
        <v>759.06</v>
      </c>
      <c r="L326">
        <v>12.36</v>
      </c>
      <c r="M326" t="s">
        <v>2464</v>
      </c>
      <c r="N326" t="s">
        <v>2458</v>
      </c>
      <c r="O326" t="s">
        <v>2465</v>
      </c>
      <c r="P326">
        <v>63.6</v>
      </c>
      <c r="Q326">
        <v>107.94</v>
      </c>
      <c r="R326">
        <v>445.2</v>
      </c>
      <c r="S326">
        <v>301.49999999999994</v>
      </c>
      <c r="T326">
        <v>0.39720180222907275</v>
      </c>
      <c r="U326" s="1">
        <v>45778</v>
      </c>
      <c r="V326" t="s">
        <v>2499</v>
      </c>
      <c r="W326">
        <v>2025</v>
      </c>
    </row>
    <row r="327" spans="1:23" x14ac:dyDescent="0.25">
      <c r="A327" t="s">
        <v>374</v>
      </c>
      <c r="B327" s="1">
        <v>46008</v>
      </c>
      <c r="C327" s="1">
        <v>46013</v>
      </c>
      <c r="D327" t="s">
        <v>47</v>
      </c>
      <c r="E327" t="s">
        <v>50</v>
      </c>
      <c r="F327" t="s">
        <v>29</v>
      </c>
      <c r="G327" t="s">
        <v>16</v>
      </c>
      <c r="H327" t="s">
        <v>41</v>
      </c>
      <c r="I327">
        <v>10</v>
      </c>
      <c r="J327">
        <v>0</v>
      </c>
      <c r="K327">
        <v>82.5</v>
      </c>
      <c r="L327">
        <v>5.4</v>
      </c>
      <c r="M327" t="s">
        <v>2479</v>
      </c>
      <c r="N327" t="s">
        <v>2474</v>
      </c>
      <c r="O327" t="s">
        <v>2459</v>
      </c>
      <c r="P327">
        <v>3.3</v>
      </c>
      <c r="Q327">
        <v>6.13</v>
      </c>
      <c r="R327">
        <v>33</v>
      </c>
      <c r="S327">
        <v>44.1</v>
      </c>
      <c r="T327">
        <v>0.53454545454545455</v>
      </c>
      <c r="U327" s="1">
        <v>45992</v>
      </c>
      <c r="V327" t="s">
        <v>2499</v>
      </c>
      <c r="W327">
        <v>2025</v>
      </c>
    </row>
    <row r="328" spans="1:23" x14ac:dyDescent="0.25">
      <c r="A328" t="s">
        <v>375</v>
      </c>
      <c r="B328" s="1">
        <v>45712</v>
      </c>
      <c r="C328" s="1">
        <v>45714</v>
      </c>
      <c r="D328" t="s">
        <v>13</v>
      </c>
      <c r="E328" t="s">
        <v>14</v>
      </c>
      <c r="F328" t="s">
        <v>25</v>
      </c>
      <c r="G328" t="s">
        <v>20</v>
      </c>
      <c r="H328" t="s">
        <v>17</v>
      </c>
      <c r="I328">
        <v>2</v>
      </c>
      <c r="J328">
        <v>0.05</v>
      </c>
      <c r="K328">
        <v>213.89</v>
      </c>
      <c r="L328">
        <v>4.2</v>
      </c>
      <c r="M328" t="s">
        <v>2472</v>
      </c>
      <c r="N328" t="s">
        <v>2467</v>
      </c>
      <c r="O328" t="s">
        <v>2468</v>
      </c>
      <c r="P328">
        <v>63.69</v>
      </c>
      <c r="Q328">
        <v>125.5</v>
      </c>
      <c r="R328">
        <v>127.38</v>
      </c>
      <c r="S328">
        <v>82.309999999999988</v>
      </c>
      <c r="T328">
        <v>0.38482397494038989</v>
      </c>
      <c r="U328" s="1">
        <v>45689</v>
      </c>
      <c r="V328" t="s">
        <v>2498</v>
      </c>
      <c r="W328">
        <v>2025</v>
      </c>
    </row>
    <row r="329" spans="1:23" x14ac:dyDescent="0.25">
      <c r="A329" t="s">
        <v>376</v>
      </c>
      <c r="B329" s="1">
        <v>45454</v>
      </c>
      <c r="C329" s="1">
        <v>45457</v>
      </c>
      <c r="D329" t="s">
        <v>32</v>
      </c>
      <c r="E329" t="s">
        <v>45</v>
      </c>
      <c r="F329" t="s">
        <v>25</v>
      </c>
      <c r="G329" t="s">
        <v>26</v>
      </c>
      <c r="H329" t="s">
        <v>63</v>
      </c>
      <c r="I329">
        <v>14</v>
      </c>
      <c r="J329">
        <v>0</v>
      </c>
      <c r="K329">
        <v>175.66</v>
      </c>
      <c r="L329">
        <v>6.48</v>
      </c>
      <c r="M329" t="s">
        <v>2477</v>
      </c>
      <c r="N329" t="s">
        <v>2474</v>
      </c>
      <c r="O329" t="s">
        <v>2468</v>
      </c>
      <c r="P329">
        <v>6.33</v>
      </c>
      <c r="Q329">
        <v>12.16</v>
      </c>
      <c r="R329">
        <v>88.62</v>
      </c>
      <c r="S329">
        <v>80.559999999999988</v>
      </c>
      <c r="T329">
        <v>0.45861323010360916</v>
      </c>
      <c r="U329" s="1">
        <v>45444</v>
      </c>
      <c r="V329" t="s">
        <v>2499</v>
      </c>
      <c r="W329">
        <v>2024</v>
      </c>
    </row>
    <row r="330" spans="1:23" x14ac:dyDescent="0.25">
      <c r="A330" t="s">
        <v>377</v>
      </c>
      <c r="B330" s="1">
        <v>45334</v>
      </c>
      <c r="C330" s="1">
        <v>45338</v>
      </c>
      <c r="D330" t="s">
        <v>23</v>
      </c>
      <c r="E330" t="s">
        <v>24</v>
      </c>
      <c r="F330" t="s">
        <v>25</v>
      </c>
      <c r="G330" t="s">
        <v>16</v>
      </c>
      <c r="H330" t="s">
        <v>41</v>
      </c>
      <c r="I330">
        <v>13</v>
      </c>
      <c r="J330">
        <v>0</v>
      </c>
      <c r="K330">
        <v>69.73</v>
      </c>
      <c r="L330">
        <v>6.21</v>
      </c>
      <c r="M330" t="s">
        <v>2479</v>
      </c>
      <c r="N330" t="s">
        <v>2474</v>
      </c>
      <c r="O330" t="s">
        <v>2459</v>
      </c>
      <c r="P330">
        <v>3.3</v>
      </c>
      <c r="Q330">
        <v>6.13</v>
      </c>
      <c r="R330">
        <v>42.9</v>
      </c>
      <c r="S330">
        <v>20.620000000000005</v>
      </c>
      <c r="T330">
        <v>0.29571203212390657</v>
      </c>
      <c r="U330" s="1">
        <v>45323</v>
      </c>
      <c r="V330" t="s">
        <v>2499</v>
      </c>
      <c r="W330">
        <v>2024</v>
      </c>
    </row>
    <row r="331" spans="1:23" x14ac:dyDescent="0.25">
      <c r="A331" t="s">
        <v>378</v>
      </c>
      <c r="B331" s="1">
        <v>45980</v>
      </c>
      <c r="C331" s="1">
        <v>45985</v>
      </c>
      <c r="D331" t="s">
        <v>23</v>
      </c>
      <c r="E331" t="s">
        <v>24</v>
      </c>
      <c r="F331" t="s">
        <v>25</v>
      </c>
      <c r="G331" t="s">
        <v>26</v>
      </c>
      <c r="H331" t="s">
        <v>27</v>
      </c>
      <c r="I331">
        <v>13</v>
      </c>
      <c r="J331">
        <v>0</v>
      </c>
      <c r="K331">
        <v>508.52</v>
      </c>
      <c r="L331">
        <v>6.21</v>
      </c>
      <c r="M331" t="s">
        <v>2478</v>
      </c>
      <c r="N331" t="s">
        <v>2474</v>
      </c>
      <c r="O331" t="s">
        <v>2463</v>
      </c>
      <c r="P331">
        <v>16.760000000000002</v>
      </c>
      <c r="Q331">
        <v>27.71</v>
      </c>
      <c r="R331">
        <v>217.88000000000002</v>
      </c>
      <c r="S331">
        <v>284.43</v>
      </c>
      <c r="T331">
        <v>0.55932903327302763</v>
      </c>
      <c r="U331" s="1">
        <v>45962</v>
      </c>
      <c r="V331" t="s">
        <v>2499</v>
      </c>
      <c r="W331">
        <v>2025</v>
      </c>
    </row>
    <row r="332" spans="1:23" x14ac:dyDescent="0.25">
      <c r="A332" t="s">
        <v>379</v>
      </c>
      <c r="B332" s="1">
        <v>45469</v>
      </c>
      <c r="C332" s="1">
        <v>45472</v>
      </c>
      <c r="D332" t="s">
        <v>13</v>
      </c>
      <c r="E332" t="s">
        <v>19</v>
      </c>
      <c r="F332" t="s">
        <v>29</v>
      </c>
      <c r="G332" t="s">
        <v>20</v>
      </c>
      <c r="H332" t="s">
        <v>87</v>
      </c>
      <c r="I332">
        <v>7</v>
      </c>
      <c r="J332">
        <v>0</v>
      </c>
      <c r="K332">
        <v>63.13</v>
      </c>
      <c r="L332">
        <v>4.59</v>
      </c>
      <c r="M332" t="s">
        <v>2476</v>
      </c>
      <c r="N332" t="s">
        <v>2474</v>
      </c>
      <c r="O332" t="s">
        <v>2459</v>
      </c>
      <c r="P332">
        <v>4.5</v>
      </c>
      <c r="Q332">
        <v>8.2899999999999991</v>
      </c>
      <c r="R332">
        <v>31.5</v>
      </c>
      <c r="S332">
        <v>27.040000000000003</v>
      </c>
      <c r="T332">
        <v>0.42832250910818948</v>
      </c>
      <c r="U332" s="1">
        <v>45444</v>
      </c>
      <c r="V332" t="s">
        <v>2499</v>
      </c>
      <c r="W332">
        <v>2024</v>
      </c>
    </row>
    <row r="333" spans="1:23" x14ac:dyDescent="0.25">
      <c r="A333" t="s">
        <v>380</v>
      </c>
      <c r="B333" s="1">
        <v>45420</v>
      </c>
      <c r="C333" s="1">
        <v>45422</v>
      </c>
      <c r="D333" t="s">
        <v>47</v>
      </c>
      <c r="E333" t="s">
        <v>50</v>
      </c>
      <c r="F333" t="s">
        <v>25</v>
      </c>
      <c r="G333" t="s">
        <v>16</v>
      </c>
      <c r="H333" t="s">
        <v>87</v>
      </c>
      <c r="I333">
        <v>16</v>
      </c>
      <c r="J333">
        <v>0</v>
      </c>
      <c r="K333">
        <v>134.80000000000001</v>
      </c>
      <c r="L333">
        <v>7.02</v>
      </c>
      <c r="M333" t="s">
        <v>2476</v>
      </c>
      <c r="N333" t="s">
        <v>2474</v>
      </c>
      <c r="O333" t="s">
        <v>2459</v>
      </c>
      <c r="P333">
        <v>4.5</v>
      </c>
      <c r="Q333">
        <v>8.2899999999999991</v>
      </c>
      <c r="R333">
        <v>72</v>
      </c>
      <c r="S333">
        <v>55.780000000000015</v>
      </c>
      <c r="T333">
        <v>0.4137982195845698</v>
      </c>
      <c r="U333" s="1">
        <v>45413</v>
      </c>
      <c r="V333" t="s">
        <v>2499</v>
      </c>
      <c r="W333">
        <v>2024</v>
      </c>
    </row>
    <row r="334" spans="1:23" x14ac:dyDescent="0.25">
      <c r="A334" t="s">
        <v>381</v>
      </c>
      <c r="B334" s="1">
        <v>45420</v>
      </c>
      <c r="C334" s="1">
        <v>45422</v>
      </c>
      <c r="D334" t="s">
        <v>47</v>
      </c>
      <c r="E334" t="s">
        <v>71</v>
      </c>
      <c r="F334" t="s">
        <v>25</v>
      </c>
      <c r="G334" t="s">
        <v>26</v>
      </c>
      <c r="H334" t="s">
        <v>60</v>
      </c>
      <c r="I334">
        <v>2</v>
      </c>
      <c r="J334">
        <v>0</v>
      </c>
      <c r="K334">
        <v>216.3</v>
      </c>
      <c r="L334">
        <v>4.2</v>
      </c>
      <c r="M334" t="s">
        <v>2469</v>
      </c>
      <c r="N334" t="s">
        <v>2467</v>
      </c>
      <c r="O334" t="s">
        <v>2468</v>
      </c>
      <c r="P334">
        <v>54.95</v>
      </c>
      <c r="Q334">
        <v>112.56</v>
      </c>
      <c r="R334">
        <v>109.9</v>
      </c>
      <c r="S334">
        <v>102.2</v>
      </c>
      <c r="T334">
        <v>0.47249190938511326</v>
      </c>
      <c r="U334" s="1">
        <v>45413</v>
      </c>
      <c r="V334" t="s">
        <v>2499</v>
      </c>
      <c r="W334">
        <v>2024</v>
      </c>
    </row>
    <row r="335" spans="1:23" x14ac:dyDescent="0.25">
      <c r="A335" t="s">
        <v>382</v>
      </c>
      <c r="B335" s="1">
        <v>45424</v>
      </c>
      <c r="C335" s="1">
        <v>45426</v>
      </c>
      <c r="D335" t="s">
        <v>23</v>
      </c>
      <c r="E335" t="s">
        <v>43</v>
      </c>
      <c r="F335" t="s">
        <v>29</v>
      </c>
      <c r="G335" t="s">
        <v>26</v>
      </c>
      <c r="H335" t="s">
        <v>68</v>
      </c>
      <c r="I335">
        <v>3</v>
      </c>
      <c r="J335">
        <v>0</v>
      </c>
      <c r="K335">
        <v>156.84</v>
      </c>
      <c r="L335">
        <v>4.95</v>
      </c>
      <c r="M335" t="s">
        <v>2466</v>
      </c>
      <c r="N335" t="s">
        <v>2467</v>
      </c>
      <c r="O335" t="s">
        <v>2468</v>
      </c>
      <c r="P335">
        <v>25.33</v>
      </c>
      <c r="Q335">
        <v>51.56</v>
      </c>
      <c r="R335">
        <v>75.989999999999995</v>
      </c>
      <c r="S335">
        <v>75.900000000000006</v>
      </c>
      <c r="T335">
        <v>0.48393267023718439</v>
      </c>
      <c r="U335" s="1">
        <v>45413</v>
      </c>
      <c r="V335" t="s">
        <v>2499</v>
      </c>
      <c r="W335">
        <v>2024</v>
      </c>
    </row>
    <row r="336" spans="1:23" x14ac:dyDescent="0.25">
      <c r="A336" t="s">
        <v>383</v>
      </c>
      <c r="B336" s="1">
        <v>45578</v>
      </c>
      <c r="C336" s="1">
        <v>45580</v>
      </c>
      <c r="D336" t="s">
        <v>23</v>
      </c>
      <c r="E336" t="s">
        <v>24</v>
      </c>
      <c r="F336" t="s">
        <v>15</v>
      </c>
      <c r="G336" t="s">
        <v>20</v>
      </c>
      <c r="H336" t="s">
        <v>30</v>
      </c>
      <c r="I336">
        <v>12</v>
      </c>
      <c r="J336">
        <v>0</v>
      </c>
      <c r="K336">
        <v>83.83</v>
      </c>
      <c r="L336">
        <v>9.9</v>
      </c>
      <c r="M336" t="s">
        <v>2473</v>
      </c>
      <c r="N336" t="s">
        <v>2474</v>
      </c>
      <c r="O336" t="s">
        <v>2463</v>
      </c>
      <c r="P336">
        <v>3.62</v>
      </c>
      <c r="Q336">
        <v>6.03</v>
      </c>
      <c r="R336">
        <v>43.44</v>
      </c>
      <c r="S336">
        <v>30.490000000000002</v>
      </c>
      <c r="T336">
        <v>0.36371227484194207</v>
      </c>
      <c r="U336" s="1">
        <v>45566</v>
      </c>
      <c r="V336" t="s">
        <v>2499</v>
      </c>
      <c r="W336">
        <v>2024</v>
      </c>
    </row>
    <row r="337" spans="1:23" x14ac:dyDescent="0.25">
      <c r="A337" t="s">
        <v>384</v>
      </c>
      <c r="B337" s="1">
        <v>45651</v>
      </c>
      <c r="C337" s="1">
        <v>45655</v>
      </c>
      <c r="D337" t="s">
        <v>23</v>
      </c>
      <c r="E337" t="s">
        <v>24</v>
      </c>
      <c r="F337" t="s">
        <v>15</v>
      </c>
      <c r="G337" t="s">
        <v>26</v>
      </c>
      <c r="H337" t="s">
        <v>41</v>
      </c>
      <c r="I337">
        <v>9</v>
      </c>
      <c r="J337">
        <v>0.2</v>
      </c>
      <c r="K337">
        <v>63.21</v>
      </c>
      <c r="L337">
        <v>5.13</v>
      </c>
      <c r="M337" t="s">
        <v>2479</v>
      </c>
      <c r="N337" t="s">
        <v>2474</v>
      </c>
      <c r="O337" t="s">
        <v>2459</v>
      </c>
      <c r="P337">
        <v>3.3</v>
      </c>
      <c r="Q337">
        <v>6.13</v>
      </c>
      <c r="R337">
        <v>29.7</v>
      </c>
      <c r="S337">
        <v>28.380000000000006</v>
      </c>
      <c r="T337">
        <v>0.4489795918367348</v>
      </c>
      <c r="U337" s="1">
        <v>45627</v>
      </c>
      <c r="V337" t="s">
        <v>2500</v>
      </c>
      <c r="W337">
        <v>2024</v>
      </c>
    </row>
    <row r="338" spans="1:23" x14ac:dyDescent="0.25">
      <c r="A338" t="s">
        <v>385</v>
      </c>
      <c r="B338" s="1">
        <v>45961</v>
      </c>
      <c r="C338" s="1">
        <v>45967</v>
      </c>
      <c r="D338" t="s">
        <v>23</v>
      </c>
      <c r="E338" t="s">
        <v>43</v>
      </c>
      <c r="F338" t="s">
        <v>15</v>
      </c>
      <c r="G338" t="s">
        <v>20</v>
      </c>
      <c r="H338" t="s">
        <v>63</v>
      </c>
      <c r="I338">
        <v>10</v>
      </c>
      <c r="J338">
        <v>0.25</v>
      </c>
      <c r="K338">
        <v>103.24</v>
      </c>
      <c r="L338">
        <v>5.4</v>
      </c>
      <c r="M338" t="s">
        <v>2477</v>
      </c>
      <c r="N338" t="s">
        <v>2474</v>
      </c>
      <c r="O338" t="s">
        <v>2468</v>
      </c>
      <c r="P338">
        <v>6.33</v>
      </c>
      <c r="Q338">
        <v>12.16</v>
      </c>
      <c r="R338">
        <v>63.3</v>
      </c>
      <c r="S338">
        <v>34.54</v>
      </c>
      <c r="T338">
        <v>0.33456024796590472</v>
      </c>
      <c r="U338" s="1">
        <v>45931</v>
      </c>
      <c r="V338" t="s">
        <v>2501</v>
      </c>
      <c r="W338">
        <v>2025</v>
      </c>
    </row>
    <row r="339" spans="1:23" x14ac:dyDescent="0.25">
      <c r="A339" t="s">
        <v>386</v>
      </c>
      <c r="B339" s="1">
        <v>45681</v>
      </c>
      <c r="C339" s="1">
        <v>45685</v>
      </c>
      <c r="D339" t="s">
        <v>32</v>
      </c>
      <c r="E339" t="s">
        <v>33</v>
      </c>
      <c r="F339" t="s">
        <v>25</v>
      </c>
      <c r="G339" t="s">
        <v>16</v>
      </c>
      <c r="H339" t="s">
        <v>27</v>
      </c>
      <c r="I339">
        <v>4</v>
      </c>
      <c r="J339">
        <v>0</v>
      </c>
      <c r="K339">
        <v>97.44</v>
      </c>
      <c r="L339">
        <v>6.3</v>
      </c>
      <c r="M339" t="s">
        <v>2478</v>
      </c>
      <c r="N339" t="s">
        <v>2474</v>
      </c>
      <c r="O339" t="s">
        <v>2463</v>
      </c>
      <c r="P339">
        <v>16.760000000000002</v>
      </c>
      <c r="Q339">
        <v>27.71</v>
      </c>
      <c r="R339">
        <v>67.040000000000006</v>
      </c>
      <c r="S339">
        <v>24.099999999999991</v>
      </c>
      <c r="T339">
        <v>0.24733169129720844</v>
      </c>
      <c r="U339" s="1">
        <v>45658</v>
      </c>
      <c r="V339" t="s">
        <v>2499</v>
      </c>
      <c r="W339">
        <v>2025</v>
      </c>
    </row>
    <row r="340" spans="1:23" x14ac:dyDescent="0.25">
      <c r="A340" t="s">
        <v>387</v>
      </c>
      <c r="B340" s="1">
        <v>45426</v>
      </c>
      <c r="C340" s="1">
        <v>45428</v>
      </c>
      <c r="D340" t="s">
        <v>13</v>
      </c>
      <c r="E340" t="s">
        <v>19</v>
      </c>
      <c r="F340" t="s">
        <v>15</v>
      </c>
      <c r="G340" t="s">
        <v>20</v>
      </c>
      <c r="H340" t="s">
        <v>65</v>
      </c>
      <c r="I340">
        <v>4</v>
      </c>
      <c r="J340">
        <v>0</v>
      </c>
      <c r="K340">
        <v>1208.68</v>
      </c>
      <c r="L340">
        <v>13.7</v>
      </c>
      <c r="M340" t="s">
        <v>2457</v>
      </c>
      <c r="N340" t="s">
        <v>2458</v>
      </c>
      <c r="O340" t="s">
        <v>2459</v>
      </c>
      <c r="P340">
        <v>173.56</v>
      </c>
      <c r="Q340">
        <v>286.14999999999998</v>
      </c>
      <c r="R340">
        <v>694.24</v>
      </c>
      <c r="S340">
        <v>500.74000000000007</v>
      </c>
      <c r="T340">
        <v>0.4142866598272496</v>
      </c>
      <c r="U340" s="1">
        <v>45413</v>
      </c>
      <c r="V340" t="s">
        <v>2499</v>
      </c>
      <c r="W340">
        <v>2024</v>
      </c>
    </row>
    <row r="341" spans="1:23" x14ac:dyDescent="0.25">
      <c r="A341" t="s">
        <v>388</v>
      </c>
      <c r="B341" s="1">
        <v>45850</v>
      </c>
      <c r="C341" s="1">
        <v>45853</v>
      </c>
      <c r="D341" t="s">
        <v>32</v>
      </c>
      <c r="E341" t="s">
        <v>33</v>
      </c>
      <c r="F341" t="s">
        <v>15</v>
      </c>
      <c r="G341" t="s">
        <v>20</v>
      </c>
      <c r="H341" t="s">
        <v>34</v>
      </c>
      <c r="I341">
        <v>1</v>
      </c>
      <c r="J341">
        <v>0</v>
      </c>
      <c r="K341">
        <v>186.1</v>
      </c>
      <c r="L341">
        <v>6.8</v>
      </c>
      <c r="M341" t="s">
        <v>2460</v>
      </c>
      <c r="N341" t="s">
        <v>2458</v>
      </c>
      <c r="O341" t="s">
        <v>2461</v>
      </c>
      <c r="P341">
        <v>119.02</v>
      </c>
      <c r="Q341">
        <v>205.39</v>
      </c>
      <c r="R341">
        <v>119.02</v>
      </c>
      <c r="S341">
        <v>60.28</v>
      </c>
      <c r="T341">
        <v>0.32391187533584098</v>
      </c>
      <c r="U341" s="1">
        <v>45839</v>
      </c>
      <c r="V341" t="s">
        <v>2499</v>
      </c>
      <c r="W341">
        <v>2025</v>
      </c>
    </row>
    <row r="342" spans="1:23" x14ac:dyDescent="0.25">
      <c r="A342" t="s">
        <v>389</v>
      </c>
      <c r="B342" s="1">
        <v>45308</v>
      </c>
      <c r="C342" s="1">
        <v>45309</v>
      </c>
      <c r="D342" t="s">
        <v>47</v>
      </c>
      <c r="E342" t="s">
        <v>48</v>
      </c>
      <c r="F342" t="s">
        <v>25</v>
      </c>
      <c r="G342" t="s">
        <v>20</v>
      </c>
      <c r="H342" t="s">
        <v>37</v>
      </c>
      <c r="I342">
        <v>2</v>
      </c>
      <c r="J342">
        <v>0</v>
      </c>
      <c r="K342">
        <v>186.58</v>
      </c>
      <c r="L342">
        <v>9.1</v>
      </c>
      <c r="M342" t="s">
        <v>2464</v>
      </c>
      <c r="N342" t="s">
        <v>2458</v>
      </c>
      <c r="O342" t="s">
        <v>2465</v>
      </c>
      <c r="P342">
        <v>63.6</v>
      </c>
      <c r="Q342">
        <v>107.94</v>
      </c>
      <c r="R342">
        <v>127.2</v>
      </c>
      <c r="S342">
        <v>50.280000000000008</v>
      </c>
      <c r="T342">
        <v>0.26948225962053812</v>
      </c>
      <c r="U342" s="1">
        <v>45292</v>
      </c>
      <c r="V342" t="s">
        <v>2499</v>
      </c>
      <c r="W342">
        <v>2024</v>
      </c>
    </row>
    <row r="343" spans="1:23" x14ac:dyDescent="0.25">
      <c r="A343" t="s">
        <v>390</v>
      </c>
      <c r="B343" s="1">
        <v>45819</v>
      </c>
      <c r="C343" s="1">
        <v>45823</v>
      </c>
      <c r="D343" t="s">
        <v>13</v>
      </c>
      <c r="E343" t="s">
        <v>14</v>
      </c>
      <c r="F343" t="s">
        <v>29</v>
      </c>
      <c r="G343" t="s">
        <v>16</v>
      </c>
      <c r="H343" t="s">
        <v>27</v>
      </c>
      <c r="I343">
        <v>23</v>
      </c>
      <c r="J343">
        <v>0</v>
      </c>
      <c r="K343">
        <v>629.21</v>
      </c>
      <c r="L343">
        <v>8.91</v>
      </c>
      <c r="M343" t="s">
        <v>2478</v>
      </c>
      <c r="N343" t="s">
        <v>2474</v>
      </c>
      <c r="O343" t="s">
        <v>2463</v>
      </c>
      <c r="P343">
        <v>16.760000000000002</v>
      </c>
      <c r="Q343">
        <v>27.71</v>
      </c>
      <c r="R343">
        <v>385.48</v>
      </c>
      <c r="S343">
        <v>234.82000000000002</v>
      </c>
      <c r="T343">
        <v>0.37319813734683177</v>
      </c>
      <c r="U343" s="1">
        <v>45809</v>
      </c>
      <c r="V343" t="s">
        <v>2499</v>
      </c>
      <c r="W343">
        <v>2025</v>
      </c>
    </row>
    <row r="344" spans="1:23" x14ac:dyDescent="0.25">
      <c r="A344" t="s">
        <v>391</v>
      </c>
      <c r="B344" s="1">
        <v>45838</v>
      </c>
      <c r="C344" s="1">
        <v>45844</v>
      </c>
      <c r="D344" t="s">
        <v>47</v>
      </c>
      <c r="E344" t="s">
        <v>71</v>
      </c>
      <c r="F344" t="s">
        <v>15</v>
      </c>
      <c r="G344" t="s">
        <v>16</v>
      </c>
      <c r="H344" t="s">
        <v>41</v>
      </c>
      <c r="I344">
        <v>9</v>
      </c>
      <c r="J344">
        <v>0</v>
      </c>
      <c r="K344">
        <v>58.14</v>
      </c>
      <c r="L344">
        <v>8.5500000000000007</v>
      </c>
      <c r="M344" t="s">
        <v>2479</v>
      </c>
      <c r="N344" t="s">
        <v>2474</v>
      </c>
      <c r="O344" t="s">
        <v>2459</v>
      </c>
      <c r="P344">
        <v>3.3</v>
      </c>
      <c r="Q344">
        <v>6.13</v>
      </c>
      <c r="R344">
        <v>29.7</v>
      </c>
      <c r="S344">
        <v>19.89</v>
      </c>
      <c r="T344">
        <v>0.34210526315789475</v>
      </c>
      <c r="U344" s="1">
        <v>45809</v>
      </c>
      <c r="V344" t="s">
        <v>2499</v>
      </c>
      <c r="W344">
        <v>2025</v>
      </c>
    </row>
    <row r="345" spans="1:23" x14ac:dyDescent="0.25">
      <c r="A345" t="s">
        <v>392</v>
      </c>
      <c r="B345" s="1">
        <v>45639</v>
      </c>
      <c r="C345" s="1">
        <v>45641</v>
      </c>
      <c r="D345" t="s">
        <v>13</v>
      </c>
      <c r="E345" t="s">
        <v>14</v>
      </c>
      <c r="F345" t="s">
        <v>25</v>
      </c>
      <c r="G345" t="s">
        <v>20</v>
      </c>
      <c r="H345" t="s">
        <v>39</v>
      </c>
      <c r="I345">
        <v>2</v>
      </c>
      <c r="J345">
        <v>0.05</v>
      </c>
      <c r="K345">
        <v>525.35</v>
      </c>
      <c r="L345">
        <v>4.2</v>
      </c>
      <c r="M345" t="s">
        <v>2471</v>
      </c>
      <c r="N345" t="s">
        <v>2467</v>
      </c>
      <c r="O345" t="s">
        <v>2461</v>
      </c>
      <c r="P345">
        <v>112.09</v>
      </c>
      <c r="Q345">
        <v>192.47</v>
      </c>
      <c r="R345">
        <v>224.18</v>
      </c>
      <c r="S345">
        <v>296.97000000000003</v>
      </c>
      <c r="T345">
        <v>0.56528028933092223</v>
      </c>
      <c r="U345" s="1">
        <v>45627</v>
      </c>
      <c r="V345" t="s">
        <v>2498</v>
      </c>
      <c r="W345">
        <v>2024</v>
      </c>
    </row>
    <row r="346" spans="1:23" x14ac:dyDescent="0.25">
      <c r="A346" t="s">
        <v>393</v>
      </c>
      <c r="B346" s="1">
        <v>45360</v>
      </c>
      <c r="C346" s="1">
        <v>45363</v>
      </c>
      <c r="D346" t="s">
        <v>32</v>
      </c>
      <c r="E346" t="s">
        <v>62</v>
      </c>
      <c r="F346" t="s">
        <v>25</v>
      </c>
      <c r="G346" t="s">
        <v>16</v>
      </c>
      <c r="H346" t="s">
        <v>17</v>
      </c>
      <c r="I346">
        <v>3</v>
      </c>
      <c r="J346">
        <v>0</v>
      </c>
      <c r="K346">
        <v>369.02</v>
      </c>
      <c r="L346">
        <v>4.95</v>
      </c>
      <c r="M346" t="s">
        <v>2472</v>
      </c>
      <c r="N346" t="s">
        <v>2467</v>
      </c>
      <c r="O346" t="s">
        <v>2468</v>
      </c>
      <c r="P346">
        <v>63.69</v>
      </c>
      <c r="Q346">
        <v>125.5</v>
      </c>
      <c r="R346">
        <v>191.07</v>
      </c>
      <c r="S346">
        <v>173</v>
      </c>
      <c r="T346">
        <v>0.46880927862988458</v>
      </c>
      <c r="U346" s="1">
        <v>45352</v>
      </c>
      <c r="V346" t="s">
        <v>2499</v>
      </c>
      <c r="W346">
        <v>2024</v>
      </c>
    </row>
    <row r="347" spans="1:23" x14ac:dyDescent="0.25">
      <c r="A347" t="s">
        <v>394</v>
      </c>
      <c r="B347" s="1">
        <v>45458</v>
      </c>
      <c r="C347" s="1">
        <v>45460</v>
      </c>
      <c r="D347" t="s">
        <v>32</v>
      </c>
      <c r="E347" t="s">
        <v>62</v>
      </c>
      <c r="F347" t="s">
        <v>15</v>
      </c>
      <c r="G347" t="s">
        <v>16</v>
      </c>
      <c r="H347" t="s">
        <v>39</v>
      </c>
      <c r="I347">
        <v>2</v>
      </c>
      <c r="J347">
        <v>0</v>
      </c>
      <c r="K347">
        <v>389.45</v>
      </c>
      <c r="L347">
        <v>7</v>
      </c>
      <c r="M347" t="s">
        <v>2471</v>
      </c>
      <c r="N347" t="s">
        <v>2467</v>
      </c>
      <c r="O347" t="s">
        <v>2461</v>
      </c>
      <c r="P347">
        <v>112.09</v>
      </c>
      <c r="Q347">
        <v>192.47</v>
      </c>
      <c r="R347">
        <v>224.18</v>
      </c>
      <c r="S347">
        <v>158.26999999999998</v>
      </c>
      <c r="T347">
        <v>0.40639363204519191</v>
      </c>
      <c r="U347" s="1">
        <v>45444</v>
      </c>
      <c r="V347" t="s">
        <v>2499</v>
      </c>
      <c r="W347">
        <v>2024</v>
      </c>
    </row>
    <row r="348" spans="1:23" x14ac:dyDescent="0.25">
      <c r="A348" t="s">
        <v>395</v>
      </c>
      <c r="B348" s="1">
        <v>45517</v>
      </c>
      <c r="C348" s="1">
        <v>45518</v>
      </c>
      <c r="D348" t="s">
        <v>23</v>
      </c>
      <c r="E348" t="s">
        <v>24</v>
      </c>
      <c r="F348" t="s">
        <v>29</v>
      </c>
      <c r="G348" t="s">
        <v>20</v>
      </c>
      <c r="H348" t="s">
        <v>39</v>
      </c>
      <c r="I348">
        <v>2</v>
      </c>
      <c r="J348">
        <v>0.1</v>
      </c>
      <c r="K348">
        <v>340.68</v>
      </c>
      <c r="L348">
        <v>7</v>
      </c>
      <c r="M348" t="s">
        <v>2471</v>
      </c>
      <c r="N348" t="s">
        <v>2467</v>
      </c>
      <c r="O348" t="s">
        <v>2461</v>
      </c>
      <c r="P348">
        <v>112.09</v>
      </c>
      <c r="Q348">
        <v>192.47</v>
      </c>
      <c r="R348">
        <v>224.18</v>
      </c>
      <c r="S348">
        <v>109.5</v>
      </c>
      <c r="T348">
        <v>0.32141599154631911</v>
      </c>
      <c r="U348" s="1">
        <v>45505</v>
      </c>
      <c r="V348" t="s">
        <v>2498</v>
      </c>
      <c r="W348">
        <v>2024</v>
      </c>
    </row>
    <row r="349" spans="1:23" x14ac:dyDescent="0.25">
      <c r="A349" t="s">
        <v>396</v>
      </c>
      <c r="B349" s="1">
        <v>45352</v>
      </c>
      <c r="C349" s="1">
        <v>45355</v>
      </c>
      <c r="D349" t="s">
        <v>13</v>
      </c>
      <c r="E349" t="s">
        <v>14</v>
      </c>
      <c r="F349" t="s">
        <v>25</v>
      </c>
      <c r="G349" t="s">
        <v>16</v>
      </c>
      <c r="H349" t="s">
        <v>87</v>
      </c>
      <c r="I349">
        <v>9</v>
      </c>
      <c r="J349">
        <v>0.2</v>
      </c>
      <c r="K349">
        <v>56.96</v>
      </c>
      <c r="L349">
        <v>8.5500000000000007</v>
      </c>
      <c r="M349" t="s">
        <v>2476</v>
      </c>
      <c r="N349" t="s">
        <v>2474</v>
      </c>
      <c r="O349" t="s">
        <v>2459</v>
      </c>
      <c r="P349">
        <v>4.5</v>
      </c>
      <c r="Q349">
        <v>8.2899999999999991</v>
      </c>
      <c r="R349">
        <v>40.5</v>
      </c>
      <c r="S349">
        <v>7.91</v>
      </c>
      <c r="T349">
        <v>0.1388693820224719</v>
      </c>
      <c r="U349" s="1">
        <v>45352</v>
      </c>
      <c r="V349" t="s">
        <v>2500</v>
      </c>
      <c r="W349">
        <v>2024</v>
      </c>
    </row>
    <row r="350" spans="1:23" x14ac:dyDescent="0.25">
      <c r="A350" t="s">
        <v>397</v>
      </c>
      <c r="B350" s="1">
        <v>45950</v>
      </c>
      <c r="C350" s="1">
        <v>45953</v>
      </c>
      <c r="D350" t="s">
        <v>47</v>
      </c>
      <c r="E350" t="s">
        <v>71</v>
      </c>
      <c r="F350" t="s">
        <v>25</v>
      </c>
      <c r="G350" t="s">
        <v>26</v>
      </c>
      <c r="H350" t="s">
        <v>51</v>
      </c>
      <c r="I350">
        <v>7</v>
      </c>
      <c r="J350">
        <v>0.2</v>
      </c>
      <c r="K350">
        <v>94.98</v>
      </c>
      <c r="L350">
        <v>4.59</v>
      </c>
      <c r="M350" t="s">
        <v>2475</v>
      </c>
      <c r="N350" t="s">
        <v>2474</v>
      </c>
      <c r="O350" t="s">
        <v>2463</v>
      </c>
      <c r="P350">
        <v>7.93</v>
      </c>
      <c r="Q350">
        <v>14.78</v>
      </c>
      <c r="R350">
        <v>55.51</v>
      </c>
      <c r="S350">
        <v>34.88000000000001</v>
      </c>
      <c r="T350">
        <v>0.36723520741208682</v>
      </c>
      <c r="U350" s="1">
        <v>45931</v>
      </c>
      <c r="V350" t="s">
        <v>2500</v>
      </c>
      <c r="W350">
        <v>2025</v>
      </c>
    </row>
    <row r="351" spans="1:23" x14ac:dyDescent="0.25">
      <c r="A351" t="s">
        <v>398</v>
      </c>
      <c r="B351" s="1">
        <v>45962</v>
      </c>
      <c r="C351" s="1">
        <v>45964</v>
      </c>
      <c r="D351" t="s">
        <v>47</v>
      </c>
      <c r="E351" t="s">
        <v>50</v>
      </c>
      <c r="F351" t="s">
        <v>29</v>
      </c>
      <c r="G351" t="s">
        <v>20</v>
      </c>
      <c r="H351" t="s">
        <v>30</v>
      </c>
      <c r="I351">
        <v>14</v>
      </c>
      <c r="J351">
        <v>0</v>
      </c>
      <c r="K351">
        <v>118.58</v>
      </c>
      <c r="L351">
        <v>6.48</v>
      </c>
      <c r="M351" t="s">
        <v>2473</v>
      </c>
      <c r="N351" t="s">
        <v>2474</v>
      </c>
      <c r="O351" t="s">
        <v>2463</v>
      </c>
      <c r="P351">
        <v>3.62</v>
      </c>
      <c r="Q351">
        <v>6.03</v>
      </c>
      <c r="R351">
        <v>50.68</v>
      </c>
      <c r="S351">
        <v>61.42</v>
      </c>
      <c r="T351">
        <v>0.51796255692359594</v>
      </c>
      <c r="U351" s="1">
        <v>45962</v>
      </c>
      <c r="V351" t="s">
        <v>2499</v>
      </c>
      <c r="W351">
        <v>2025</v>
      </c>
    </row>
    <row r="352" spans="1:23" x14ac:dyDescent="0.25">
      <c r="A352" t="s">
        <v>399</v>
      </c>
      <c r="B352" s="1">
        <v>45855</v>
      </c>
      <c r="C352" s="1">
        <v>45860</v>
      </c>
      <c r="D352" t="s">
        <v>23</v>
      </c>
      <c r="E352" t="s">
        <v>43</v>
      </c>
      <c r="F352" t="s">
        <v>29</v>
      </c>
      <c r="G352" t="s">
        <v>20</v>
      </c>
      <c r="H352" t="s">
        <v>17</v>
      </c>
      <c r="I352">
        <v>3</v>
      </c>
      <c r="J352">
        <v>0</v>
      </c>
      <c r="K352">
        <v>336.74</v>
      </c>
      <c r="L352">
        <v>8.25</v>
      </c>
      <c r="M352" t="s">
        <v>2472</v>
      </c>
      <c r="N352" t="s">
        <v>2467</v>
      </c>
      <c r="O352" t="s">
        <v>2468</v>
      </c>
      <c r="P352">
        <v>63.69</v>
      </c>
      <c r="Q352">
        <v>125.5</v>
      </c>
      <c r="R352">
        <v>191.07</v>
      </c>
      <c r="S352">
        <v>137.42000000000002</v>
      </c>
      <c r="T352">
        <v>0.40808932707727036</v>
      </c>
      <c r="U352" s="1">
        <v>45839</v>
      </c>
      <c r="V352" t="s">
        <v>2499</v>
      </c>
      <c r="W352">
        <v>2025</v>
      </c>
    </row>
    <row r="353" spans="1:23" x14ac:dyDescent="0.25">
      <c r="A353" t="s">
        <v>400</v>
      </c>
      <c r="B353" s="1">
        <v>45842</v>
      </c>
      <c r="C353" s="1">
        <v>45846</v>
      </c>
      <c r="D353" t="s">
        <v>23</v>
      </c>
      <c r="E353" t="s">
        <v>24</v>
      </c>
      <c r="F353" t="s">
        <v>15</v>
      </c>
      <c r="G353" t="s">
        <v>16</v>
      </c>
      <c r="H353" t="s">
        <v>39</v>
      </c>
      <c r="I353">
        <v>1</v>
      </c>
      <c r="J353">
        <v>0.2</v>
      </c>
      <c r="K353">
        <v>136.38999999999999</v>
      </c>
      <c r="L353">
        <v>5.75</v>
      </c>
      <c r="M353" t="s">
        <v>2471</v>
      </c>
      <c r="N353" t="s">
        <v>2467</v>
      </c>
      <c r="O353" t="s">
        <v>2461</v>
      </c>
      <c r="P353">
        <v>112.09</v>
      </c>
      <c r="Q353">
        <v>192.47</v>
      </c>
      <c r="R353">
        <v>112.09</v>
      </c>
      <c r="S353">
        <v>18.549999999999983</v>
      </c>
      <c r="T353">
        <v>0.1360070386391963</v>
      </c>
      <c r="U353" s="1">
        <v>45839</v>
      </c>
      <c r="V353" t="s">
        <v>2500</v>
      </c>
      <c r="W353">
        <v>2025</v>
      </c>
    </row>
    <row r="354" spans="1:23" x14ac:dyDescent="0.25">
      <c r="A354" t="s">
        <v>401</v>
      </c>
      <c r="B354" s="1">
        <v>45499</v>
      </c>
      <c r="C354" s="1">
        <v>45501</v>
      </c>
      <c r="D354" t="s">
        <v>13</v>
      </c>
      <c r="E354" t="s">
        <v>14</v>
      </c>
      <c r="F354" t="s">
        <v>25</v>
      </c>
      <c r="G354" t="s">
        <v>16</v>
      </c>
      <c r="H354" t="s">
        <v>30</v>
      </c>
      <c r="I354">
        <v>4</v>
      </c>
      <c r="J354">
        <v>0.05</v>
      </c>
      <c r="K354">
        <v>21.31</v>
      </c>
      <c r="L354">
        <v>3.78</v>
      </c>
      <c r="M354" t="s">
        <v>2473</v>
      </c>
      <c r="N354" t="s">
        <v>2474</v>
      </c>
      <c r="O354" t="s">
        <v>2463</v>
      </c>
      <c r="P354">
        <v>3.62</v>
      </c>
      <c r="Q354">
        <v>6.03</v>
      </c>
      <c r="R354">
        <v>14.48</v>
      </c>
      <c r="S354">
        <v>3.0499999999999985</v>
      </c>
      <c r="T354">
        <v>0.14312529328953535</v>
      </c>
      <c r="U354" s="1">
        <v>45474</v>
      </c>
      <c r="V354" t="s">
        <v>2498</v>
      </c>
      <c r="W354">
        <v>2024</v>
      </c>
    </row>
    <row r="355" spans="1:23" x14ac:dyDescent="0.25">
      <c r="A355" t="s">
        <v>402</v>
      </c>
      <c r="B355" s="1">
        <v>45510</v>
      </c>
      <c r="C355" s="1">
        <v>45514</v>
      </c>
      <c r="D355" t="s">
        <v>23</v>
      </c>
      <c r="E355" t="s">
        <v>43</v>
      </c>
      <c r="F355" t="s">
        <v>15</v>
      </c>
      <c r="G355" t="s">
        <v>26</v>
      </c>
      <c r="H355" t="s">
        <v>17</v>
      </c>
      <c r="I355">
        <v>4</v>
      </c>
      <c r="J355">
        <v>0</v>
      </c>
      <c r="K355">
        <v>482.68</v>
      </c>
      <c r="L355">
        <v>9.5</v>
      </c>
      <c r="M355" t="s">
        <v>2472</v>
      </c>
      <c r="N355" t="s">
        <v>2467</v>
      </c>
      <c r="O355" t="s">
        <v>2468</v>
      </c>
      <c r="P355">
        <v>63.69</v>
      </c>
      <c r="Q355">
        <v>125.5</v>
      </c>
      <c r="R355">
        <v>254.76</v>
      </c>
      <c r="S355">
        <v>218.42000000000002</v>
      </c>
      <c r="T355">
        <v>0.45251512389160525</v>
      </c>
      <c r="U355" s="1">
        <v>45505</v>
      </c>
      <c r="V355" t="s">
        <v>2499</v>
      </c>
      <c r="W355">
        <v>2024</v>
      </c>
    </row>
    <row r="356" spans="1:23" x14ac:dyDescent="0.25">
      <c r="A356" t="s">
        <v>403</v>
      </c>
      <c r="B356" s="1">
        <v>46010</v>
      </c>
      <c r="C356" s="1">
        <v>46011</v>
      </c>
      <c r="D356" t="s">
        <v>32</v>
      </c>
      <c r="E356" t="s">
        <v>62</v>
      </c>
      <c r="F356" t="s">
        <v>29</v>
      </c>
      <c r="G356" t="s">
        <v>26</v>
      </c>
      <c r="H356" t="s">
        <v>21</v>
      </c>
      <c r="I356">
        <v>2</v>
      </c>
      <c r="J356">
        <v>0</v>
      </c>
      <c r="K356">
        <v>337.23</v>
      </c>
      <c r="L356">
        <v>9.1</v>
      </c>
      <c r="M356" t="s">
        <v>2462</v>
      </c>
      <c r="N356" t="s">
        <v>2458</v>
      </c>
      <c r="O356" t="s">
        <v>2463</v>
      </c>
      <c r="P356">
        <v>71.489999999999995</v>
      </c>
      <c r="Q356">
        <v>112.88</v>
      </c>
      <c r="R356">
        <v>142.97999999999999</v>
      </c>
      <c r="S356">
        <v>185.15000000000003</v>
      </c>
      <c r="T356">
        <v>0.54903181804703027</v>
      </c>
      <c r="U356" s="1">
        <v>45992</v>
      </c>
      <c r="V356" t="s">
        <v>2499</v>
      </c>
      <c r="W356">
        <v>2025</v>
      </c>
    </row>
    <row r="357" spans="1:23" x14ac:dyDescent="0.25">
      <c r="A357" t="s">
        <v>404</v>
      </c>
      <c r="B357" s="1">
        <v>45537</v>
      </c>
      <c r="C357" s="1">
        <v>45540</v>
      </c>
      <c r="D357" t="s">
        <v>32</v>
      </c>
      <c r="E357" t="s">
        <v>45</v>
      </c>
      <c r="F357" t="s">
        <v>29</v>
      </c>
      <c r="G357" t="s">
        <v>16</v>
      </c>
      <c r="H357" t="s">
        <v>41</v>
      </c>
      <c r="I357">
        <v>22</v>
      </c>
      <c r="J357">
        <v>0</v>
      </c>
      <c r="K357">
        <v>140.69999999999999</v>
      </c>
      <c r="L357">
        <v>14.4</v>
      </c>
      <c r="M357" t="s">
        <v>2479</v>
      </c>
      <c r="N357" t="s">
        <v>2474</v>
      </c>
      <c r="O357" t="s">
        <v>2459</v>
      </c>
      <c r="P357">
        <v>3.3</v>
      </c>
      <c r="Q357">
        <v>6.13</v>
      </c>
      <c r="R357">
        <v>72.599999999999994</v>
      </c>
      <c r="S357">
        <v>53.699999999999996</v>
      </c>
      <c r="T357">
        <v>0.3816631130063966</v>
      </c>
      <c r="U357" s="1">
        <v>45536</v>
      </c>
      <c r="V357" t="s">
        <v>2499</v>
      </c>
      <c r="W357">
        <v>2024</v>
      </c>
    </row>
    <row r="358" spans="1:23" x14ac:dyDescent="0.25">
      <c r="A358" t="s">
        <v>405</v>
      </c>
      <c r="B358" s="1">
        <v>45533</v>
      </c>
      <c r="C358" s="1">
        <v>45535</v>
      </c>
      <c r="D358" t="s">
        <v>47</v>
      </c>
      <c r="E358" t="s">
        <v>50</v>
      </c>
      <c r="F358" t="s">
        <v>15</v>
      </c>
      <c r="G358" t="s">
        <v>26</v>
      </c>
      <c r="H358" t="s">
        <v>60</v>
      </c>
      <c r="I358">
        <v>3</v>
      </c>
      <c r="J358">
        <v>0</v>
      </c>
      <c r="K358">
        <v>335.22</v>
      </c>
      <c r="L358">
        <v>4.95</v>
      </c>
      <c r="M358" t="s">
        <v>2469</v>
      </c>
      <c r="N358" t="s">
        <v>2467</v>
      </c>
      <c r="O358" t="s">
        <v>2468</v>
      </c>
      <c r="P358">
        <v>54.95</v>
      </c>
      <c r="Q358">
        <v>112.56</v>
      </c>
      <c r="R358">
        <v>164.85000000000002</v>
      </c>
      <c r="S358">
        <v>165.42000000000002</v>
      </c>
      <c r="T358">
        <v>0.49346697691068553</v>
      </c>
      <c r="U358" s="1">
        <v>45505</v>
      </c>
      <c r="V358" t="s">
        <v>2499</v>
      </c>
      <c r="W358">
        <v>2024</v>
      </c>
    </row>
    <row r="359" spans="1:23" x14ac:dyDescent="0.25">
      <c r="A359" t="s">
        <v>406</v>
      </c>
      <c r="B359" s="1">
        <v>45940</v>
      </c>
      <c r="C359" s="1">
        <v>45944</v>
      </c>
      <c r="D359" t="s">
        <v>23</v>
      </c>
      <c r="E359" t="s">
        <v>59</v>
      </c>
      <c r="F359" t="s">
        <v>29</v>
      </c>
      <c r="G359" t="s">
        <v>26</v>
      </c>
      <c r="H359" t="s">
        <v>65</v>
      </c>
      <c r="I359">
        <v>1</v>
      </c>
      <c r="J359">
        <v>0.05</v>
      </c>
      <c r="K359">
        <v>318.70999999999998</v>
      </c>
      <c r="L359">
        <v>4.08</v>
      </c>
      <c r="M359" t="s">
        <v>2457</v>
      </c>
      <c r="N359" t="s">
        <v>2458</v>
      </c>
      <c r="O359" t="s">
        <v>2459</v>
      </c>
      <c r="P359">
        <v>173.56</v>
      </c>
      <c r="Q359">
        <v>286.14999999999998</v>
      </c>
      <c r="R359">
        <v>173.56</v>
      </c>
      <c r="S359">
        <v>141.06999999999996</v>
      </c>
      <c r="T359">
        <v>0.44262809450597712</v>
      </c>
      <c r="U359" s="1">
        <v>45931</v>
      </c>
      <c r="V359" t="s">
        <v>2498</v>
      </c>
      <c r="W359">
        <v>2025</v>
      </c>
    </row>
    <row r="360" spans="1:23" x14ac:dyDescent="0.25">
      <c r="A360" t="s">
        <v>407</v>
      </c>
      <c r="B360" s="1">
        <v>45845</v>
      </c>
      <c r="C360" s="1">
        <v>45850</v>
      </c>
      <c r="D360" t="s">
        <v>13</v>
      </c>
      <c r="E360" t="s">
        <v>14</v>
      </c>
      <c r="F360" t="s">
        <v>25</v>
      </c>
      <c r="G360" t="s">
        <v>20</v>
      </c>
      <c r="H360" t="s">
        <v>34</v>
      </c>
      <c r="I360">
        <v>5</v>
      </c>
      <c r="J360">
        <v>0</v>
      </c>
      <c r="K360">
        <v>928.11</v>
      </c>
      <c r="L360">
        <v>16</v>
      </c>
      <c r="M360" t="s">
        <v>2460</v>
      </c>
      <c r="N360" t="s">
        <v>2458</v>
      </c>
      <c r="O360" t="s">
        <v>2461</v>
      </c>
      <c r="P360">
        <v>119.02</v>
      </c>
      <c r="Q360">
        <v>205.39</v>
      </c>
      <c r="R360">
        <v>595.1</v>
      </c>
      <c r="S360">
        <v>317.01</v>
      </c>
      <c r="T360">
        <v>0.34156511620389823</v>
      </c>
      <c r="U360" s="1">
        <v>45839</v>
      </c>
      <c r="V360" t="s">
        <v>2499</v>
      </c>
      <c r="W360">
        <v>2025</v>
      </c>
    </row>
    <row r="361" spans="1:23" x14ac:dyDescent="0.25">
      <c r="A361" t="s">
        <v>408</v>
      </c>
      <c r="B361" s="1">
        <v>45733</v>
      </c>
      <c r="C361" s="1">
        <v>45738</v>
      </c>
      <c r="D361" t="s">
        <v>23</v>
      </c>
      <c r="E361" t="s">
        <v>24</v>
      </c>
      <c r="F361" t="s">
        <v>25</v>
      </c>
      <c r="G361" t="s">
        <v>20</v>
      </c>
      <c r="H361" t="s">
        <v>68</v>
      </c>
      <c r="I361">
        <v>5</v>
      </c>
      <c r="J361">
        <v>0</v>
      </c>
      <c r="K361">
        <v>232.95</v>
      </c>
      <c r="L361">
        <v>10.75</v>
      </c>
      <c r="M361" t="s">
        <v>2466</v>
      </c>
      <c r="N361" t="s">
        <v>2467</v>
      </c>
      <c r="O361" t="s">
        <v>2468</v>
      </c>
      <c r="P361">
        <v>25.33</v>
      </c>
      <c r="Q361">
        <v>51.56</v>
      </c>
      <c r="R361">
        <v>126.64999999999999</v>
      </c>
      <c r="S361">
        <v>95.55</v>
      </c>
      <c r="T361">
        <v>0.41017385705086928</v>
      </c>
      <c r="U361" s="1">
        <v>45717</v>
      </c>
      <c r="V361" t="s">
        <v>2499</v>
      </c>
      <c r="W361">
        <v>2025</v>
      </c>
    </row>
    <row r="362" spans="1:23" x14ac:dyDescent="0.25">
      <c r="A362" t="s">
        <v>409</v>
      </c>
      <c r="B362" s="1">
        <v>45397</v>
      </c>
      <c r="C362" s="1">
        <v>45398</v>
      </c>
      <c r="D362" t="s">
        <v>47</v>
      </c>
      <c r="E362" t="s">
        <v>50</v>
      </c>
      <c r="F362" t="s">
        <v>29</v>
      </c>
      <c r="G362" t="s">
        <v>26</v>
      </c>
      <c r="H362" t="s">
        <v>27</v>
      </c>
      <c r="I362">
        <v>10</v>
      </c>
      <c r="J362">
        <v>0</v>
      </c>
      <c r="K362">
        <v>281.18</v>
      </c>
      <c r="L362">
        <v>5.4</v>
      </c>
      <c r="M362" t="s">
        <v>2478</v>
      </c>
      <c r="N362" t="s">
        <v>2474</v>
      </c>
      <c r="O362" t="s">
        <v>2463</v>
      </c>
      <c r="P362">
        <v>16.760000000000002</v>
      </c>
      <c r="Q362">
        <v>27.71</v>
      </c>
      <c r="R362">
        <v>167.60000000000002</v>
      </c>
      <c r="S362">
        <v>108.17999999999998</v>
      </c>
      <c r="T362">
        <v>0.38473575645493979</v>
      </c>
      <c r="U362" s="1">
        <v>45383</v>
      </c>
      <c r="V362" t="s">
        <v>2499</v>
      </c>
      <c r="W362">
        <v>2024</v>
      </c>
    </row>
    <row r="363" spans="1:23" x14ac:dyDescent="0.25">
      <c r="A363" t="s">
        <v>410</v>
      </c>
      <c r="B363" s="1">
        <v>45876</v>
      </c>
      <c r="C363" s="1">
        <v>45882</v>
      </c>
      <c r="D363" t="s">
        <v>23</v>
      </c>
      <c r="E363" t="s">
        <v>59</v>
      </c>
      <c r="F363" t="s">
        <v>15</v>
      </c>
      <c r="G363" t="s">
        <v>20</v>
      </c>
      <c r="H363" t="s">
        <v>39</v>
      </c>
      <c r="I363">
        <v>1</v>
      </c>
      <c r="J363">
        <v>0</v>
      </c>
      <c r="K363">
        <v>176.31</v>
      </c>
      <c r="L363">
        <v>5.75</v>
      </c>
      <c r="M363" t="s">
        <v>2471</v>
      </c>
      <c r="N363" t="s">
        <v>2467</v>
      </c>
      <c r="O363" t="s">
        <v>2461</v>
      </c>
      <c r="P363">
        <v>112.09</v>
      </c>
      <c r="Q363">
        <v>192.47</v>
      </c>
      <c r="R363">
        <v>112.09</v>
      </c>
      <c r="S363">
        <v>58.47</v>
      </c>
      <c r="T363">
        <v>0.33163178492428108</v>
      </c>
      <c r="U363" s="1">
        <v>45870</v>
      </c>
      <c r="V363" t="s">
        <v>2499</v>
      </c>
      <c r="W363">
        <v>2025</v>
      </c>
    </row>
    <row r="364" spans="1:23" x14ac:dyDescent="0.25">
      <c r="A364" t="s">
        <v>411</v>
      </c>
      <c r="B364" s="1">
        <v>45430</v>
      </c>
      <c r="C364" s="1">
        <v>45434</v>
      </c>
      <c r="D364" t="s">
        <v>47</v>
      </c>
      <c r="E364" t="s">
        <v>71</v>
      </c>
      <c r="F364" t="s">
        <v>29</v>
      </c>
      <c r="G364" t="s">
        <v>20</v>
      </c>
      <c r="H364" t="s">
        <v>53</v>
      </c>
      <c r="I364">
        <v>2</v>
      </c>
      <c r="J364">
        <v>0.2</v>
      </c>
      <c r="K364">
        <v>92.3</v>
      </c>
      <c r="L364">
        <v>4.2</v>
      </c>
      <c r="M364" t="s">
        <v>2470</v>
      </c>
      <c r="N364" t="s">
        <v>2467</v>
      </c>
      <c r="O364" t="s">
        <v>2459</v>
      </c>
      <c r="P364">
        <v>31.34</v>
      </c>
      <c r="Q364">
        <v>56.49</v>
      </c>
      <c r="R364">
        <v>62.68</v>
      </c>
      <c r="S364">
        <v>25.419999999999998</v>
      </c>
      <c r="T364">
        <v>0.27540628385698807</v>
      </c>
      <c r="U364" s="1">
        <v>45413</v>
      </c>
      <c r="V364" t="s">
        <v>2500</v>
      </c>
      <c r="W364">
        <v>2024</v>
      </c>
    </row>
    <row r="365" spans="1:23" x14ac:dyDescent="0.25">
      <c r="A365" t="s">
        <v>412</v>
      </c>
      <c r="B365" s="1">
        <v>45973</v>
      </c>
      <c r="C365" s="1">
        <v>45974</v>
      </c>
      <c r="D365" t="s">
        <v>23</v>
      </c>
      <c r="E365" t="s">
        <v>43</v>
      </c>
      <c r="F365" t="s">
        <v>29</v>
      </c>
      <c r="G365" t="s">
        <v>16</v>
      </c>
      <c r="H365" t="s">
        <v>41</v>
      </c>
      <c r="I365">
        <v>9</v>
      </c>
      <c r="J365">
        <v>0</v>
      </c>
      <c r="K365">
        <v>78.33</v>
      </c>
      <c r="L365">
        <v>8.5500000000000007</v>
      </c>
      <c r="M365" t="s">
        <v>2479</v>
      </c>
      <c r="N365" t="s">
        <v>2474</v>
      </c>
      <c r="O365" t="s">
        <v>2459</v>
      </c>
      <c r="P365">
        <v>3.3</v>
      </c>
      <c r="Q365">
        <v>6.13</v>
      </c>
      <c r="R365">
        <v>29.7</v>
      </c>
      <c r="S365">
        <v>40.08</v>
      </c>
      <c r="T365">
        <v>0.51168134814247412</v>
      </c>
      <c r="U365" s="1">
        <v>45962</v>
      </c>
      <c r="V365" t="s">
        <v>2499</v>
      </c>
      <c r="W365">
        <v>2025</v>
      </c>
    </row>
    <row r="366" spans="1:23" x14ac:dyDescent="0.25">
      <c r="A366" t="s">
        <v>413</v>
      </c>
      <c r="B366" s="1">
        <v>45613</v>
      </c>
      <c r="C366" s="1">
        <v>45617</v>
      </c>
      <c r="D366" t="s">
        <v>47</v>
      </c>
      <c r="E366" t="s">
        <v>50</v>
      </c>
      <c r="F366" t="s">
        <v>29</v>
      </c>
      <c r="G366" t="s">
        <v>26</v>
      </c>
      <c r="H366" t="s">
        <v>27</v>
      </c>
      <c r="I366">
        <v>14</v>
      </c>
      <c r="J366">
        <v>0</v>
      </c>
      <c r="K366">
        <v>543.75</v>
      </c>
      <c r="L366">
        <v>10.8</v>
      </c>
      <c r="M366" t="s">
        <v>2478</v>
      </c>
      <c r="N366" t="s">
        <v>2474</v>
      </c>
      <c r="O366" t="s">
        <v>2463</v>
      </c>
      <c r="P366">
        <v>16.760000000000002</v>
      </c>
      <c r="Q366">
        <v>27.71</v>
      </c>
      <c r="R366">
        <v>234.64000000000001</v>
      </c>
      <c r="S366">
        <v>298.31</v>
      </c>
      <c r="T366">
        <v>0.54861609195402294</v>
      </c>
      <c r="U366" s="1">
        <v>45597</v>
      </c>
      <c r="V366" t="s">
        <v>2499</v>
      </c>
      <c r="W366">
        <v>2024</v>
      </c>
    </row>
    <row r="367" spans="1:23" x14ac:dyDescent="0.25">
      <c r="A367" t="s">
        <v>414</v>
      </c>
      <c r="B367" s="1">
        <v>45636</v>
      </c>
      <c r="C367" s="1">
        <v>45642</v>
      </c>
      <c r="D367" t="s">
        <v>23</v>
      </c>
      <c r="E367" t="s">
        <v>43</v>
      </c>
      <c r="F367" t="s">
        <v>29</v>
      </c>
      <c r="G367" t="s">
        <v>26</v>
      </c>
      <c r="H367" t="s">
        <v>41</v>
      </c>
      <c r="I367">
        <v>13</v>
      </c>
      <c r="J367">
        <v>0.05</v>
      </c>
      <c r="K367">
        <v>109.43</v>
      </c>
      <c r="L367">
        <v>10.35</v>
      </c>
      <c r="M367" t="s">
        <v>2479</v>
      </c>
      <c r="N367" t="s">
        <v>2474</v>
      </c>
      <c r="O367" t="s">
        <v>2459</v>
      </c>
      <c r="P367">
        <v>3.3</v>
      </c>
      <c r="Q367">
        <v>6.13</v>
      </c>
      <c r="R367">
        <v>42.9</v>
      </c>
      <c r="S367">
        <v>56.18</v>
      </c>
      <c r="T367">
        <v>0.51338755368728861</v>
      </c>
      <c r="U367" s="1">
        <v>45627</v>
      </c>
      <c r="V367" t="s">
        <v>2498</v>
      </c>
      <c r="W367">
        <v>2024</v>
      </c>
    </row>
    <row r="368" spans="1:23" x14ac:dyDescent="0.25">
      <c r="A368" t="s">
        <v>415</v>
      </c>
      <c r="B368" s="1">
        <v>45523</v>
      </c>
      <c r="C368" s="1">
        <v>45527</v>
      </c>
      <c r="D368" t="s">
        <v>23</v>
      </c>
      <c r="E368" t="s">
        <v>59</v>
      </c>
      <c r="F368" t="s">
        <v>15</v>
      </c>
      <c r="G368" t="s">
        <v>16</v>
      </c>
      <c r="H368" t="s">
        <v>51</v>
      </c>
      <c r="I368">
        <v>5</v>
      </c>
      <c r="J368">
        <v>0</v>
      </c>
      <c r="K368">
        <v>73.459999999999994</v>
      </c>
      <c r="L368">
        <v>4.05</v>
      </c>
      <c r="M368" t="s">
        <v>2475</v>
      </c>
      <c r="N368" t="s">
        <v>2474</v>
      </c>
      <c r="O368" t="s">
        <v>2463</v>
      </c>
      <c r="P368">
        <v>7.93</v>
      </c>
      <c r="Q368">
        <v>14.78</v>
      </c>
      <c r="R368">
        <v>39.65</v>
      </c>
      <c r="S368">
        <v>29.759999999999994</v>
      </c>
      <c r="T368">
        <v>0.40511843179961882</v>
      </c>
      <c r="U368" s="1">
        <v>45505</v>
      </c>
      <c r="V368" t="s">
        <v>2499</v>
      </c>
      <c r="W368">
        <v>2024</v>
      </c>
    </row>
    <row r="369" spans="1:23" x14ac:dyDescent="0.25">
      <c r="A369" t="s">
        <v>416</v>
      </c>
      <c r="B369" s="1">
        <v>45711</v>
      </c>
      <c r="C369" s="1">
        <v>45714</v>
      </c>
      <c r="D369" t="s">
        <v>23</v>
      </c>
      <c r="E369" t="s">
        <v>59</v>
      </c>
      <c r="F369" t="s">
        <v>29</v>
      </c>
      <c r="G369" t="s">
        <v>20</v>
      </c>
      <c r="H369" t="s">
        <v>37</v>
      </c>
      <c r="I369">
        <v>1</v>
      </c>
      <c r="J369">
        <v>0</v>
      </c>
      <c r="K369">
        <v>94.95</v>
      </c>
      <c r="L369">
        <v>6.8</v>
      </c>
      <c r="M369" t="s">
        <v>2464</v>
      </c>
      <c r="N369" t="s">
        <v>2458</v>
      </c>
      <c r="O369" t="s">
        <v>2465</v>
      </c>
      <c r="P369">
        <v>63.6</v>
      </c>
      <c r="Q369">
        <v>107.94</v>
      </c>
      <c r="R369">
        <v>63.6</v>
      </c>
      <c r="S369">
        <v>24.55</v>
      </c>
      <c r="T369">
        <v>0.25855713533438651</v>
      </c>
      <c r="U369" s="1">
        <v>45689</v>
      </c>
      <c r="V369" t="s">
        <v>2499</v>
      </c>
      <c r="W369">
        <v>2025</v>
      </c>
    </row>
    <row r="370" spans="1:23" x14ac:dyDescent="0.25">
      <c r="A370" t="s">
        <v>417</v>
      </c>
      <c r="B370" s="1">
        <v>45648</v>
      </c>
      <c r="C370" s="1">
        <v>45651</v>
      </c>
      <c r="D370" t="s">
        <v>47</v>
      </c>
      <c r="E370" t="s">
        <v>48</v>
      </c>
      <c r="F370" t="s">
        <v>25</v>
      </c>
      <c r="G370" t="s">
        <v>16</v>
      </c>
      <c r="H370" t="s">
        <v>21</v>
      </c>
      <c r="I370">
        <v>4</v>
      </c>
      <c r="J370">
        <v>0.15</v>
      </c>
      <c r="K370">
        <v>553.44000000000005</v>
      </c>
      <c r="L370">
        <v>8.2200000000000006</v>
      </c>
      <c r="M370" t="s">
        <v>2462</v>
      </c>
      <c r="N370" t="s">
        <v>2458</v>
      </c>
      <c r="O370" t="s">
        <v>2463</v>
      </c>
      <c r="P370">
        <v>71.489999999999995</v>
      </c>
      <c r="Q370">
        <v>112.88</v>
      </c>
      <c r="R370">
        <v>285.95999999999998</v>
      </c>
      <c r="S370">
        <v>259.26000000000005</v>
      </c>
      <c r="T370">
        <v>0.4684518647007806</v>
      </c>
      <c r="U370" s="1">
        <v>45627</v>
      </c>
      <c r="V370" t="s">
        <v>2500</v>
      </c>
      <c r="W370">
        <v>2024</v>
      </c>
    </row>
    <row r="371" spans="1:23" x14ac:dyDescent="0.25">
      <c r="A371" t="s">
        <v>418</v>
      </c>
      <c r="B371" s="1">
        <v>45472</v>
      </c>
      <c r="C371" s="1">
        <v>45473</v>
      </c>
      <c r="D371" t="s">
        <v>47</v>
      </c>
      <c r="E371" t="s">
        <v>48</v>
      </c>
      <c r="F371" t="s">
        <v>15</v>
      </c>
      <c r="G371" t="s">
        <v>16</v>
      </c>
      <c r="H371" t="s">
        <v>30</v>
      </c>
      <c r="I371">
        <v>7</v>
      </c>
      <c r="J371">
        <v>0</v>
      </c>
      <c r="K371">
        <v>44.26</v>
      </c>
      <c r="L371">
        <v>4.59</v>
      </c>
      <c r="M371" t="s">
        <v>2473</v>
      </c>
      <c r="N371" t="s">
        <v>2474</v>
      </c>
      <c r="O371" t="s">
        <v>2463</v>
      </c>
      <c r="P371">
        <v>3.62</v>
      </c>
      <c r="Q371">
        <v>6.03</v>
      </c>
      <c r="R371">
        <v>25.34</v>
      </c>
      <c r="S371">
        <v>14.329999999999998</v>
      </c>
      <c r="T371">
        <v>0.32376863985539989</v>
      </c>
      <c r="U371" s="1">
        <v>45444</v>
      </c>
      <c r="V371" t="s">
        <v>2499</v>
      </c>
      <c r="W371">
        <v>2024</v>
      </c>
    </row>
    <row r="372" spans="1:23" x14ac:dyDescent="0.25">
      <c r="A372" t="s">
        <v>419</v>
      </c>
      <c r="B372" s="1">
        <v>45467</v>
      </c>
      <c r="C372" s="1">
        <v>45473</v>
      </c>
      <c r="D372" t="s">
        <v>13</v>
      </c>
      <c r="E372" t="s">
        <v>14</v>
      </c>
      <c r="F372" t="s">
        <v>15</v>
      </c>
      <c r="G372" t="s">
        <v>16</v>
      </c>
      <c r="H372" t="s">
        <v>68</v>
      </c>
      <c r="I372">
        <v>2</v>
      </c>
      <c r="J372">
        <v>0.1</v>
      </c>
      <c r="K372">
        <v>95.38</v>
      </c>
      <c r="L372">
        <v>4.2</v>
      </c>
      <c r="M372" t="s">
        <v>2466</v>
      </c>
      <c r="N372" t="s">
        <v>2467</v>
      </c>
      <c r="O372" t="s">
        <v>2468</v>
      </c>
      <c r="P372">
        <v>25.33</v>
      </c>
      <c r="Q372">
        <v>51.56</v>
      </c>
      <c r="R372">
        <v>50.66</v>
      </c>
      <c r="S372">
        <v>40.519999999999996</v>
      </c>
      <c r="T372">
        <v>0.4248270077584399</v>
      </c>
      <c r="U372" s="1">
        <v>45444</v>
      </c>
      <c r="V372" t="s">
        <v>2498</v>
      </c>
      <c r="W372">
        <v>2024</v>
      </c>
    </row>
    <row r="373" spans="1:23" x14ac:dyDescent="0.25">
      <c r="A373" t="s">
        <v>420</v>
      </c>
      <c r="B373" s="1">
        <v>45754</v>
      </c>
      <c r="C373" s="1">
        <v>45760</v>
      </c>
      <c r="D373" t="s">
        <v>32</v>
      </c>
      <c r="E373" t="s">
        <v>33</v>
      </c>
      <c r="F373" t="s">
        <v>25</v>
      </c>
      <c r="G373" t="s">
        <v>26</v>
      </c>
      <c r="H373" t="s">
        <v>63</v>
      </c>
      <c r="I373">
        <v>6</v>
      </c>
      <c r="J373">
        <v>0.05</v>
      </c>
      <c r="K373">
        <v>70.040000000000006</v>
      </c>
      <c r="L373">
        <v>4.32</v>
      </c>
      <c r="M373" t="s">
        <v>2477</v>
      </c>
      <c r="N373" t="s">
        <v>2474</v>
      </c>
      <c r="O373" t="s">
        <v>2468</v>
      </c>
      <c r="P373">
        <v>6.33</v>
      </c>
      <c r="Q373">
        <v>12.16</v>
      </c>
      <c r="R373">
        <v>37.980000000000004</v>
      </c>
      <c r="S373">
        <v>27.740000000000002</v>
      </c>
      <c r="T373">
        <v>0.39605939463163908</v>
      </c>
      <c r="U373" s="1">
        <v>45748</v>
      </c>
      <c r="V373" t="s">
        <v>2498</v>
      </c>
      <c r="W373">
        <v>2025</v>
      </c>
    </row>
    <row r="374" spans="1:23" x14ac:dyDescent="0.25">
      <c r="A374" t="s">
        <v>421</v>
      </c>
      <c r="B374" s="1">
        <v>45359</v>
      </c>
      <c r="C374" s="1">
        <v>45361</v>
      </c>
      <c r="D374" t="s">
        <v>47</v>
      </c>
      <c r="E374" t="s">
        <v>71</v>
      </c>
      <c r="F374" t="s">
        <v>15</v>
      </c>
      <c r="G374" t="s">
        <v>16</v>
      </c>
      <c r="H374" t="s">
        <v>39</v>
      </c>
      <c r="I374">
        <v>4</v>
      </c>
      <c r="J374">
        <v>0</v>
      </c>
      <c r="K374">
        <v>712.4</v>
      </c>
      <c r="L374">
        <v>9.5</v>
      </c>
      <c r="M374" t="s">
        <v>2471</v>
      </c>
      <c r="N374" t="s">
        <v>2467</v>
      </c>
      <c r="O374" t="s">
        <v>2461</v>
      </c>
      <c r="P374">
        <v>112.09</v>
      </c>
      <c r="Q374">
        <v>192.47</v>
      </c>
      <c r="R374">
        <v>448.36</v>
      </c>
      <c r="S374">
        <v>254.53999999999996</v>
      </c>
      <c r="T374">
        <v>0.35729927007299267</v>
      </c>
      <c r="U374" s="1">
        <v>45352</v>
      </c>
      <c r="V374" t="s">
        <v>2499</v>
      </c>
      <c r="W374">
        <v>2024</v>
      </c>
    </row>
    <row r="375" spans="1:23" x14ac:dyDescent="0.25">
      <c r="A375" t="s">
        <v>422</v>
      </c>
      <c r="B375" s="1">
        <v>45744</v>
      </c>
      <c r="C375" s="1">
        <v>45748</v>
      </c>
      <c r="D375" t="s">
        <v>47</v>
      </c>
      <c r="E375" t="s">
        <v>48</v>
      </c>
      <c r="F375" t="s">
        <v>15</v>
      </c>
      <c r="G375" t="s">
        <v>20</v>
      </c>
      <c r="H375" t="s">
        <v>53</v>
      </c>
      <c r="I375">
        <v>1</v>
      </c>
      <c r="J375">
        <v>0.25</v>
      </c>
      <c r="K375">
        <v>39.04</v>
      </c>
      <c r="L375">
        <v>3.45</v>
      </c>
      <c r="M375" t="s">
        <v>2470</v>
      </c>
      <c r="N375" t="s">
        <v>2467</v>
      </c>
      <c r="O375" t="s">
        <v>2459</v>
      </c>
      <c r="P375">
        <v>31.34</v>
      </c>
      <c r="Q375">
        <v>56.49</v>
      </c>
      <c r="R375">
        <v>31.34</v>
      </c>
      <c r="S375">
        <v>4.2499999999999991</v>
      </c>
      <c r="T375">
        <v>0.10886270491803277</v>
      </c>
      <c r="U375" s="1">
        <v>45717</v>
      </c>
      <c r="V375" t="s">
        <v>2501</v>
      </c>
      <c r="W375">
        <v>2025</v>
      </c>
    </row>
    <row r="376" spans="1:23" x14ac:dyDescent="0.25">
      <c r="A376" t="s">
        <v>423</v>
      </c>
      <c r="B376" s="1">
        <v>46009</v>
      </c>
      <c r="C376" s="1">
        <v>46010</v>
      </c>
      <c r="D376" t="s">
        <v>23</v>
      </c>
      <c r="E376" t="s">
        <v>24</v>
      </c>
      <c r="F376" t="s">
        <v>29</v>
      </c>
      <c r="G376" t="s">
        <v>20</v>
      </c>
      <c r="H376" t="s">
        <v>37</v>
      </c>
      <c r="I376">
        <v>2</v>
      </c>
      <c r="J376">
        <v>0</v>
      </c>
      <c r="K376">
        <v>306.13</v>
      </c>
      <c r="L376">
        <v>5.46</v>
      </c>
      <c r="M376" t="s">
        <v>2464</v>
      </c>
      <c r="N376" t="s">
        <v>2458</v>
      </c>
      <c r="O376" t="s">
        <v>2465</v>
      </c>
      <c r="P376">
        <v>63.6</v>
      </c>
      <c r="Q376">
        <v>107.94</v>
      </c>
      <c r="R376">
        <v>127.2</v>
      </c>
      <c r="S376">
        <v>173.47</v>
      </c>
      <c r="T376">
        <v>0.56665468918433348</v>
      </c>
      <c r="U376" s="1">
        <v>45992</v>
      </c>
      <c r="V376" t="s">
        <v>2499</v>
      </c>
      <c r="W376">
        <v>2025</v>
      </c>
    </row>
    <row r="377" spans="1:23" x14ac:dyDescent="0.25">
      <c r="A377" t="s">
        <v>424</v>
      </c>
      <c r="B377" s="1">
        <v>45981</v>
      </c>
      <c r="C377" s="1">
        <v>45982</v>
      </c>
      <c r="D377" t="s">
        <v>47</v>
      </c>
      <c r="E377" t="s">
        <v>48</v>
      </c>
      <c r="F377" t="s">
        <v>29</v>
      </c>
      <c r="G377" t="s">
        <v>26</v>
      </c>
      <c r="H377" t="s">
        <v>17</v>
      </c>
      <c r="I377">
        <v>2</v>
      </c>
      <c r="J377">
        <v>0</v>
      </c>
      <c r="K377">
        <v>349.68</v>
      </c>
      <c r="L377">
        <v>7</v>
      </c>
      <c r="M377" t="s">
        <v>2472</v>
      </c>
      <c r="N377" t="s">
        <v>2467</v>
      </c>
      <c r="O377" t="s">
        <v>2468</v>
      </c>
      <c r="P377">
        <v>63.69</v>
      </c>
      <c r="Q377">
        <v>125.5</v>
      </c>
      <c r="R377">
        <v>127.38</v>
      </c>
      <c r="S377">
        <v>215.3</v>
      </c>
      <c r="T377">
        <v>0.61570578814916499</v>
      </c>
      <c r="U377" s="1">
        <v>45962</v>
      </c>
      <c r="V377" t="s">
        <v>2499</v>
      </c>
      <c r="W377">
        <v>2025</v>
      </c>
    </row>
    <row r="378" spans="1:23" x14ac:dyDescent="0.25">
      <c r="A378" t="s">
        <v>425</v>
      </c>
      <c r="B378" s="1">
        <v>45423</v>
      </c>
      <c r="C378" s="1">
        <v>45425</v>
      </c>
      <c r="D378" t="s">
        <v>13</v>
      </c>
      <c r="E378" t="s">
        <v>14</v>
      </c>
      <c r="F378" t="s">
        <v>29</v>
      </c>
      <c r="G378" t="s">
        <v>20</v>
      </c>
      <c r="H378" t="s">
        <v>51</v>
      </c>
      <c r="I378">
        <v>5</v>
      </c>
      <c r="J378">
        <v>0.1</v>
      </c>
      <c r="K378">
        <v>63.92</v>
      </c>
      <c r="L378">
        <v>6.75</v>
      </c>
      <c r="M378" t="s">
        <v>2475</v>
      </c>
      <c r="N378" t="s">
        <v>2474</v>
      </c>
      <c r="O378" t="s">
        <v>2463</v>
      </c>
      <c r="P378">
        <v>7.93</v>
      </c>
      <c r="Q378">
        <v>14.78</v>
      </c>
      <c r="R378">
        <v>39.65</v>
      </c>
      <c r="S378">
        <v>17.520000000000003</v>
      </c>
      <c r="T378">
        <v>0.27409261576971217</v>
      </c>
      <c r="U378" s="1">
        <v>45413</v>
      </c>
      <c r="V378" t="s">
        <v>2498</v>
      </c>
      <c r="W378">
        <v>2024</v>
      </c>
    </row>
    <row r="379" spans="1:23" x14ac:dyDescent="0.25">
      <c r="A379" t="s">
        <v>426</v>
      </c>
      <c r="B379" s="1">
        <v>45885</v>
      </c>
      <c r="C379" s="1">
        <v>45889</v>
      </c>
      <c r="D379" t="s">
        <v>23</v>
      </c>
      <c r="E379" t="s">
        <v>24</v>
      </c>
      <c r="F379" t="s">
        <v>15</v>
      </c>
      <c r="G379" t="s">
        <v>16</v>
      </c>
      <c r="H379" t="s">
        <v>63</v>
      </c>
      <c r="I379">
        <v>18</v>
      </c>
      <c r="J379">
        <v>0.2</v>
      </c>
      <c r="K379">
        <v>162.94</v>
      </c>
      <c r="L379">
        <v>12.6</v>
      </c>
      <c r="M379" t="s">
        <v>2477</v>
      </c>
      <c r="N379" t="s">
        <v>2474</v>
      </c>
      <c r="O379" t="s">
        <v>2468</v>
      </c>
      <c r="P379">
        <v>6.33</v>
      </c>
      <c r="Q379">
        <v>12.16</v>
      </c>
      <c r="R379">
        <v>113.94</v>
      </c>
      <c r="S379">
        <v>36.4</v>
      </c>
      <c r="T379">
        <v>0.2233951147661716</v>
      </c>
      <c r="U379" s="1">
        <v>45870</v>
      </c>
      <c r="V379" t="s">
        <v>2500</v>
      </c>
      <c r="W379">
        <v>2025</v>
      </c>
    </row>
    <row r="380" spans="1:23" x14ac:dyDescent="0.25">
      <c r="A380" t="s">
        <v>427</v>
      </c>
      <c r="B380" s="1">
        <v>45516</v>
      </c>
      <c r="C380" s="1">
        <v>45518</v>
      </c>
      <c r="D380" t="s">
        <v>47</v>
      </c>
      <c r="E380" t="s">
        <v>71</v>
      </c>
      <c r="F380" t="s">
        <v>25</v>
      </c>
      <c r="G380" t="s">
        <v>20</v>
      </c>
      <c r="H380" t="s">
        <v>53</v>
      </c>
      <c r="I380">
        <v>1</v>
      </c>
      <c r="J380">
        <v>0</v>
      </c>
      <c r="K380">
        <v>55.06</v>
      </c>
      <c r="L380">
        <v>5.75</v>
      </c>
      <c r="M380" t="s">
        <v>2470</v>
      </c>
      <c r="N380" t="s">
        <v>2467</v>
      </c>
      <c r="O380" t="s">
        <v>2459</v>
      </c>
      <c r="P380">
        <v>31.34</v>
      </c>
      <c r="Q380">
        <v>56.49</v>
      </c>
      <c r="R380">
        <v>31.34</v>
      </c>
      <c r="S380">
        <v>17.970000000000002</v>
      </c>
      <c r="T380">
        <v>0.3263712313839448</v>
      </c>
      <c r="U380" s="1">
        <v>45505</v>
      </c>
      <c r="V380" t="s">
        <v>2499</v>
      </c>
      <c r="W380">
        <v>2024</v>
      </c>
    </row>
    <row r="381" spans="1:23" x14ac:dyDescent="0.25">
      <c r="A381" t="s">
        <v>428</v>
      </c>
      <c r="B381" s="1">
        <v>45430</v>
      </c>
      <c r="C381" s="1">
        <v>45433</v>
      </c>
      <c r="D381" t="s">
        <v>32</v>
      </c>
      <c r="E381" t="s">
        <v>62</v>
      </c>
      <c r="F381" t="s">
        <v>29</v>
      </c>
      <c r="G381" t="s">
        <v>26</v>
      </c>
      <c r="H381" t="s">
        <v>60</v>
      </c>
      <c r="I381">
        <v>4</v>
      </c>
      <c r="J381">
        <v>0.05</v>
      </c>
      <c r="K381">
        <v>451.84</v>
      </c>
      <c r="L381">
        <v>5.7</v>
      </c>
      <c r="M381" t="s">
        <v>2469</v>
      </c>
      <c r="N381" t="s">
        <v>2467</v>
      </c>
      <c r="O381" t="s">
        <v>2468</v>
      </c>
      <c r="P381">
        <v>54.95</v>
      </c>
      <c r="Q381">
        <v>112.56</v>
      </c>
      <c r="R381">
        <v>219.8</v>
      </c>
      <c r="S381">
        <v>226.33999999999997</v>
      </c>
      <c r="T381">
        <v>0.50092953257790362</v>
      </c>
      <c r="U381" s="1">
        <v>45413</v>
      </c>
      <c r="V381" t="s">
        <v>2498</v>
      </c>
      <c r="W381">
        <v>2024</v>
      </c>
    </row>
    <row r="382" spans="1:23" x14ac:dyDescent="0.25">
      <c r="A382" t="s">
        <v>429</v>
      </c>
      <c r="B382" s="1">
        <v>45380</v>
      </c>
      <c r="C382" s="1">
        <v>45383</v>
      </c>
      <c r="D382" t="s">
        <v>23</v>
      </c>
      <c r="E382" t="s">
        <v>43</v>
      </c>
      <c r="F382" t="s">
        <v>25</v>
      </c>
      <c r="G382" t="s">
        <v>20</v>
      </c>
      <c r="H382" t="s">
        <v>65</v>
      </c>
      <c r="I382">
        <v>4</v>
      </c>
      <c r="J382">
        <v>0.05</v>
      </c>
      <c r="K382">
        <v>974.53</v>
      </c>
      <c r="L382">
        <v>13.7</v>
      </c>
      <c r="M382" t="s">
        <v>2457</v>
      </c>
      <c r="N382" t="s">
        <v>2458</v>
      </c>
      <c r="O382" t="s">
        <v>2459</v>
      </c>
      <c r="P382">
        <v>173.56</v>
      </c>
      <c r="Q382">
        <v>286.14999999999998</v>
      </c>
      <c r="R382">
        <v>694.24</v>
      </c>
      <c r="S382">
        <v>266.58999999999997</v>
      </c>
      <c r="T382">
        <v>0.27355750977394228</v>
      </c>
      <c r="U382" s="1">
        <v>45352</v>
      </c>
      <c r="V382" t="s">
        <v>2498</v>
      </c>
      <c r="W382">
        <v>2024</v>
      </c>
    </row>
    <row r="383" spans="1:23" x14ac:dyDescent="0.25">
      <c r="A383" t="s">
        <v>430</v>
      </c>
      <c r="B383" s="1">
        <v>45905</v>
      </c>
      <c r="C383" s="1">
        <v>45907</v>
      </c>
      <c r="D383" t="s">
        <v>13</v>
      </c>
      <c r="E383" t="s">
        <v>19</v>
      </c>
      <c r="F383" t="s">
        <v>29</v>
      </c>
      <c r="G383" t="s">
        <v>16</v>
      </c>
      <c r="H383" t="s">
        <v>65</v>
      </c>
      <c r="I383">
        <v>7</v>
      </c>
      <c r="J383">
        <v>0.1</v>
      </c>
      <c r="K383">
        <v>1909.41</v>
      </c>
      <c r="L383">
        <v>12.36</v>
      </c>
      <c r="M383" t="s">
        <v>2457</v>
      </c>
      <c r="N383" t="s">
        <v>2458</v>
      </c>
      <c r="O383" t="s">
        <v>2459</v>
      </c>
      <c r="P383">
        <v>173.56</v>
      </c>
      <c r="Q383">
        <v>286.14999999999998</v>
      </c>
      <c r="R383">
        <v>1214.92</v>
      </c>
      <c r="S383">
        <v>682.13</v>
      </c>
      <c r="T383">
        <v>0.35724647927893954</v>
      </c>
      <c r="U383" s="1">
        <v>45901</v>
      </c>
      <c r="V383" t="s">
        <v>2498</v>
      </c>
      <c r="W383">
        <v>2025</v>
      </c>
    </row>
    <row r="384" spans="1:23" x14ac:dyDescent="0.25">
      <c r="A384" t="s">
        <v>431</v>
      </c>
      <c r="B384" s="1">
        <v>45520</v>
      </c>
      <c r="C384" s="1">
        <v>45525</v>
      </c>
      <c r="D384" t="s">
        <v>13</v>
      </c>
      <c r="E384" t="s">
        <v>19</v>
      </c>
      <c r="F384" t="s">
        <v>25</v>
      </c>
      <c r="G384" t="s">
        <v>26</v>
      </c>
      <c r="H384" t="s">
        <v>63</v>
      </c>
      <c r="I384">
        <v>12</v>
      </c>
      <c r="J384">
        <v>0</v>
      </c>
      <c r="K384">
        <v>145.08000000000001</v>
      </c>
      <c r="L384">
        <v>9.9</v>
      </c>
      <c r="M384" t="s">
        <v>2477</v>
      </c>
      <c r="N384" t="s">
        <v>2474</v>
      </c>
      <c r="O384" t="s">
        <v>2468</v>
      </c>
      <c r="P384">
        <v>6.33</v>
      </c>
      <c r="Q384">
        <v>12.16</v>
      </c>
      <c r="R384">
        <v>75.960000000000008</v>
      </c>
      <c r="S384">
        <v>59.220000000000006</v>
      </c>
      <c r="T384">
        <v>0.40818858560794047</v>
      </c>
      <c r="U384" s="1">
        <v>45505</v>
      </c>
      <c r="V384" t="s">
        <v>2499</v>
      </c>
      <c r="W384">
        <v>2024</v>
      </c>
    </row>
    <row r="385" spans="1:23" x14ac:dyDescent="0.25">
      <c r="A385" t="s">
        <v>432</v>
      </c>
      <c r="B385" s="1">
        <v>45677</v>
      </c>
      <c r="C385" s="1">
        <v>45679</v>
      </c>
      <c r="D385" t="s">
        <v>23</v>
      </c>
      <c r="E385" t="s">
        <v>24</v>
      </c>
      <c r="F385" t="s">
        <v>29</v>
      </c>
      <c r="G385" t="s">
        <v>16</v>
      </c>
      <c r="H385" t="s">
        <v>87</v>
      </c>
      <c r="I385">
        <v>4</v>
      </c>
      <c r="J385">
        <v>0.2</v>
      </c>
      <c r="K385">
        <v>24.11</v>
      </c>
      <c r="L385">
        <v>6.3</v>
      </c>
      <c r="M385" t="s">
        <v>2476</v>
      </c>
      <c r="N385" t="s">
        <v>2474</v>
      </c>
      <c r="O385" t="s">
        <v>2459</v>
      </c>
      <c r="P385">
        <v>4.5</v>
      </c>
      <c r="Q385">
        <v>8.2899999999999991</v>
      </c>
      <c r="R385">
        <v>18</v>
      </c>
      <c r="S385">
        <v>-0.19000000000000039</v>
      </c>
      <c r="T385">
        <v>-7.8805474906677893E-3</v>
      </c>
      <c r="U385" s="1">
        <v>45658</v>
      </c>
      <c r="V385" t="s">
        <v>2500</v>
      </c>
      <c r="W385">
        <v>2025</v>
      </c>
    </row>
    <row r="386" spans="1:23" x14ac:dyDescent="0.25">
      <c r="A386" t="s">
        <v>433</v>
      </c>
      <c r="B386" s="1">
        <v>45531</v>
      </c>
      <c r="C386" s="1">
        <v>45534</v>
      </c>
      <c r="D386" t="s">
        <v>47</v>
      </c>
      <c r="E386" t="s">
        <v>71</v>
      </c>
      <c r="F386" t="s">
        <v>29</v>
      </c>
      <c r="G386" t="s">
        <v>20</v>
      </c>
      <c r="H386" t="s">
        <v>27</v>
      </c>
      <c r="I386">
        <v>9</v>
      </c>
      <c r="J386">
        <v>0</v>
      </c>
      <c r="K386">
        <v>237.8</v>
      </c>
      <c r="L386">
        <v>8.5500000000000007</v>
      </c>
      <c r="M386" t="s">
        <v>2478</v>
      </c>
      <c r="N386" t="s">
        <v>2474</v>
      </c>
      <c r="O386" t="s">
        <v>2463</v>
      </c>
      <c r="P386">
        <v>16.760000000000002</v>
      </c>
      <c r="Q386">
        <v>27.71</v>
      </c>
      <c r="R386">
        <v>150.84</v>
      </c>
      <c r="S386">
        <v>78.410000000000011</v>
      </c>
      <c r="T386">
        <v>0.32973086627418002</v>
      </c>
      <c r="U386" s="1">
        <v>45505</v>
      </c>
      <c r="V386" t="s">
        <v>2499</v>
      </c>
      <c r="W386">
        <v>2024</v>
      </c>
    </row>
    <row r="387" spans="1:23" x14ac:dyDescent="0.25">
      <c r="A387" t="s">
        <v>434</v>
      </c>
      <c r="B387" s="1">
        <v>45792</v>
      </c>
      <c r="C387" s="1">
        <v>45793</v>
      </c>
      <c r="D387" t="s">
        <v>13</v>
      </c>
      <c r="E387" t="s">
        <v>19</v>
      </c>
      <c r="F387" t="s">
        <v>15</v>
      </c>
      <c r="G387" t="s">
        <v>16</v>
      </c>
      <c r="H387" t="s">
        <v>41</v>
      </c>
      <c r="I387">
        <v>5</v>
      </c>
      <c r="J387">
        <v>0.15</v>
      </c>
      <c r="K387">
        <v>26.97</v>
      </c>
      <c r="L387">
        <v>4.05</v>
      </c>
      <c r="M387" t="s">
        <v>2479</v>
      </c>
      <c r="N387" t="s">
        <v>2474</v>
      </c>
      <c r="O387" t="s">
        <v>2459</v>
      </c>
      <c r="P387">
        <v>3.3</v>
      </c>
      <c r="Q387">
        <v>6.13</v>
      </c>
      <c r="R387">
        <v>16.5</v>
      </c>
      <c r="S387">
        <v>6.419999999999999</v>
      </c>
      <c r="T387">
        <v>0.23804226918798663</v>
      </c>
      <c r="U387" s="1">
        <v>45778</v>
      </c>
      <c r="V387" t="s">
        <v>2500</v>
      </c>
      <c r="W387">
        <v>2025</v>
      </c>
    </row>
    <row r="388" spans="1:23" x14ac:dyDescent="0.25">
      <c r="A388" t="s">
        <v>435</v>
      </c>
      <c r="B388" s="1">
        <v>45361</v>
      </c>
      <c r="C388" s="1">
        <v>45367</v>
      </c>
      <c r="D388" t="s">
        <v>13</v>
      </c>
      <c r="E388" t="s">
        <v>36</v>
      </c>
      <c r="F388" t="s">
        <v>29</v>
      </c>
      <c r="G388" t="s">
        <v>20</v>
      </c>
      <c r="H388" t="s">
        <v>51</v>
      </c>
      <c r="I388">
        <v>4</v>
      </c>
      <c r="J388">
        <v>0</v>
      </c>
      <c r="K388">
        <v>53.36</v>
      </c>
      <c r="L388">
        <v>6.3</v>
      </c>
      <c r="M388" t="s">
        <v>2475</v>
      </c>
      <c r="N388" t="s">
        <v>2474</v>
      </c>
      <c r="O388" t="s">
        <v>2463</v>
      </c>
      <c r="P388">
        <v>7.93</v>
      </c>
      <c r="Q388">
        <v>14.78</v>
      </c>
      <c r="R388">
        <v>31.72</v>
      </c>
      <c r="S388">
        <v>15.34</v>
      </c>
      <c r="T388">
        <v>0.28748125937031482</v>
      </c>
      <c r="U388" s="1">
        <v>45352</v>
      </c>
      <c r="V388" t="s">
        <v>2499</v>
      </c>
      <c r="W388">
        <v>2024</v>
      </c>
    </row>
    <row r="389" spans="1:23" x14ac:dyDescent="0.25">
      <c r="A389" t="s">
        <v>436</v>
      </c>
      <c r="B389" s="1">
        <v>45820</v>
      </c>
      <c r="C389" s="1">
        <v>45826</v>
      </c>
      <c r="D389" t="s">
        <v>13</v>
      </c>
      <c r="E389" t="s">
        <v>36</v>
      </c>
      <c r="F389" t="s">
        <v>25</v>
      </c>
      <c r="G389" t="s">
        <v>20</v>
      </c>
      <c r="H389" t="s">
        <v>39</v>
      </c>
      <c r="I389">
        <v>3</v>
      </c>
      <c r="J389">
        <v>0</v>
      </c>
      <c r="K389">
        <v>565.91</v>
      </c>
      <c r="L389">
        <v>4.95</v>
      </c>
      <c r="M389" t="s">
        <v>2471</v>
      </c>
      <c r="N389" t="s">
        <v>2467</v>
      </c>
      <c r="O389" t="s">
        <v>2461</v>
      </c>
      <c r="P389">
        <v>112.09</v>
      </c>
      <c r="Q389">
        <v>192.47</v>
      </c>
      <c r="R389">
        <v>336.27</v>
      </c>
      <c r="S389">
        <v>224.69</v>
      </c>
      <c r="T389">
        <v>0.3970419324627591</v>
      </c>
      <c r="U389" s="1">
        <v>45809</v>
      </c>
      <c r="V389" t="s">
        <v>2499</v>
      </c>
      <c r="W389">
        <v>2025</v>
      </c>
    </row>
    <row r="390" spans="1:23" x14ac:dyDescent="0.25">
      <c r="A390" t="s">
        <v>437</v>
      </c>
      <c r="B390" s="1">
        <v>45794</v>
      </c>
      <c r="C390" s="1">
        <v>45795</v>
      </c>
      <c r="D390" t="s">
        <v>13</v>
      </c>
      <c r="E390" t="s">
        <v>36</v>
      </c>
      <c r="F390" t="s">
        <v>29</v>
      </c>
      <c r="G390" t="s">
        <v>16</v>
      </c>
      <c r="H390" t="s">
        <v>17</v>
      </c>
      <c r="I390">
        <v>3</v>
      </c>
      <c r="J390">
        <v>0</v>
      </c>
      <c r="K390">
        <v>377.09</v>
      </c>
      <c r="L390">
        <v>4.95</v>
      </c>
      <c r="M390" t="s">
        <v>2472</v>
      </c>
      <c r="N390" t="s">
        <v>2467</v>
      </c>
      <c r="O390" t="s">
        <v>2468</v>
      </c>
      <c r="P390">
        <v>63.69</v>
      </c>
      <c r="Q390">
        <v>125.5</v>
      </c>
      <c r="R390">
        <v>191.07</v>
      </c>
      <c r="S390">
        <v>181.07</v>
      </c>
      <c r="T390">
        <v>0.48017714603940703</v>
      </c>
      <c r="U390" s="1">
        <v>45778</v>
      </c>
      <c r="V390" t="s">
        <v>2499</v>
      </c>
      <c r="W390">
        <v>2025</v>
      </c>
    </row>
    <row r="391" spans="1:23" x14ac:dyDescent="0.25">
      <c r="A391" t="s">
        <v>438</v>
      </c>
      <c r="B391" s="1">
        <v>45927</v>
      </c>
      <c r="C391" s="1">
        <v>45929</v>
      </c>
      <c r="D391" t="s">
        <v>47</v>
      </c>
      <c r="E391" t="s">
        <v>48</v>
      </c>
      <c r="F391" t="s">
        <v>29</v>
      </c>
      <c r="G391" t="s">
        <v>16</v>
      </c>
      <c r="H391" t="s">
        <v>53</v>
      </c>
      <c r="I391">
        <v>4</v>
      </c>
      <c r="J391">
        <v>0.15</v>
      </c>
      <c r="K391">
        <v>211.28</v>
      </c>
      <c r="L391">
        <v>5.7</v>
      </c>
      <c r="M391" t="s">
        <v>2470</v>
      </c>
      <c r="N391" t="s">
        <v>2467</v>
      </c>
      <c r="O391" t="s">
        <v>2459</v>
      </c>
      <c r="P391">
        <v>31.34</v>
      </c>
      <c r="Q391">
        <v>56.49</v>
      </c>
      <c r="R391">
        <v>125.36</v>
      </c>
      <c r="S391">
        <v>80.22</v>
      </c>
      <c r="T391">
        <v>0.37968572510412724</v>
      </c>
      <c r="U391" s="1">
        <v>45901</v>
      </c>
      <c r="V391" t="s">
        <v>2500</v>
      </c>
      <c r="W391">
        <v>2025</v>
      </c>
    </row>
    <row r="392" spans="1:23" x14ac:dyDescent="0.25">
      <c r="A392" t="s">
        <v>439</v>
      </c>
      <c r="B392" s="1">
        <v>45691</v>
      </c>
      <c r="C392" s="1">
        <v>45695</v>
      </c>
      <c r="D392" t="s">
        <v>23</v>
      </c>
      <c r="E392" t="s">
        <v>59</v>
      </c>
      <c r="F392" t="s">
        <v>29</v>
      </c>
      <c r="G392" t="s">
        <v>16</v>
      </c>
      <c r="H392" t="s">
        <v>65</v>
      </c>
      <c r="I392">
        <v>2</v>
      </c>
      <c r="J392">
        <v>0.2</v>
      </c>
      <c r="K392">
        <v>389.97</v>
      </c>
      <c r="L392">
        <v>5.46</v>
      </c>
      <c r="M392" t="s">
        <v>2457</v>
      </c>
      <c r="N392" t="s">
        <v>2458</v>
      </c>
      <c r="O392" t="s">
        <v>2459</v>
      </c>
      <c r="P392">
        <v>173.56</v>
      </c>
      <c r="Q392">
        <v>286.14999999999998</v>
      </c>
      <c r="R392">
        <v>347.12</v>
      </c>
      <c r="S392">
        <v>37.390000000000022</v>
      </c>
      <c r="T392">
        <v>9.5879170192578966E-2</v>
      </c>
      <c r="U392" s="1">
        <v>45689</v>
      </c>
      <c r="V392" t="s">
        <v>2500</v>
      </c>
      <c r="W392">
        <v>2025</v>
      </c>
    </row>
    <row r="393" spans="1:23" x14ac:dyDescent="0.25">
      <c r="A393" t="s">
        <v>440</v>
      </c>
      <c r="B393" s="1">
        <v>45605</v>
      </c>
      <c r="C393" s="1">
        <v>45609</v>
      </c>
      <c r="D393" t="s">
        <v>23</v>
      </c>
      <c r="E393" t="s">
        <v>24</v>
      </c>
      <c r="F393" t="s">
        <v>25</v>
      </c>
      <c r="G393" t="s">
        <v>26</v>
      </c>
      <c r="H393" t="s">
        <v>21</v>
      </c>
      <c r="I393">
        <v>3</v>
      </c>
      <c r="J393">
        <v>0.1</v>
      </c>
      <c r="K393">
        <v>409.05</v>
      </c>
      <c r="L393">
        <v>11.4</v>
      </c>
      <c r="M393" t="s">
        <v>2462</v>
      </c>
      <c r="N393" t="s">
        <v>2458</v>
      </c>
      <c r="O393" t="s">
        <v>2463</v>
      </c>
      <c r="P393">
        <v>71.489999999999995</v>
      </c>
      <c r="Q393">
        <v>112.88</v>
      </c>
      <c r="R393">
        <v>214.46999999999997</v>
      </c>
      <c r="S393">
        <v>183.18000000000004</v>
      </c>
      <c r="T393">
        <v>0.44781811514484787</v>
      </c>
      <c r="U393" s="1">
        <v>45597</v>
      </c>
      <c r="V393" t="s">
        <v>2498</v>
      </c>
      <c r="W393">
        <v>2024</v>
      </c>
    </row>
    <row r="394" spans="1:23" x14ac:dyDescent="0.25">
      <c r="A394" t="s">
        <v>441</v>
      </c>
      <c r="B394" s="1">
        <v>45633</v>
      </c>
      <c r="C394" s="1">
        <v>45634</v>
      </c>
      <c r="D394" t="s">
        <v>23</v>
      </c>
      <c r="E394" t="s">
        <v>43</v>
      </c>
      <c r="F394" t="s">
        <v>25</v>
      </c>
      <c r="G394" t="s">
        <v>16</v>
      </c>
      <c r="H394" t="s">
        <v>17</v>
      </c>
      <c r="I394">
        <v>2</v>
      </c>
      <c r="J394">
        <v>0.05</v>
      </c>
      <c r="K394">
        <v>354.66</v>
      </c>
      <c r="L394">
        <v>7</v>
      </c>
      <c r="M394" t="s">
        <v>2472</v>
      </c>
      <c r="N394" t="s">
        <v>2467</v>
      </c>
      <c r="O394" t="s">
        <v>2468</v>
      </c>
      <c r="P394">
        <v>63.69</v>
      </c>
      <c r="Q394">
        <v>125.5</v>
      </c>
      <c r="R394">
        <v>127.38</v>
      </c>
      <c r="S394">
        <v>220.28000000000003</v>
      </c>
      <c r="T394">
        <v>0.62110190041166191</v>
      </c>
      <c r="U394" s="1">
        <v>45627</v>
      </c>
      <c r="V394" t="s">
        <v>2498</v>
      </c>
      <c r="W394">
        <v>2024</v>
      </c>
    </row>
    <row r="395" spans="1:23" x14ac:dyDescent="0.25">
      <c r="A395" t="s">
        <v>442</v>
      </c>
      <c r="B395" s="1">
        <v>45777</v>
      </c>
      <c r="C395" s="1">
        <v>45781</v>
      </c>
      <c r="D395" t="s">
        <v>13</v>
      </c>
      <c r="E395" t="s">
        <v>36</v>
      </c>
      <c r="F395" t="s">
        <v>25</v>
      </c>
      <c r="G395" t="s">
        <v>20</v>
      </c>
      <c r="H395" t="s">
        <v>87</v>
      </c>
      <c r="I395">
        <v>14</v>
      </c>
      <c r="J395">
        <v>0</v>
      </c>
      <c r="K395">
        <v>110.46</v>
      </c>
      <c r="L395">
        <v>6.48</v>
      </c>
      <c r="M395" t="s">
        <v>2476</v>
      </c>
      <c r="N395" t="s">
        <v>2474</v>
      </c>
      <c r="O395" t="s">
        <v>2459</v>
      </c>
      <c r="P395">
        <v>4.5</v>
      </c>
      <c r="Q395">
        <v>8.2899999999999991</v>
      </c>
      <c r="R395">
        <v>63</v>
      </c>
      <c r="S395">
        <v>40.97999999999999</v>
      </c>
      <c r="T395">
        <v>0.37099402498642037</v>
      </c>
      <c r="U395" s="1">
        <v>45748</v>
      </c>
      <c r="V395" t="s">
        <v>2499</v>
      </c>
      <c r="W395">
        <v>2025</v>
      </c>
    </row>
    <row r="396" spans="1:23" x14ac:dyDescent="0.25">
      <c r="A396" t="s">
        <v>443</v>
      </c>
      <c r="B396" s="1">
        <v>45729</v>
      </c>
      <c r="C396" s="1">
        <v>45731</v>
      </c>
      <c r="D396" t="s">
        <v>32</v>
      </c>
      <c r="E396" t="s">
        <v>33</v>
      </c>
      <c r="F396" t="s">
        <v>15</v>
      </c>
      <c r="G396" t="s">
        <v>26</v>
      </c>
      <c r="H396" t="s">
        <v>51</v>
      </c>
      <c r="I396">
        <v>14</v>
      </c>
      <c r="J396">
        <v>0</v>
      </c>
      <c r="K396">
        <v>202.59</v>
      </c>
      <c r="L396">
        <v>10.8</v>
      </c>
      <c r="M396" t="s">
        <v>2475</v>
      </c>
      <c r="N396" t="s">
        <v>2474</v>
      </c>
      <c r="O396" t="s">
        <v>2463</v>
      </c>
      <c r="P396">
        <v>7.93</v>
      </c>
      <c r="Q396">
        <v>14.78</v>
      </c>
      <c r="R396">
        <v>111.02</v>
      </c>
      <c r="S396">
        <v>80.77000000000001</v>
      </c>
      <c r="T396">
        <v>0.39868700330717216</v>
      </c>
      <c r="U396" s="1">
        <v>45717</v>
      </c>
      <c r="V396" t="s">
        <v>2499</v>
      </c>
      <c r="W396">
        <v>2025</v>
      </c>
    </row>
    <row r="397" spans="1:23" x14ac:dyDescent="0.25">
      <c r="A397" t="s">
        <v>444</v>
      </c>
      <c r="B397" s="1">
        <v>45966</v>
      </c>
      <c r="C397" s="1">
        <v>45967</v>
      </c>
      <c r="D397" t="s">
        <v>23</v>
      </c>
      <c r="E397" t="s">
        <v>43</v>
      </c>
      <c r="F397" t="s">
        <v>15</v>
      </c>
      <c r="G397" t="s">
        <v>26</v>
      </c>
      <c r="H397" t="s">
        <v>53</v>
      </c>
      <c r="I397">
        <v>5</v>
      </c>
      <c r="J397">
        <v>0.1</v>
      </c>
      <c r="K397">
        <v>327.32</v>
      </c>
      <c r="L397">
        <v>10.75</v>
      </c>
      <c r="M397" t="s">
        <v>2470</v>
      </c>
      <c r="N397" t="s">
        <v>2467</v>
      </c>
      <c r="O397" t="s">
        <v>2459</v>
      </c>
      <c r="P397">
        <v>31.34</v>
      </c>
      <c r="Q397">
        <v>56.49</v>
      </c>
      <c r="R397">
        <v>156.69999999999999</v>
      </c>
      <c r="S397">
        <v>159.87</v>
      </c>
      <c r="T397">
        <v>0.48842111694977397</v>
      </c>
      <c r="U397" s="1">
        <v>45962</v>
      </c>
      <c r="V397" t="s">
        <v>2498</v>
      </c>
      <c r="W397">
        <v>2025</v>
      </c>
    </row>
    <row r="398" spans="1:23" x14ac:dyDescent="0.25">
      <c r="A398" t="s">
        <v>445</v>
      </c>
      <c r="B398" s="1">
        <v>45466</v>
      </c>
      <c r="C398" s="1">
        <v>45472</v>
      </c>
      <c r="D398" t="s">
        <v>47</v>
      </c>
      <c r="E398" t="s">
        <v>71</v>
      </c>
      <c r="F398" t="s">
        <v>25</v>
      </c>
      <c r="G398" t="s">
        <v>20</v>
      </c>
      <c r="H398" t="s">
        <v>51</v>
      </c>
      <c r="I398">
        <v>3</v>
      </c>
      <c r="J398">
        <v>0</v>
      </c>
      <c r="K398">
        <v>44.96</v>
      </c>
      <c r="L398">
        <v>5.85</v>
      </c>
      <c r="M398" t="s">
        <v>2475</v>
      </c>
      <c r="N398" t="s">
        <v>2474</v>
      </c>
      <c r="O398" t="s">
        <v>2463</v>
      </c>
      <c r="P398">
        <v>7.93</v>
      </c>
      <c r="Q398">
        <v>14.78</v>
      </c>
      <c r="R398">
        <v>23.79</v>
      </c>
      <c r="S398">
        <v>15.320000000000002</v>
      </c>
      <c r="T398">
        <v>0.34074733096085413</v>
      </c>
      <c r="U398" s="1">
        <v>45444</v>
      </c>
      <c r="V398" t="s">
        <v>2499</v>
      </c>
      <c r="W398">
        <v>2024</v>
      </c>
    </row>
    <row r="399" spans="1:23" x14ac:dyDescent="0.25">
      <c r="A399" t="s">
        <v>446</v>
      </c>
      <c r="B399" s="1">
        <v>45481</v>
      </c>
      <c r="C399" s="1">
        <v>45487</v>
      </c>
      <c r="D399" t="s">
        <v>32</v>
      </c>
      <c r="E399" t="s">
        <v>62</v>
      </c>
      <c r="F399" t="s">
        <v>29</v>
      </c>
      <c r="G399" t="s">
        <v>26</v>
      </c>
      <c r="H399" t="s">
        <v>60</v>
      </c>
      <c r="I399">
        <v>4</v>
      </c>
      <c r="J399">
        <v>0</v>
      </c>
      <c r="K399">
        <v>434.92</v>
      </c>
      <c r="L399">
        <v>9.5</v>
      </c>
      <c r="M399" t="s">
        <v>2469</v>
      </c>
      <c r="N399" t="s">
        <v>2467</v>
      </c>
      <c r="O399" t="s">
        <v>2468</v>
      </c>
      <c r="P399">
        <v>54.95</v>
      </c>
      <c r="Q399">
        <v>112.56</v>
      </c>
      <c r="R399">
        <v>219.8</v>
      </c>
      <c r="S399">
        <v>205.62</v>
      </c>
      <c r="T399">
        <v>0.4727766025935804</v>
      </c>
      <c r="U399" s="1">
        <v>45474</v>
      </c>
      <c r="V399" t="s">
        <v>2499</v>
      </c>
      <c r="W399">
        <v>2024</v>
      </c>
    </row>
    <row r="400" spans="1:23" x14ac:dyDescent="0.25">
      <c r="A400" t="s">
        <v>447</v>
      </c>
      <c r="B400" s="1">
        <v>45770</v>
      </c>
      <c r="C400" s="1">
        <v>45776</v>
      </c>
      <c r="D400" t="s">
        <v>32</v>
      </c>
      <c r="E400" t="s">
        <v>62</v>
      </c>
      <c r="F400" t="s">
        <v>25</v>
      </c>
      <c r="G400" t="s">
        <v>16</v>
      </c>
      <c r="H400" t="s">
        <v>34</v>
      </c>
      <c r="I400">
        <v>2</v>
      </c>
      <c r="J400">
        <v>0</v>
      </c>
      <c r="K400">
        <v>414.82</v>
      </c>
      <c r="L400">
        <v>9.1</v>
      </c>
      <c r="M400" t="s">
        <v>2460</v>
      </c>
      <c r="N400" t="s">
        <v>2458</v>
      </c>
      <c r="O400" t="s">
        <v>2461</v>
      </c>
      <c r="P400">
        <v>119.02</v>
      </c>
      <c r="Q400">
        <v>205.39</v>
      </c>
      <c r="R400">
        <v>238.04</v>
      </c>
      <c r="S400">
        <v>167.68</v>
      </c>
      <c r="T400">
        <v>0.4042235186345885</v>
      </c>
      <c r="U400" s="1">
        <v>45748</v>
      </c>
      <c r="V400" t="s">
        <v>2499</v>
      </c>
      <c r="W400">
        <v>2025</v>
      </c>
    </row>
    <row r="401" spans="1:23" x14ac:dyDescent="0.25">
      <c r="A401" t="s">
        <v>448</v>
      </c>
      <c r="B401" s="1">
        <v>45605</v>
      </c>
      <c r="C401" s="1">
        <v>45608</v>
      </c>
      <c r="D401" t="s">
        <v>23</v>
      </c>
      <c r="E401" t="s">
        <v>59</v>
      </c>
      <c r="F401" t="s">
        <v>29</v>
      </c>
      <c r="G401" t="s">
        <v>26</v>
      </c>
      <c r="H401" t="s">
        <v>87</v>
      </c>
      <c r="I401">
        <v>8</v>
      </c>
      <c r="J401">
        <v>0</v>
      </c>
      <c r="K401">
        <v>85.37</v>
      </c>
      <c r="L401">
        <v>4.8600000000000003</v>
      </c>
      <c r="M401" t="s">
        <v>2476</v>
      </c>
      <c r="N401" t="s">
        <v>2474</v>
      </c>
      <c r="O401" t="s">
        <v>2459</v>
      </c>
      <c r="P401">
        <v>4.5</v>
      </c>
      <c r="Q401">
        <v>8.2899999999999991</v>
      </c>
      <c r="R401">
        <v>36</v>
      </c>
      <c r="S401">
        <v>44.510000000000005</v>
      </c>
      <c r="T401">
        <v>0.5213775330912499</v>
      </c>
      <c r="U401" s="1">
        <v>45597</v>
      </c>
      <c r="V401" t="s">
        <v>2499</v>
      </c>
      <c r="W401">
        <v>2024</v>
      </c>
    </row>
    <row r="402" spans="1:23" x14ac:dyDescent="0.25">
      <c r="A402" t="s">
        <v>449</v>
      </c>
      <c r="B402" s="1">
        <v>45633</v>
      </c>
      <c r="C402" s="1">
        <v>45638</v>
      </c>
      <c r="D402" t="s">
        <v>13</v>
      </c>
      <c r="E402" t="s">
        <v>36</v>
      </c>
      <c r="F402" t="s">
        <v>25</v>
      </c>
      <c r="G402" t="s">
        <v>26</v>
      </c>
      <c r="H402" t="s">
        <v>27</v>
      </c>
      <c r="I402">
        <v>5</v>
      </c>
      <c r="J402">
        <v>0</v>
      </c>
      <c r="K402">
        <v>202.62</v>
      </c>
      <c r="L402">
        <v>6.75</v>
      </c>
      <c r="M402" t="s">
        <v>2478</v>
      </c>
      <c r="N402" t="s">
        <v>2474</v>
      </c>
      <c r="O402" t="s">
        <v>2463</v>
      </c>
      <c r="P402">
        <v>16.760000000000002</v>
      </c>
      <c r="Q402">
        <v>27.71</v>
      </c>
      <c r="R402">
        <v>83.800000000000011</v>
      </c>
      <c r="S402">
        <v>112.07</v>
      </c>
      <c r="T402">
        <v>0.55310433323462638</v>
      </c>
      <c r="U402" s="1">
        <v>45627</v>
      </c>
      <c r="V402" t="s">
        <v>2499</v>
      </c>
      <c r="W402">
        <v>2024</v>
      </c>
    </row>
    <row r="403" spans="1:23" x14ac:dyDescent="0.25">
      <c r="A403" t="s">
        <v>450</v>
      </c>
      <c r="B403" s="1">
        <v>45739</v>
      </c>
      <c r="C403" s="1">
        <v>45740</v>
      </c>
      <c r="D403" t="s">
        <v>47</v>
      </c>
      <c r="E403" t="s">
        <v>71</v>
      </c>
      <c r="F403" t="s">
        <v>25</v>
      </c>
      <c r="G403" t="s">
        <v>20</v>
      </c>
      <c r="H403" t="s">
        <v>60</v>
      </c>
      <c r="I403">
        <v>2</v>
      </c>
      <c r="J403">
        <v>0.05</v>
      </c>
      <c r="K403">
        <v>201.46</v>
      </c>
      <c r="L403">
        <v>4.2</v>
      </c>
      <c r="M403" t="s">
        <v>2469</v>
      </c>
      <c r="N403" t="s">
        <v>2467</v>
      </c>
      <c r="O403" t="s">
        <v>2468</v>
      </c>
      <c r="P403">
        <v>54.95</v>
      </c>
      <c r="Q403">
        <v>112.56</v>
      </c>
      <c r="R403">
        <v>109.9</v>
      </c>
      <c r="S403">
        <v>87.36</v>
      </c>
      <c r="T403">
        <v>0.43363446838081998</v>
      </c>
      <c r="U403" s="1">
        <v>45717</v>
      </c>
      <c r="V403" t="s">
        <v>2498</v>
      </c>
      <c r="W403">
        <v>2025</v>
      </c>
    </row>
    <row r="404" spans="1:23" x14ac:dyDescent="0.25">
      <c r="A404" t="s">
        <v>451</v>
      </c>
      <c r="B404" s="1">
        <v>45359</v>
      </c>
      <c r="C404" s="1">
        <v>45362</v>
      </c>
      <c r="D404" t="s">
        <v>13</v>
      </c>
      <c r="E404" t="s">
        <v>36</v>
      </c>
      <c r="F404" t="s">
        <v>25</v>
      </c>
      <c r="G404" t="s">
        <v>16</v>
      </c>
      <c r="H404" t="s">
        <v>65</v>
      </c>
      <c r="I404">
        <v>2</v>
      </c>
      <c r="J404">
        <v>0</v>
      </c>
      <c r="K404">
        <v>563.47</v>
      </c>
      <c r="L404">
        <v>5.46</v>
      </c>
      <c r="M404" t="s">
        <v>2457</v>
      </c>
      <c r="N404" t="s">
        <v>2458</v>
      </c>
      <c r="O404" t="s">
        <v>2459</v>
      </c>
      <c r="P404">
        <v>173.56</v>
      </c>
      <c r="Q404">
        <v>286.14999999999998</v>
      </c>
      <c r="R404">
        <v>347.12</v>
      </c>
      <c r="S404">
        <v>210.89000000000001</v>
      </c>
      <c r="T404">
        <v>0.37427014747901399</v>
      </c>
      <c r="U404" s="1">
        <v>45352</v>
      </c>
      <c r="V404" t="s">
        <v>2499</v>
      </c>
      <c r="W404">
        <v>2024</v>
      </c>
    </row>
    <row r="405" spans="1:23" x14ac:dyDescent="0.25">
      <c r="A405" t="s">
        <v>452</v>
      </c>
      <c r="B405" s="1">
        <v>46008</v>
      </c>
      <c r="C405" s="1">
        <v>46010</v>
      </c>
      <c r="D405" t="s">
        <v>32</v>
      </c>
      <c r="E405" t="s">
        <v>45</v>
      </c>
      <c r="F405" t="s">
        <v>15</v>
      </c>
      <c r="G405" t="s">
        <v>26</v>
      </c>
      <c r="H405" t="s">
        <v>21</v>
      </c>
      <c r="I405">
        <v>2</v>
      </c>
      <c r="J405">
        <v>0.15</v>
      </c>
      <c r="K405">
        <v>259.26</v>
      </c>
      <c r="L405">
        <v>9.1</v>
      </c>
      <c r="M405" t="s">
        <v>2462</v>
      </c>
      <c r="N405" t="s">
        <v>2458</v>
      </c>
      <c r="O405" t="s">
        <v>2463</v>
      </c>
      <c r="P405">
        <v>71.489999999999995</v>
      </c>
      <c r="Q405">
        <v>112.88</v>
      </c>
      <c r="R405">
        <v>142.97999999999999</v>
      </c>
      <c r="S405">
        <v>107.18</v>
      </c>
      <c r="T405">
        <v>0.41340739026459927</v>
      </c>
      <c r="U405" s="1">
        <v>45992</v>
      </c>
      <c r="V405" t="s">
        <v>2500</v>
      </c>
      <c r="W405">
        <v>2025</v>
      </c>
    </row>
    <row r="406" spans="1:23" x14ac:dyDescent="0.25">
      <c r="A406" t="s">
        <v>453</v>
      </c>
      <c r="B406" s="1">
        <v>45742</v>
      </c>
      <c r="C406" s="1">
        <v>45744</v>
      </c>
      <c r="D406" t="s">
        <v>23</v>
      </c>
      <c r="E406" t="s">
        <v>24</v>
      </c>
      <c r="F406" t="s">
        <v>25</v>
      </c>
      <c r="G406" t="s">
        <v>26</v>
      </c>
      <c r="H406" t="s">
        <v>41</v>
      </c>
      <c r="I406">
        <v>8</v>
      </c>
      <c r="J406">
        <v>0.1</v>
      </c>
      <c r="K406">
        <v>39.700000000000003</v>
      </c>
      <c r="L406">
        <v>4.8600000000000003</v>
      </c>
      <c r="M406" t="s">
        <v>2479</v>
      </c>
      <c r="N406" t="s">
        <v>2474</v>
      </c>
      <c r="O406" t="s">
        <v>2459</v>
      </c>
      <c r="P406">
        <v>3.3</v>
      </c>
      <c r="Q406">
        <v>6.13</v>
      </c>
      <c r="R406">
        <v>26.4</v>
      </c>
      <c r="S406">
        <v>8.4400000000000048</v>
      </c>
      <c r="T406">
        <v>0.21259445843828725</v>
      </c>
      <c r="U406" s="1">
        <v>45717</v>
      </c>
      <c r="V406" t="s">
        <v>2498</v>
      </c>
      <c r="W406">
        <v>2025</v>
      </c>
    </row>
    <row r="407" spans="1:23" x14ac:dyDescent="0.25">
      <c r="A407" t="s">
        <v>454</v>
      </c>
      <c r="B407" s="1">
        <v>45294</v>
      </c>
      <c r="C407" s="1">
        <v>45295</v>
      </c>
      <c r="D407" t="s">
        <v>13</v>
      </c>
      <c r="E407" t="s">
        <v>19</v>
      </c>
      <c r="F407" t="s">
        <v>25</v>
      </c>
      <c r="G407" t="s">
        <v>16</v>
      </c>
      <c r="H407" t="s">
        <v>63</v>
      </c>
      <c r="I407">
        <v>9</v>
      </c>
      <c r="J407">
        <v>0.2</v>
      </c>
      <c r="K407">
        <v>75.819999999999993</v>
      </c>
      <c r="L407">
        <v>5.13</v>
      </c>
      <c r="M407" t="s">
        <v>2477</v>
      </c>
      <c r="N407" t="s">
        <v>2474</v>
      </c>
      <c r="O407" t="s">
        <v>2468</v>
      </c>
      <c r="P407">
        <v>6.33</v>
      </c>
      <c r="Q407">
        <v>12.16</v>
      </c>
      <c r="R407">
        <v>56.97</v>
      </c>
      <c r="S407">
        <v>13.719999999999995</v>
      </c>
      <c r="T407">
        <v>0.18095489316802948</v>
      </c>
      <c r="U407" s="1">
        <v>45292</v>
      </c>
      <c r="V407" t="s">
        <v>2500</v>
      </c>
      <c r="W407">
        <v>2024</v>
      </c>
    </row>
    <row r="408" spans="1:23" x14ac:dyDescent="0.25">
      <c r="A408" t="s">
        <v>455</v>
      </c>
      <c r="B408" s="1">
        <v>45679</v>
      </c>
      <c r="C408" s="1">
        <v>45680</v>
      </c>
      <c r="D408" t="s">
        <v>47</v>
      </c>
      <c r="E408" t="s">
        <v>48</v>
      </c>
      <c r="F408" t="s">
        <v>15</v>
      </c>
      <c r="G408" t="s">
        <v>20</v>
      </c>
      <c r="H408" t="s">
        <v>65</v>
      </c>
      <c r="I408">
        <v>4</v>
      </c>
      <c r="J408">
        <v>0.15</v>
      </c>
      <c r="K408">
        <v>885.09</v>
      </c>
      <c r="L408">
        <v>13.7</v>
      </c>
      <c r="M408" t="s">
        <v>2457</v>
      </c>
      <c r="N408" t="s">
        <v>2458</v>
      </c>
      <c r="O408" t="s">
        <v>2459</v>
      </c>
      <c r="P408">
        <v>173.56</v>
      </c>
      <c r="Q408">
        <v>286.14999999999998</v>
      </c>
      <c r="R408">
        <v>694.24</v>
      </c>
      <c r="S408">
        <v>177.15000000000003</v>
      </c>
      <c r="T408">
        <v>0.20014913737586013</v>
      </c>
      <c r="U408" s="1">
        <v>45658</v>
      </c>
      <c r="V408" t="s">
        <v>2500</v>
      </c>
      <c r="W408">
        <v>2025</v>
      </c>
    </row>
    <row r="409" spans="1:23" x14ac:dyDescent="0.25">
      <c r="A409" t="s">
        <v>456</v>
      </c>
      <c r="B409" s="1">
        <v>45625</v>
      </c>
      <c r="C409" s="1">
        <v>45629</v>
      </c>
      <c r="D409" t="s">
        <v>32</v>
      </c>
      <c r="E409" t="s">
        <v>62</v>
      </c>
      <c r="F409" t="s">
        <v>25</v>
      </c>
      <c r="G409" t="s">
        <v>20</v>
      </c>
      <c r="H409" t="s">
        <v>34</v>
      </c>
      <c r="I409">
        <v>2</v>
      </c>
      <c r="J409">
        <v>0.1</v>
      </c>
      <c r="K409">
        <v>473.43</v>
      </c>
      <c r="L409">
        <v>5.46</v>
      </c>
      <c r="M409" t="s">
        <v>2460</v>
      </c>
      <c r="N409" t="s">
        <v>2458</v>
      </c>
      <c r="O409" t="s">
        <v>2461</v>
      </c>
      <c r="P409">
        <v>119.02</v>
      </c>
      <c r="Q409">
        <v>205.39</v>
      </c>
      <c r="R409">
        <v>238.04</v>
      </c>
      <c r="S409">
        <v>229.93</v>
      </c>
      <c r="T409">
        <v>0.48566841982975306</v>
      </c>
      <c r="U409" s="1">
        <v>45597</v>
      </c>
      <c r="V409" t="s">
        <v>2498</v>
      </c>
      <c r="W409">
        <v>2024</v>
      </c>
    </row>
    <row r="410" spans="1:23" x14ac:dyDescent="0.25">
      <c r="A410" t="s">
        <v>457</v>
      </c>
      <c r="B410" s="1">
        <v>45437</v>
      </c>
      <c r="C410" s="1">
        <v>45439</v>
      </c>
      <c r="D410" t="s">
        <v>32</v>
      </c>
      <c r="E410" t="s">
        <v>45</v>
      </c>
      <c r="F410" t="s">
        <v>29</v>
      </c>
      <c r="G410" t="s">
        <v>16</v>
      </c>
      <c r="H410" t="s">
        <v>87</v>
      </c>
      <c r="I410">
        <v>11</v>
      </c>
      <c r="J410">
        <v>0.15</v>
      </c>
      <c r="K410">
        <v>75.39</v>
      </c>
      <c r="L410">
        <v>9.4499999999999993</v>
      </c>
      <c r="M410" t="s">
        <v>2476</v>
      </c>
      <c r="N410" t="s">
        <v>2474</v>
      </c>
      <c r="O410" t="s">
        <v>2459</v>
      </c>
      <c r="P410">
        <v>4.5</v>
      </c>
      <c r="Q410">
        <v>8.2899999999999991</v>
      </c>
      <c r="R410">
        <v>49.5</v>
      </c>
      <c r="S410">
        <v>16.440000000000001</v>
      </c>
      <c r="T410">
        <v>0.21806605650616795</v>
      </c>
      <c r="U410" s="1">
        <v>45413</v>
      </c>
      <c r="V410" t="s">
        <v>2500</v>
      </c>
      <c r="W410">
        <v>2024</v>
      </c>
    </row>
    <row r="411" spans="1:23" x14ac:dyDescent="0.25">
      <c r="A411" t="s">
        <v>458</v>
      </c>
      <c r="B411" s="1">
        <v>45673</v>
      </c>
      <c r="C411" s="1">
        <v>45678</v>
      </c>
      <c r="D411" t="s">
        <v>32</v>
      </c>
      <c r="E411" t="s">
        <v>62</v>
      </c>
      <c r="F411" t="s">
        <v>25</v>
      </c>
      <c r="G411" t="s">
        <v>20</v>
      </c>
      <c r="H411" t="s">
        <v>65</v>
      </c>
      <c r="I411">
        <v>3</v>
      </c>
      <c r="J411">
        <v>0.25</v>
      </c>
      <c r="K411">
        <v>561.84</v>
      </c>
      <c r="L411">
        <v>6.84</v>
      </c>
      <c r="M411" t="s">
        <v>2457</v>
      </c>
      <c r="N411" t="s">
        <v>2458</v>
      </c>
      <c r="O411" t="s">
        <v>2459</v>
      </c>
      <c r="P411">
        <v>173.56</v>
      </c>
      <c r="Q411">
        <v>286.14999999999998</v>
      </c>
      <c r="R411">
        <v>520.68000000000006</v>
      </c>
      <c r="S411">
        <v>34.319999999999965</v>
      </c>
      <c r="T411">
        <v>6.1085006407518086E-2</v>
      </c>
      <c r="U411" s="1">
        <v>45658</v>
      </c>
      <c r="V411" t="s">
        <v>2501</v>
      </c>
      <c r="W411">
        <v>2025</v>
      </c>
    </row>
    <row r="412" spans="1:23" x14ac:dyDescent="0.25">
      <c r="A412" t="s">
        <v>459</v>
      </c>
      <c r="B412" s="1">
        <v>45813</v>
      </c>
      <c r="C412" s="1">
        <v>45814</v>
      </c>
      <c r="D412" t="s">
        <v>13</v>
      </c>
      <c r="E412" t="s">
        <v>36</v>
      </c>
      <c r="F412" t="s">
        <v>29</v>
      </c>
      <c r="G412" t="s">
        <v>16</v>
      </c>
      <c r="H412" t="s">
        <v>41</v>
      </c>
      <c r="I412">
        <v>8</v>
      </c>
      <c r="J412">
        <v>0.1</v>
      </c>
      <c r="K412">
        <v>45.12</v>
      </c>
      <c r="L412">
        <v>8.1</v>
      </c>
      <c r="M412" t="s">
        <v>2479</v>
      </c>
      <c r="N412" t="s">
        <v>2474</v>
      </c>
      <c r="O412" t="s">
        <v>2459</v>
      </c>
      <c r="P412">
        <v>3.3</v>
      </c>
      <c r="Q412">
        <v>6.13</v>
      </c>
      <c r="R412">
        <v>26.4</v>
      </c>
      <c r="S412">
        <v>10.62</v>
      </c>
      <c r="T412">
        <v>0.2353723404255319</v>
      </c>
      <c r="U412" s="1">
        <v>45809</v>
      </c>
      <c r="V412" t="s">
        <v>2498</v>
      </c>
      <c r="W412">
        <v>2025</v>
      </c>
    </row>
    <row r="413" spans="1:23" x14ac:dyDescent="0.25">
      <c r="A413" t="s">
        <v>460</v>
      </c>
      <c r="B413" s="1">
        <v>45944</v>
      </c>
      <c r="C413" s="1">
        <v>45946</v>
      </c>
      <c r="D413" t="s">
        <v>32</v>
      </c>
      <c r="E413" t="s">
        <v>62</v>
      </c>
      <c r="F413" t="s">
        <v>29</v>
      </c>
      <c r="G413" t="s">
        <v>20</v>
      </c>
      <c r="H413" t="s">
        <v>65</v>
      </c>
      <c r="I413">
        <v>3</v>
      </c>
      <c r="J413">
        <v>0.15</v>
      </c>
      <c r="K413">
        <v>893.86</v>
      </c>
      <c r="L413">
        <v>6.84</v>
      </c>
      <c r="M413" t="s">
        <v>2457</v>
      </c>
      <c r="N413" t="s">
        <v>2458</v>
      </c>
      <c r="O413" t="s">
        <v>2459</v>
      </c>
      <c r="P413">
        <v>173.56</v>
      </c>
      <c r="Q413">
        <v>286.14999999999998</v>
      </c>
      <c r="R413">
        <v>520.68000000000006</v>
      </c>
      <c r="S413">
        <v>366.34</v>
      </c>
      <c r="T413">
        <v>0.40984046718725525</v>
      </c>
      <c r="U413" s="1">
        <v>45931</v>
      </c>
      <c r="V413" t="s">
        <v>2500</v>
      </c>
      <c r="W413">
        <v>2025</v>
      </c>
    </row>
    <row r="414" spans="1:23" x14ac:dyDescent="0.25">
      <c r="A414" t="s">
        <v>461</v>
      </c>
      <c r="B414" s="1">
        <v>45481</v>
      </c>
      <c r="C414" s="1">
        <v>45483</v>
      </c>
      <c r="D414" t="s">
        <v>32</v>
      </c>
      <c r="E414" t="s">
        <v>62</v>
      </c>
      <c r="F414" t="s">
        <v>25</v>
      </c>
      <c r="G414" t="s">
        <v>16</v>
      </c>
      <c r="H414" t="s">
        <v>30</v>
      </c>
      <c r="I414">
        <v>5</v>
      </c>
      <c r="J414">
        <v>0.15</v>
      </c>
      <c r="K414">
        <v>23.71</v>
      </c>
      <c r="L414">
        <v>6.75</v>
      </c>
      <c r="M414" t="s">
        <v>2473</v>
      </c>
      <c r="N414" t="s">
        <v>2474</v>
      </c>
      <c r="O414" t="s">
        <v>2463</v>
      </c>
      <c r="P414">
        <v>3.62</v>
      </c>
      <c r="Q414">
        <v>6.03</v>
      </c>
      <c r="R414">
        <v>18.100000000000001</v>
      </c>
      <c r="S414">
        <v>-1.1400000000000006</v>
      </c>
      <c r="T414">
        <v>-4.8080978490088591E-2</v>
      </c>
      <c r="U414" s="1">
        <v>45474</v>
      </c>
      <c r="V414" t="s">
        <v>2500</v>
      </c>
      <c r="W414">
        <v>2024</v>
      </c>
    </row>
    <row r="415" spans="1:23" x14ac:dyDescent="0.25">
      <c r="A415" t="s">
        <v>462</v>
      </c>
      <c r="B415" s="1">
        <v>45845</v>
      </c>
      <c r="C415" s="1">
        <v>45848</v>
      </c>
      <c r="D415" t="s">
        <v>13</v>
      </c>
      <c r="E415" t="s">
        <v>14</v>
      </c>
      <c r="F415" t="s">
        <v>15</v>
      </c>
      <c r="G415" t="s">
        <v>20</v>
      </c>
      <c r="H415" t="s">
        <v>21</v>
      </c>
      <c r="I415">
        <v>1</v>
      </c>
      <c r="J415">
        <v>0</v>
      </c>
      <c r="K415">
        <v>98.22</v>
      </c>
      <c r="L415">
        <v>4.08</v>
      </c>
      <c r="M415" t="s">
        <v>2462</v>
      </c>
      <c r="N415" t="s">
        <v>2458</v>
      </c>
      <c r="O415" t="s">
        <v>2463</v>
      </c>
      <c r="P415">
        <v>71.489999999999995</v>
      </c>
      <c r="Q415">
        <v>112.88</v>
      </c>
      <c r="R415">
        <v>71.489999999999995</v>
      </c>
      <c r="S415">
        <v>22.650000000000006</v>
      </c>
      <c r="T415">
        <v>0.23060476481368364</v>
      </c>
      <c r="U415" s="1">
        <v>45839</v>
      </c>
      <c r="V415" t="s">
        <v>2499</v>
      </c>
      <c r="W415">
        <v>2025</v>
      </c>
    </row>
    <row r="416" spans="1:23" x14ac:dyDescent="0.25">
      <c r="A416" t="s">
        <v>463</v>
      </c>
      <c r="B416" s="1">
        <v>45767</v>
      </c>
      <c r="C416" s="1">
        <v>45772</v>
      </c>
      <c r="D416" t="s">
        <v>23</v>
      </c>
      <c r="E416" t="s">
        <v>59</v>
      </c>
      <c r="F416" t="s">
        <v>15</v>
      </c>
      <c r="G416" t="s">
        <v>20</v>
      </c>
      <c r="H416" t="s">
        <v>27</v>
      </c>
      <c r="I416">
        <v>7</v>
      </c>
      <c r="J416">
        <v>0</v>
      </c>
      <c r="K416">
        <v>183.52</v>
      </c>
      <c r="L416">
        <v>4.59</v>
      </c>
      <c r="M416" t="s">
        <v>2478</v>
      </c>
      <c r="N416" t="s">
        <v>2474</v>
      </c>
      <c r="O416" t="s">
        <v>2463</v>
      </c>
      <c r="P416">
        <v>16.760000000000002</v>
      </c>
      <c r="Q416">
        <v>27.71</v>
      </c>
      <c r="R416">
        <v>117.32000000000001</v>
      </c>
      <c r="S416">
        <v>61.61</v>
      </c>
      <c r="T416">
        <v>0.33571272885789011</v>
      </c>
      <c r="U416" s="1">
        <v>45748</v>
      </c>
      <c r="V416" t="s">
        <v>2499</v>
      </c>
      <c r="W416">
        <v>2025</v>
      </c>
    </row>
    <row r="417" spans="1:23" x14ac:dyDescent="0.25">
      <c r="A417" t="s">
        <v>464</v>
      </c>
      <c r="B417" s="1">
        <v>45486</v>
      </c>
      <c r="C417" s="1">
        <v>45491</v>
      </c>
      <c r="D417" t="s">
        <v>47</v>
      </c>
      <c r="E417" t="s">
        <v>48</v>
      </c>
      <c r="F417" t="s">
        <v>25</v>
      </c>
      <c r="G417" t="s">
        <v>16</v>
      </c>
      <c r="H417" t="s">
        <v>27</v>
      </c>
      <c r="I417">
        <v>10</v>
      </c>
      <c r="J417">
        <v>0</v>
      </c>
      <c r="K417">
        <v>262.38</v>
      </c>
      <c r="L417">
        <v>5.4</v>
      </c>
      <c r="M417" t="s">
        <v>2478</v>
      </c>
      <c r="N417" t="s">
        <v>2474</v>
      </c>
      <c r="O417" t="s">
        <v>2463</v>
      </c>
      <c r="P417">
        <v>16.760000000000002</v>
      </c>
      <c r="Q417">
        <v>27.71</v>
      </c>
      <c r="R417">
        <v>167.60000000000002</v>
      </c>
      <c r="S417">
        <v>89.379999999999967</v>
      </c>
      <c r="T417">
        <v>0.34065096425032382</v>
      </c>
      <c r="U417" s="1">
        <v>45474</v>
      </c>
      <c r="V417" t="s">
        <v>2499</v>
      </c>
      <c r="W417">
        <v>2024</v>
      </c>
    </row>
    <row r="418" spans="1:23" x14ac:dyDescent="0.25">
      <c r="A418" t="s">
        <v>465</v>
      </c>
      <c r="B418" s="1">
        <v>45936</v>
      </c>
      <c r="C418" s="1">
        <v>45940</v>
      </c>
      <c r="D418" t="s">
        <v>47</v>
      </c>
      <c r="E418" t="s">
        <v>50</v>
      </c>
      <c r="F418" t="s">
        <v>25</v>
      </c>
      <c r="G418" t="s">
        <v>20</v>
      </c>
      <c r="H418" t="s">
        <v>21</v>
      </c>
      <c r="I418">
        <v>1</v>
      </c>
      <c r="J418">
        <v>0.25</v>
      </c>
      <c r="K418">
        <v>93.46</v>
      </c>
      <c r="L418">
        <v>6.8</v>
      </c>
      <c r="M418" t="s">
        <v>2462</v>
      </c>
      <c r="N418" t="s">
        <v>2458</v>
      </c>
      <c r="O418" t="s">
        <v>2463</v>
      </c>
      <c r="P418">
        <v>71.489999999999995</v>
      </c>
      <c r="Q418">
        <v>112.88</v>
      </c>
      <c r="R418">
        <v>71.489999999999995</v>
      </c>
      <c r="S418">
        <v>15.169999999999998</v>
      </c>
      <c r="T418">
        <v>0.16231542906056065</v>
      </c>
      <c r="U418" s="1">
        <v>45931</v>
      </c>
      <c r="V418" t="s">
        <v>2501</v>
      </c>
      <c r="W418">
        <v>2025</v>
      </c>
    </row>
    <row r="419" spans="1:23" x14ac:dyDescent="0.25">
      <c r="A419" t="s">
        <v>466</v>
      </c>
      <c r="B419" s="1">
        <v>45557</v>
      </c>
      <c r="C419" s="1">
        <v>45562</v>
      </c>
      <c r="D419" t="s">
        <v>32</v>
      </c>
      <c r="E419" t="s">
        <v>33</v>
      </c>
      <c r="F419" t="s">
        <v>15</v>
      </c>
      <c r="G419" t="s">
        <v>20</v>
      </c>
      <c r="H419" t="s">
        <v>17</v>
      </c>
      <c r="I419">
        <v>2</v>
      </c>
      <c r="J419">
        <v>0.15</v>
      </c>
      <c r="K419">
        <v>217.06</v>
      </c>
      <c r="L419">
        <v>4.2</v>
      </c>
      <c r="M419" t="s">
        <v>2472</v>
      </c>
      <c r="N419" t="s">
        <v>2467</v>
      </c>
      <c r="O419" t="s">
        <v>2468</v>
      </c>
      <c r="P419">
        <v>63.69</v>
      </c>
      <c r="Q419">
        <v>125.5</v>
      </c>
      <c r="R419">
        <v>127.38</v>
      </c>
      <c r="S419">
        <v>85.48</v>
      </c>
      <c r="T419">
        <v>0.39380816364138949</v>
      </c>
      <c r="U419" s="1">
        <v>45536</v>
      </c>
      <c r="V419" t="s">
        <v>2500</v>
      </c>
      <c r="W419">
        <v>2024</v>
      </c>
    </row>
    <row r="420" spans="1:23" x14ac:dyDescent="0.25">
      <c r="A420" t="s">
        <v>467</v>
      </c>
      <c r="B420" s="1">
        <v>45974</v>
      </c>
      <c r="C420" s="1">
        <v>45976</v>
      </c>
      <c r="D420" t="s">
        <v>32</v>
      </c>
      <c r="E420" t="s">
        <v>45</v>
      </c>
      <c r="F420" t="s">
        <v>15</v>
      </c>
      <c r="G420" t="s">
        <v>20</v>
      </c>
      <c r="H420" t="s">
        <v>30</v>
      </c>
      <c r="I420">
        <v>11</v>
      </c>
      <c r="J420">
        <v>0.25</v>
      </c>
      <c r="K420">
        <v>64.95</v>
      </c>
      <c r="L420">
        <v>9.4499999999999993</v>
      </c>
      <c r="M420" t="s">
        <v>2473</v>
      </c>
      <c r="N420" t="s">
        <v>2474</v>
      </c>
      <c r="O420" t="s">
        <v>2463</v>
      </c>
      <c r="P420">
        <v>3.62</v>
      </c>
      <c r="Q420">
        <v>6.03</v>
      </c>
      <c r="R420">
        <v>39.82</v>
      </c>
      <c r="S420">
        <v>15.680000000000003</v>
      </c>
      <c r="T420">
        <v>0.24141647421093151</v>
      </c>
      <c r="U420" s="1">
        <v>45962</v>
      </c>
      <c r="V420" t="s">
        <v>2501</v>
      </c>
      <c r="W420">
        <v>2025</v>
      </c>
    </row>
    <row r="421" spans="1:23" x14ac:dyDescent="0.25">
      <c r="A421" t="s">
        <v>468</v>
      </c>
      <c r="B421" s="1">
        <v>45720</v>
      </c>
      <c r="C421" s="1">
        <v>45724</v>
      </c>
      <c r="D421" t="s">
        <v>32</v>
      </c>
      <c r="E421" t="s">
        <v>62</v>
      </c>
      <c r="F421" t="s">
        <v>25</v>
      </c>
      <c r="G421" t="s">
        <v>26</v>
      </c>
      <c r="H421" t="s">
        <v>68</v>
      </c>
      <c r="I421">
        <v>3</v>
      </c>
      <c r="J421">
        <v>0.05</v>
      </c>
      <c r="K421">
        <v>134.54</v>
      </c>
      <c r="L421">
        <v>4.95</v>
      </c>
      <c r="M421" t="s">
        <v>2466</v>
      </c>
      <c r="N421" t="s">
        <v>2467</v>
      </c>
      <c r="O421" t="s">
        <v>2468</v>
      </c>
      <c r="P421">
        <v>25.33</v>
      </c>
      <c r="Q421">
        <v>51.56</v>
      </c>
      <c r="R421">
        <v>75.989999999999995</v>
      </c>
      <c r="S421">
        <v>53.599999999999994</v>
      </c>
      <c r="T421">
        <v>0.39839452950795301</v>
      </c>
      <c r="U421" s="1">
        <v>45717</v>
      </c>
      <c r="V421" t="s">
        <v>2498</v>
      </c>
      <c r="W421">
        <v>2025</v>
      </c>
    </row>
    <row r="422" spans="1:23" x14ac:dyDescent="0.25">
      <c r="A422" t="s">
        <v>469</v>
      </c>
      <c r="B422" s="1">
        <v>45736</v>
      </c>
      <c r="C422" s="1">
        <v>45737</v>
      </c>
      <c r="D422" t="s">
        <v>32</v>
      </c>
      <c r="E422" t="s">
        <v>45</v>
      </c>
      <c r="F422" t="s">
        <v>15</v>
      </c>
      <c r="G422" t="s">
        <v>16</v>
      </c>
      <c r="H422" t="s">
        <v>41</v>
      </c>
      <c r="I422">
        <v>10</v>
      </c>
      <c r="J422">
        <v>0</v>
      </c>
      <c r="K422">
        <v>54.75</v>
      </c>
      <c r="L422">
        <v>5.4</v>
      </c>
      <c r="M422" t="s">
        <v>2479</v>
      </c>
      <c r="N422" t="s">
        <v>2474</v>
      </c>
      <c r="O422" t="s">
        <v>2459</v>
      </c>
      <c r="P422">
        <v>3.3</v>
      </c>
      <c r="Q422">
        <v>6.13</v>
      </c>
      <c r="R422">
        <v>33</v>
      </c>
      <c r="S422">
        <v>16.350000000000001</v>
      </c>
      <c r="T422">
        <v>0.29863013698630142</v>
      </c>
      <c r="U422" s="1">
        <v>45717</v>
      </c>
      <c r="V422" t="s">
        <v>2499</v>
      </c>
      <c r="W422">
        <v>2025</v>
      </c>
    </row>
    <row r="423" spans="1:23" x14ac:dyDescent="0.25">
      <c r="A423" t="s">
        <v>470</v>
      </c>
      <c r="B423" s="1">
        <v>45983</v>
      </c>
      <c r="C423" s="1">
        <v>45987</v>
      </c>
      <c r="D423" t="s">
        <v>32</v>
      </c>
      <c r="E423" t="s">
        <v>62</v>
      </c>
      <c r="F423" t="s">
        <v>29</v>
      </c>
      <c r="G423" t="s">
        <v>26</v>
      </c>
      <c r="H423" t="s">
        <v>34</v>
      </c>
      <c r="I423">
        <v>7</v>
      </c>
      <c r="J423">
        <v>0.2</v>
      </c>
      <c r="K423">
        <v>1608.68</v>
      </c>
      <c r="L423">
        <v>20.6</v>
      </c>
      <c r="M423" t="s">
        <v>2460</v>
      </c>
      <c r="N423" t="s">
        <v>2458</v>
      </c>
      <c r="O423" t="s">
        <v>2461</v>
      </c>
      <c r="P423">
        <v>119.02</v>
      </c>
      <c r="Q423">
        <v>205.39</v>
      </c>
      <c r="R423">
        <v>833.14</v>
      </c>
      <c r="S423">
        <v>754.94</v>
      </c>
      <c r="T423">
        <v>0.46929159310739244</v>
      </c>
      <c r="U423" s="1">
        <v>45962</v>
      </c>
      <c r="V423" t="s">
        <v>2500</v>
      </c>
      <c r="W423">
        <v>2025</v>
      </c>
    </row>
    <row r="424" spans="1:23" x14ac:dyDescent="0.25">
      <c r="A424" t="s">
        <v>471</v>
      </c>
      <c r="B424" s="1">
        <v>45994</v>
      </c>
      <c r="C424" s="1">
        <v>45999</v>
      </c>
      <c r="D424" t="s">
        <v>23</v>
      </c>
      <c r="E424" t="s">
        <v>59</v>
      </c>
      <c r="F424" t="s">
        <v>29</v>
      </c>
      <c r="G424" t="s">
        <v>20</v>
      </c>
      <c r="H424" t="s">
        <v>21</v>
      </c>
      <c r="I424">
        <v>4</v>
      </c>
      <c r="J424">
        <v>0.1</v>
      </c>
      <c r="K424">
        <v>549.57000000000005</v>
      </c>
      <c r="L424">
        <v>8.2200000000000006</v>
      </c>
      <c r="M424" t="s">
        <v>2462</v>
      </c>
      <c r="N424" t="s">
        <v>2458</v>
      </c>
      <c r="O424" t="s">
        <v>2463</v>
      </c>
      <c r="P424">
        <v>71.489999999999995</v>
      </c>
      <c r="Q424">
        <v>112.88</v>
      </c>
      <c r="R424">
        <v>285.95999999999998</v>
      </c>
      <c r="S424">
        <v>255.39000000000007</v>
      </c>
      <c r="T424">
        <v>0.46470877231289925</v>
      </c>
      <c r="U424" s="1">
        <v>45992</v>
      </c>
      <c r="V424" t="s">
        <v>2498</v>
      </c>
      <c r="W424">
        <v>2025</v>
      </c>
    </row>
    <row r="425" spans="1:23" x14ac:dyDescent="0.25">
      <c r="A425" t="s">
        <v>472</v>
      </c>
      <c r="B425" s="1">
        <v>45344</v>
      </c>
      <c r="C425" s="1">
        <v>45350</v>
      </c>
      <c r="D425" t="s">
        <v>13</v>
      </c>
      <c r="E425" t="s">
        <v>36</v>
      </c>
      <c r="F425" t="s">
        <v>29</v>
      </c>
      <c r="G425" t="s">
        <v>20</v>
      </c>
      <c r="H425" t="s">
        <v>51</v>
      </c>
      <c r="I425">
        <v>4</v>
      </c>
      <c r="J425">
        <v>0</v>
      </c>
      <c r="K425">
        <v>52.16</v>
      </c>
      <c r="L425">
        <v>6.3</v>
      </c>
      <c r="M425" t="s">
        <v>2475</v>
      </c>
      <c r="N425" t="s">
        <v>2474</v>
      </c>
      <c r="O425" t="s">
        <v>2463</v>
      </c>
      <c r="P425">
        <v>7.93</v>
      </c>
      <c r="Q425">
        <v>14.78</v>
      </c>
      <c r="R425">
        <v>31.72</v>
      </c>
      <c r="S425">
        <v>14.139999999999997</v>
      </c>
      <c r="T425">
        <v>0.27108895705521469</v>
      </c>
      <c r="U425" s="1">
        <v>45323</v>
      </c>
      <c r="V425" t="s">
        <v>2499</v>
      </c>
      <c r="W425">
        <v>2024</v>
      </c>
    </row>
    <row r="426" spans="1:23" x14ac:dyDescent="0.25">
      <c r="A426" t="s">
        <v>473</v>
      </c>
      <c r="B426" s="1">
        <v>45484</v>
      </c>
      <c r="C426" s="1">
        <v>45487</v>
      </c>
      <c r="D426" t="s">
        <v>13</v>
      </c>
      <c r="E426" t="s">
        <v>36</v>
      </c>
      <c r="F426" t="s">
        <v>15</v>
      </c>
      <c r="G426" t="s">
        <v>20</v>
      </c>
      <c r="H426" t="s">
        <v>30</v>
      </c>
      <c r="I426">
        <v>12</v>
      </c>
      <c r="J426">
        <v>0</v>
      </c>
      <c r="K426">
        <v>66.38</v>
      </c>
      <c r="L426">
        <v>5.94</v>
      </c>
      <c r="M426" t="s">
        <v>2473</v>
      </c>
      <c r="N426" t="s">
        <v>2474</v>
      </c>
      <c r="O426" t="s">
        <v>2463</v>
      </c>
      <c r="P426">
        <v>3.62</v>
      </c>
      <c r="Q426">
        <v>6.03</v>
      </c>
      <c r="R426">
        <v>43.44</v>
      </c>
      <c r="S426">
        <v>16.999999999999996</v>
      </c>
      <c r="T426">
        <v>0.25610123531184087</v>
      </c>
      <c r="U426" s="1">
        <v>45474</v>
      </c>
      <c r="V426" t="s">
        <v>2499</v>
      </c>
      <c r="W426">
        <v>2024</v>
      </c>
    </row>
    <row r="427" spans="1:23" x14ac:dyDescent="0.25">
      <c r="A427" t="s">
        <v>474</v>
      </c>
      <c r="B427" s="1">
        <v>45874</v>
      </c>
      <c r="C427" s="1">
        <v>45879</v>
      </c>
      <c r="D427" t="s">
        <v>23</v>
      </c>
      <c r="E427" t="s">
        <v>24</v>
      </c>
      <c r="F427" t="s">
        <v>25</v>
      </c>
      <c r="G427" t="s">
        <v>20</v>
      </c>
      <c r="H427" t="s">
        <v>27</v>
      </c>
      <c r="I427">
        <v>13</v>
      </c>
      <c r="J427">
        <v>0.05</v>
      </c>
      <c r="K427">
        <v>336.75</v>
      </c>
      <c r="L427">
        <v>6.21</v>
      </c>
      <c r="M427" t="s">
        <v>2478</v>
      </c>
      <c r="N427" t="s">
        <v>2474</v>
      </c>
      <c r="O427" t="s">
        <v>2463</v>
      </c>
      <c r="P427">
        <v>16.760000000000002</v>
      </c>
      <c r="Q427">
        <v>27.71</v>
      </c>
      <c r="R427">
        <v>217.88000000000002</v>
      </c>
      <c r="S427">
        <v>112.65999999999998</v>
      </c>
      <c r="T427">
        <v>0.33455085374907195</v>
      </c>
      <c r="U427" s="1">
        <v>45870</v>
      </c>
      <c r="V427" t="s">
        <v>2498</v>
      </c>
      <c r="W427">
        <v>2025</v>
      </c>
    </row>
    <row r="428" spans="1:23" x14ac:dyDescent="0.25">
      <c r="A428" t="s">
        <v>475</v>
      </c>
      <c r="B428" s="1">
        <v>45864</v>
      </c>
      <c r="C428" s="1">
        <v>45866</v>
      </c>
      <c r="D428" t="s">
        <v>47</v>
      </c>
      <c r="E428" t="s">
        <v>71</v>
      </c>
      <c r="F428" t="s">
        <v>25</v>
      </c>
      <c r="G428" t="s">
        <v>20</v>
      </c>
      <c r="H428" t="s">
        <v>17</v>
      </c>
      <c r="I428">
        <v>5</v>
      </c>
      <c r="J428">
        <v>0</v>
      </c>
      <c r="K428">
        <v>583.96</v>
      </c>
      <c r="L428">
        <v>6.45</v>
      </c>
      <c r="M428" t="s">
        <v>2472</v>
      </c>
      <c r="N428" t="s">
        <v>2467</v>
      </c>
      <c r="O428" t="s">
        <v>2468</v>
      </c>
      <c r="P428">
        <v>63.69</v>
      </c>
      <c r="Q428">
        <v>125.5</v>
      </c>
      <c r="R428">
        <v>318.45</v>
      </c>
      <c r="S428">
        <v>259.06000000000006</v>
      </c>
      <c r="T428">
        <v>0.44362627577231323</v>
      </c>
      <c r="U428" s="1">
        <v>45839</v>
      </c>
      <c r="V428" t="s">
        <v>2499</v>
      </c>
      <c r="W428">
        <v>2025</v>
      </c>
    </row>
    <row r="429" spans="1:23" x14ac:dyDescent="0.25">
      <c r="A429" t="s">
        <v>476</v>
      </c>
      <c r="B429" s="1">
        <v>45489</v>
      </c>
      <c r="C429" s="1">
        <v>45492</v>
      </c>
      <c r="D429" t="s">
        <v>23</v>
      </c>
      <c r="E429" t="s">
        <v>24</v>
      </c>
      <c r="F429" t="s">
        <v>29</v>
      </c>
      <c r="G429" t="s">
        <v>26</v>
      </c>
      <c r="H429" t="s">
        <v>41</v>
      </c>
      <c r="I429">
        <v>7</v>
      </c>
      <c r="J429">
        <v>0.05</v>
      </c>
      <c r="K429">
        <v>36.549999999999997</v>
      </c>
      <c r="L429">
        <v>7.65</v>
      </c>
      <c r="M429" t="s">
        <v>2479</v>
      </c>
      <c r="N429" t="s">
        <v>2474</v>
      </c>
      <c r="O429" t="s">
        <v>2459</v>
      </c>
      <c r="P429">
        <v>3.3</v>
      </c>
      <c r="Q429">
        <v>6.13</v>
      </c>
      <c r="R429">
        <v>23.099999999999998</v>
      </c>
      <c r="S429">
        <v>5.7999999999999989</v>
      </c>
      <c r="T429">
        <v>0.15868673050615592</v>
      </c>
      <c r="U429" s="1">
        <v>45474</v>
      </c>
      <c r="V429" t="s">
        <v>2498</v>
      </c>
      <c r="W429">
        <v>2024</v>
      </c>
    </row>
    <row r="430" spans="1:23" x14ac:dyDescent="0.25">
      <c r="A430" t="s">
        <v>477</v>
      </c>
      <c r="B430" s="1">
        <v>45841</v>
      </c>
      <c r="C430" s="1">
        <v>45845</v>
      </c>
      <c r="D430" t="s">
        <v>23</v>
      </c>
      <c r="E430" t="s">
        <v>24</v>
      </c>
      <c r="F430" t="s">
        <v>25</v>
      </c>
      <c r="G430" t="s">
        <v>16</v>
      </c>
      <c r="H430" t="s">
        <v>30</v>
      </c>
      <c r="I430">
        <v>9</v>
      </c>
      <c r="J430">
        <v>0.1</v>
      </c>
      <c r="K430">
        <v>43.78</v>
      </c>
      <c r="L430">
        <v>8.5500000000000007</v>
      </c>
      <c r="M430" t="s">
        <v>2473</v>
      </c>
      <c r="N430" t="s">
        <v>2474</v>
      </c>
      <c r="O430" t="s">
        <v>2463</v>
      </c>
      <c r="P430">
        <v>3.62</v>
      </c>
      <c r="Q430">
        <v>6.03</v>
      </c>
      <c r="R430">
        <v>32.58</v>
      </c>
      <c r="S430">
        <v>2.6500000000000021</v>
      </c>
      <c r="T430">
        <v>6.0529922338967611E-2</v>
      </c>
      <c r="U430" s="1">
        <v>45839</v>
      </c>
      <c r="V430" t="s">
        <v>2498</v>
      </c>
      <c r="W430">
        <v>2025</v>
      </c>
    </row>
    <row r="431" spans="1:23" x14ac:dyDescent="0.25">
      <c r="A431" t="s">
        <v>478</v>
      </c>
      <c r="B431" s="1">
        <v>46002</v>
      </c>
      <c r="C431" s="1">
        <v>46006</v>
      </c>
      <c r="D431" t="s">
        <v>23</v>
      </c>
      <c r="E431" t="s">
        <v>59</v>
      </c>
      <c r="F431" t="s">
        <v>25</v>
      </c>
      <c r="G431" t="s">
        <v>16</v>
      </c>
      <c r="H431" t="s">
        <v>41</v>
      </c>
      <c r="I431">
        <v>12</v>
      </c>
      <c r="J431">
        <v>0.25</v>
      </c>
      <c r="K431">
        <v>83.36</v>
      </c>
      <c r="L431">
        <v>5.94</v>
      </c>
      <c r="M431" t="s">
        <v>2479</v>
      </c>
      <c r="N431" t="s">
        <v>2474</v>
      </c>
      <c r="O431" t="s">
        <v>2459</v>
      </c>
      <c r="P431">
        <v>3.3</v>
      </c>
      <c r="Q431">
        <v>6.13</v>
      </c>
      <c r="R431">
        <v>39.599999999999994</v>
      </c>
      <c r="S431">
        <v>37.820000000000007</v>
      </c>
      <c r="T431">
        <v>0.4536948176583494</v>
      </c>
      <c r="U431" s="1">
        <v>45992</v>
      </c>
      <c r="V431" t="s">
        <v>2501</v>
      </c>
      <c r="W431">
        <v>2025</v>
      </c>
    </row>
    <row r="432" spans="1:23" x14ac:dyDescent="0.25">
      <c r="A432" t="s">
        <v>479</v>
      </c>
      <c r="B432" s="1">
        <v>45736</v>
      </c>
      <c r="C432" s="1">
        <v>45741</v>
      </c>
      <c r="D432" t="s">
        <v>23</v>
      </c>
      <c r="E432" t="s">
        <v>24</v>
      </c>
      <c r="F432" t="s">
        <v>15</v>
      </c>
      <c r="G432" t="s">
        <v>26</v>
      </c>
      <c r="H432" t="s">
        <v>21</v>
      </c>
      <c r="I432">
        <v>7</v>
      </c>
      <c r="J432">
        <v>0</v>
      </c>
      <c r="K432">
        <v>761.25</v>
      </c>
      <c r="L432">
        <v>12.36</v>
      </c>
      <c r="M432" t="s">
        <v>2462</v>
      </c>
      <c r="N432" t="s">
        <v>2458</v>
      </c>
      <c r="O432" t="s">
        <v>2463</v>
      </c>
      <c r="P432">
        <v>71.489999999999995</v>
      </c>
      <c r="Q432">
        <v>112.88</v>
      </c>
      <c r="R432">
        <v>500.42999999999995</v>
      </c>
      <c r="S432">
        <v>248.46000000000004</v>
      </c>
      <c r="T432">
        <v>0.32638423645320203</v>
      </c>
      <c r="U432" s="1">
        <v>45717</v>
      </c>
      <c r="V432" t="s">
        <v>2499</v>
      </c>
      <c r="W432">
        <v>2025</v>
      </c>
    </row>
    <row r="433" spans="1:23" x14ac:dyDescent="0.25">
      <c r="A433" t="s">
        <v>480</v>
      </c>
      <c r="B433" s="1">
        <v>45503</v>
      </c>
      <c r="C433" s="1">
        <v>45507</v>
      </c>
      <c r="D433" t="s">
        <v>47</v>
      </c>
      <c r="E433" t="s">
        <v>48</v>
      </c>
      <c r="F433" t="s">
        <v>15</v>
      </c>
      <c r="G433" t="s">
        <v>20</v>
      </c>
      <c r="H433" t="s">
        <v>68</v>
      </c>
      <c r="I433">
        <v>5</v>
      </c>
      <c r="J433">
        <v>0.15</v>
      </c>
      <c r="K433">
        <v>191.73</v>
      </c>
      <c r="L433">
        <v>10.75</v>
      </c>
      <c r="M433" t="s">
        <v>2466</v>
      </c>
      <c r="N433" t="s">
        <v>2467</v>
      </c>
      <c r="O433" t="s">
        <v>2468</v>
      </c>
      <c r="P433">
        <v>25.33</v>
      </c>
      <c r="Q433">
        <v>51.56</v>
      </c>
      <c r="R433">
        <v>126.64999999999999</v>
      </c>
      <c r="S433">
        <v>54.33</v>
      </c>
      <c r="T433">
        <v>0.2833672351744641</v>
      </c>
      <c r="U433" s="1">
        <v>45474</v>
      </c>
      <c r="V433" t="s">
        <v>2500</v>
      </c>
      <c r="W433">
        <v>2024</v>
      </c>
    </row>
    <row r="434" spans="1:23" x14ac:dyDescent="0.25">
      <c r="A434" t="s">
        <v>481</v>
      </c>
      <c r="B434" s="1">
        <v>45616</v>
      </c>
      <c r="C434" s="1">
        <v>45619</v>
      </c>
      <c r="D434" t="s">
        <v>13</v>
      </c>
      <c r="E434" t="s">
        <v>36</v>
      </c>
      <c r="F434" t="s">
        <v>25</v>
      </c>
      <c r="G434" t="s">
        <v>20</v>
      </c>
      <c r="H434" t="s">
        <v>30</v>
      </c>
      <c r="I434">
        <v>11</v>
      </c>
      <c r="J434">
        <v>0.15</v>
      </c>
      <c r="K434">
        <v>78.77</v>
      </c>
      <c r="L434">
        <v>5.67</v>
      </c>
      <c r="M434" t="s">
        <v>2473</v>
      </c>
      <c r="N434" t="s">
        <v>2474</v>
      </c>
      <c r="O434" t="s">
        <v>2463</v>
      </c>
      <c r="P434">
        <v>3.62</v>
      </c>
      <c r="Q434">
        <v>6.03</v>
      </c>
      <c r="R434">
        <v>39.82</v>
      </c>
      <c r="S434">
        <v>33.279999999999994</v>
      </c>
      <c r="T434">
        <v>0.42249587406372979</v>
      </c>
      <c r="U434" s="1">
        <v>45597</v>
      </c>
      <c r="V434" t="s">
        <v>2500</v>
      </c>
      <c r="W434">
        <v>2024</v>
      </c>
    </row>
    <row r="435" spans="1:23" x14ac:dyDescent="0.25">
      <c r="A435" t="s">
        <v>482</v>
      </c>
      <c r="B435" s="1">
        <v>45767</v>
      </c>
      <c r="C435" s="1">
        <v>45772</v>
      </c>
      <c r="D435" t="s">
        <v>23</v>
      </c>
      <c r="E435" t="s">
        <v>43</v>
      </c>
      <c r="F435" t="s">
        <v>15</v>
      </c>
      <c r="G435" t="s">
        <v>20</v>
      </c>
      <c r="H435" t="s">
        <v>30</v>
      </c>
      <c r="I435">
        <v>14</v>
      </c>
      <c r="J435">
        <v>0.1</v>
      </c>
      <c r="K435">
        <v>71.709999999999994</v>
      </c>
      <c r="L435">
        <v>6.48</v>
      </c>
      <c r="M435" t="s">
        <v>2473</v>
      </c>
      <c r="N435" t="s">
        <v>2474</v>
      </c>
      <c r="O435" t="s">
        <v>2463</v>
      </c>
      <c r="P435">
        <v>3.62</v>
      </c>
      <c r="Q435">
        <v>6.03</v>
      </c>
      <c r="R435">
        <v>50.68</v>
      </c>
      <c r="S435">
        <v>14.549999999999994</v>
      </c>
      <c r="T435">
        <v>0.20290057174731552</v>
      </c>
      <c r="U435" s="1">
        <v>45748</v>
      </c>
      <c r="V435" t="s">
        <v>2498</v>
      </c>
      <c r="W435">
        <v>2025</v>
      </c>
    </row>
    <row r="436" spans="1:23" x14ac:dyDescent="0.25">
      <c r="A436" t="s">
        <v>483</v>
      </c>
      <c r="B436" s="1">
        <v>45548</v>
      </c>
      <c r="C436" s="1">
        <v>45554</v>
      </c>
      <c r="D436" t="s">
        <v>47</v>
      </c>
      <c r="E436" t="s">
        <v>50</v>
      </c>
      <c r="F436" t="s">
        <v>29</v>
      </c>
      <c r="G436" t="s">
        <v>20</v>
      </c>
      <c r="H436" t="s">
        <v>41</v>
      </c>
      <c r="I436">
        <v>4</v>
      </c>
      <c r="J436">
        <v>0.25</v>
      </c>
      <c r="K436">
        <v>20.89</v>
      </c>
      <c r="L436">
        <v>3.78</v>
      </c>
      <c r="M436" t="s">
        <v>2479</v>
      </c>
      <c r="N436" t="s">
        <v>2474</v>
      </c>
      <c r="O436" t="s">
        <v>2459</v>
      </c>
      <c r="P436">
        <v>3.3</v>
      </c>
      <c r="Q436">
        <v>6.13</v>
      </c>
      <c r="R436">
        <v>13.2</v>
      </c>
      <c r="S436">
        <v>3.9100000000000015</v>
      </c>
      <c r="T436">
        <v>0.18717089516515087</v>
      </c>
      <c r="U436" s="1">
        <v>45536</v>
      </c>
      <c r="V436" t="s">
        <v>2501</v>
      </c>
      <c r="W436">
        <v>2024</v>
      </c>
    </row>
    <row r="437" spans="1:23" x14ac:dyDescent="0.25">
      <c r="A437" t="s">
        <v>484</v>
      </c>
      <c r="B437" s="1">
        <v>45598</v>
      </c>
      <c r="C437" s="1">
        <v>45600</v>
      </c>
      <c r="D437" t="s">
        <v>13</v>
      </c>
      <c r="E437" t="s">
        <v>36</v>
      </c>
      <c r="F437" t="s">
        <v>25</v>
      </c>
      <c r="G437" t="s">
        <v>20</v>
      </c>
      <c r="H437" t="s">
        <v>60</v>
      </c>
      <c r="I437">
        <v>2</v>
      </c>
      <c r="J437">
        <v>0</v>
      </c>
      <c r="K437">
        <v>293.54000000000002</v>
      </c>
      <c r="L437">
        <v>7</v>
      </c>
      <c r="M437" t="s">
        <v>2469</v>
      </c>
      <c r="N437" t="s">
        <v>2467</v>
      </c>
      <c r="O437" t="s">
        <v>2468</v>
      </c>
      <c r="P437">
        <v>54.95</v>
      </c>
      <c r="Q437">
        <v>112.56</v>
      </c>
      <c r="R437">
        <v>109.9</v>
      </c>
      <c r="S437">
        <v>176.64000000000001</v>
      </c>
      <c r="T437">
        <v>0.60175785242215718</v>
      </c>
      <c r="U437" s="1">
        <v>45597</v>
      </c>
      <c r="V437" t="s">
        <v>2499</v>
      </c>
      <c r="W437">
        <v>2024</v>
      </c>
    </row>
    <row r="438" spans="1:23" x14ac:dyDescent="0.25">
      <c r="A438" t="s">
        <v>485</v>
      </c>
      <c r="B438" s="1">
        <v>45614</v>
      </c>
      <c r="C438" s="1">
        <v>45617</v>
      </c>
      <c r="D438" t="s">
        <v>13</v>
      </c>
      <c r="E438" t="s">
        <v>14</v>
      </c>
      <c r="F438" t="s">
        <v>15</v>
      </c>
      <c r="G438" t="s">
        <v>26</v>
      </c>
      <c r="H438" t="s">
        <v>53</v>
      </c>
      <c r="I438">
        <v>4</v>
      </c>
      <c r="J438">
        <v>0.2</v>
      </c>
      <c r="K438">
        <v>247.14</v>
      </c>
      <c r="L438">
        <v>9.5</v>
      </c>
      <c r="M438" t="s">
        <v>2470</v>
      </c>
      <c r="N438" t="s">
        <v>2467</v>
      </c>
      <c r="O438" t="s">
        <v>2459</v>
      </c>
      <c r="P438">
        <v>31.34</v>
      </c>
      <c r="Q438">
        <v>56.49</v>
      </c>
      <c r="R438">
        <v>125.36</v>
      </c>
      <c r="S438">
        <v>112.27999999999999</v>
      </c>
      <c r="T438">
        <v>0.45431739095249651</v>
      </c>
      <c r="U438" s="1">
        <v>45597</v>
      </c>
      <c r="V438" t="s">
        <v>2500</v>
      </c>
      <c r="W438">
        <v>2024</v>
      </c>
    </row>
    <row r="439" spans="1:23" x14ac:dyDescent="0.25">
      <c r="A439" t="s">
        <v>486</v>
      </c>
      <c r="B439" s="1">
        <v>45706</v>
      </c>
      <c r="C439" s="1">
        <v>45712</v>
      </c>
      <c r="D439" t="s">
        <v>23</v>
      </c>
      <c r="E439" t="s">
        <v>43</v>
      </c>
      <c r="F439" t="s">
        <v>15</v>
      </c>
      <c r="G439" t="s">
        <v>16</v>
      </c>
      <c r="H439" t="s">
        <v>63</v>
      </c>
      <c r="I439">
        <v>20</v>
      </c>
      <c r="J439">
        <v>0</v>
      </c>
      <c r="K439">
        <v>219.79</v>
      </c>
      <c r="L439">
        <v>13.5</v>
      </c>
      <c r="M439" t="s">
        <v>2477</v>
      </c>
      <c r="N439" t="s">
        <v>2474</v>
      </c>
      <c r="O439" t="s">
        <v>2468</v>
      </c>
      <c r="P439">
        <v>6.33</v>
      </c>
      <c r="Q439">
        <v>12.16</v>
      </c>
      <c r="R439">
        <v>126.6</v>
      </c>
      <c r="S439">
        <v>79.69</v>
      </c>
      <c r="T439">
        <v>0.36257336548523589</v>
      </c>
      <c r="U439" s="1">
        <v>45689</v>
      </c>
      <c r="V439" t="s">
        <v>2499</v>
      </c>
      <c r="W439">
        <v>2025</v>
      </c>
    </row>
    <row r="440" spans="1:23" x14ac:dyDescent="0.25">
      <c r="A440" t="s">
        <v>487</v>
      </c>
      <c r="B440" s="1">
        <v>45637</v>
      </c>
      <c r="C440" s="1">
        <v>45642</v>
      </c>
      <c r="D440" t="s">
        <v>32</v>
      </c>
      <c r="E440" t="s">
        <v>33</v>
      </c>
      <c r="F440" t="s">
        <v>29</v>
      </c>
      <c r="G440" t="s">
        <v>26</v>
      </c>
      <c r="H440" t="s">
        <v>37</v>
      </c>
      <c r="I440">
        <v>3</v>
      </c>
      <c r="J440">
        <v>0.15</v>
      </c>
      <c r="K440">
        <v>376.6</v>
      </c>
      <c r="L440">
        <v>6.84</v>
      </c>
      <c r="M440" t="s">
        <v>2464</v>
      </c>
      <c r="N440" t="s">
        <v>2458</v>
      </c>
      <c r="O440" t="s">
        <v>2465</v>
      </c>
      <c r="P440">
        <v>63.6</v>
      </c>
      <c r="Q440">
        <v>107.94</v>
      </c>
      <c r="R440">
        <v>190.8</v>
      </c>
      <c r="S440">
        <v>178.96</v>
      </c>
      <c r="T440">
        <v>0.47519915029208709</v>
      </c>
      <c r="U440" s="1">
        <v>45627</v>
      </c>
      <c r="V440" t="s">
        <v>2500</v>
      </c>
      <c r="W440">
        <v>2024</v>
      </c>
    </row>
    <row r="441" spans="1:23" x14ac:dyDescent="0.25">
      <c r="A441" t="s">
        <v>488</v>
      </c>
      <c r="B441" s="1">
        <v>45705</v>
      </c>
      <c r="C441" s="1">
        <v>45706</v>
      </c>
      <c r="D441" t="s">
        <v>47</v>
      </c>
      <c r="E441" t="s">
        <v>71</v>
      </c>
      <c r="F441" t="s">
        <v>29</v>
      </c>
      <c r="G441" t="s">
        <v>26</v>
      </c>
      <c r="H441" t="s">
        <v>30</v>
      </c>
      <c r="I441">
        <v>9</v>
      </c>
      <c r="J441">
        <v>0</v>
      </c>
      <c r="K441">
        <v>51.19</v>
      </c>
      <c r="L441">
        <v>8.5500000000000007</v>
      </c>
      <c r="M441" t="s">
        <v>2473</v>
      </c>
      <c r="N441" t="s">
        <v>2474</v>
      </c>
      <c r="O441" t="s">
        <v>2463</v>
      </c>
      <c r="P441">
        <v>3.62</v>
      </c>
      <c r="Q441">
        <v>6.03</v>
      </c>
      <c r="R441">
        <v>32.58</v>
      </c>
      <c r="S441">
        <v>10.059999999999999</v>
      </c>
      <c r="T441">
        <v>0.19652275835124047</v>
      </c>
      <c r="U441" s="1">
        <v>45689</v>
      </c>
      <c r="V441" t="s">
        <v>2499</v>
      </c>
      <c r="W441">
        <v>2025</v>
      </c>
    </row>
    <row r="442" spans="1:23" x14ac:dyDescent="0.25">
      <c r="A442" t="s">
        <v>489</v>
      </c>
      <c r="B442" s="1">
        <v>45745</v>
      </c>
      <c r="C442" s="1">
        <v>45746</v>
      </c>
      <c r="D442" t="s">
        <v>23</v>
      </c>
      <c r="E442" t="s">
        <v>43</v>
      </c>
      <c r="F442" t="s">
        <v>15</v>
      </c>
      <c r="G442" t="s">
        <v>26</v>
      </c>
      <c r="H442" t="s">
        <v>68</v>
      </c>
      <c r="I442">
        <v>2</v>
      </c>
      <c r="J442">
        <v>0</v>
      </c>
      <c r="K442">
        <v>99.08</v>
      </c>
      <c r="L442">
        <v>7</v>
      </c>
      <c r="M442" t="s">
        <v>2466</v>
      </c>
      <c r="N442" t="s">
        <v>2467</v>
      </c>
      <c r="O442" t="s">
        <v>2468</v>
      </c>
      <c r="P442">
        <v>25.33</v>
      </c>
      <c r="Q442">
        <v>51.56</v>
      </c>
      <c r="R442">
        <v>50.66</v>
      </c>
      <c r="S442">
        <v>41.42</v>
      </c>
      <c r="T442">
        <v>0.41804602341542191</v>
      </c>
      <c r="U442" s="1">
        <v>45717</v>
      </c>
      <c r="V442" t="s">
        <v>2499</v>
      </c>
      <c r="W442">
        <v>2025</v>
      </c>
    </row>
    <row r="443" spans="1:23" x14ac:dyDescent="0.25">
      <c r="A443" t="s">
        <v>490</v>
      </c>
      <c r="B443" s="1">
        <v>45648</v>
      </c>
      <c r="C443" s="1">
        <v>45653</v>
      </c>
      <c r="D443" t="s">
        <v>23</v>
      </c>
      <c r="E443" t="s">
        <v>24</v>
      </c>
      <c r="F443" t="s">
        <v>25</v>
      </c>
      <c r="G443" t="s">
        <v>16</v>
      </c>
      <c r="H443" t="s">
        <v>41</v>
      </c>
      <c r="I443">
        <v>11</v>
      </c>
      <c r="J443">
        <v>0.2</v>
      </c>
      <c r="K443">
        <v>75.900000000000006</v>
      </c>
      <c r="L443">
        <v>5.67</v>
      </c>
      <c r="M443" t="s">
        <v>2479</v>
      </c>
      <c r="N443" t="s">
        <v>2474</v>
      </c>
      <c r="O443" t="s">
        <v>2459</v>
      </c>
      <c r="P443">
        <v>3.3</v>
      </c>
      <c r="Q443">
        <v>6.13</v>
      </c>
      <c r="R443">
        <v>36.299999999999997</v>
      </c>
      <c r="S443">
        <v>33.930000000000007</v>
      </c>
      <c r="T443">
        <v>0.44703557312252973</v>
      </c>
      <c r="U443" s="1">
        <v>45627</v>
      </c>
      <c r="V443" t="s">
        <v>2500</v>
      </c>
      <c r="W443">
        <v>2024</v>
      </c>
    </row>
    <row r="444" spans="1:23" x14ac:dyDescent="0.25">
      <c r="A444" t="s">
        <v>491</v>
      </c>
      <c r="B444" s="1">
        <v>45330</v>
      </c>
      <c r="C444" s="1">
        <v>45333</v>
      </c>
      <c r="D444" t="s">
        <v>32</v>
      </c>
      <c r="E444" t="s">
        <v>33</v>
      </c>
      <c r="F444" t="s">
        <v>15</v>
      </c>
      <c r="G444" t="s">
        <v>26</v>
      </c>
      <c r="H444" t="s">
        <v>34</v>
      </c>
      <c r="I444">
        <v>3</v>
      </c>
      <c r="J444">
        <v>0.1</v>
      </c>
      <c r="K444">
        <v>522.69000000000005</v>
      </c>
      <c r="L444">
        <v>6.84</v>
      </c>
      <c r="M444" t="s">
        <v>2460</v>
      </c>
      <c r="N444" t="s">
        <v>2458</v>
      </c>
      <c r="O444" t="s">
        <v>2461</v>
      </c>
      <c r="P444">
        <v>119.02</v>
      </c>
      <c r="Q444">
        <v>205.39</v>
      </c>
      <c r="R444">
        <v>357.06</v>
      </c>
      <c r="S444">
        <v>158.79000000000005</v>
      </c>
      <c r="T444">
        <v>0.30379383573437418</v>
      </c>
      <c r="U444" s="1">
        <v>45323</v>
      </c>
      <c r="V444" t="s">
        <v>2498</v>
      </c>
      <c r="W444">
        <v>2024</v>
      </c>
    </row>
    <row r="445" spans="1:23" x14ac:dyDescent="0.25">
      <c r="A445" t="s">
        <v>492</v>
      </c>
      <c r="B445" s="1">
        <v>45567</v>
      </c>
      <c r="C445" s="1">
        <v>45568</v>
      </c>
      <c r="D445" t="s">
        <v>47</v>
      </c>
      <c r="E445" t="s">
        <v>50</v>
      </c>
      <c r="F445" t="s">
        <v>25</v>
      </c>
      <c r="G445" t="s">
        <v>20</v>
      </c>
      <c r="H445" t="s">
        <v>21</v>
      </c>
      <c r="I445">
        <v>1</v>
      </c>
      <c r="J445">
        <v>0.25</v>
      </c>
      <c r="K445">
        <v>100.55</v>
      </c>
      <c r="L445">
        <v>4.08</v>
      </c>
      <c r="M445" t="s">
        <v>2462</v>
      </c>
      <c r="N445" t="s">
        <v>2458</v>
      </c>
      <c r="O445" t="s">
        <v>2463</v>
      </c>
      <c r="P445">
        <v>71.489999999999995</v>
      </c>
      <c r="Q445">
        <v>112.88</v>
      </c>
      <c r="R445">
        <v>71.489999999999995</v>
      </c>
      <c r="S445">
        <v>24.980000000000004</v>
      </c>
      <c r="T445">
        <v>0.24843361511685733</v>
      </c>
      <c r="U445" s="1">
        <v>45566</v>
      </c>
      <c r="V445" t="s">
        <v>2501</v>
      </c>
      <c r="W445">
        <v>2024</v>
      </c>
    </row>
    <row r="446" spans="1:23" x14ac:dyDescent="0.25">
      <c r="A446" t="s">
        <v>493</v>
      </c>
      <c r="B446" s="1">
        <v>45759</v>
      </c>
      <c r="C446" s="1">
        <v>45761</v>
      </c>
      <c r="D446" t="s">
        <v>47</v>
      </c>
      <c r="E446" t="s">
        <v>48</v>
      </c>
      <c r="F446" t="s">
        <v>15</v>
      </c>
      <c r="G446" t="s">
        <v>20</v>
      </c>
      <c r="H446" t="s">
        <v>37</v>
      </c>
      <c r="I446">
        <v>3</v>
      </c>
      <c r="J446">
        <v>0</v>
      </c>
      <c r="K446">
        <v>298.91000000000003</v>
      </c>
      <c r="L446">
        <v>6.84</v>
      </c>
      <c r="M446" t="s">
        <v>2464</v>
      </c>
      <c r="N446" t="s">
        <v>2458</v>
      </c>
      <c r="O446" t="s">
        <v>2465</v>
      </c>
      <c r="P446">
        <v>63.6</v>
      </c>
      <c r="Q446">
        <v>107.94</v>
      </c>
      <c r="R446">
        <v>190.8</v>
      </c>
      <c r="S446">
        <v>101.27000000000001</v>
      </c>
      <c r="T446">
        <v>0.3387976313940651</v>
      </c>
      <c r="U446" s="1">
        <v>45748</v>
      </c>
      <c r="V446" t="s">
        <v>2499</v>
      </c>
      <c r="W446">
        <v>2025</v>
      </c>
    </row>
    <row r="447" spans="1:23" x14ac:dyDescent="0.25">
      <c r="A447" t="s">
        <v>494</v>
      </c>
      <c r="B447" s="1">
        <v>45677</v>
      </c>
      <c r="C447" s="1">
        <v>45681</v>
      </c>
      <c r="D447" t="s">
        <v>32</v>
      </c>
      <c r="E447" t="s">
        <v>45</v>
      </c>
      <c r="F447" t="s">
        <v>15</v>
      </c>
      <c r="G447" t="s">
        <v>20</v>
      </c>
      <c r="H447" t="s">
        <v>53</v>
      </c>
      <c r="I447">
        <v>2</v>
      </c>
      <c r="J447">
        <v>0</v>
      </c>
      <c r="K447">
        <v>101.18</v>
      </c>
      <c r="L447">
        <v>4.2</v>
      </c>
      <c r="M447" t="s">
        <v>2470</v>
      </c>
      <c r="N447" t="s">
        <v>2467</v>
      </c>
      <c r="O447" t="s">
        <v>2459</v>
      </c>
      <c r="P447">
        <v>31.34</v>
      </c>
      <c r="Q447">
        <v>56.49</v>
      </c>
      <c r="R447">
        <v>62.68</v>
      </c>
      <c r="S447">
        <v>34.300000000000004</v>
      </c>
      <c r="T447">
        <v>0.33899980233247679</v>
      </c>
      <c r="U447" s="1">
        <v>45658</v>
      </c>
      <c r="V447" t="s">
        <v>2499</v>
      </c>
      <c r="W447">
        <v>2025</v>
      </c>
    </row>
    <row r="448" spans="1:23" x14ac:dyDescent="0.25">
      <c r="A448" t="s">
        <v>495</v>
      </c>
      <c r="B448" s="1">
        <v>45921</v>
      </c>
      <c r="C448" s="1">
        <v>45923</v>
      </c>
      <c r="D448" t="s">
        <v>23</v>
      </c>
      <c r="E448" t="s">
        <v>43</v>
      </c>
      <c r="F448" t="s">
        <v>25</v>
      </c>
      <c r="G448" t="s">
        <v>20</v>
      </c>
      <c r="H448" t="s">
        <v>65</v>
      </c>
      <c r="I448">
        <v>4</v>
      </c>
      <c r="J448">
        <v>0</v>
      </c>
      <c r="K448">
        <v>1272.5</v>
      </c>
      <c r="L448">
        <v>8.2200000000000006</v>
      </c>
      <c r="M448" t="s">
        <v>2457</v>
      </c>
      <c r="N448" t="s">
        <v>2458</v>
      </c>
      <c r="O448" t="s">
        <v>2459</v>
      </c>
      <c r="P448">
        <v>173.56</v>
      </c>
      <c r="Q448">
        <v>286.14999999999998</v>
      </c>
      <c r="R448">
        <v>694.24</v>
      </c>
      <c r="S448">
        <v>570.04</v>
      </c>
      <c r="T448">
        <v>0.44796856581532413</v>
      </c>
      <c r="U448" s="1">
        <v>45901</v>
      </c>
      <c r="V448" t="s">
        <v>2499</v>
      </c>
      <c r="W448">
        <v>2025</v>
      </c>
    </row>
    <row r="449" spans="1:23" x14ac:dyDescent="0.25">
      <c r="A449" t="s">
        <v>496</v>
      </c>
      <c r="B449" s="1">
        <v>45984</v>
      </c>
      <c r="C449" s="1">
        <v>45989</v>
      </c>
      <c r="D449" t="s">
        <v>47</v>
      </c>
      <c r="E449" t="s">
        <v>48</v>
      </c>
      <c r="F449" t="s">
        <v>15</v>
      </c>
      <c r="G449" t="s">
        <v>26</v>
      </c>
      <c r="H449" t="s">
        <v>37</v>
      </c>
      <c r="I449">
        <v>1</v>
      </c>
      <c r="J449">
        <v>0</v>
      </c>
      <c r="K449">
        <v>142.04</v>
      </c>
      <c r="L449">
        <v>4.08</v>
      </c>
      <c r="M449" t="s">
        <v>2464</v>
      </c>
      <c r="N449" t="s">
        <v>2458</v>
      </c>
      <c r="O449" t="s">
        <v>2465</v>
      </c>
      <c r="P449">
        <v>63.6</v>
      </c>
      <c r="Q449">
        <v>107.94</v>
      </c>
      <c r="R449">
        <v>63.6</v>
      </c>
      <c r="S449">
        <v>74.36</v>
      </c>
      <c r="T449">
        <v>0.5235145029569136</v>
      </c>
      <c r="U449" s="1">
        <v>45962</v>
      </c>
      <c r="V449" t="s">
        <v>2499</v>
      </c>
      <c r="W449">
        <v>2025</v>
      </c>
    </row>
    <row r="450" spans="1:23" x14ac:dyDescent="0.25">
      <c r="A450" t="s">
        <v>497</v>
      </c>
      <c r="B450" s="1">
        <v>45776</v>
      </c>
      <c r="C450" s="1">
        <v>45779</v>
      </c>
      <c r="D450" t="s">
        <v>23</v>
      </c>
      <c r="E450" t="s">
        <v>43</v>
      </c>
      <c r="F450" t="s">
        <v>29</v>
      </c>
      <c r="G450" t="s">
        <v>16</v>
      </c>
      <c r="H450" t="s">
        <v>51</v>
      </c>
      <c r="I450">
        <v>10</v>
      </c>
      <c r="J450">
        <v>0.15</v>
      </c>
      <c r="K450">
        <v>127.54</v>
      </c>
      <c r="L450">
        <v>5.4</v>
      </c>
      <c r="M450" t="s">
        <v>2475</v>
      </c>
      <c r="N450" t="s">
        <v>2474</v>
      </c>
      <c r="O450" t="s">
        <v>2463</v>
      </c>
      <c r="P450">
        <v>7.93</v>
      </c>
      <c r="Q450">
        <v>14.78</v>
      </c>
      <c r="R450">
        <v>79.3</v>
      </c>
      <c r="S450">
        <v>42.840000000000011</v>
      </c>
      <c r="T450">
        <v>0.33589462129527997</v>
      </c>
      <c r="U450" s="1">
        <v>45748</v>
      </c>
      <c r="V450" t="s">
        <v>2500</v>
      </c>
      <c r="W450">
        <v>2025</v>
      </c>
    </row>
    <row r="451" spans="1:23" x14ac:dyDescent="0.25">
      <c r="A451" t="s">
        <v>498</v>
      </c>
      <c r="B451" s="1">
        <v>45608</v>
      </c>
      <c r="C451" s="1">
        <v>45613</v>
      </c>
      <c r="D451" t="s">
        <v>13</v>
      </c>
      <c r="E451" t="s">
        <v>36</v>
      </c>
      <c r="F451" t="s">
        <v>15</v>
      </c>
      <c r="G451" t="s">
        <v>16</v>
      </c>
      <c r="H451" t="s">
        <v>65</v>
      </c>
      <c r="I451">
        <v>1</v>
      </c>
      <c r="J451">
        <v>0</v>
      </c>
      <c r="K451">
        <v>383.02</v>
      </c>
      <c r="L451">
        <v>4.08</v>
      </c>
      <c r="M451" t="s">
        <v>2457</v>
      </c>
      <c r="N451" t="s">
        <v>2458</v>
      </c>
      <c r="O451" t="s">
        <v>2459</v>
      </c>
      <c r="P451">
        <v>173.56</v>
      </c>
      <c r="Q451">
        <v>286.14999999999998</v>
      </c>
      <c r="R451">
        <v>173.56</v>
      </c>
      <c r="S451">
        <v>205.37999999999997</v>
      </c>
      <c r="T451">
        <v>0.53621220823977855</v>
      </c>
      <c r="U451" s="1">
        <v>45597</v>
      </c>
      <c r="V451" t="s">
        <v>2499</v>
      </c>
      <c r="W451">
        <v>2024</v>
      </c>
    </row>
    <row r="452" spans="1:23" x14ac:dyDescent="0.25">
      <c r="A452" t="s">
        <v>499</v>
      </c>
      <c r="B452" s="1">
        <v>45446</v>
      </c>
      <c r="C452" s="1">
        <v>45452</v>
      </c>
      <c r="D452" t="s">
        <v>13</v>
      </c>
      <c r="E452" t="s">
        <v>19</v>
      </c>
      <c r="F452" t="s">
        <v>15</v>
      </c>
      <c r="G452" t="s">
        <v>16</v>
      </c>
      <c r="H452" t="s">
        <v>65</v>
      </c>
      <c r="I452">
        <v>2</v>
      </c>
      <c r="J452">
        <v>0</v>
      </c>
      <c r="K452">
        <v>594.11</v>
      </c>
      <c r="L452">
        <v>9.1</v>
      </c>
      <c r="M452" t="s">
        <v>2457</v>
      </c>
      <c r="N452" t="s">
        <v>2458</v>
      </c>
      <c r="O452" t="s">
        <v>2459</v>
      </c>
      <c r="P452">
        <v>173.56</v>
      </c>
      <c r="Q452">
        <v>286.14999999999998</v>
      </c>
      <c r="R452">
        <v>347.12</v>
      </c>
      <c r="S452">
        <v>237.89000000000001</v>
      </c>
      <c r="T452">
        <v>0.40041406473548669</v>
      </c>
      <c r="U452" s="1">
        <v>45444</v>
      </c>
      <c r="V452" t="s">
        <v>2499</v>
      </c>
      <c r="W452">
        <v>2024</v>
      </c>
    </row>
    <row r="453" spans="1:23" x14ac:dyDescent="0.25">
      <c r="A453" t="s">
        <v>500</v>
      </c>
      <c r="B453" s="1">
        <v>45358</v>
      </c>
      <c r="C453" s="1">
        <v>45364</v>
      </c>
      <c r="D453" t="s">
        <v>23</v>
      </c>
      <c r="E453" t="s">
        <v>43</v>
      </c>
      <c r="F453" t="s">
        <v>29</v>
      </c>
      <c r="G453" t="s">
        <v>16</v>
      </c>
      <c r="H453" t="s">
        <v>34</v>
      </c>
      <c r="I453">
        <v>1</v>
      </c>
      <c r="J453">
        <v>0</v>
      </c>
      <c r="K453">
        <v>181.72</v>
      </c>
      <c r="L453">
        <v>4.08</v>
      </c>
      <c r="M453" t="s">
        <v>2460</v>
      </c>
      <c r="N453" t="s">
        <v>2458</v>
      </c>
      <c r="O453" t="s">
        <v>2461</v>
      </c>
      <c r="P453">
        <v>119.02</v>
      </c>
      <c r="Q453">
        <v>205.39</v>
      </c>
      <c r="R453">
        <v>119.02</v>
      </c>
      <c r="S453">
        <v>58.620000000000005</v>
      </c>
      <c r="T453">
        <v>0.32258419546555145</v>
      </c>
      <c r="U453" s="1">
        <v>45352</v>
      </c>
      <c r="V453" t="s">
        <v>2499</v>
      </c>
      <c r="W453">
        <v>2024</v>
      </c>
    </row>
    <row r="454" spans="1:23" x14ac:dyDescent="0.25">
      <c r="A454" t="s">
        <v>501</v>
      </c>
      <c r="B454" s="1">
        <v>45875</v>
      </c>
      <c r="C454" s="1">
        <v>45876</v>
      </c>
      <c r="D454" t="s">
        <v>47</v>
      </c>
      <c r="E454" t="s">
        <v>71</v>
      </c>
      <c r="F454" t="s">
        <v>29</v>
      </c>
      <c r="G454" t="s">
        <v>26</v>
      </c>
      <c r="H454" t="s">
        <v>39</v>
      </c>
      <c r="I454">
        <v>4</v>
      </c>
      <c r="J454">
        <v>0</v>
      </c>
      <c r="K454">
        <v>736.28</v>
      </c>
      <c r="L454">
        <v>5.7</v>
      </c>
      <c r="M454" t="s">
        <v>2471</v>
      </c>
      <c r="N454" t="s">
        <v>2467</v>
      </c>
      <c r="O454" t="s">
        <v>2461</v>
      </c>
      <c r="P454">
        <v>112.09</v>
      </c>
      <c r="Q454">
        <v>192.47</v>
      </c>
      <c r="R454">
        <v>448.36</v>
      </c>
      <c r="S454">
        <v>282.21999999999997</v>
      </c>
      <c r="T454">
        <v>0.38330526430162437</v>
      </c>
      <c r="U454" s="1">
        <v>45870</v>
      </c>
      <c r="V454" t="s">
        <v>2499</v>
      </c>
      <c r="W454">
        <v>2025</v>
      </c>
    </row>
    <row r="455" spans="1:23" x14ac:dyDescent="0.25">
      <c r="A455" t="s">
        <v>502</v>
      </c>
      <c r="B455" s="1">
        <v>45390</v>
      </c>
      <c r="C455" s="1">
        <v>45395</v>
      </c>
      <c r="D455" t="s">
        <v>32</v>
      </c>
      <c r="E455" t="s">
        <v>33</v>
      </c>
      <c r="F455" t="s">
        <v>25</v>
      </c>
      <c r="G455" t="s">
        <v>16</v>
      </c>
      <c r="H455" t="s">
        <v>68</v>
      </c>
      <c r="I455">
        <v>2</v>
      </c>
      <c r="J455">
        <v>0.15</v>
      </c>
      <c r="K455">
        <v>88.45</v>
      </c>
      <c r="L455">
        <v>4.2</v>
      </c>
      <c r="M455" t="s">
        <v>2466</v>
      </c>
      <c r="N455" t="s">
        <v>2467</v>
      </c>
      <c r="O455" t="s">
        <v>2468</v>
      </c>
      <c r="P455">
        <v>25.33</v>
      </c>
      <c r="Q455">
        <v>51.56</v>
      </c>
      <c r="R455">
        <v>50.66</v>
      </c>
      <c r="S455">
        <v>33.590000000000003</v>
      </c>
      <c r="T455">
        <v>0.37976257772752969</v>
      </c>
      <c r="U455" s="1">
        <v>45383</v>
      </c>
      <c r="V455" t="s">
        <v>2500</v>
      </c>
      <c r="W455">
        <v>2024</v>
      </c>
    </row>
    <row r="456" spans="1:23" x14ac:dyDescent="0.25">
      <c r="A456" t="s">
        <v>503</v>
      </c>
      <c r="B456" s="1">
        <v>45660</v>
      </c>
      <c r="C456" s="1">
        <v>45662</v>
      </c>
      <c r="D456" t="s">
        <v>23</v>
      </c>
      <c r="E456" t="s">
        <v>59</v>
      </c>
      <c r="F456" t="s">
        <v>25</v>
      </c>
      <c r="G456" t="s">
        <v>16</v>
      </c>
      <c r="H456" t="s">
        <v>21</v>
      </c>
      <c r="I456">
        <v>3</v>
      </c>
      <c r="J456">
        <v>0</v>
      </c>
      <c r="K456">
        <v>294.38</v>
      </c>
      <c r="L456">
        <v>11.4</v>
      </c>
      <c r="M456" t="s">
        <v>2462</v>
      </c>
      <c r="N456" t="s">
        <v>2458</v>
      </c>
      <c r="O456" t="s">
        <v>2463</v>
      </c>
      <c r="P456">
        <v>71.489999999999995</v>
      </c>
      <c r="Q456">
        <v>112.88</v>
      </c>
      <c r="R456">
        <v>214.46999999999997</v>
      </c>
      <c r="S456">
        <v>68.510000000000019</v>
      </c>
      <c r="T456">
        <v>0.23272640804402481</v>
      </c>
      <c r="U456" s="1">
        <v>45658</v>
      </c>
      <c r="V456" t="s">
        <v>2499</v>
      </c>
      <c r="W456">
        <v>2025</v>
      </c>
    </row>
    <row r="457" spans="1:23" x14ac:dyDescent="0.25">
      <c r="A457" t="s">
        <v>504</v>
      </c>
      <c r="B457" s="1">
        <v>45926</v>
      </c>
      <c r="C457" s="1">
        <v>45931</v>
      </c>
      <c r="D457" t="s">
        <v>47</v>
      </c>
      <c r="E457" t="s">
        <v>71</v>
      </c>
      <c r="F457" t="s">
        <v>15</v>
      </c>
      <c r="G457" t="s">
        <v>20</v>
      </c>
      <c r="H457" t="s">
        <v>60</v>
      </c>
      <c r="I457">
        <v>3</v>
      </c>
      <c r="J457">
        <v>0.15</v>
      </c>
      <c r="K457">
        <v>317.63</v>
      </c>
      <c r="L457">
        <v>8.25</v>
      </c>
      <c r="M457" t="s">
        <v>2469</v>
      </c>
      <c r="N457" t="s">
        <v>2467</v>
      </c>
      <c r="O457" t="s">
        <v>2468</v>
      </c>
      <c r="P457">
        <v>54.95</v>
      </c>
      <c r="Q457">
        <v>112.56</v>
      </c>
      <c r="R457">
        <v>164.85000000000002</v>
      </c>
      <c r="S457">
        <v>144.52999999999997</v>
      </c>
      <c r="T457">
        <v>0.45502628844882403</v>
      </c>
      <c r="U457" s="1">
        <v>45901</v>
      </c>
      <c r="V457" t="s">
        <v>2500</v>
      </c>
      <c r="W457">
        <v>2025</v>
      </c>
    </row>
    <row r="458" spans="1:23" x14ac:dyDescent="0.25">
      <c r="A458" t="s">
        <v>505</v>
      </c>
      <c r="B458" s="1">
        <v>45879</v>
      </c>
      <c r="C458" s="1">
        <v>45884</v>
      </c>
      <c r="D458" t="s">
        <v>47</v>
      </c>
      <c r="E458" t="s">
        <v>71</v>
      </c>
      <c r="F458" t="s">
        <v>15</v>
      </c>
      <c r="G458" t="s">
        <v>26</v>
      </c>
      <c r="H458" t="s">
        <v>37</v>
      </c>
      <c r="I458">
        <v>1</v>
      </c>
      <c r="J458">
        <v>0</v>
      </c>
      <c r="K458">
        <v>107.22</v>
      </c>
      <c r="L458">
        <v>4.08</v>
      </c>
      <c r="M458" t="s">
        <v>2464</v>
      </c>
      <c r="N458" t="s">
        <v>2458</v>
      </c>
      <c r="O458" t="s">
        <v>2465</v>
      </c>
      <c r="P458">
        <v>63.6</v>
      </c>
      <c r="Q458">
        <v>107.94</v>
      </c>
      <c r="R458">
        <v>63.6</v>
      </c>
      <c r="S458">
        <v>39.54</v>
      </c>
      <c r="T458">
        <v>0.36877448237269167</v>
      </c>
      <c r="U458" s="1">
        <v>45870</v>
      </c>
      <c r="V458" t="s">
        <v>2499</v>
      </c>
      <c r="W458">
        <v>2025</v>
      </c>
    </row>
    <row r="459" spans="1:23" x14ac:dyDescent="0.25">
      <c r="A459" t="s">
        <v>506</v>
      </c>
      <c r="B459" s="1">
        <v>45667</v>
      </c>
      <c r="C459" s="1">
        <v>45668</v>
      </c>
      <c r="D459" t="s">
        <v>32</v>
      </c>
      <c r="E459" t="s">
        <v>62</v>
      </c>
      <c r="F459" t="s">
        <v>15</v>
      </c>
      <c r="G459" t="s">
        <v>16</v>
      </c>
      <c r="H459" t="s">
        <v>17</v>
      </c>
      <c r="I459">
        <v>1</v>
      </c>
      <c r="J459">
        <v>0.1</v>
      </c>
      <c r="K459">
        <v>102.21</v>
      </c>
      <c r="L459">
        <v>3.45</v>
      </c>
      <c r="M459" t="s">
        <v>2472</v>
      </c>
      <c r="N459" t="s">
        <v>2467</v>
      </c>
      <c r="O459" t="s">
        <v>2468</v>
      </c>
      <c r="P459">
        <v>63.69</v>
      </c>
      <c r="Q459">
        <v>125.5</v>
      </c>
      <c r="R459">
        <v>63.69</v>
      </c>
      <c r="S459">
        <v>35.069999999999993</v>
      </c>
      <c r="T459">
        <v>0.34311711182858817</v>
      </c>
      <c r="U459" s="1">
        <v>45658</v>
      </c>
      <c r="V459" t="s">
        <v>2498</v>
      </c>
      <c r="W459">
        <v>2025</v>
      </c>
    </row>
    <row r="460" spans="1:23" x14ac:dyDescent="0.25">
      <c r="A460" t="s">
        <v>507</v>
      </c>
      <c r="B460" s="1">
        <v>45823</v>
      </c>
      <c r="C460" s="1">
        <v>45825</v>
      </c>
      <c r="D460" t="s">
        <v>13</v>
      </c>
      <c r="E460" t="s">
        <v>36</v>
      </c>
      <c r="F460" t="s">
        <v>15</v>
      </c>
      <c r="G460" t="s">
        <v>16</v>
      </c>
      <c r="H460" t="s">
        <v>87</v>
      </c>
      <c r="I460">
        <v>6</v>
      </c>
      <c r="J460">
        <v>0.15</v>
      </c>
      <c r="K460">
        <v>46.17</v>
      </c>
      <c r="L460">
        <v>7.2</v>
      </c>
      <c r="M460" t="s">
        <v>2476</v>
      </c>
      <c r="N460" t="s">
        <v>2474</v>
      </c>
      <c r="O460" t="s">
        <v>2459</v>
      </c>
      <c r="P460">
        <v>4.5</v>
      </c>
      <c r="Q460">
        <v>8.2899999999999991</v>
      </c>
      <c r="R460">
        <v>27</v>
      </c>
      <c r="S460">
        <v>11.970000000000002</v>
      </c>
      <c r="T460">
        <v>0.2592592592592593</v>
      </c>
      <c r="U460" s="1">
        <v>45809</v>
      </c>
      <c r="V460" t="s">
        <v>2500</v>
      </c>
      <c r="W460">
        <v>2025</v>
      </c>
    </row>
    <row r="461" spans="1:23" x14ac:dyDescent="0.25">
      <c r="A461" t="s">
        <v>508</v>
      </c>
      <c r="B461" s="1">
        <v>45719</v>
      </c>
      <c r="C461" s="1">
        <v>45720</v>
      </c>
      <c r="D461" t="s">
        <v>13</v>
      </c>
      <c r="E461" t="s">
        <v>19</v>
      </c>
      <c r="F461" t="s">
        <v>29</v>
      </c>
      <c r="G461" t="s">
        <v>16</v>
      </c>
      <c r="H461" t="s">
        <v>87</v>
      </c>
      <c r="I461">
        <v>8</v>
      </c>
      <c r="J461">
        <v>0</v>
      </c>
      <c r="K461">
        <v>63.55</v>
      </c>
      <c r="L461">
        <v>4.8600000000000003</v>
      </c>
      <c r="M461" t="s">
        <v>2476</v>
      </c>
      <c r="N461" t="s">
        <v>2474</v>
      </c>
      <c r="O461" t="s">
        <v>2459</v>
      </c>
      <c r="P461">
        <v>4.5</v>
      </c>
      <c r="Q461">
        <v>8.2899999999999991</v>
      </c>
      <c r="R461">
        <v>36</v>
      </c>
      <c r="S461">
        <v>22.689999999999998</v>
      </c>
      <c r="T461">
        <v>0.35704169944925251</v>
      </c>
      <c r="U461" s="1">
        <v>45717</v>
      </c>
      <c r="V461" t="s">
        <v>2499</v>
      </c>
      <c r="W461">
        <v>2025</v>
      </c>
    </row>
    <row r="462" spans="1:23" x14ac:dyDescent="0.25">
      <c r="A462" t="s">
        <v>509</v>
      </c>
      <c r="B462" s="1">
        <v>45881</v>
      </c>
      <c r="C462" s="1">
        <v>45887</v>
      </c>
      <c r="D462" t="s">
        <v>47</v>
      </c>
      <c r="E462" t="s">
        <v>71</v>
      </c>
      <c r="F462" t="s">
        <v>15</v>
      </c>
      <c r="G462" t="s">
        <v>26</v>
      </c>
      <c r="H462" t="s">
        <v>39</v>
      </c>
      <c r="I462">
        <v>4</v>
      </c>
      <c r="J462">
        <v>0.1</v>
      </c>
      <c r="K462">
        <v>659.25</v>
      </c>
      <c r="L462">
        <v>9.5</v>
      </c>
      <c r="M462" t="s">
        <v>2471</v>
      </c>
      <c r="N462" t="s">
        <v>2467</v>
      </c>
      <c r="O462" t="s">
        <v>2461</v>
      </c>
      <c r="P462">
        <v>112.09</v>
      </c>
      <c r="Q462">
        <v>192.47</v>
      </c>
      <c r="R462">
        <v>448.36</v>
      </c>
      <c r="S462">
        <v>201.39</v>
      </c>
      <c r="T462">
        <v>0.30548350398179747</v>
      </c>
      <c r="U462" s="1">
        <v>45870</v>
      </c>
      <c r="V462" t="s">
        <v>2498</v>
      </c>
      <c r="W462">
        <v>2025</v>
      </c>
    </row>
    <row r="463" spans="1:23" x14ac:dyDescent="0.25">
      <c r="A463" t="s">
        <v>510</v>
      </c>
      <c r="B463" s="1">
        <v>45628</v>
      </c>
      <c r="C463" s="1">
        <v>45629</v>
      </c>
      <c r="D463" t="s">
        <v>32</v>
      </c>
      <c r="E463" t="s">
        <v>45</v>
      </c>
      <c r="F463" t="s">
        <v>29</v>
      </c>
      <c r="G463" t="s">
        <v>26</v>
      </c>
      <c r="H463" t="s">
        <v>87</v>
      </c>
      <c r="I463">
        <v>6</v>
      </c>
      <c r="J463">
        <v>0</v>
      </c>
      <c r="K463">
        <v>74.55</v>
      </c>
      <c r="L463">
        <v>4.32</v>
      </c>
      <c r="M463" t="s">
        <v>2476</v>
      </c>
      <c r="N463" t="s">
        <v>2474</v>
      </c>
      <c r="O463" t="s">
        <v>2459</v>
      </c>
      <c r="P463">
        <v>4.5</v>
      </c>
      <c r="Q463">
        <v>8.2899999999999991</v>
      </c>
      <c r="R463">
        <v>27</v>
      </c>
      <c r="S463">
        <v>43.23</v>
      </c>
      <c r="T463">
        <v>0.5798792756539235</v>
      </c>
      <c r="U463" s="1">
        <v>45627</v>
      </c>
      <c r="V463" t="s">
        <v>2499</v>
      </c>
      <c r="W463">
        <v>2024</v>
      </c>
    </row>
    <row r="464" spans="1:23" x14ac:dyDescent="0.25">
      <c r="A464" t="s">
        <v>511</v>
      </c>
      <c r="B464" s="1">
        <v>45958</v>
      </c>
      <c r="C464" s="1">
        <v>45964</v>
      </c>
      <c r="D464" t="s">
        <v>47</v>
      </c>
      <c r="E464" t="s">
        <v>48</v>
      </c>
      <c r="F464" t="s">
        <v>25</v>
      </c>
      <c r="G464" t="s">
        <v>26</v>
      </c>
      <c r="H464" t="s">
        <v>27</v>
      </c>
      <c r="I464">
        <v>8</v>
      </c>
      <c r="J464">
        <v>0.05</v>
      </c>
      <c r="K464">
        <v>233.34</v>
      </c>
      <c r="L464">
        <v>4.8600000000000003</v>
      </c>
      <c r="M464" t="s">
        <v>2478</v>
      </c>
      <c r="N464" t="s">
        <v>2474</v>
      </c>
      <c r="O464" t="s">
        <v>2463</v>
      </c>
      <c r="P464">
        <v>16.760000000000002</v>
      </c>
      <c r="Q464">
        <v>27.71</v>
      </c>
      <c r="R464">
        <v>134.08000000000001</v>
      </c>
      <c r="S464">
        <v>94.399999999999991</v>
      </c>
      <c r="T464">
        <v>0.404559869718008</v>
      </c>
      <c r="U464" s="1">
        <v>45931</v>
      </c>
      <c r="V464" t="s">
        <v>2498</v>
      </c>
      <c r="W464">
        <v>2025</v>
      </c>
    </row>
    <row r="465" spans="1:23" x14ac:dyDescent="0.25">
      <c r="A465" t="s">
        <v>512</v>
      </c>
      <c r="B465" s="1">
        <v>46019</v>
      </c>
      <c r="C465" s="1">
        <v>46021</v>
      </c>
      <c r="D465" t="s">
        <v>32</v>
      </c>
      <c r="E465" t="s">
        <v>33</v>
      </c>
      <c r="F465" t="s">
        <v>15</v>
      </c>
      <c r="G465" t="s">
        <v>16</v>
      </c>
      <c r="H465" t="s">
        <v>34</v>
      </c>
      <c r="I465">
        <v>1</v>
      </c>
      <c r="J465">
        <v>0</v>
      </c>
      <c r="K465">
        <v>303.64999999999998</v>
      </c>
      <c r="L465">
        <v>6.8</v>
      </c>
      <c r="M465" t="s">
        <v>2460</v>
      </c>
      <c r="N465" t="s">
        <v>2458</v>
      </c>
      <c r="O465" t="s">
        <v>2461</v>
      </c>
      <c r="P465">
        <v>119.02</v>
      </c>
      <c r="Q465">
        <v>205.39</v>
      </c>
      <c r="R465">
        <v>119.02</v>
      </c>
      <c r="S465">
        <v>177.82999999999998</v>
      </c>
      <c r="T465">
        <v>0.58564136341182282</v>
      </c>
      <c r="U465" s="1">
        <v>45992</v>
      </c>
      <c r="V465" t="s">
        <v>2499</v>
      </c>
      <c r="W465">
        <v>2025</v>
      </c>
    </row>
    <row r="466" spans="1:23" x14ac:dyDescent="0.25">
      <c r="A466" t="s">
        <v>513</v>
      </c>
      <c r="B466" s="1">
        <v>45871</v>
      </c>
      <c r="C466" s="1">
        <v>45876</v>
      </c>
      <c r="D466" t="s">
        <v>47</v>
      </c>
      <c r="E466" t="s">
        <v>48</v>
      </c>
      <c r="F466" t="s">
        <v>25</v>
      </c>
      <c r="G466" t="s">
        <v>20</v>
      </c>
      <c r="H466" t="s">
        <v>87</v>
      </c>
      <c r="I466">
        <v>9</v>
      </c>
      <c r="J466">
        <v>0.15</v>
      </c>
      <c r="K466">
        <v>58.71</v>
      </c>
      <c r="L466">
        <v>8.5500000000000007</v>
      </c>
      <c r="M466" t="s">
        <v>2476</v>
      </c>
      <c r="N466" t="s">
        <v>2474</v>
      </c>
      <c r="O466" t="s">
        <v>2459</v>
      </c>
      <c r="P466">
        <v>4.5</v>
      </c>
      <c r="Q466">
        <v>8.2899999999999991</v>
      </c>
      <c r="R466">
        <v>40.5</v>
      </c>
      <c r="S466">
        <v>9.66</v>
      </c>
      <c r="T466">
        <v>0.16453755748594787</v>
      </c>
      <c r="U466" s="1">
        <v>45870</v>
      </c>
      <c r="V466" t="s">
        <v>2500</v>
      </c>
      <c r="W466">
        <v>2025</v>
      </c>
    </row>
    <row r="467" spans="1:23" x14ac:dyDescent="0.25">
      <c r="A467" t="s">
        <v>514</v>
      </c>
      <c r="B467" s="1">
        <v>45770</v>
      </c>
      <c r="C467" s="1">
        <v>45771</v>
      </c>
      <c r="D467" t="s">
        <v>23</v>
      </c>
      <c r="E467" t="s">
        <v>59</v>
      </c>
      <c r="F467" t="s">
        <v>25</v>
      </c>
      <c r="G467" t="s">
        <v>16</v>
      </c>
      <c r="H467" t="s">
        <v>63</v>
      </c>
      <c r="I467">
        <v>10</v>
      </c>
      <c r="J467">
        <v>0.15</v>
      </c>
      <c r="K467">
        <v>101.01</v>
      </c>
      <c r="L467">
        <v>5.4</v>
      </c>
      <c r="M467" t="s">
        <v>2477</v>
      </c>
      <c r="N467" t="s">
        <v>2474</v>
      </c>
      <c r="O467" t="s">
        <v>2468</v>
      </c>
      <c r="P467">
        <v>6.33</v>
      </c>
      <c r="Q467">
        <v>12.16</v>
      </c>
      <c r="R467">
        <v>63.3</v>
      </c>
      <c r="S467">
        <v>32.310000000000009</v>
      </c>
      <c r="T467">
        <v>0.31986931986931993</v>
      </c>
      <c r="U467" s="1">
        <v>45748</v>
      </c>
      <c r="V467" t="s">
        <v>2500</v>
      </c>
      <c r="W467">
        <v>2025</v>
      </c>
    </row>
    <row r="468" spans="1:23" x14ac:dyDescent="0.25">
      <c r="A468" t="s">
        <v>515</v>
      </c>
      <c r="B468" s="1">
        <v>45451</v>
      </c>
      <c r="C468" s="1">
        <v>45454</v>
      </c>
      <c r="D468" t="s">
        <v>47</v>
      </c>
      <c r="E468" t="s">
        <v>50</v>
      </c>
      <c r="F468" t="s">
        <v>15</v>
      </c>
      <c r="G468" t="s">
        <v>20</v>
      </c>
      <c r="H468" t="s">
        <v>65</v>
      </c>
      <c r="I468">
        <v>2</v>
      </c>
      <c r="J468">
        <v>0</v>
      </c>
      <c r="K468">
        <v>571.87</v>
      </c>
      <c r="L468">
        <v>5.46</v>
      </c>
      <c r="M468" t="s">
        <v>2457</v>
      </c>
      <c r="N468" t="s">
        <v>2458</v>
      </c>
      <c r="O468" t="s">
        <v>2459</v>
      </c>
      <c r="P468">
        <v>173.56</v>
      </c>
      <c r="Q468">
        <v>286.14999999999998</v>
      </c>
      <c r="R468">
        <v>347.12</v>
      </c>
      <c r="S468">
        <v>219.29</v>
      </c>
      <c r="T468">
        <v>0.38346127616416315</v>
      </c>
      <c r="U468" s="1">
        <v>45444</v>
      </c>
      <c r="V468" t="s">
        <v>2499</v>
      </c>
      <c r="W468">
        <v>2024</v>
      </c>
    </row>
    <row r="469" spans="1:23" x14ac:dyDescent="0.25">
      <c r="A469" t="s">
        <v>516</v>
      </c>
      <c r="B469" s="1">
        <v>45402</v>
      </c>
      <c r="C469" s="1">
        <v>45406</v>
      </c>
      <c r="D469" t="s">
        <v>47</v>
      </c>
      <c r="E469" t="s">
        <v>50</v>
      </c>
      <c r="F469" t="s">
        <v>25</v>
      </c>
      <c r="G469" t="s">
        <v>20</v>
      </c>
      <c r="H469" t="s">
        <v>27</v>
      </c>
      <c r="I469">
        <v>5</v>
      </c>
      <c r="J469">
        <v>0</v>
      </c>
      <c r="K469">
        <v>143.22</v>
      </c>
      <c r="L469">
        <v>4.05</v>
      </c>
      <c r="M469" t="s">
        <v>2478</v>
      </c>
      <c r="N469" t="s">
        <v>2474</v>
      </c>
      <c r="O469" t="s">
        <v>2463</v>
      </c>
      <c r="P469">
        <v>16.760000000000002</v>
      </c>
      <c r="Q469">
        <v>27.71</v>
      </c>
      <c r="R469">
        <v>83.800000000000011</v>
      </c>
      <c r="S469">
        <v>55.36999999999999</v>
      </c>
      <c r="T469">
        <v>0.38660801564027364</v>
      </c>
      <c r="U469" s="1">
        <v>45383</v>
      </c>
      <c r="V469" t="s">
        <v>2499</v>
      </c>
      <c r="W469">
        <v>2024</v>
      </c>
    </row>
    <row r="470" spans="1:23" x14ac:dyDescent="0.25">
      <c r="A470" t="s">
        <v>517</v>
      </c>
      <c r="B470" s="1">
        <v>45941</v>
      </c>
      <c r="C470" s="1">
        <v>45942</v>
      </c>
      <c r="D470" t="s">
        <v>13</v>
      </c>
      <c r="E470" t="s">
        <v>19</v>
      </c>
      <c r="F470" t="s">
        <v>15</v>
      </c>
      <c r="G470" t="s">
        <v>26</v>
      </c>
      <c r="H470" t="s">
        <v>60</v>
      </c>
      <c r="I470">
        <v>1</v>
      </c>
      <c r="J470">
        <v>0.25</v>
      </c>
      <c r="K470">
        <v>101.58</v>
      </c>
      <c r="L470">
        <v>5.75</v>
      </c>
      <c r="M470" t="s">
        <v>2469</v>
      </c>
      <c r="N470" t="s">
        <v>2467</v>
      </c>
      <c r="O470" t="s">
        <v>2468</v>
      </c>
      <c r="P470">
        <v>54.95</v>
      </c>
      <c r="Q470">
        <v>112.56</v>
      </c>
      <c r="R470">
        <v>54.95</v>
      </c>
      <c r="S470">
        <v>40.879999999999995</v>
      </c>
      <c r="T470">
        <v>0.40244142547745615</v>
      </c>
      <c r="U470" s="1">
        <v>45931</v>
      </c>
      <c r="V470" t="s">
        <v>2501</v>
      </c>
      <c r="W470">
        <v>2025</v>
      </c>
    </row>
    <row r="471" spans="1:23" x14ac:dyDescent="0.25">
      <c r="A471" t="s">
        <v>518</v>
      </c>
      <c r="B471" s="1">
        <v>45937</v>
      </c>
      <c r="C471" s="1">
        <v>45943</v>
      </c>
      <c r="D471" t="s">
        <v>32</v>
      </c>
      <c r="E471" t="s">
        <v>62</v>
      </c>
      <c r="F471" t="s">
        <v>15</v>
      </c>
      <c r="G471" t="s">
        <v>26</v>
      </c>
      <c r="H471" t="s">
        <v>87</v>
      </c>
      <c r="I471">
        <v>4</v>
      </c>
      <c r="J471">
        <v>0</v>
      </c>
      <c r="K471">
        <v>38.869999999999997</v>
      </c>
      <c r="L471">
        <v>6.3</v>
      </c>
      <c r="M471" t="s">
        <v>2476</v>
      </c>
      <c r="N471" t="s">
        <v>2474</v>
      </c>
      <c r="O471" t="s">
        <v>2459</v>
      </c>
      <c r="P471">
        <v>4.5</v>
      </c>
      <c r="Q471">
        <v>8.2899999999999991</v>
      </c>
      <c r="R471">
        <v>18</v>
      </c>
      <c r="S471">
        <v>14.569999999999997</v>
      </c>
      <c r="T471">
        <v>0.37483920761512729</v>
      </c>
      <c r="U471" s="1">
        <v>45931</v>
      </c>
      <c r="V471" t="s">
        <v>2499</v>
      </c>
      <c r="W471">
        <v>2025</v>
      </c>
    </row>
    <row r="472" spans="1:23" x14ac:dyDescent="0.25">
      <c r="A472" t="s">
        <v>519</v>
      </c>
      <c r="B472" s="1">
        <v>45819</v>
      </c>
      <c r="C472" s="1">
        <v>45825</v>
      </c>
      <c r="D472" t="s">
        <v>13</v>
      </c>
      <c r="E472" t="s">
        <v>19</v>
      </c>
      <c r="F472" t="s">
        <v>25</v>
      </c>
      <c r="G472" t="s">
        <v>16</v>
      </c>
      <c r="H472" t="s">
        <v>51</v>
      </c>
      <c r="I472">
        <v>4</v>
      </c>
      <c r="J472">
        <v>0</v>
      </c>
      <c r="K472">
        <v>58.91</v>
      </c>
      <c r="L472">
        <v>3.78</v>
      </c>
      <c r="M472" t="s">
        <v>2475</v>
      </c>
      <c r="N472" t="s">
        <v>2474</v>
      </c>
      <c r="O472" t="s">
        <v>2463</v>
      </c>
      <c r="P472">
        <v>7.93</v>
      </c>
      <c r="Q472">
        <v>14.78</v>
      </c>
      <c r="R472">
        <v>31.72</v>
      </c>
      <c r="S472">
        <v>23.409999999999997</v>
      </c>
      <c r="T472">
        <v>0.3973858428110677</v>
      </c>
      <c r="U472" s="1">
        <v>45809</v>
      </c>
      <c r="V472" t="s">
        <v>2499</v>
      </c>
      <c r="W472">
        <v>2025</v>
      </c>
    </row>
    <row r="473" spans="1:23" x14ac:dyDescent="0.25">
      <c r="A473" t="s">
        <v>520</v>
      </c>
      <c r="B473" s="1">
        <v>45760</v>
      </c>
      <c r="C473" s="1">
        <v>45764</v>
      </c>
      <c r="D473" t="s">
        <v>13</v>
      </c>
      <c r="E473" t="s">
        <v>14</v>
      </c>
      <c r="F473" t="s">
        <v>29</v>
      </c>
      <c r="G473" t="s">
        <v>20</v>
      </c>
      <c r="H473" t="s">
        <v>41</v>
      </c>
      <c r="I473">
        <v>3</v>
      </c>
      <c r="J473">
        <v>0.2</v>
      </c>
      <c r="K473">
        <v>14.68</v>
      </c>
      <c r="L473">
        <v>5.85</v>
      </c>
      <c r="M473" t="s">
        <v>2479</v>
      </c>
      <c r="N473" t="s">
        <v>2474</v>
      </c>
      <c r="O473" t="s">
        <v>2459</v>
      </c>
      <c r="P473">
        <v>3.3</v>
      </c>
      <c r="Q473">
        <v>6.13</v>
      </c>
      <c r="R473">
        <v>9.8999999999999986</v>
      </c>
      <c r="S473">
        <v>-1.0699999999999985</v>
      </c>
      <c r="T473">
        <v>-7.2888283378746491E-2</v>
      </c>
      <c r="U473" s="1">
        <v>45748</v>
      </c>
      <c r="V473" t="s">
        <v>2500</v>
      </c>
      <c r="W473">
        <v>2025</v>
      </c>
    </row>
    <row r="474" spans="1:23" x14ac:dyDescent="0.25">
      <c r="A474" t="s">
        <v>521</v>
      </c>
      <c r="B474" s="1">
        <v>45512</v>
      </c>
      <c r="C474" s="1">
        <v>45517</v>
      </c>
      <c r="D474" t="s">
        <v>13</v>
      </c>
      <c r="E474" t="s">
        <v>36</v>
      </c>
      <c r="F474" t="s">
        <v>25</v>
      </c>
      <c r="G474" t="s">
        <v>26</v>
      </c>
      <c r="H474" t="s">
        <v>53</v>
      </c>
      <c r="I474">
        <v>2</v>
      </c>
      <c r="J474">
        <v>0</v>
      </c>
      <c r="K474">
        <v>102.52</v>
      </c>
      <c r="L474">
        <v>7</v>
      </c>
      <c r="M474" t="s">
        <v>2470</v>
      </c>
      <c r="N474" t="s">
        <v>2467</v>
      </c>
      <c r="O474" t="s">
        <v>2459</v>
      </c>
      <c r="P474">
        <v>31.34</v>
      </c>
      <c r="Q474">
        <v>56.49</v>
      </c>
      <c r="R474">
        <v>62.68</v>
      </c>
      <c r="S474">
        <v>32.839999999999996</v>
      </c>
      <c r="T474">
        <v>0.32032774092859928</v>
      </c>
      <c r="U474" s="1">
        <v>45505</v>
      </c>
      <c r="V474" t="s">
        <v>2499</v>
      </c>
      <c r="W474">
        <v>2024</v>
      </c>
    </row>
    <row r="475" spans="1:23" x14ac:dyDescent="0.25">
      <c r="A475" t="s">
        <v>522</v>
      </c>
      <c r="B475" s="1">
        <v>45892</v>
      </c>
      <c r="C475" s="1">
        <v>45897</v>
      </c>
      <c r="D475" t="s">
        <v>32</v>
      </c>
      <c r="E475" t="s">
        <v>45</v>
      </c>
      <c r="F475" t="s">
        <v>15</v>
      </c>
      <c r="G475" t="s">
        <v>20</v>
      </c>
      <c r="H475" t="s">
        <v>63</v>
      </c>
      <c r="I475">
        <v>9</v>
      </c>
      <c r="J475">
        <v>0</v>
      </c>
      <c r="K475">
        <v>104.37</v>
      </c>
      <c r="L475">
        <v>5.13</v>
      </c>
      <c r="M475" t="s">
        <v>2477</v>
      </c>
      <c r="N475" t="s">
        <v>2474</v>
      </c>
      <c r="O475" t="s">
        <v>2468</v>
      </c>
      <c r="P475">
        <v>6.33</v>
      </c>
      <c r="Q475">
        <v>12.16</v>
      </c>
      <c r="R475">
        <v>56.97</v>
      </c>
      <c r="S475">
        <v>42.27</v>
      </c>
      <c r="T475">
        <v>0.40500143719459614</v>
      </c>
      <c r="U475" s="1">
        <v>45870</v>
      </c>
      <c r="V475" t="s">
        <v>2499</v>
      </c>
      <c r="W475">
        <v>2025</v>
      </c>
    </row>
    <row r="476" spans="1:23" x14ac:dyDescent="0.25">
      <c r="A476" t="s">
        <v>523</v>
      </c>
      <c r="B476" s="1">
        <v>45489</v>
      </c>
      <c r="C476" s="1">
        <v>45494</v>
      </c>
      <c r="D476" t="s">
        <v>47</v>
      </c>
      <c r="E476" t="s">
        <v>48</v>
      </c>
      <c r="F476" t="s">
        <v>15</v>
      </c>
      <c r="G476" t="s">
        <v>16</v>
      </c>
      <c r="H476" t="s">
        <v>63</v>
      </c>
      <c r="I476">
        <v>13</v>
      </c>
      <c r="J476">
        <v>0.2</v>
      </c>
      <c r="K476">
        <v>110.79</v>
      </c>
      <c r="L476">
        <v>6.21</v>
      </c>
      <c r="M476" t="s">
        <v>2477</v>
      </c>
      <c r="N476" t="s">
        <v>2474</v>
      </c>
      <c r="O476" t="s">
        <v>2468</v>
      </c>
      <c r="P476">
        <v>6.33</v>
      </c>
      <c r="Q476">
        <v>12.16</v>
      </c>
      <c r="R476">
        <v>82.29</v>
      </c>
      <c r="S476">
        <v>22.29</v>
      </c>
      <c r="T476">
        <v>0.20119144327105332</v>
      </c>
      <c r="U476" s="1">
        <v>45474</v>
      </c>
      <c r="V476" t="s">
        <v>2500</v>
      </c>
      <c r="W476">
        <v>2024</v>
      </c>
    </row>
    <row r="477" spans="1:23" x14ac:dyDescent="0.25">
      <c r="A477" t="s">
        <v>524</v>
      </c>
      <c r="B477" s="1">
        <v>45669</v>
      </c>
      <c r="C477" s="1">
        <v>45672</v>
      </c>
      <c r="D477" t="s">
        <v>13</v>
      </c>
      <c r="E477" t="s">
        <v>14</v>
      </c>
      <c r="F477" t="s">
        <v>29</v>
      </c>
      <c r="G477" t="s">
        <v>26</v>
      </c>
      <c r="H477" t="s">
        <v>87</v>
      </c>
      <c r="I477">
        <v>7</v>
      </c>
      <c r="J477">
        <v>0</v>
      </c>
      <c r="K477">
        <v>53.66</v>
      </c>
      <c r="L477">
        <v>4.59</v>
      </c>
      <c r="M477" t="s">
        <v>2476</v>
      </c>
      <c r="N477" t="s">
        <v>2474</v>
      </c>
      <c r="O477" t="s">
        <v>2459</v>
      </c>
      <c r="P477">
        <v>4.5</v>
      </c>
      <c r="Q477">
        <v>8.2899999999999991</v>
      </c>
      <c r="R477">
        <v>31.5</v>
      </c>
      <c r="S477">
        <v>17.569999999999997</v>
      </c>
      <c r="T477">
        <v>0.32743197912784194</v>
      </c>
      <c r="U477" s="1">
        <v>45658</v>
      </c>
      <c r="V477" t="s">
        <v>2499</v>
      </c>
      <c r="W477">
        <v>2025</v>
      </c>
    </row>
    <row r="478" spans="1:23" x14ac:dyDescent="0.25">
      <c r="A478" t="s">
        <v>525</v>
      </c>
      <c r="B478" s="1">
        <v>45371</v>
      </c>
      <c r="C478" s="1">
        <v>45376</v>
      </c>
      <c r="D478" t="s">
        <v>13</v>
      </c>
      <c r="E478" t="s">
        <v>36</v>
      </c>
      <c r="F478" t="s">
        <v>29</v>
      </c>
      <c r="G478" t="s">
        <v>26</v>
      </c>
      <c r="H478" t="s">
        <v>17</v>
      </c>
      <c r="I478">
        <v>4</v>
      </c>
      <c r="J478">
        <v>0.2</v>
      </c>
      <c r="K478">
        <v>377.16</v>
      </c>
      <c r="L478">
        <v>9.5</v>
      </c>
      <c r="M478" t="s">
        <v>2472</v>
      </c>
      <c r="N478" t="s">
        <v>2467</v>
      </c>
      <c r="O478" t="s">
        <v>2468</v>
      </c>
      <c r="P478">
        <v>63.69</v>
      </c>
      <c r="Q478">
        <v>125.5</v>
      </c>
      <c r="R478">
        <v>254.76</v>
      </c>
      <c r="S478">
        <v>112.90000000000003</v>
      </c>
      <c r="T478">
        <v>0.2993424541308729</v>
      </c>
      <c r="U478" s="1">
        <v>45352</v>
      </c>
      <c r="V478" t="s">
        <v>2500</v>
      </c>
      <c r="W478">
        <v>2024</v>
      </c>
    </row>
    <row r="479" spans="1:23" x14ac:dyDescent="0.25">
      <c r="A479" t="s">
        <v>526</v>
      </c>
      <c r="B479" s="1">
        <v>45537</v>
      </c>
      <c r="C479" s="1">
        <v>45539</v>
      </c>
      <c r="D479" t="s">
        <v>13</v>
      </c>
      <c r="E479" t="s">
        <v>14</v>
      </c>
      <c r="F479" t="s">
        <v>25</v>
      </c>
      <c r="G479" t="s">
        <v>16</v>
      </c>
      <c r="H479" t="s">
        <v>37</v>
      </c>
      <c r="I479">
        <v>3</v>
      </c>
      <c r="J479">
        <v>0</v>
      </c>
      <c r="K479">
        <v>335.71</v>
      </c>
      <c r="L479">
        <v>6.84</v>
      </c>
      <c r="M479" t="s">
        <v>2464</v>
      </c>
      <c r="N479" t="s">
        <v>2458</v>
      </c>
      <c r="O479" t="s">
        <v>2465</v>
      </c>
      <c r="P479">
        <v>63.6</v>
      </c>
      <c r="Q479">
        <v>107.94</v>
      </c>
      <c r="R479">
        <v>190.8</v>
      </c>
      <c r="S479">
        <v>138.06999999999996</v>
      </c>
      <c r="T479">
        <v>0.41127759077775455</v>
      </c>
      <c r="U479" s="1">
        <v>45536</v>
      </c>
      <c r="V479" t="s">
        <v>2499</v>
      </c>
      <c r="W479">
        <v>2024</v>
      </c>
    </row>
    <row r="480" spans="1:23" x14ac:dyDescent="0.25">
      <c r="A480" t="s">
        <v>527</v>
      </c>
      <c r="B480" s="1">
        <v>45314</v>
      </c>
      <c r="C480" s="1">
        <v>45319</v>
      </c>
      <c r="D480" t="s">
        <v>47</v>
      </c>
      <c r="E480" t="s">
        <v>48</v>
      </c>
      <c r="F480" t="s">
        <v>29</v>
      </c>
      <c r="G480" t="s">
        <v>20</v>
      </c>
      <c r="H480" t="s">
        <v>37</v>
      </c>
      <c r="I480">
        <v>4</v>
      </c>
      <c r="J480">
        <v>0</v>
      </c>
      <c r="K480">
        <v>401.53</v>
      </c>
      <c r="L480">
        <v>8.2200000000000006</v>
      </c>
      <c r="M480" t="s">
        <v>2464</v>
      </c>
      <c r="N480" t="s">
        <v>2458</v>
      </c>
      <c r="O480" t="s">
        <v>2465</v>
      </c>
      <c r="P480">
        <v>63.6</v>
      </c>
      <c r="Q480">
        <v>107.94</v>
      </c>
      <c r="R480">
        <v>254.4</v>
      </c>
      <c r="S480">
        <v>138.90999999999997</v>
      </c>
      <c r="T480">
        <v>0.34595173461509721</v>
      </c>
      <c r="U480" s="1">
        <v>45292</v>
      </c>
      <c r="V480" t="s">
        <v>2499</v>
      </c>
      <c r="W480">
        <v>2024</v>
      </c>
    </row>
    <row r="481" spans="1:23" x14ac:dyDescent="0.25">
      <c r="A481" t="s">
        <v>528</v>
      </c>
      <c r="B481" s="1">
        <v>45482</v>
      </c>
      <c r="C481" s="1">
        <v>45484</v>
      </c>
      <c r="D481" t="s">
        <v>32</v>
      </c>
      <c r="E481" t="s">
        <v>33</v>
      </c>
      <c r="F481" t="s">
        <v>25</v>
      </c>
      <c r="G481" t="s">
        <v>26</v>
      </c>
      <c r="H481" t="s">
        <v>53</v>
      </c>
      <c r="I481">
        <v>1</v>
      </c>
      <c r="J481">
        <v>0.2</v>
      </c>
      <c r="K481">
        <v>40.92</v>
      </c>
      <c r="L481">
        <v>3.45</v>
      </c>
      <c r="M481" t="s">
        <v>2470</v>
      </c>
      <c r="N481" t="s">
        <v>2467</v>
      </c>
      <c r="O481" t="s">
        <v>2459</v>
      </c>
      <c r="P481">
        <v>31.34</v>
      </c>
      <c r="Q481">
        <v>56.49</v>
      </c>
      <c r="R481">
        <v>31.34</v>
      </c>
      <c r="S481">
        <v>6.1300000000000017</v>
      </c>
      <c r="T481">
        <v>0.14980449657869016</v>
      </c>
      <c r="U481" s="1">
        <v>45474</v>
      </c>
      <c r="V481" t="s">
        <v>2500</v>
      </c>
      <c r="W481">
        <v>2024</v>
      </c>
    </row>
    <row r="482" spans="1:23" x14ac:dyDescent="0.25">
      <c r="A482" t="s">
        <v>529</v>
      </c>
      <c r="B482" s="1">
        <v>45362</v>
      </c>
      <c r="C482" s="1">
        <v>45367</v>
      </c>
      <c r="D482" t="s">
        <v>13</v>
      </c>
      <c r="E482" t="s">
        <v>14</v>
      </c>
      <c r="F482" t="s">
        <v>25</v>
      </c>
      <c r="G482" t="s">
        <v>16</v>
      </c>
      <c r="H482" t="s">
        <v>39</v>
      </c>
      <c r="I482">
        <v>3</v>
      </c>
      <c r="J482">
        <v>0</v>
      </c>
      <c r="K482">
        <v>535.75</v>
      </c>
      <c r="L482">
        <v>4.95</v>
      </c>
      <c r="M482" t="s">
        <v>2471</v>
      </c>
      <c r="N482" t="s">
        <v>2467</v>
      </c>
      <c r="O482" t="s">
        <v>2461</v>
      </c>
      <c r="P482">
        <v>112.09</v>
      </c>
      <c r="Q482">
        <v>192.47</v>
      </c>
      <c r="R482">
        <v>336.27</v>
      </c>
      <c r="S482">
        <v>194.53000000000003</v>
      </c>
      <c r="T482">
        <v>0.36309846010265989</v>
      </c>
      <c r="U482" s="1">
        <v>45352</v>
      </c>
      <c r="V482" t="s">
        <v>2499</v>
      </c>
      <c r="W482">
        <v>2024</v>
      </c>
    </row>
    <row r="483" spans="1:23" x14ac:dyDescent="0.25">
      <c r="A483" t="s">
        <v>530</v>
      </c>
      <c r="B483" s="1">
        <v>45801</v>
      </c>
      <c r="C483" s="1">
        <v>45807</v>
      </c>
      <c r="D483" t="s">
        <v>13</v>
      </c>
      <c r="E483" t="s">
        <v>14</v>
      </c>
      <c r="F483" t="s">
        <v>29</v>
      </c>
      <c r="G483" t="s">
        <v>26</v>
      </c>
      <c r="H483" t="s">
        <v>17</v>
      </c>
      <c r="I483">
        <v>1</v>
      </c>
      <c r="J483">
        <v>0</v>
      </c>
      <c r="K483">
        <v>133.06</v>
      </c>
      <c r="L483">
        <v>5.75</v>
      </c>
      <c r="M483" t="s">
        <v>2472</v>
      </c>
      <c r="N483" t="s">
        <v>2467</v>
      </c>
      <c r="O483" t="s">
        <v>2468</v>
      </c>
      <c r="P483">
        <v>63.69</v>
      </c>
      <c r="Q483">
        <v>125.5</v>
      </c>
      <c r="R483">
        <v>63.69</v>
      </c>
      <c r="S483">
        <v>63.620000000000005</v>
      </c>
      <c r="T483">
        <v>0.47813016684202619</v>
      </c>
      <c r="U483" s="1">
        <v>45778</v>
      </c>
      <c r="V483" t="s">
        <v>2499</v>
      </c>
      <c r="W483">
        <v>2025</v>
      </c>
    </row>
    <row r="484" spans="1:23" x14ac:dyDescent="0.25">
      <c r="A484" t="s">
        <v>531</v>
      </c>
      <c r="B484" s="1">
        <v>45687</v>
      </c>
      <c r="C484" s="1">
        <v>45689</v>
      </c>
      <c r="D484" t="s">
        <v>47</v>
      </c>
      <c r="E484" t="s">
        <v>48</v>
      </c>
      <c r="F484" t="s">
        <v>29</v>
      </c>
      <c r="G484" t="s">
        <v>26</v>
      </c>
      <c r="H484" t="s">
        <v>27</v>
      </c>
      <c r="I484">
        <v>11</v>
      </c>
      <c r="J484">
        <v>0.25</v>
      </c>
      <c r="K484">
        <v>196.8</v>
      </c>
      <c r="L484">
        <v>9.4499999999999993</v>
      </c>
      <c r="M484" t="s">
        <v>2478</v>
      </c>
      <c r="N484" t="s">
        <v>2474</v>
      </c>
      <c r="O484" t="s">
        <v>2463</v>
      </c>
      <c r="P484">
        <v>16.760000000000002</v>
      </c>
      <c r="Q484">
        <v>27.71</v>
      </c>
      <c r="R484">
        <v>184.36</v>
      </c>
      <c r="S484">
        <v>2.9899999999999984</v>
      </c>
      <c r="T484">
        <v>1.5193089430894299E-2</v>
      </c>
      <c r="U484" s="1">
        <v>45658</v>
      </c>
      <c r="V484" t="s">
        <v>2501</v>
      </c>
      <c r="W484">
        <v>2025</v>
      </c>
    </row>
    <row r="485" spans="1:23" x14ac:dyDescent="0.25">
      <c r="A485" t="s">
        <v>532</v>
      </c>
      <c r="B485" s="1">
        <v>45770</v>
      </c>
      <c r="C485" s="1">
        <v>45774</v>
      </c>
      <c r="D485" t="s">
        <v>23</v>
      </c>
      <c r="E485" t="s">
        <v>59</v>
      </c>
      <c r="F485" t="s">
        <v>15</v>
      </c>
      <c r="G485" t="s">
        <v>20</v>
      </c>
      <c r="H485" t="s">
        <v>37</v>
      </c>
      <c r="I485">
        <v>4</v>
      </c>
      <c r="J485">
        <v>0.1</v>
      </c>
      <c r="K485">
        <v>358.88</v>
      </c>
      <c r="L485">
        <v>13.7</v>
      </c>
      <c r="M485" t="s">
        <v>2464</v>
      </c>
      <c r="N485" t="s">
        <v>2458</v>
      </c>
      <c r="O485" t="s">
        <v>2465</v>
      </c>
      <c r="P485">
        <v>63.6</v>
      </c>
      <c r="Q485">
        <v>107.94</v>
      </c>
      <c r="R485">
        <v>254.4</v>
      </c>
      <c r="S485">
        <v>90.779999999999987</v>
      </c>
      <c r="T485">
        <v>0.25295363352652694</v>
      </c>
      <c r="U485" s="1">
        <v>45748</v>
      </c>
      <c r="V485" t="s">
        <v>2498</v>
      </c>
      <c r="W485">
        <v>2025</v>
      </c>
    </row>
    <row r="486" spans="1:23" x14ac:dyDescent="0.25">
      <c r="A486" t="s">
        <v>533</v>
      </c>
      <c r="B486" s="1">
        <v>45558</v>
      </c>
      <c r="C486" s="1">
        <v>45563</v>
      </c>
      <c r="D486" t="s">
        <v>32</v>
      </c>
      <c r="E486" t="s">
        <v>62</v>
      </c>
      <c r="F486" t="s">
        <v>25</v>
      </c>
      <c r="G486" t="s">
        <v>26</v>
      </c>
      <c r="H486" t="s">
        <v>53</v>
      </c>
      <c r="I486">
        <v>4</v>
      </c>
      <c r="J486">
        <v>0</v>
      </c>
      <c r="K486">
        <v>231.63</v>
      </c>
      <c r="L486">
        <v>9.5</v>
      </c>
      <c r="M486" t="s">
        <v>2470</v>
      </c>
      <c r="N486" t="s">
        <v>2467</v>
      </c>
      <c r="O486" t="s">
        <v>2459</v>
      </c>
      <c r="P486">
        <v>31.34</v>
      </c>
      <c r="Q486">
        <v>56.49</v>
      </c>
      <c r="R486">
        <v>125.36</v>
      </c>
      <c r="S486">
        <v>96.77</v>
      </c>
      <c r="T486">
        <v>0.41777835340845315</v>
      </c>
      <c r="U486" s="1">
        <v>45536</v>
      </c>
      <c r="V486" t="s">
        <v>2499</v>
      </c>
      <c r="W486">
        <v>2024</v>
      </c>
    </row>
    <row r="487" spans="1:23" x14ac:dyDescent="0.25">
      <c r="A487" t="s">
        <v>534</v>
      </c>
      <c r="B487" s="1">
        <v>45802</v>
      </c>
      <c r="C487" s="1">
        <v>45805</v>
      </c>
      <c r="D487" t="s">
        <v>13</v>
      </c>
      <c r="E487" t="s">
        <v>14</v>
      </c>
      <c r="F487" t="s">
        <v>29</v>
      </c>
      <c r="G487" t="s">
        <v>16</v>
      </c>
      <c r="H487" t="s">
        <v>39</v>
      </c>
      <c r="I487">
        <v>4</v>
      </c>
      <c r="J487">
        <v>0</v>
      </c>
      <c r="K487">
        <v>785.48</v>
      </c>
      <c r="L487">
        <v>9.5</v>
      </c>
      <c r="M487" t="s">
        <v>2471</v>
      </c>
      <c r="N487" t="s">
        <v>2467</v>
      </c>
      <c r="O487" t="s">
        <v>2461</v>
      </c>
      <c r="P487">
        <v>112.09</v>
      </c>
      <c r="Q487">
        <v>192.47</v>
      </c>
      <c r="R487">
        <v>448.36</v>
      </c>
      <c r="S487">
        <v>327.62</v>
      </c>
      <c r="T487">
        <v>0.41709527931965168</v>
      </c>
      <c r="U487" s="1">
        <v>45778</v>
      </c>
      <c r="V487" t="s">
        <v>2499</v>
      </c>
      <c r="W487">
        <v>2025</v>
      </c>
    </row>
    <row r="488" spans="1:23" x14ac:dyDescent="0.25">
      <c r="A488" t="s">
        <v>535</v>
      </c>
      <c r="B488" s="1">
        <v>45580</v>
      </c>
      <c r="C488" s="1">
        <v>45582</v>
      </c>
      <c r="D488" t="s">
        <v>13</v>
      </c>
      <c r="E488" t="s">
        <v>36</v>
      </c>
      <c r="F488" t="s">
        <v>15</v>
      </c>
      <c r="G488" t="s">
        <v>26</v>
      </c>
      <c r="H488" t="s">
        <v>63</v>
      </c>
      <c r="I488">
        <v>6</v>
      </c>
      <c r="J488">
        <v>0</v>
      </c>
      <c r="K488">
        <v>88.2</v>
      </c>
      <c r="L488">
        <v>4.32</v>
      </c>
      <c r="M488" t="s">
        <v>2477</v>
      </c>
      <c r="N488" t="s">
        <v>2474</v>
      </c>
      <c r="O488" t="s">
        <v>2468</v>
      </c>
      <c r="P488">
        <v>6.33</v>
      </c>
      <c r="Q488">
        <v>12.16</v>
      </c>
      <c r="R488">
        <v>37.980000000000004</v>
      </c>
      <c r="S488">
        <v>45.9</v>
      </c>
      <c r="T488">
        <v>0.52040816326530603</v>
      </c>
      <c r="U488" s="1">
        <v>45566</v>
      </c>
      <c r="V488" t="s">
        <v>2499</v>
      </c>
      <c r="W488">
        <v>2024</v>
      </c>
    </row>
    <row r="489" spans="1:23" x14ac:dyDescent="0.25">
      <c r="A489" t="s">
        <v>536</v>
      </c>
      <c r="B489" s="1">
        <v>45559</v>
      </c>
      <c r="C489" s="1">
        <v>45561</v>
      </c>
      <c r="D489" t="s">
        <v>13</v>
      </c>
      <c r="E489" t="s">
        <v>14</v>
      </c>
      <c r="F489" t="s">
        <v>15</v>
      </c>
      <c r="G489" t="s">
        <v>20</v>
      </c>
      <c r="H489" t="s">
        <v>27</v>
      </c>
      <c r="I489">
        <v>9</v>
      </c>
      <c r="J489">
        <v>0</v>
      </c>
      <c r="K489">
        <v>273.07</v>
      </c>
      <c r="L489">
        <v>5.13</v>
      </c>
      <c r="M489" t="s">
        <v>2478</v>
      </c>
      <c r="N489" t="s">
        <v>2474</v>
      </c>
      <c r="O489" t="s">
        <v>2463</v>
      </c>
      <c r="P489">
        <v>16.760000000000002</v>
      </c>
      <c r="Q489">
        <v>27.71</v>
      </c>
      <c r="R489">
        <v>150.84</v>
      </c>
      <c r="S489">
        <v>117.1</v>
      </c>
      <c r="T489">
        <v>0.42882777309847292</v>
      </c>
      <c r="U489" s="1">
        <v>45536</v>
      </c>
      <c r="V489" t="s">
        <v>2499</v>
      </c>
      <c r="W489">
        <v>2024</v>
      </c>
    </row>
    <row r="490" spans="1:23" x14ac:dyDescent="0.25">
      <c r="A490" t="s">
        <v>537</v>
      </c>
      <c r="B490" s="1">
        <v>45618</v>
      </c>
      <c r="C490" s="1">
        <v>45620</v>
      </c>
      <c r="D490" t="s">
        <v>47</v>
      </c>
      <c r="E490" t="s">
        <v>48</v>
      </c>
      <c r="F490" t="s">
        <v>25</v>
      </c>
      <c r="G490" t="s">
        <v>26</v>
      </c>
      <c r="H490" t="s">
        <v>65</v>
      </c>
      <c r="I490">
        <v>1</v>
      </c>
      <c r="J490">
        <v>0</v>
      </c>
      <c r="K490">
        <v>398.41</v>
      </c>
      <c r="L490">
        <v>6.8</v>
      </c>
      <c r="M490" t="s">
        <v>2457</v>
      </c>
      <c r="N490" t="s">
        <v>2458</v>
      </c>
      <c r="O490" t="s">
        <v>2459</v>
      </c>
      <c r="P490">
        <v>173.56</v>
      </c>
      <c r="Q490">
        <v>286.14999999999998</v>
      </c>
      <c r="R490">
        <v>173.56</v>
      </c>
      <c r="S490">
        <v>218.05</v>
      </c>
      <c r="T490">
        <v>0.54730051956527193</v>
      </c>
      <c r="U490" s="1">
        <v>45597</v>
      </c>
      <c r="V490" t="s">
        <v>2499</v>
      </c>
      <c r="W490">
        <v>2024</v>
      </c>
    </row>
    <row r="491" spans="1:23" x14ac:dyDescent="0.25">
      <c r="A491" t="s">
        <v>538</v>
      </c>
      <c r="B491" s="1">
        <v>45558</v>
      </c>
      <c r="C491" s="1">
        <v>45562</v>
      </c>
      <c r="D491" t="s">
        <v>32</v>
      </c>
      <c r="E491" t="s">
        <v>45</v>
      </c>
      <c r="F491" t="s">
        <v>25</v>
      </c>
      <c r="G491" t="s">
        <v>16</v>
      </c>
      <c r="H491" t="s">
        <v>87</v>
      </c>
      <c r="I491">
        <v>11</v>
      </c>
      <c r="J491">
        <v>0</v>
      </c>
      <c r="K491">
        <v>94.51</v>
      </c>
      <c r="L491">
        <v>5.67</v>
      </c>
      <c r="M491" t="s">
        <v>2476</v>
      </c>
      <c r="N491" t="s">
        <v>2474</v>
      </c>
      <c r="O491" t="s">
        <v>2459</v>
      </c>
      <c r="P491">
        <v>4.5</v>
      </c>
      <c r="Q491">
        <v>8.2899999999999991</v>
      </c>
      <c r="R491">
        <v>49.5</v>
      </c>
      <c r="S491">
        <v>39.340000000000003</v>
      </c>
      <c r="T491">
        <v>0.41625224843931863</v>
      </c>
      <c r="U491" s="1">
        <v>45536</v>
      </c>
      <c r="V491" t="s">
        <v>2499</v>
      </c>
      <c r="W491">
        <v>2024</v>
      </c>
    </row>
    <row r="492" spans="1:23" x14ac:dyDescent="0.25">
      <c r="A492" t="s">
        <v>539</v>
      </c>
      <c r="B492" s="1">
        <v>45687</v>
      </c>
      <c r="C492" s="1">
        <v>45691</v>
      </c>
      <c r="D492" t="s">
        <v>47</v>
      </c>
      <c r="E492" t="s">
        <v>71</v>
      </c>
      <c r="F492" t="s">
        <v>25</v>
      </c>
      <c r="G492" t="s">
        <v>20</v>
      </c>
      <c r="H492" t="s">
        <v>39</v>
      </c>
      <c r="I492">
        <v>1</v>
      </c>
      <c r="J492">
        <v>0.1</v>
      </c>
      <c r="K492">
        <v>143.76</v>
      </c>
      <c r="L492">
        <v>5.75</v>
      </c>
      <c r="M492" t="s">
        <v>2471</v>
      </c>
      <c r="N492" t="s">
        <v>2467</v>
      </c>
      <c r="O492" t="s">
        <v>2461</v>
      </c>
      <c r="P492">
        <v>112.09</v>
      </c>
      <c r="Q492">
        <v>192.47</v>
      </c>
      <c r="R492">
        <v>112.09</v>
      </c>
      <c r="S492">
        <v>25.919999999999987</v>
      </c>
      <c r="T492">
        <v>0.18030050083472446</v>
      </c>
      <c r="U492" s="1">
        <v>45658</v>
      </c>
      <c r="V492" t="s">
        <v>2498</v>
      </c>
      <c r="W492">
        <v>2025</v>
      </c>
    </row>
    <row r="493" spans="1:23" x14ac:dyDescent="0.25">
      <c r="A493" t="s">
        <v>540</v>
      </c>
      <c r="B493" s="1">
        <v>45328</v>
      </c>
      <c r="C493" s="1">
        <v>45334</v>
      </c>
      <c r="D493" t="s">
        <v>32</v>
      </c>
      <c r="E493" t="s">
        <v>62</v>
      </c>
      <c r="F493" t="s">
        <v>15</v>
      </c>
      <c r="G493" t="s">
        <v>26</v>
      </c>
      <c r="H493" t="s">
        <v>41</v>
      </c>
      <c r="I493">
        <v>5</v>
      </c>
      <c r="J493">
        <v>0</v>
      </c>
      <c r="K493">
        <v>28.04</v>
      </c>
      <c r="L493">
        <v>4.05</v>
      </c>
      <c r="M493" t="s">
        <v>2479</v>
      </c>
      <c r="N493" t="s">
        <v>2474</v>
      </c>
      <c r="O493" t="s">
        <v>2459</v>
      </c>
      <c r="P493">
        <v>3.3</v>
      </c>
      <c r="Q493">
        <v>6.13</v>
      </c>
      <c r="R493">
        <v>16.5</v>
      </c>
      <c r="S493">
        <v>7.4899999999999993</v>
      </c>
      <c r="T493">
        <v>0.26711840228245365</v>
      </c>
      <c r="U493" s="1">
        <v>45323</v>
      </c>
      <c r="V493" t="s">
        <v>2499</v>
      </c>
      <c r="W493">
        <v>2024</v>
      </c>
    </row>
    <row r="494" spans="1:23" x14ac:dyDescent="0.25">
      <c r="A494" t="s">
        <v>541</v>
      </c>
      <c r="B494" s="1">
        <v>46015</v>
      </c>
      <c r="C494" s="1">
        <v>46018</v>
      </c>
      <c r="D494" t="s">
        <v>13</v>
      </c>
      <c r="E494" t="s">
        <v>36</v>
      </c>
      <c r="F494" t="s">
        <v>29</v>
      </c>
      <c r="G494" t="s">
        <v>16</v>
      </c>
      <c r="H494" t="s">
        <v>51</v>
      </c>
      <c r="I494">
        <v>11</v>
      </c>
      <c r="J494">
        <v>0</v>
      </c>
      <c r="K494">
        <v>225.78</v>
      </c>
      <c r="L494">
        <v>9.4499999999999993</v>
      </c>
      <c r="M494" t="s">
        <v>2475</v>
      </c>
      <c r="N494" t="s">
        <v>2474</v>
      </c>
      <c r="O494" t="s">
        <v>2463</v>
      </c>
      <c r="P494">
        <v>7.93</v>
      </c>
      <c r="Q494">
        <v>14.78</v>
      </c>
      <c r="R494">
        <v>87.22999999999999</v>
      </c>
      <c r="S494">
        <v>129.10000000000002</v>
      </c>
      <c r="T494">
        <v>0.57179555319337416</v>
      </c>
      <c r="U494" s="1">
        <v>45992</v>
      </c>
      <c r="V494" t="s">
        <v>2499</v>
      </c>
      <c r="W494">
        <v>2025</v>
      </c>
    </row>
    <row r="495" spans="1:23" x14ac:dyDescent="0.25">
      <c r="A495" t="s">
        <v>542</v>
      </c>
      <c r="B495" s="1">
        <v>45671</v>
      </c>
      <c r="C495" s="1">
        <v>45674</v>
      </c>
      <c r="D495" t="s">
        <v>23</v>
      </c>
      <c r="E495" t="s">
        <v>24</v>
      </c>
      <c r="F495" t="s">
        <v>29</v>
      </c>
      <c r="G495" t="s">
        <v>16</v>
      </c>
      <c r="H495" t="s">
        <v>21</v>
      </c>
      <c r="I495">
        <v>2</v>
      </c>
      <c r="J495">
        <v>0.25</v>
      </c>
      <c r="K495">
        <v>141.44999999999999</v>
      </c>
      <c r="L495">
        <v>9.1</v>
      </c>
      <c r="M495" t="s">
        <v>2462</v>
      </c>
      <c r="N495" t="s">
        <v>2458</v>
      </c>
      <c r="O495" t="s">
        <v>2463</v>
      </c>
      <c r="P495">
        <v>71.489999999999995</v>
      </c>
      <c r="Q495">
        <v>112.88</v>
      </c>
      <c r="R495">
        <v>142.97999999999999</v>
      </c>
      <c r="S495">
        <v>-10.63</v>
      </c>
      <c r="T495">
        <v>-7.5150229763167209E-2</v>
      </c>
      <c r="U495" s="1">
        <v>45658</v>
      </c>
      <c r="V495" t="s">
        <v>2501</v>
      </c>
      <c r="W495">
        <v>2025</v>
      </c>
    </row>
    <row r="496" spans="1:23" x14ac:dyDescent="0.25">
      <c r="A496" t="s">
        <v>543</v>
      </c>
      <c r="B496" s="1">
        <v>45467</v>
      </c>
      <c r="C496" s="1">
        <v>45470</v>
      </c>
      <c r="D496" t="s">
        <v>32</v>
      </c>
      <c r="E496" t="s">
        <v>33</v>
      </c>
      <c r="F496" t="s">
        <v>29</v>
      </c>
      <c r="G496" t="s">
        <v>26</v>
      </c>
      <c r="H496" t="s">
        <v>30</v>
      </c>
      <c r="I496">
        <v>12</v>
      </c>
      <c r="J496">
        <v>0</v>
      </c>
      <c r="K496">
        <v>72.010000000000005</v>
      </c>
      <c r="L496">
        <v>9.9</v>
      </c>
      <c r="M496" t="s">
        <v>2473</v>
      </c>
      <c r="N496" t="s">
        <v>2474</v>
      </c>
      <c r="O496" t="s">
        <v>2463</v>
      </c>
      <c r="P496">
        <v>3.62</v>
      </c>
      <c r="Q496">
        <v>6.03</v>
      </c>
      <c r="R496">
        <v>43.44</v>
      </c>
      <c r="S496">
        <v>18.670000000000009</v>
      </c>
      <c r="T496">
        <v>0.25926954589640339</v>
      </c>
      <c r="U496" s="1">
        <v>45444</v>
      </c>
      <c r="V496" t="s">
        <v>2499</v>
      </c>
      <c r="W496">
        <v>2024</v>
      </c>
    </row>
    <row r="497" spans="1:23" x14ac:dyDescent="0.25">
      <c r="A497" t="s">
        <v>544</v>
      </c>
      <c r="B497" s="1">
        <v>45932</v>
      </c>
      <c r="C497" s="1">
        <v>45934</v>
      </c>
      <c r="D497" t="s">
        <v>23</v>
      </c>
      <c r="E497" t="s">
        <v>59</v>
      </c>
      <c r="F497" t="s">
        <v>29</v>
      </c>
      <c r="G497" t="s">
        <v>20</v>
      </c>
      <c r="H497" t="s">
        <v>41</v>
      </c>
      <c r="I497">
        <v>7</v>
      </c>
      <c r="J497">
        <v>0</v>
      </c>
      <c r="K497">
        <v>51.38</v>
      </c>
      <c r="L497">
        <v>7.65</v>
      </c>
      <c r="M497" t="s">
        <v>2479</v>
      </c>
      <c r="N497" t="s">
        <v>2474</v>
      </c>
      <c r="O497" t="s">
        <v>2459</v>
      </c>
      <c r="P497">
        <v>3.3</v>
      </c>
      <c r="Q497">
        <v>6.13</v>
      </c>
      <c r="R497">
        <v>23.099999999999998</v>
      </c>
      <c r="S497">
        <v>20.630000000000003</v>
      </c>
      <c r="T497">
        <v>0.4015181004281822</v>
      </c>
      <c r="U497" s="1">
        <v>45931</v>
      </c>
      <c r="V497" t="s">
        <v>2499</v>
      </c>
      <c r="W497">
        <v>2025</v>
      </c>
    </row>
    <row r="498" spans="1:23" x14ac:dyDescent="0.25">
      <c r="A498" t="s">
        <v>545</v>
      </c>
      <c r="B498" s="1">
        <v>45961</v>
      </c>
      <c r="C498" s="1">
        <v>45965</v>
      </c>
      <c r="D498" t="s">
        <v>47</v>
      </c>
      <c r="E498" t="s">
        <v>48</v>
      </c>
      <c r="F498" t="s">
        <v>29</v>
      </c>
      <c r="G498" t="s">
        <v>20</v>
      </c>
      <c r="H498" t="s">
        <v>30</v>
      </c>
      <c r="I498">
        <v>14</v>
      </c>
      <c r="J498">
        <v>0.1</v>
      </c>
      <c r="K498">
        <v>91.54</v>
      </c>
      <c r="L498">
        <v>6.48</v>
      </c>
      <c r="M498" t="s">
        <v>2473</v>
      </c>
      <c r="N498" t="s">
        <v>2474</v>
      </c>
      <c r="O498" t="s">
        <v>2463</v>
      </c>
      <c r="P498">
        <v>3.62</v>
      </c>
      <c r="Q498">
        <v>6.03</v>
      </c>
      <c r="R498">
        <v>50.68</v>
      </c>
      <c r="S498">
        <v>34.38000000000001</v>
      </c>
      <c r="T498">
        <v>0.37557351977277703</v>
      </c>
      <c r="U498" s="1">
        <v>45931</v>
      </c>
      <c r="V498" t="s">
        <v>2498</v>
      </c>
      <c r="W498">
        <v>2025</v>
      </c>
    </row>
    <row r="499" spans="1:23" x14ac:dyDescent="0.25">
      <c r="A499" t="s">
        <v>546</v>
      </c>
      <c r="B499" s="1">
        <v>45532</v>
      </c>
      <c r="C499" s="1">
        <v>45534</v>
      </c>
      <c r="D499" t="s">
        <v>32</v>
      </c>
      <c r="E499" t="s">
        <v>62</v>
      </c>
      <c r="F499" t="s">
        <v>29</v>
      </c>
      <c r="G499" t="s">
        <v>16</v>
      </c>
      <c r="H499" t="s">
        <v>30</v>
      </c>
      <c r="I499">
        <v>4</v>
      </c>
      <c r="J499">
        <v>0</v>
      </c>
      <c r="K499">
        <v>22.88</v>
      </c>
      <c r="L499">
        <v>3.78</v>
      </c>
      <c r="M499" t="s">
        <v>2473</v>
      </c>
      <c r="N499" t="s">
        <v>2474</v>
      </c>
      <c r="O499" t="s">
        <v>2463</v>
      </c>
      <c r="P499">
        <v>3.62</v>
      </c>
      <c r="Q499">
        <v>6.03</v>
      </c>
      <c r="R499">
        <v>14.48</v>
      </c>
      <c r="S499">
        <v>4.6199999999999992</v>
      </c>
      <c r="T499">
        <v>0.2019230769230769</v>
      </c>
      <c r="U499" s="1">
        <v>45505</v>
      </c>
      <c r="V499" t="s">
        <v>2499</v>
      </c>
      <c r="W499">
        <v>2024</v>
      </c>
    </row>
    <row r="500" spans="1:23" x14ac:dyDescent="0.25">
      <c r="A500" t="s">
        <v>547</v>
      </c>
      <c r="B500" s="1">
        <v>45946</v>
      </c>
      <c r="C500" s="1">
        <v>45951</v>
      </c>
      <c r="D500" t="s">
        <v>13</v>
      </c>
      <c r="E500" t="s">
        <v>36</v>
      </c>
      <c r="F500" t="s">
        <v>15</v>
      </c>
      <c r="G500" t="s">
        <v>20</v>
      </c>
      <c r="H500" t="s">
        <v>41</v>
      </c>
      <c r="I500">
        <v>4</v>
      </c>
      <c r="J500">
        <v>0.2</v>
      </c>
      <c r="K500">
        <v>22.15</v>
      </c>
      <c r="L500">
        <v>6.3</v>
      </c>
      <c r="M500" t="s">
        <v>2479</v>
      </c>
      <c r="N500" t="s">
        <v>2474</v>
      </c>
      <c r="O500" t="s">
        <v>2459</v>
      </c>
      <c r="P500">
        <v>3.3</v>
      </c>
      <c r="Q500">
        <v>6.13</v>
      </c>
      <c r="R500">
        <v>13.2</v>
      </c>
      <c r="S500">
        <v>2.6499999999999995</v>
      </c>
      <c r="T500">
        <v>0.11963882618510156</v>
      </c>
      <c r="U500" s="1">
        <v>45931</v>
      </c>
      <c r="V500" t="s">
        <v>2500</v>
      </c>
      <c r="W500">
        <v>2025</v>
      </c>
    </row>
    <row r="501" spans="1:23" x14ac:dyDescent="0.25">
      <c r="A501" t="s">
        <v>548</v>
      </c>
      <c r="B501" s="1">
        <v>45509</v>
      </c>
      <c r="C501" s="1">
        <v>45513</v>
      </c>
      <c r="D501" t="s">
        <v>23</v>
      </c>
      <c r="E501" t="s">
        <v>24</v>
      </c>
      <c r="F501" t="s">
        <v>25</v>
      </c>
      <c r="G501" t="s">
        <v>20</v>
      </c>
      <c r="H501" t="s">
        <v>37</v>
      </c>
      <c r="I501">
        <v>2</v>
      </c>
      <c r="J501">
        <v>0</v>
      </c>
      <c r="K501">
        <v>207.29</v>
      </c>
      <c r="L501">
        <v>9.1</v>
      </c>
      <c r="M501" t="s">
        <v>2464</v>
      </c>
      <c r="N501" t="s">
        <v>2458</v>
      </c>
      <c r="O501" t="s">
        <v>2465</v>
      </c>
      <c r="P501">
        <v>63.6</v>
      </c>
      <c r="Q501">
        <v>107.94</v>
      </c>
      <c r="R501">
        <v>127.2</v>
      </c>
      <c r="S501">
        <v>70.989999999999995</v>
      </c>
      <c r="T501">
        <v>0.34246707511216168</v>
      </c>
      <c r="U501" s="1">
        <v>45505</v>
      </c>
      <c r="V501" t="s">
        <v>2499</v>
      </c>
      <c r="W501">
        <v>2024</v>
      </c>
    </row>
    <row r="502" spans="1:23" x14ac:dyDescent="0.25">
      <c r="A502" t="s">
        <v>549</v>
      </c>
      <c r="B502" s="1">
        <v>45844</v>
      </c>
      <c r="C502" s="1">
        <v>45848</v>
      </c>
      <c r="D502" t="s">
        <v>13</v>
      </c>
      <c r="E502" t="s">
        <v>14</v>
      </c>
      <c r="F502" t="s">
        <v>25</v>
      </c>
      <c r="G502" t="s">
        <v>20</v>
      </c>
      <c r="H502" t="s">
        <v>87</v>
      </c>
      <c r="I502">
        <v>3</v>
      </c>
      <c r="J502">
        <v>0</v>
      </c>
      <c r="K502">
        <v>22.42</v>
      </c>
      <c r="L502">
        <v>3.51</v>
      </c>
      <c r="M502" t="s">
        <v>2476</v>
      </c>
      <c r="N502" t="s">
        <v>2474</v>
      </c>
      <c r="O502" t="s">
        <v>2459</v>
      </c>
      <c r="P502">
        <v>4.5</v>
      </c>
      <c r="Q502">
        <v>8.2899999999999991</v>
      </c>
      <c r="R502">
        <v>13.5</v>
      </c>
      <c r="S502">
        <v>5.4100000000000019</v>
      </c>
      <c r="T502">
        <v>0.24130240856378241</v>
      </c>
      <c r="U502" s="1">
        <v>45839</v>
      </c>
      <c r="V502" t="s">
        <v>2499</v>
      </c>
      <c r="W502">
        <v>2025</v>
      </c>
    </row>
    <row r="503" spans="1:23" x14ac:dyDescent="0.25">
      <c r="A503" t="s">
        <v>550</v>
      </c>
      <c r="B503" s="1">
        <v>45400</v>
      </c>
      <c r="C503" s="1">
        <v>45404</v>
      </c>
      <c r="D503" t="s">
        <v>13</v>
      </c>
      <c r="E503" t="s">
        <v>36</v>
      </c>
      <c r="F503" t="s">
        <v>25</v>
      </c>
      <c r="G503" t="s">
        <v>20</v>
      </c>
      <c r="H503" t="s">
        <v>37</v>
      </c>
      <c r="I503">
        <v>2</v>
      </c>
      <c r="J503">
        <v>0.1</v>
      </c>
      <c r="K503">
        <v>194.74</v>
      </c>
      <c r="L503">
        <v>5.46</v>
      </c>
      <c r="M503" t="s">
        <v>2464</v>
      </c>
      <c r="N503" t="s">
        <v>2458</v>
      </c>
      <c r="O503" t="s">
        <v>2465</v>
      </c>
      <c r="P503">
        <v>63.6</v>
      </c>
      <c r="Q503">
        <v>107.94</v>
      </c>
      <c r="R503">
        <v>127.2</v>
      </c>
      <c r="S503">
        <v>62.080000000000005</v>
      </c>
      <c r="T503">
        <v>0.31878401971859915</v>
      </c>
      <c r="U503" s="1">
        <v>45383</v>
      </c>
      <c r="V503" t="s">
        <v>2498</v>
      </c>
      <c r="W503">
        <v>2024</v>
      </c>
    </row>
    <row r="504" spans="1:23" x14ac:dyDescent="0.25">
      <c r="A504" t="s">
        <v>551</v>
      </c>
      <c r="B504" s="1">
        <v>45583</v>
      </c>
      <c r="C504" s="1">
        <v>45586</v>
      </c>
      <c r="D504" t="s">
        <v>32</v>
      </c>
      <c r="E504" t="s">
        <v>33</v>
      </c>
      <c r="F504" t="s">
        <v>25</v>
      </c>
      <c r="G504" t="s">
        <v>26</v>
      </c>
      <c r="H504" t="s">
        <v>65</v>
      </c>
      <c r="I504">
        <v>2</v>
      </c>
      <c r="J504">
        <v>0.25</v>
      </c>
      <c r="K504">
        <v>481.01</v>
      </c>
      <c r="L504">
        <v>9.1</v>
      </c>
      <c r="M504" t="s">
        <v>2457</v>
      </c>
      <c r="N504" t="s">
        <v>2458</v>
      </c>
      <c r="O504" t="s">
        <v>2459</v>
      </c>
      <c r="P504">
        <v>173.56</v>
      </c>
      <c r="Q504">
        <v>286.14999999999998</v>
      </c>
      <c r="R504">
        <v>347.12</v>
      </c>
      <c r="S504">
        <v>124.78999999999999</v>
      </c>
      <c r="T504">
        <v>0.2594332758154716</v>
      </c>
      <c r="U504" s="1">
        <v>45566</v>
      </c>
      <c r="V504" t="s">
        <v>2501</v>
      </c>
      <c r="W504">
        <v>2024</v>
      </c>
    </row>
    <row r="505" spans="1:23" x14ac:dyDescent="0.25">
      <c r="A505" t="s">
        <v>552</v>
      </c>
      <c r="B505" s="1">
        <v>45299</v>
      </c>
      <c r="C505" s="1">
        <v>45301</v>
      </c>
      <c r="D505" t="s">
        <v>13</v>
      </c>
      <c r="E505" t="s">
        <v>14</v>
      </c>
      <c r="F505" t="s">
        <v>15</v>
      </c>
      <c r="G505" t="s">
        <v>20</v>
      </c>
      <c r="H505" t="s">
        <v>21</v>
      </c>
      <c r="I505">
        <v>4</v>
      </c>
      <c r="J505">
        <v>0</v>
      </c>
      <c r="K505">
        <v>401.5</v>
      </c>
      <c r="L505">
        <v>13.7</v>
      </c>
      <c r="M505" t="s">
        <v>2462</v>
      </c>
      <c r="N505" t="s">
        <v>2458</v>
      </c>
      <c r="O505" t="s">
        <v>2463</v>
      </c>
      <c r="P505">
        <v>71.489999999999995</v>
      </c>
      <c r="Q505">
        <v>112.88</v>
      </c>
      <c r="R505">
        <v>285.95999999999998</v>
      </c>
      <c r="S505">
        <v>101.84000000000002</v>
      </c>
      <c r="T505">
        <v>0.25364881693648822</v>
      </c>
      <c r="U505" s="1">
        <v>45292</v>
      </c>
      <c r="V505" t="s">
        <v>2499</v>
      </c>
      <c r="W505">
        <v>2024</v>
      </c>
    </row>
    <row r="506" spans="1:23" x14ac:dyDescent="0.25">
      <c r="A506" t="s">
        <v>553</v>
      </c>
      <c r="B506" s="1">
        <v>45479</v>
      </c>
      <c r="C506" s="1">
        <v>45484</v>
      </c>
      <c r="D506" t="s">
        <v>23</v>
      </c>
      <c r="E506" t="s">
        <v>59</v>
      </c>
      <c r="F506" t="s">
        <v>29</v>
      </c>
      <c r="G506" t="s">
        <v>16</v>
      </c>
      <c r="H506" t="s">
        <v>17</v>
      </c>
      <c r="I506">
        <v>2</v>
      </c>
      <c r="J506">
        <v>0</v>
      </c>
      <c r="K506">
        <v>228.43</v>
      </c>
      <c r="L506">
        <v>7</v>
      </c>
      <c r="M506" t="s">
        <v>2472</v>
      </c>
      <c r="N506" t="s">
        <v>2467</v>
      </c>
      <c r="O506" t="s">
        <v>2468</v>
      </c>
      <c r="P506">
        <v>63.69</v>
      </c>
      <c r="Q506">
        <v>125.5</v>
      </c>
      <c r="R506">
        <v>127.38</v>
      </c>
      <c r="S506">
        <v>94.050000000000011</v>
      </c>
      <c r="T506">
        <v>0.41172350391804935</v>
      </c>
      <c r="U506" s="1">
        <v>45474</v>
      </c>
      <c r="V506" t="s">
        <v>2499</v>
      </c>
      <c r="W506">
        <v>2024</v>
      </c>
    </row>
    <row r="507" spans="1:23" x14ac:dyDescent="0.25">
      <c r="A507" t="s">
        <v>554</v>
      </c>
      <c r="B507" s="1">
        <v>45901</v>
      </c>
      <c r="C507" s="1">
        <v>45903</v>
      </c>
      <c r="D507" t="s">
        <v>13</v>
      </c>
      <c r="E507" t="s">
        <v>36</v>
      </c>
      <c r="F507" t="s">
        <v>15</v>
      </c>
      <c r="G507" t="s">
        <v>26</v>
      </c>
      <c r="H507" t="s">
        <v>53</v>
      </c>
      <c r="I507">
        <v>4</v>
      </c>
      <c r="J507">
        <v>0.05</v>
      </c>
      <c r="K507">
        <v>231.51</v>
      </c>
      <c r="L507">
        <v>9.5</v>
      </c>
      <c r="M507" t="s">
        <v>2470</v>
      </c>
      <c r="N507" t="s">
        <v>2467</v>
      </c>
      <c r="O507" t="s">
        <v>2459</v>
      </c>
      <c r="P507">
        <v>31.34</v>
      </c>
      <c r="Q507">
        <v>56.49</v>
      </c>
      <c r="R507">
        <v>125.36</v>
      </c>
      <c r="S507">
        <v>96.649999999999991</v>
      </c>
      <c r="T507">
        <v>0.4174765668869595</v>
      </c>
      <c r="U507" s="1">
        <v>45901</v>
      </c>
      <c r="V507" t="s">
        <v>2498</v>
      </c>
      <c r="W507">
        <v>2025</v>
      </c>
    </row>
    <row r="508" spans="1:23" x14ac:dyDescent="0.25">
      <c r="A508" t="s">
        <v>555</v>
      </c>
      <c r="B508" s="1">
        <v>45830</v>
      </c>
      <c r="C508" s="1">
        <v>45834</v>
      </c>
      <c r="D508" t="s">
        <v>13</v>
      </c>
      <c r="E508" t="s">
        <v>36</v>
      </c>
      <c r="F508" t="s">
        <v>25</v>
      </c>
      <c r="G508" t="s">
        <v>26</v>
      </c>
      <c r="H508" t="s">
        <v>51</v>
      </c>
      <c r="I508">
        <v>9</v>
      </c>
      <c r="J508">
        <v>0</v>
      </c>
      <c r="K508">
        <v>143.12</v>
      </c>
      <c r="L508">
        <v>5.13</v>
      </c>
      <c r="M508" t="s">
        <v>2475</v>
      </c>
      <c r="N508" t="s">
        <v>2474</v>
      </c>
      <c r="O508" t="s">
        <v>2463</v>
      </c>
      <c r="P508">
        <v>7.93</v>
      </c>
      <c r="Q508">
        <v>14.78</v>
      </c>
      <c r="R508">
        <v>71.37</v>
      </c>
      <c r="S508">
        <v>66.62</v>
      </c>
      <c r="T508">
        <v>0.46548351034097263</v>
      </c>
      <c r="U508" s="1">
        <v>45809</v>
      </c>
      <c r="V508" t="s">
        <v>2499</v>
      </c>
      <c r="W508">
        <v>2025</v>
      </c>
    </row>
    <row r="509" spans="1:23" x14ac:dyDescent="0.25">
      <c r="A509" t="s">
        <v>556</v>
      </c>
      <c r="B509" s="1">
        <v>45514</v>
      </c>
      <c r="C509" s="1">
        <v>45520</v>
      </c>
      <c r="D509" t="s">
        <v>13</v>
      </c>
      <c r="E509" t="s">
        <v>14</v>
      </c>
      <c r="F509" t="s">
        <v>29</v>
      </c>
      <c r="G509" t="s">
        <v>20</v>
      </c>
      <c r="H509" t="s">
        <v>60</v>
      </c>
      <c r="I509">
        <v>1</v>
      </c>
      <c r="J509">
        <v>0</v>
      </c>
      <c r="K509">
        <v>101.83</v>
      </c>
      <c r="L509">
        <v>5.75</v>
      </c>
      <c r="M509" t="s">
        <v>2469</v>
      </c>
      <c r="N509" t="s">
        <v>2467</v>
      </c>
      <c r="O509" t="s">
        <v>2468</v>
      </c>
      <c r="P509">
        <v>54.95</v>
      </c>
      <c r="Q509">
        <v>112.56</v>
      </c>
      <c r="R509">
        <v>54.95</v>
      </c>
      <c r="S509">
        <v>41.129999999999995</v>
      </c>
      <c r="T509">
        <v>0.40390847490916232</v>
      </c>
      <c r="U509" s="1">
        <v>45505</v>
      </c>
      <c r="V509" t="s">
        <v>2499</v>
      </c>
      <c r="W509">
        <v>2024</v>
      </c>
    </row>
    <row r="510" spans="1:23" x14ac:dyDescent="0.25">
      <c r="A510" t="s">
        <v>557</v>
      </c>
      <c r="B510" s="1">
        <v>45533</v>
      </c>
      <c r="C510" s="1">
        <v>45537</v>
      </c>
      <c r="D510" t="s">
        <v>13</v>
      </c>
      <c r="E510" t="s">
        <v>36</v>
      </c>
      <c r="F510" t="s">
        <v>29</v>
      </c>
      <c r="G510" t="s">
        <v>16</v>
      </c>
      <c r="H510" t="s">
        <v>41</v>
      </c>
      <c r="I510">
        <v>13</v>
      </c>
      <c r="J510">
        <v>0</v>
      </c>
      <c r="K510">
        <v>71.489999999999995</v>
      </c>
      <c r="L510">
        <v>6.21</v>
      </c>
      <c r="M510" t="s">
        <v>2479</v>
      </c>
      <c r="N510" t="s">
        <v>2474</v>
      </c>
      <c r="O510" t="s">
        <v>2459</v>
      </c>
      <c r="P510">
        <v>3.3</v>
      </c>
      <c r="Q510">
        <v>6.13</v>
      </c>
      <c r="R510">
        <v>42.9</v>
      </c>
      <c r="S510">
        <v>22.379999999999995</v>
      </c>
      <c r="T510">
        <v>0.31305077633235412</v>
      </c>
      <c r="U510" s="1">
        <v>45505</v>
      </c>
      <c r="V510" t="s">
        <v>2499</v>
      </c>
      <c r="W510">
        <v>2024</v>
      </c>
    </row>
    <row r="511" spans="1:23" x14ac:dyDescent="0.25">
      <c r="A511" t="s">
        <v>558</v>
      </c>
      <c r="B511" s="1">
        <v>45909</v>
      </c>
      <c r="C511" s="1">
        <v>45911</v>
      </c>
      <c r="D511" t="s">
        <v>13</v>
      </c>
      <c r="E511" t="s">
        <v>36</v>
      </c>
      <c r="F511" t="s">
        <v>29</v>
      </c>
      <c r="G511" t="s">
        <v>20</v>
      </c>
      <c r="H511" t="s">
        <v>27</v>
      </c>
      <c r="I511">
        <v>5</v>
      </c>
      <c r="J511">
        <v>0.1</v>
      </c>
      <c r="K511">
        <v>137.25</v>
      </c>
      <c r="L511">
        <v>4.05</v>
      </c>
      <c r="M511" t="s">
        <v>2478</v>
      </c>
      <c r="N511" t="s">
        <v>2474</v>
      </c>
      <c r="O511" t="s">
        <v>2463</v>
      </c>
      <c r="P511">
        <v>16.760000000000002</v>
      </c>
      <c r="Q511">
        <v>27.71</v>
      </c>
      <c r="R511">
        <v>83.800000000000011</v>
      </c>
      <c r="S511">
        <v>49.399999999999991</v>
      </c>
      <c r="T511">
        <v>0.35992714025500905</v>
      </c>
      <c r="U511" s="1">
        <v>45901</v>
      </c>
      <c r="V511" t="s">
        <v>2498</v>
      </c>
      <c r="W511">
        <v>2025</v>
      </c>
    </row>
    <row r="512" spans="1:23" x14ac:dyDescent="0.25">
      <c r="A512" t="s">
        <v>559</v>
      </c>
      <c r="B512" s="1">
        <v>45550</v>
      </c>
      <c r="C512" s="1">
        <v>45555</v>
      </c>
      <c r="D512" t="s">
        <v>47</v>
      </c>
      <c r="E512" t="s">
        <v>50</v>
      </c>
      <c r="F512" t="s">
        <v>29</v>
      </c>
      <c r="G512" t="s">
        <v>16</v>
      </c>
      <c r="H512" t="s">
        <v>21</v>
      </c>
      <c r="I512">
        <v>2</v>
      </c>
      <c r="J512">
        <v>0</v>
      </c>
      <c r="K512">
        <v>255.77</v>
      </c>
      <c r="L512">
        <v>5.46</v>
      </c>
      <c r="M512" t="s">
        <v>2462</v>
      </c>
      <c r="N512" t="s">
        <v>2458</v>
      </c>
      <c r="O512" t="s">
        <v>2463</v>
      </c>
      <c r="P512">
        <v>71.489999999999995</v>
      </c>
      <c r="Q512">
        <v>112.88</v>
      </c>
      <c r="R512">
        <v>142.97999999999999</v>
      </c>
      <c r="S512">
        <v>107.33000000000003</v>
      </c>
      <c r="T512">
        <v>0.4196348281659304</v>
      </c>
      <c r="U512" s="1">
        <v>45536</v>
      </c>
      <c r="V512" t="s">
        <v>2499</v>
      </c>
      <c r="W512">
        <v>2024</v>
      </c>
    </row>
    <row r="513" spans="1:23" x14ac:dyDescent="0.25">
      <c r="A513" t="s">
        <v>560</v>
      </c>
      <c r="B513" s="1">
        <v>45822</v>
      </c>
      <c r="C513" s="1">
        <v>45825</v>
      </c>
      <c r="D513" t="s">
        <v>13</v>
      </c>
      <c r="E513" t="s">
        <v>19</v>
      </c>
      <c r="F513" t="s">
        <v>25</v>
      </c>
      <c r="G513" t="s">
        <v>16</v>
      </c>
      <c r="H513" t="s">
        <v>65</v>
      </c>
      <c r="I513">
        <v>3</v>
      </c>
      <c r="J513">
        <v>0.05</v>
      </c>
      <c r="K513">
        <v>891.52</v>
      </c>
      <c r="L513">
        <v>6.84</v>
      </c>
      <c r="M513" t="s">
        <v>2457</v>
      </c>
      <c r="N513" t="s">
        <v>2458</v>
      </c>
      <c r="O513" t="s">
        <v>2459</v>
      </c>
      <c r="P513">
        <v>173.56</v>
      </c>
      <c r="Q513">
        <v>286.14999999999998</v>
      </c>
      <c r="R513">
        <v>520.68000000000006</v>
      </c>
      <c r="S513">
        <v>363.99999999999994</v>
      </c>
      <c r="T513">
        <v>0.40829145728643212</v>
      </c>
      <c r="U513" s="1">
        <v>45809</v>
      </c>
      <c r="V513" t="s">
        <v>2498</v>
      </c>
      <c r="W513">
        <v>2025</v>
      </c>
    </row>
    <row r="514" spans="1:23" x14ac:dyDescent="0.25">
      <c r="A514" t="s">
        <v>561</v>
      </c>
      <c r="B514" s="1">
        <v>45823</v>
      </c>
      <c r="C514" s="1">
        <v>45828</v>
      </c>
      <c r="D514" t="s">
        <v>23</v>
      </c>
      <c r="E514" t="s">
        <v>24</v>
      </c>
      <c r="F514" t="s">
        <v>15</v>
      </c>
      <c r="G514" t="s">
        <v>26</v>
      </c>
      <c r="H514" t="s">
        <v>41</v>
      </c>
      <c r="I514">
        <v>5</v>
      </c>
      <c r="J514">
        <v>0</v>
      </c>
      <c r="K514">
        <v>33.049999999999997</v>
      </c>
      <c r="L514">
        <v>4.05</v>
      </c>
      <c r="M514" t="s">
        <v>2479</v>
      </c>
      <c r="N514" t="s">
        <v>2474</v>
      </c>
      <c r="O514" t="s">
        <v>2459</v>
      </c>
      <c r="P514">
        <v>3.3</v>
      </c>
      <c r="Q514">
        <v>6.13</v>
      </c>
      <c r="R514">
        <v>16.5</v>
      </c>
      <c r="S514">
        <v>12.499999999999996</v>
      </c>
      <c r="T514">
        <v>0.37821482602117995</v>
      </c>
      <c r="U514" s="1">
        <v>45809</v>
      </c>
      <c r="V514" t="s">
        <v>2499</v>
      </c>
      <c r="W514">
        <v>2025</v>
      </c>
    </row>
    <row r="515" spans="1:23" x14ac:dyDescent="0.25">
      <c r="A515" t="s">
        <v>562</v>
      </c>
      <c r="B515" s="1">
        <v>45521</v>
      </c>
      <c r="C515" s="1">
        <v>45524</v>
      </c>
      <c r="D515" t="s">
        <v>23</v>
      </c>
      <c r="E515" t="s">
        <v>59</v>
      </c>
      <c r="F515" t="s">
        <v>25</v>
      </c>
      <c r="G515" t="s">
        <v>26</v>
      </c>
      <c r="H515" t="s">
        <v>21</v>
      </c>
      <c r="I515">
        <v>3</v>
      </c>
      <c r="J515">
        <v>0</v>
      </c>
      <c r="K515">
        <v>317.01</v>
      </c>
      <c r="L515">
        <v>6.84</v>
      </c>
      <c r="M515" t="s">
        <v>2462</v>
      </c>
      <c r="N515" t="s">
        <v>2458</v>
      </c>
      <c r="O515" t="s">
        <v>2463</v>
      </c>
      <c r="P515">
        <v>71.489999999999995</v>
      </c>
      <c r="Q515">
        <v>112.88</v>
      </c>
      <c r="R515">
        <v>214.46999999999997</v>
      </c>
      <c r="S515">
        <v>95.700000000000017</v>
      </c>
      <c r="T515">
        <v>0.30188322134948431</v>
      </c>
      <c r="U515" s="1">
        <v>45505</v>
      </c>
      <c r="V515" t="s">
        <v>2499</v>
      </c>
      <c r="W515">
        <v>2024</v>
      </c>
    </row>
    <row r="516" spans="1:23" x14ac:dyDescent="0.25">
      <c r="A516" t="s">
        <v>563</v>
      </c>
      <c r="B516" s="1">
        <v>45971</v>
      </c>
      <c r="C516" s="1">
        <v>45974</v>
      </c>
      <c r="D516" t="s">
        <v>13</v>
      </c>
      <c r="E516" t="s">
        <v>36</v>
      </c>
      <c r="F516" t="s">
        <v>25</v>
      </c>
      <c r="G516" t="s">
        <v>16</v>
      </c>
      <c r="H516" t="s">
        <v>51</v>
      </c>
      <c r="I516">
        <v>5</v>
      </c>
      <c r="J516">
        <v>0.05</v>
      </c>
      <c r="K516">
        <v>90.39</v>
      </c>
      <c r="L516">
        <v>4.05</v>
      </c>
      <c r="M516" t="s">
        <v>2475</v>
      </c>
      <c r="N516" t="s">
        <v>2474</v>
      </c>
      <c r="O516" t="s">
        <v>2463</v>
      </c>
      <c r="P516">
        <v>7.93</v>
      </c>
      <c r="Q516">
        <v>14.78</v>
      </c>
      <c r="R516">
        <v>39.65</v>
      </c>
      <c r="S516">
        <v>46.690000000000005</v>
      </c>
      <c r="T516">
        <v>0.51653944020356235</v>
      </c>
      <c r="U516" s="1">
        <v>45962</v>
      </c>
      <c r="V516" t="s">
        <v>2498</v>
      </c>
      <c r="W516">
        <v>2025</v>
      </c>
    </row>
    <row r="517" spans="1:23" x14ac:dyDescent="0.25">
      <c r="A517" t="s">
        <v>564</v>
      </c>
      <c r="B517" s="1">
        <v>45407</v>
      </c>
      <c r="C517" s="1">
        <v>45408</v>
      </c>
      <c r="D517" t="s">
        <v>23</v>
      </c>
      <c r="E517" t="s">
        <v>24</v>
      </c>
      <c r="F517" t="s">
        <v>29</v>
      </c>
      <c r="G517" t="s">
        <v>20</v>
      </c>
      <c r="H517" t="s">
        <v>27</v>
      </c>
      <c r="I517">
        <v>10</v>
      </c>
      <c r="J517">
        <v>0</v>
      </c>
      <c r="K517">
        <v>266.38</v>
      </c>
      <c r="L517">
        <v>5.4</v>
      </c>
      <c r="M517" t="s">
        <v>2478</v>
      </c>
      <c r="N517" t="s">
        <v>2474</v>
      </c>
      <c r="O517" t="s">
        <v>2463</v>
      </c>
      <c r="P517">
        <v>16.760000000000002</v>
      </c>
      <c r="Q517">
        <v>27.71</v>
      </c>
      <c r="R517">
        <v>167.60000000000002</v>
      </c>
      <c r="S517">
        <v>93.379999999999967</v>
      </c>
      <c r="T517">
        <v>0.3505518432314737</v>
      </c>
      <c r="U517" s="1">
        <v>45383</v>
      </c>
      <c r="V517" t="s">
        <v>2499</v>
      </c>
      <c r="W517">
        <v>2024</v>
      </c>
    </row>
    <row r="518" spans="1:23" x14ac:dyDescent="0.25">
      <c r="A518" t="s">
        <v>565</v>
      </c>
      <c r="B518" s="1">
        <v>45947</v>
      </c>
      <c r="C518" s="1">
        <v>45948</v>
      </c>
      <c r="D518" t="s">
        <v>23</v>
      </c>
      <c r="E518" t="s">
        <v>59</v>
      </c>
      <c r="F518" t="s">
        <v>29</v>
      </c>
      <c r="G518" t="s">
        <v>26</v>
      </c>
      <c r="H518" t="s">
        <v>39</v>
      </c>
      <c r="I518">
        <v>2</v>
      </c>
      <c r="J518">
        <v>0.2</v>
      </c>
      <c r="K518">
        <v>362.29</v>
      </c>
      <c r="L518">
        <v>4.2</v>
      </c>
      <c r="M518" t="s">
        <v>2471</v>
      </c>
      <c r="N518" t="s">
        <v>2467</v>
      </c>
      <c r="O518" t="s">
        <v>2461</v>
      </c>
      <c r="P518">
        <v>112.09</v>
      </c>
      <c r="Q518">
        <v>192.47</v>
      </c>
      <c r="R518">
        <v>224.18</v>
      </c>
      <c r="S518">
        <v>133.91000000000003</v>
      </c>
      <c r="T518">
        <v>0.369621021833338</v>
      </c>
      <c r="U518" s="1">
        <v>45931</v>
      </c>
      <c r="V518" t="s">
        <v>2500</v>
      </c>
      <c r="W518">
        <v>2025</v>
      </c>
    </row>
    <row r="519" spans="1:23" x14ac:dyDescent="0.25">
      <c r="A519" t="s">
        <v>566</v>
      </c>
      <c r="B519" s="1">
        <v>45471</v>
      </c>
      <c r="C519" s="1">
        <v>45477</v>
      </c>
      <c r="D519" t="s">
        <v>13</v>
      </c>
      <c r="E519" t="s">
        <v>36</v>
      </c>
      <c r="F519" t="s">
        <v>25</v>
      </c>
      <c r="G519" t="s">
        <v>16</v>
      </c>
      <c r="H519" t="s">
        <v>53</v>
      </c>
      <c r="I519">
        <v>4</v>
      </c>
      <c r="J519">
        <v>0.2</v>
      </c>
      <c r="K519">
        <v>181.42</v>
      </c>
      <c r="L519">
        <v>9.5</v>
      </c>
      <c r="M519" t="s">
        <v>2470</v>
      </c>
      <c r="N519" t="s">
        <v>2467</v>
      </c>
      <c r="O519" t="s">
        <v>2459</v>
      </c>
      <c r="P519">
        <v>31.34</v>
      </c>
      <c r="Q519">
        <v>56.49</v>
      </c>
      <c r="R519">
        <v>125.36</v>
      </c>
      <c r="S519">
        <v>46.559999999999988</v>
      </c>
      <c r="T519">
        <v>0.25664204608091717</v>
      </c>
      <c r="U519" s="1">
        <v>45444</v>
      </c>
      <c r="V519" t="s">
        <v>2500</v>
      </c>
      <c r="W519">
        <v>2024</v>
      </c>
    </row>
    <row r="520" spans="1:23" x14ac:dyDescent="0.25">
      <c r="A520" t="s">
        <v>567</v>
      </c>
      <c r="B520" s="1">
        <v>45440</v>
      </c>
      <c r="C520" s="1">
        <v>45443</v>
      </c>
      <c r="D520" t="s">
        <v>47</v>
      </c>
      <c r="E520" t="s">
        <v>50</v>
      </c>
      <c r="F520" t="s">
        <v>15</v>
      </c>
      <c r="G520" t="s">
        <v>26</v>
      </c>
      <c r="H520" t="s">
        <v>34</v>
      </c>
      <c r="I520">
        <v>4</v>
      </c>
      <c r="J520">
        <v>0</v>
      </c>
      <c r="K520">
        <v>875.8</v>
      </c>
      <c r="L520">
        <v>13.7</v>
      </c>
      <c r="M520" t="s">
        <v>2460</v>
      </c>
      <c r="N520" t="s">
        <v>2458</v>
      </c>
      <c r="O520" t="s">
        <v>2461</v>
      </c>
      <c r="P520">
        <v>119.02</v>
      </c>
      <c r="Q520">
        <v>205.39</v>
      </c>
      <c r="R520">
        <v>476.08</v>
      </c>
      <c r="S520">
        <v>386.02</v>
      </c>
      <c r="T520">
        <v>0.44076273121717285</v>
      </c>
      <c r="U520" s="1">
        <v>45413</v>
      </c>
      <c r="V520" t="s">
        <v>2499</v>
      </c>
      <c r="W520">
        <v>2024</v>
      </c>
    </row>
    <row r="521" spans="1:23" x14ac:dyDescent="0.25">
      <c r="A521" t="s">
        <v>568</v>
      </c>
      <c r="B521" s="1">
        <v>45466</v>
      </c>
      <c r="C521" s="1">
        <v>45468</v>
      </c>
      <c r="D521" t="s">
        <v>23</v>
      </c>
      <c r="E521" t="s">
        <v>59</v>
      </c>
      <c r="F521" t="s">
        <v>25</v>
      </c>
      <c r="G521" t="s">
        <v>20</v>
      </c>
      <c r="H521" t="s">
        <v>87</v>
      </c>
      <c r="I521">
        <v>12</v>
      </c>
      <c r="J521">
        <v>0</v>
      </c>
      <c r="K521">
        <v>97.58</v>
      </c>
      <c r="L521">
        <v>5.94</v>
      </c>
      <c r="M521" t="s">
        <v>2476</v>
      </c>
      <c r="N521" t="s">
        <v>2474</v>
      </c>
      <c r="O521" t="s">
        <v>2459</v>
      </c>
      <c r="P521">
        <v>4.5</v>
      </c>
      <c r="Q521">
        <v>8.2899999999999991</v>
      </c>
      <c r="R521">
        <v>54</v>
      </c>
      <c r="S521">
        <v>37.64</v>
      </c>
      <c r="T521">
        <v>0.38573478171756509</v>
      </c>
      <c r="U521" s="1">
        <v>45444</v>
      </c>
      <c r="V521" t="s">
        <v>2499</v>
      </c>
      <c r="W521">
        <v>2024</v>
      </c>
    </row>
    <row r="522" spans="1:23" x14ac:dyDescent="0.25">
      <c r="A522" t="s">
        <v>569</v>
      </c>
      <c r="B522" s="1">
        <v>45984</v>
      </c>
      <c r="C522" s="1">
        <v>45990</v>
      </c>
      <c r="D522" t="s">
        <v>32</v>
      </c>
      <c r="E522" t="s">
        <v>62</v>
      </c>
      <c r="F522" t="s">
        <v>29</v>
      </c>
      <c r="G522" t="s">
        <v>26</v>
      </c>
      <c r="H522" t="s">
        <v>27</v>
      </c>
      <c r="I522">
        <v>11</v>
      </c>
      <c r="J522">
        <v>0</v>
      </c>
      <c r="K522">
        <v>408.47</v>
      </c>
      <c r="L522">
        <v>5.67</v>
      </c>
      <c r="M522" t="s">
        <v>2478</v>
      </c>
      <c r="N522" t="s">
        <v>2474</v>
      </c>
      <c r="O522" t="s">
        <v>2463</v>
      </c>
      <c r="P522">
        <v>16.760000000000002</v>
      </c>
      <c r="Q522">
        <v>27.71</v>
      </c>
      <c r="R522">
        <v>184.36</v>
      </c>
      <c r="S522">
        <v>218.44000000000003</v>
      </c>
      <c r="T522">
        <v>0.53477611574901462</v>
      </c>
      <c r="U522" s="1">
        <v>45962</v>
      </c>
      <c r="V522" t="s">
        <v>2499</v>
      </c>
      <c r="W522">
        <v>2025</v>
      </c>
    </row>
    <row r="523" spans="1:23" x14ac:dyDescent="0.25">
      <c r="A523" t="s">
        <v>570</v>
      </c>
      <c r="B523" s="1">
        <v>45871</v>
      </c>
      <c r="C523" s="1">
        <v>45874</v>
      </c>
      <c r="D523" t="s">
        <v>32</v>
      </c>
      <c r="E523" t="s">
        <v>33</v>
      </c>
      <c r="F523" t="s">
        <v>15</v>
      </c>
      <c r="G523" t="s">
        <v>16</v>
      </c>
      <c r="H523" t="s">
        <v>30</v>
      </c>
      <c r="I523">
        <v>8</v>
      </c>
      <c r="J523">
        <v>0.1</v>
      </c>
      <c r="K523">
        <v>41.71</v>
      </c>
      <c r="L523">
        <v>4.8600000000000003</v>
      </c>
      <c r="M523" t="s">
        <v>2473</v>
      </c>
      <c r="N523" t="s">
        <v>2474</v>
      </c>
      <c r="O523" t="s">
        <v>2463</v>
      </c>
      <c r="P523">
        <v>3.62</v>
      </c>
      <c r="Q523">
        <v>6.03</v>
      </c>
      <c r="R523">
        <v>28.96</v>
      </c>
      <c r="S523">
        <v>7.89</v>
      </c>
      <c r="T523">
        <v>0.18916327019899304</v>
      </c>
      <c r="U523" s="1">
        <v>45870</v>
      </c>
      <c r="V523" t="s">
        <v>2498</v>
      </c>
      <c r="W523">
        <v>2025</v>
      </c>
    </row>
    <row r="524" spans="1:23" x14ac:dyDescent="0.25">
      <c r="A524" t="s">
        <v>571</v>
      </c>
      <c r="B524" s="1">
        <v>45331</v>
      </c>
      <c r="C524" s="1">
        <v>45333</v>
      </c>
      <c r="D524" t="s">
        <v>32</v>
      </c>
      <c r="E524" t="s">
        <v>45</v>
      </c>
      <c r="F524" t="s">
        <v>15</v>
      </c>
      <c r="G524" t="s">
        <v>16</v>
      </c>
      <c r="H524" t="s">
        <v>30</v>
      </c>
      <c r="I524">
        <v>7</v>
      </c>
      <c r="J524">
        <v>0</v>
      </c>
      <c r="K524">
        <v>36.56</v>
      </c>
      <c r="L524">
        <v>7.65</v>
      </c>
      <c r="M524" t="s">
        <v>2473</v>
      </c>
      <c r="N524" t="s">
        <v>2474</v>
      </c>
      <c r="O524" t="s">
        <v>2463</v>
      </c>
      <c r="P524">
        <v>3.62</v>
      </c>
      <c r="Q524">
        <v>6.03</v>
      </c>
      <c r="R524">
        <v>25.34</v>
      </c>
      <c r="S524">
        <v>3.5700000000000021</v>
      </c>
      <c r="T524">
        <v>9.764770240700224E-2</v>
      </c>
      <c r="U524" s="1">
        <v>45323</v>
      </c>
      <c r="V524" t="s">
        <v>2499</v>
      </c>
      <c r="W524">
        <v>2024</v>
      </c>
    </row>
    <row r="525" spans="1:23" x14ac:dyDescent="0.25">
      <c r="A525" t="s">
        <v>572</v>
      </c>
      <c r="B525" s="1">
        <v>45935</v>
      </c>
      <c r="C525" s="1">
        <v>45938</v>
      </c>
      <c r="D525" t="s">
        <v>23</v>
      </c>
      <c r="E525" t="s">
        <v>59</v>
      </c>
      <c r="F525" t="s">
        <v>15</v>
      </c>
      <c r="G525" t="s">
        <v>16</v>
      </c>
      <c r="H525" t="s">
        <v>65</v>
      </c>
      <c r="I525">
        <v>1</v>
      </c>
      <c r="J525">
        <v>0.25</v>
      </c>
      <c r="K525">
        <v>254.77</v>
      </c>
      <c r="L525">
        <v>6.8</v>
      </c>
      <c r="M525" t="s">
        <v>2457</v>
      </c>
      <c r="N525" t="s">
        <v>2458</v>
      </c>
      <c r="O525" t="s">
        <v>2459</v>
      </c>
      <c r="P525">
        <v>173.56</v>
      </c>
      <c r="Q525">
        <v>286.14999999999998</v>
      </c>
      <c r="R525">
        <v>173.56</v>
      </c>
      <c r="S525">
        <v>74.410000000000011</v>
      </c>
      <c r="T525">
        <v>0.29206735486909763</v>
      </c>
      <c r="U525" s="1">
        <v>45931</v>
      </c>
      <c r="V525" t="s">
        <v>2501</v>
      </c>
      <c r="W525">
        <v>2025</v>
      </c>
    </row>
    <row r="526" spans="1:23" x14ac:dyDescent="0.25">
      <c r="A526" t="s">
        <v>573</v>
      </c>
      <c r="B526" s="1">
        <v>45941</v>
      </c>
      <c r="C526" s="1">
        <v>45944</v>
      </c>
      <c r="D526" t="s">
        <v>13</v>
      </c>
      <c r="E526" t="s">
        <v>36</v>
      </c>
      <c r="F526" t="s">
        <v>15</v>
      </c>
      <c r="G526" t="s">
        <v>26</v>
      </c>
      <c r="H526" t="s">
        <v>63</v>
      </c>
      <c r="I526">
        <v>7</v>
      </c>
      <c r="J526">
        <v>0</v>
      </c>
      <c r="K526">
        <v>93.6</v>
      </c>
      <c r="L526">
        <v>7.65</v>
      </c>
      <c r="M526" t="s">
        <v>2477</v>
      </c>
      <c r="N526" t="s">
        <v>2474</v>
      </c>
      <c r="O526" t="s">
        <v>2468</v>
      </c>
      <c r="P526">
        <v>6.33</v>
      </c>
      <c r="Q526">
        <v>12.16</v>
      </c>
      <c r="R526">
        <v>44.31</v>
      </c>
      <c r="S526">
        <v>41.639999999999993</v>
      </c>
      <c r="T526">
        <v>0.44487179487179485</v>
      </c>
      <c r="U526" s="1">
        <v>45931</v>
      </c>
      <c r="V526" t="s">
        <v>2499</v>
      </c>
      <c r="W526">
        <v>2025</v>
      </c>
    </row>
    <row r="527" spans="1:23" x14ac:dyDescent="0.25">
      <c r="A527" t="s">
        <v>574</v>
      </c>
      <c r="B527" s="1">
        <v>45613</v>
      </c>
      <c r="C527" s="1">
        <v>45616</v>
      </c>
      <c r="D527" t="s">
        <v>23</v>
      </c>
      <c r="E527" t="s">
        <v>59</v>
      </c>
      <c r="F527" t="s">
        <v>15</v>
      </c>
      <c r="G527" t="s">
        <v>20</v>
      </c>
      <c r="H527" t="s">
        <v>68</v>
      </c>
      <c r="I527">
        <v>4</v>
      </c>
      <c r="J527">
        <v>0.05</v>
      </c>
      <c r="K527">
        <v>275.58999999999997</v>
      </c>
      <c r="L527">
        <v>5.7</v>
      </c>
      <c r="M527" t="s">
        <v>2466</v>
      </c>
      <c r="N527" t="s">
        <v>2467</v>
      </c>
      <c r="O527" t="s">
        <v>2468</v>
      </c>
      <c r="P527">
        <v>25.33</v>
      </c>
      <c r="Q527">
        <v>51.56</v>
      </c>
      <c r="R527">
        <v>101.32</v>
      </c>
      <c r="S527">
        <v>168.57</v>
      </c>
      <c r="T527">
        <v>0.61166950905330386</v>
      </c>
      <c r="U527" s="1">
        <v>45597</v>
      </c>
      <c r="V527" t="s">
        <v>2498</v>
      </c>
      <c r="W527">
        <v>2024</v>
      </c>
    </row>
    <row r="528" spans="1:23" x14ac:dyDescent="0.25">
      <c r="A528" t="s">
        <v>575</v>
      </c>
      <c r="B528" s="1">
        <v>45764</v>
      </c>
      <c r="C528" s="1">
        <v>45770</v>
      </c>
      <c r="D528" t="s">
        <v>13</v>
      </c>
      <c r="E528" t="s">
        <v>19</v>
      </c>
      <c r="F528" t="s">
        <v>29</v>
      </c>
      <c r="G528" t="s">
        <v>20</v>
      </c>
      <c r="H528" t="s">
        <v>68</v>
      </c>
      <c r="I528">
        <v>1</v>
      </c>
      <c r="J528">
        <v>0</v>
      </c>
      <c r="K528">
        <v>52.5</v>
      </c>
      <c r="L528">
        <v>5.75</v>
      </c>
      <c r="M528" t="s">
        <v>2466</v>
      </c>
      <c r="N528" t="s">
        <v>2467</v>
      </c>
      <c r="O528" t="s">
        <v>2468</v>
      </c>
      <c r="P528">
        <v>25.33</v>
      </c>
      <c r="Q528">
        <v>51.56</v>
      </c>
      <c r="R528">
        <v>25.33</v>
      </c>
      <c r="S528">
        <v>21.42</v>
      </c>
      <c r="T528">
        <v>0.40800000000000003</v>
      </c>
      <c r="U528" s="1">
        <v>45748</v>
      </c>
      <c r="V528" t="s">
        <v>2499</v>
      </c>
      <c r="W528">
        <v>2025</v>
      </c>
    </row>
    <row r="529" spans="1:23" x14ac:dyDescent="0.25">
      <c r="A529" t="s">
        <v>576</v>
      </c>
      <c r="B529" s="1">
        <v>45429</v>
      </c>
      <c r="C529" s="1">
        <v>45434</v>
      </c>
      <c r="D529" t="s">
        <v>13</v>
      </c>
      <c r="E529" t="s">
        <v>36</v>
      </c>
      <c r="F529" t="s">
        <v>15</v>
      </c>
      <c r="G529" t="s">
        <v>20</v>
      </c>
      <c r="H529" t="s">
        <v>17</v>
      </c>
      <c r="I529">
        <v>1</v>
      </c>
      <c r="J529">
        <v>0.1</v>
      </c>
      <c r="K529">
        <v>109.71</v>
      </c>
      <c r="L529">
        <v>5.75</v>
      </c>
      <c r="M529" t="s">
        <v>2472</v>
      </c>
      <c r="N529" t="s">
        <v>2467</v>
      </c>
      <c r="O529" t="s">
        <v>2468</v>
      </c>
      <c r="P529">
        <v>63.69</v>
      </c>
      <c r="Q529">
        <v>125.5</v>
      </c>
      <c r="R529">
        <v>63.69</v>
      </c>
      <c r="S529">
        <v>40.269999999999996</v>
      </c>
      <c r="T529">
        <v>0.36705860906024973</v>
      </c>
      <c r="U529" s="1">
        <v>45413</v>
      </c>
      <c r="V529" t="s">
        <v>2498</v>
      </c>
      <c r="W529">
        <v>2024</v>
      </c>
    </row>
    <row r="530" spans="1:23" x14ac:dyDescent="0.25">
      <c r="A530" t="s">
        <v>577</v>
      </c>
      <c r="B530" s="1">
        <v>45894</v>
      </c>
      <c r="C530" s="1">
        <v>45896</v>
      </c>
      <c r="D530" t="s">
        <v>23</v>
      </c>
      <c r="E530" t="s">
        <v>43</v>
      </c>
      <c r="F530" t="s">
        <v>29</v>
      </c>
      <c r="G530" t="s">
        <v>16</v>
      </c>
      <c r="H530" t="s">
        <v>65</v>
      </c>
      <c r="I530">
        <v>3</v>
      </c>
      <c r="J530">
        <v>0</v>
      </c>
      <c r="K530">
        <v>803.39</v>
      </c>
      <c r="L530">
        <v>6.84</v>
      </c>
      <c r="M530" t="s">
        <v>2457</v>
      </c>
      <c r="N530" t="s">
        <v>2458</v>
      </c>
      <c r="O530" t="s">
        <v>2459</v>
      </c>
      <c r="P530">
        <v>173.56</v>
      </c>
      <c r="Q530">
        <v>286.14999999999998</v>
      </c>
      <c r="R530">
        <v>520.68000000000006</v>
      </c>
      <c r="S530">
        <v>275.86999999999995</v>
      </c>
      <c r="T530">
        <v>0.34338241700792882</v>
      </c>
      <c r="U530" s="1">
        <v>45870</v>
      </c>
      <c r="V530" t="s">
        <v>2499</v>
      </c>
      <c r="W530">
        <v>2025</v>
      </c>
    </row>
    <row r="531" spans="1:23" x14ac:dyDescent="0.25">
      <c r="A531" t="s">
        <v>578</v>
      </c>
      <c r="B531" s="1">
        <v>45296</v>
      </c>
      <c r="C531" s="1">
        <v>45297</v>
      </c>
      <c r="D531" t="s">
        <v>47</v>
      </c>
      <c r="E531" t="s">
        <v>71</v>
      </c>
      <c r="F531" t="s">
        <v>29</v>
      </c>
      <c r="G531" t="s">
        <v>26</v>
      </c>
      <c r="H531" t="s">
        <v>60</v>
      </c>
      <c r="I531">
        <v>4</v>
      </c>
      <c r="J531">
        <v>0.15</v>
      </c>
      <c r="K531">
        <v>344.94</v>
      </c>
      <c r="L531">
        <v>9.5</v>
      </c>
      <c r="M531" t="s">
        <v>2469</v>
      </c>
      <c r="N531" t="s">
        <v>2467</v>
      </c>
      <c r="O531" t="s">
        <v>2468</v>
      </c>
      <c r="P531">
        <v>54.95</v>
      </c>
      <c r="Q531">
        <v>112.56</v>
      </c>
      <c r="R531">
        <v>219.8</v>
      </c>
      <c r="S531">
        <v>115.63999999999999</v>
      </c>
      <c r="T531">
        <v>0.33524670957267927</v>
      </c>
      <c r="U531" s="1">
        <v>45292</v>
      </c>
      <c r="V531" t="s">
        <v>2500</v>
      </c>
      <c r="W531">
        <v>2024</v>
      </c>
    </row>
    <row r="532" spans="1:23" x14ac:dyDescent="0.25">
      <c r="A532" t="s">
        <v>579</v>
      </c>
      <c r="B532" s="1">
        <v>45713</v>
      </c>
      <c r="C532" s="1">
        <v>45718</v>
      </c>
      <c r="D532" t="s">
        <v>47</v>
      </c>
      <c r="E532" t="s">
        <v>48</v>
      </c>
      <c r="F532" t="s">
        <v>25</v>
      </c>
      <c r="G532" t="s">
        <v>16</v>
      </c>
      <c r="H532" t="s">
        <v>21</v>
      </c>
      <c r="I532">
        <v>4</v>
      </c>
      <c r="J532">
        <v>0</v>
      </c>
      <c r="K532">
        <v>405.52</v>
      </c>
      <c r="L532">
        <v>13.7</v>
      </c>
      <c r="M532" t="s">
        <v>2462</v>
      </c>
      <c r="N532" t="s">
        <v>2458</v>
      </c>
      <c r="O532" t="s">
        <v>2463</v>
      </c>
      <c r="P532">
        <v>71.489999999999995</v>
      </c>
      <c r="Q532">
        <v>112.88</v>
      </c>
      <c r="R532">
        <v>285.95999999999998</v>
      </c>
      <c r="S532">
        <v>105.86</v>
      </c>
      <c r="T532">
        <v>0.26104754389425922</v>
      </c>
      <c r="U532" s="1">
        <v>45689</v>
      </c>
      <c r="V532" t="s">
        <v>2499</v>
      </c>
      <c r="W532">
        <v>2025</v>
      </c>
    </row>
    <row r="533" spans="1:23" x14ac:dyDescent="0.25">
      <c r="A533" t="s">
        <v>580</v>
      </c>
      <c r="B533" s="1">
        <v>45411</v>
      </c>
      <c r="C533" s="1">
        <v>45414</v>
      </c>
      <c r="D533" t="s">
        <v>47</v>
      </c>
      <c r="E533" t="s">
        <v>71</v>
      </c>
      <c r="F533" t="s">
        <v>25</v>
      </c>
      <c r="G533" t="s">
        <v>20</v>
      </c>
      <c r="H533" t="s">
        <v>60</v>
      </c>
      <c r="I533">
        <v>4</v>
      </c>
      <c r="J533">
        <v>0.05</v>
      </c>
      <c r="K533">
        <v>432.06</v>
      </c>
      <c r="L533">
        <v>9.5</v>
      </c>
      <c r="M533" t="s">
        <v>2469</v>
      </c>
      <c r="N533" t="s">
        <v>2467</v>
      </c>
      <c r="O533" t="s">
        <v>2468</v>
      </c>
      <c r="P533">
        <v>54.95</v>
      </c>
      <c r="Q533">
        <v>112.56</v>
      </c>
      <c r="R533">
        <v>219.8</v>
      </c>
      <c r="S533">
        <v>202.76</v>
      </c>
      <c r="T533">
        <v>0.46928667314724803</v>
      </c>
      <c r="U533" s="1">
        <v>45383</v>
      </c>
      <c r="V533" t="s">
        <v>2498</v>
      </c>
      <c r="W533">
        <v>2024</v>
      </c>
    </row>
    <row r="534" spans="1:23" x14ac:dyDescent="0.25">
      <c r="A534" t="s">
        <v>581</v>
      </c>
      <c r="B534" s="1">
        <v>45965</v>
      </c>
      <c r="C534" s="1">
        <v>45967</v>
      </c>
      <c r="D534" t="s">
        <v>32</v>
      </c>
      <c r="E534" t="s">
        <v>62</v>
      </c>
      <c r="F534" t="s">
        <v>25</v>
      </c>
      <c r="G534" t="s">
        <v>20</v>
      </c>
      <c r="H534" t="s">
        <v>34</v>
      </c>
      <c r="I534">
        <v>3</v>
      </c>
      <c r="J534">
        <v>0</v>
      </c>
      <c r="K534">
        <v>841.1</v>
      </c>
      <c r="L534">
        <v>11.4</v>
      </c>
      <c r="M534" t="s">
        <v>2460</v>
      </c>
      <c r="N534" t="s">
        <v>2458</v>
      </c>
      <c r="O534" t="s">
        <v>2461</v>
      </c>
      <c r="P534">
        <v>119.02</v>
      </c>
      <c r="Q534">
        <v>205.39</v>
      </c>
      <c r="R534">
        <v>357.06</v>
      </c>
      <c r="S534">
        <v>472.64000000000004</v>
      </c>
      <c r="T534">
        <v>0.56193080489834746</v>
      </c>
      <c r="U534" s="1">
        <v>45962</v>
      </c>
      <c r="V534" t="s">
        <v>2499</v>
      </c>
      <c r="W534">
        <v>2025</v>
      </c>
    </row>
    <row r="535" spans="1:23" x14ac:dyDescent="0.25">
      <c r="A535" t="s">
        <v>582</v>
      </c>
      <c r="B535" s="1">
        <v>45327</v>
      </c>
      <c r="C535" s="1">
        <v>45330</v>
      </c>
      <c r="D535" t="s">
        <v>13</v>
      </c>
      <c r="E535" t="s">
        <v>14</v>
      </c>
      <c r="F535" t="s">
        <v>29</v>
      </c>
      <c r="G535" t="s">
        <v>16</v>
      </c>
      <c r="H535" t="s">
        <v>34</v>
      </c>
      <c r="I535">
        <v>4</v>
      </c>
      <c r="J535">
        <v>0</v>
      </c>
      <c r="K535">
        <v>760.27</v>
      </c>
      <c r="L535">
        <v>13.7</v>
      </c>
      <c r="M535" t="s">
        <v>2460</v>
      </c>
      <c r="N535" t="s">
        <v>2458</v>
      </c>
      <c r="O535" t="s">
        <v>2461</v>
      </c>
      <c r="P535">
        <v>119.02</v>
      </c>
      <c r="Q535">
        <v>205.39</v>
      </c>
      <c r="R535">
        <v>476.08</v>
      </c>
      <c r="S535">
        <v>270.49</v>
      </c>
      <c r="T535">
        <v>0.35578149867810122</v>
      </c>
      <c r="U535" s="1">
        <v>45323</v>
      </c>
      <c r="V535" t="s">
        <v>2499</v>
      </c>
      <c r="W535">
        <v>2024</v>
      </c>
    </row>
    <row r="536" spans="1:23" x14ac:dyDescent="0.25">
      <c r="A536" t="s">
        <v>583</v>
      </c>
      <c r="B536" s="1">
        <v>46018</v>
      </c>
      <c r="C536" s="1">
        <v>46021</v>
      </c>
      <c r="D536" t="s">
        <v>32</v>
      </c>
      <c r="E536" t="s">
        <v>62</v>
      </c>
      <c r="F536" t="s">
        <v>25</v>
      </c>
      <c r="G536" t="s">
        <v>26</v>
      </c>
      <c r="H536" t="s">
        <v>27</v>
      </c>
      <c r="I536">
        <v>3</v>
      </c>
      <c r="J536">
        <v>0</v>
      </c>
      <c r="K536">
        <v>123.57</v>
      </c>
      <c r="L536">
        <v>5.85</v>
      </c>
      <c r="M536" t="s">
        <v>2478</v>
      </c>
      <c r="N536" t="s">
        <v>2474</v>
      </c>
      <c r="O536" t="s">
        <v>2463</v>
      </c>
      <c r="P536">
        <v>16.760000000000002</v>
      </c>
      <c r="Q536">
        <v>27.71</v>
      </c>
      <c r="R536">
        <v>50.28</v>
      </c>
      <c r="S536">
        <v>67.44</v>
      </c>
      <c r="T536">
        <v>0.54576353483855311</v>
      </c>
      <c r="U536" s="1">
        <v>45992</v>
      </c>
      <c r="V536" t="s">
        <v>2499</v>
      </c>
      <c r="W536">
        <v>2025</v>
      </c>
    </row>
    <row r="537" spans="1:23" x14ac:dyDescent="0.25">
      <c r="A537" t="s">
        <v>584</v>
      </c>
      <c r="B537" s="1">
        <v>45618</v>
      </c>
      <c r="C537" s="1">
        <v>45620</v>
      </c>
      <c r="D537" t="s">
        <v>47</v>
      </c>
      <c r="E537" t="s">
        <v>48</v>
      </c>
      <c r="F537" t="s">
        <v>25</v>
      </c>
      <c r="G537" t="s">
        <v>16</v>
      </c>
      <c r="H537" t="s">
        <v>87</v>
      </c>
      <c r="I537">
        <v>6</v>
      </c>
      <c r="J537">
        <v>0</v>
      </c>
      <c r="K537">
        <v>66.45</v>
      </c>
      <c r="L537">
        <v>4.32</v>
      </c>
      <c r="M537" t="s">
        <v>2476</v>
      </c>
      <c r="N537" t="s">
        <v>2474</v>
      </c>
      <c r="O537" t="s">
        <v>2459</v>
      </c>
      <c r="P537">
        <v>4.5</v>
      </c>
      <c r="Q537">
        <v>8.2899999999999991</v>
      </c>
      <c r="R537">
        <v>27</v>
      </c>
      <c r="S537">
        <v>35.130000000000003</v>
      </c>
      <c r="T537">
        <v>0.52866817155756207</v>
      </c>
      <c r="U537" s="1">
        <v>45597</v>
      </c>
      <c r="V537" t="s">
        <v>2499</v>
      </c>
      <c r="W537">
        <v>2024</v>
      </c>
    </row>
    <row r="538" spans="1:23" x14ac:dyDescent="0.25">
      <c r="A538" t="s">
        <v>585</v>
      </c>
      <c r="B538" s="1">
        <v>45833</v>
      </c>
      <c r="C538" s="1">
        <v>45838</v>
      </c>
      <c r="D538" t="s">
        <v>13</v>
      </c>
      <c r="E538" t="s">
        <v>14</v>
      </c>
      <c r="F538" t="s">
        <v>25</v>
      </c>
      <c r="G538" t="s">
        <v>20</v>
      </c>
      <c r="H538" t="s">
        <v>60</v>
      </c>
      <c r="I538">
        <v>2</v>
      </c>
      <c r="J538">
        <v>0</v>
      </c>
      <c r="K538">
        <v>228.88</v>
      </c>
      <c r="L538">
        <v>7</v>
      </c>
      <c r="M538" t="s">
        <v>2469</v>
      </c>
      <c r="N538" t="s">
        <v>2467</v>
      </c>
      <c r="O538" t="s">
        <v>2468</v>
      </c>
      <c r="P538">
        <v>54.95</v>
      </c>
      <c r="Q538">
        <v>112.56</v>
      </c>
      <c r="R538">
        <v>109.9</v>
      </c>
      <c r="S538">
        <v>111.97999999999999</v>
      </c>
      <c r="T538">
        <v>0.48925200978678779</v>
      </c>
      <c r="U538" s="1">
        <v>45809</v>
      </c>
      <c r="V538" t="s">
        <v>2499</v>
      </c>
      <c r="W538">
        <v>2025</v>
      </c>
    </row>
    <row r="539" spans="1:23" x14ac:dyDescent="0.25">
      <c r="A539" t="s">
        <v>586</v>
      </c>
      <c r="B539" s="1">
        <v>45452</v>
      </c>
      <c r="C539" s="1">
        <v>45458</v>
      </c>
      <c r="D539" t="s">
        <v>32</v>
      </c>
      <c r="E539" t="s">
        <v>33</v>
      </c>
      <c r="F539" t="s">
        <v>25</v>
      </c>
      <c r="G539" t="s">
        <v>16</v>
      </c>
      <c r="H539" t="s">
        <v>30</v>
      </c>
      <c r="I539">
        <v>25</v>
      </c>
      <c r="J539">
        <v>0</v>
      </c>
      <c r="K539">
        <v>148.09</v>
      </c>
      <c r="L539">
        <v>9.4499999999999993</v>
      </c>
      <c r="M539" t="s">
        <v>2473</v>
      </c>
      <c r="N539" t="s">
        <v>2474</v>
      </c>
      <c r="O539" t="s">
        <v>2463</v>
      </c>
      <c r="P539">
        <v>3.62</v>
      </c>
      <c r="Q539">
        <v>6.03</v>
      </c>
      <c r="R539">
        <v>90.5</v>
      </c>
      <c r="S539">
        <v>48.14</v>
      </c>
      <c r="T539">
        <v>0.32507259099196434</v>
      </c>
      <c r="U539" s="1">
        <v>45444</v>
      </c>
      <c r="V539" t="s">
        <v>2499</v>
      </c>
      <c r="W539">
        <v>2024</v>
      </c>
    </row>
    <row r="540" spans="1:23" x14ac:dyDescent="0.25">
      <c r="A540" t="s">
        <v>587</v>
      </c>
      <c r="B540" s="1">
        <v>45804</v>
      </c>
      <c r="C540" s="1">
        <v>45810</v>
      </c>
      <c r="D540" t="s">
        <v>13</v>
      </c>
      <c r="E540" t="s">
        <v>36</v>
      </c>
      <c r="F540" t="s">
        <v>15</v>
      </c>
      <c r="G540" t="s">
        <v>20</v>
      </c>
      <c r="H540" t="s">
        <v>34</v>
      </c>
      <c r="I540">
        <v>1</v>
      </c>
      <c r="J540">
        <v>0.05</v>
      </c>
      <c r="K540">
        <v>189.82</v>
      </c>
      <c r="L540">
        <v>4.08</v>
      </c>
      <c r="M540" t="s">
        <v>2460</v>
      </c>
      <c r="N540" t="s">
        <v>2458</v>
      </c>
      <c r="O540" t="s">
        <v>2461</v>
      </c>
      <c r="P540">
        <v>119.02</v>
      </c>
      <c r="Q540">
        <v>205.39</v>
      </c>
      <c r="R540">
        <v>119.02</v>
      </c>
      <c r="S540">
        <v>66.72</v>
      </c>
      <c r="T540">
        <v>0.35149088610262352</v>
      </c>
      <c r="U540" s="1">
        <v>45778</v>
      </c>
      <c r="V540" t="s">
        <v>2498</v>
      </c>
      <c r="W540">
        <v>2025</v>
      </c>
    </row>
    <row r="541" spans="1:23" x14ac:dyDescent="0.25">
      <c r="A541" t="s">
        <v>588</v>
      </c>
      <c r="B541" s="1">
        <v>45495</v>
      </c>
      <c r="C541" s="1">
        <v>45498</v>
      </c>
      <c r="D541" t="s">
        <v>32</v>
      </c>
      <c r="E541" t="s">
        <v>33</v>
      </c>
      <c r="F541" t="s">
        <v>15</v>
      </c>
      <c r="G541" t="s">
        <v>20</v>
      </c>
      <c r="H541" t="s">
        <v>27</v>
      </c>
      <c r="I541">
        <v>12</v>
      </c>
      <c r="J541">
        <v>0</v>
      </c>
      <c r="K541">
        <v>302.02999999999997</v>
      </c>
      <c r="L541">
        <v>5.94</v>
      </c>
      <c r="M541" t="s">
        <v>2478</v>
      </c>
      <c r="N541" t="s">
        <v>2474</v>
      </c>
      <c r="O541" t="s">
        <v>2463</v>
      </c>
      <c r="P541">
        <v>16.760000000000002</v>
      </c>
      <c r="Q541">
        <v>27.71</v>
      </c>
      <c r="R541">
        <v>201.12</v>
      </c>
      <c r="S541">
        <v>94.96999999999997</v>
      </c>
      <c r="T541">
        <v>0.31443896301691876</v>
      </c>
      <c r="U541" s="1">
        <v>45474</v>
      </c>
      <c r="V541" t="s">
        <v>2499</v>
      </c>
      <c r="W541">
        <v>2024</v>
      </c>
    </row>
    <row r="542" spans="1:23" x14ac:dyDescent="0.25">
      <c r="A542" t="s">
        <v>589</v>
      </c>
      <c r="B542" s="1">
        <v>45814</v>
      </c>
      <c r="C542" s="1">
        <v>45816</v>
      </c>
      <c r="D542" t="s">
        <v>47</v>
      </c>
      <c r="E542" t="s">
        <v>71</v>
      </c>
      <c r="F542" t="s">
        <v>29</v>
      </c>
      <c r="G542" t="s">
        <v>20</v>
      </c>
      <c r="H542" t="s">
        <v>60</v>
      </c>
      <c r="I542">
        <v>1</v>
      </c>
      <c r="J542">
        <v>0.2</v>
      </c>
      <c r="K542">
        <v>88.53</v>
      </c>
      <c r="L542">
        <v>5.75</v>
      </c>
      <c r="M542" t="s">
        <v>2469</v>
      </c>
      <c r="N542" t="s">
        <v>2467</v>
      </c>
      <c r="O542" t="s">
        <v>2468</v>
      </c>
      <c r="P542">
        <v>54.95</v>
      </c>
      <c r="Q542">
        <v>112.56</v>
      </c>
      <c r="R542">
        <v>54.95</v>
      </c>
      <c r="S542">
        <v>27.83</v>
      </c>
      <c r="T542">
        <v>0.31435671523777248</v>
      </c>
      <c r="U542" s="1">
        <v>45809</v>
      </c>
      <c r="V542" t="s">
        <v>2500</v>
      </c>
      <c r="W542">
        <v>2025</v>
      </c>
    </row>
    <row r="543" spans="1:23" x14ac:dyDescent="0.25">
      <c r="A543" t="s">
        <v>590</v>
      </c>
      <c r="B543" s="1">
        <v>45338</v>
      </c>
      <c r="C543" s="1">
        <v>45340</v>
      </c>
      <c r="D543" t="s">
        <v>47</v>
      </c>
      <c r="E543" t="s">
        <v>71</v>
      </c>
      <c r="F543" t="s">
        <v>15</v>
      </c>
      <c r="G543" t="s">
        <v>26</v>
      </c>
      <c r="H543" t="s">
        <v>21</v>
      </c>
      <c r="I543">
        <v>3</v>
      </c>
      <c r="J543">
        <v>0</v>
      </c>
      <c r="K543">
        <v>309.01</v>
      </c>
      <c r="L543">
        <v>11.4</v>
      </c>
      <c r="M543" t="s">
        <v>2462</v>
      </c>
      <c r="N543" t="s">
        <v>2458</v>
      </c>
      <c r="O543" t="s">
        <v>2463</v>
      </c>
      <c r="P543">
        <v>71.489999999999995</v>
      </c>
      <c r="Q543">
        <v>112.88</v>
      </c>
      <c r="R543">
        <v>214.46999999999997</v>
      </c>
      <c r="S543">
        <v>83.140000000000015</v>
      </c>
      <c r="T543">
        <v>0.26905278146338313</v>
      </c>
      <c r="U543" s="1">
        <v>45323</v>
      </c>
      <c r="V543" t="s">
        <v>2499</v>
      </c>
      <c r="W543">
        <v>2024</v>
      </c>
    </row>
    <row r="544" spans="1:23" x14ac:dyDescent="0.25">
      <c r="A544" t="s">
        <v>591</v>
      </c>
      <c r="B544" s="1">
        <v>46005</v>
      </c>
      <c r="C544" s="1">
        <v>46011</v>
      </c>
      <c r="D544" t="s">
        <v>32</v>
      </c>
      <c r="E544" t="s">
        <v>62</v>
      </c>
      <c r="F544" t="s">
        <v>15</v>
      </c>
      <c r="G544" t="s">
        <v>20</v>
      </c>
      <c r="H544" t="s">
        <v>27</v>
      </c>
      <c r="I544">
        <v>13</v>
      </c>
      <c r="J544">
        <v>0</v>
      </c>
      <c r="K544">
        <v>524.66999999999996</v>
      </c>
      <c r="L544">
        <v>10.35</v>
      </c>
      <c r="M544" t="s">
        <v>2478</v>
      </c>
      <c r="N544" t="s">
        <v>2474</v>
      </c>
      <c r="O544" t="s">
        <v>2463</v>
      </c>
      <c r="P544">
        <v>16.760000000000002</v>
      </c>
      <c r="Q544">
        <v>27.71</v>
      </c>
      <c r="R544">
        <v>217.88000000000002</v>
      </c>
      <c r="S544">
        <v>296.43999999999994</v>
      </c>
      <c r="T544">
        <v>0.56500276364190816</v>
      </c>
      <c r="U544" s="1">
        <v>45992</v>
      </c>
      <c r="V544" t="s">
        <v>2499</v>
      </c>
      <c r="W544">
        <v>2025</v>
      </c>
    </row>
    <row r="545" spans="1:23" x14ac:dyDescent="0.25">
      <c r="A545" t="s">
        <v>592</v>
      </c>
      <c r="B545" s="1">
        <v>45874</v>
      </c>
      <c r="C545" s="1">
        <v>45875</v>
      </c>
      <c r="D545" t="s">
        <v>32</v>
      </c>
      <c r="E545" t="s">
        <v>33</v>
      </c>
      <c r="F545" t="s">
        <v>25</v>
      </c>
      <c r="G545" t="s">
        <v>16</v>
      </c>
      <c r="H545" t="s">
        <v>65</v>
      </c>
      <c r="I545">
        <v>2</v>
      </c>
      <c r="J545">
        <v>0.2</v>
      </c>
      <c r="K545">
        <v>435.09</v>
      </c>
      <c r="L545">
        <v>5.46</v>
      </c>
      <c r="M545" t="s">
        <v>2457</v>
      </c>
      <c r="N545" t="s">
        <v>2458</v>
      </c>
      <c r="O545" t="s">
        <v>2459</v>
      </c>
      <c r="P545">
        <v>173.56</v>
      </c>
      <c r="Q545">
        <v>286.14999999999998</v>
      </c>
      <c r="R545">
        <v>347.12</v>
      </c>
      <c r="S545">
        <v>82.509999999999977</v>
      </c>
      <c r="T545">
        <v>0.18963892527982712</v>
      </c>
      <c r="U545" s="1">
        <v>45870</v>
      </c>
      <c r="V545" t="s">
        <v>2500</v>
      </c>
      <c r="W545">
        <v>2025</v>
      </c>
    </row>
    <row r="546" spans="1:23" x14ac:dyDescent="0.25">
      <c r="A546" t="s">
        <v>593</v>
      </c>
      <c r="B546" s="1">
        <v>45765</v>
      </c>
      <c r="C546" s="1">
        <v>45770</v>
      </c>
      <c r="D546" t="s">
        <v>13</v>
      </c>
      <c r="E546" t="s">
        <v>36</v>
      </c>
      <c r="F546" t="s">
        <v>25</v>
      </c>
      <c r="G546" t="s">
        <v>20</v>
      </c>
      <c r="H546" t="s">
        <v>21</v>
      </c>
      <c r="I546">
        <v>1</v>
      </c>
      <c r="J546">
        <v>0</v>
      </c>
      <c r="K546">
        <v>105.73</v>
      </c>
      <c r="L546">
        <v>6.8</v>
      </c>
      <c r="M546" t="s">
        <v>2462</v>
      </c>
      <c r="N546" t="s">
        <v>2458</v>
      </c>
      <c r="O546" t="s">
        <v>2463</v>
      </c>
      <c r="P546">
        <v>71.489999999999995</v>
      </c>
      <c r="Q546">
        <v>112.88</v>
      </c>
      <c r="R546">
        <v>71.489999999999995</v>
      </c>
      <c r="S546">
        <v>27.440000000000008</v>
      </c>
      <c r="T546">
        <v>0.25952898893407744</v>
      </c>
      <c r="U546" s="1">
        <v>45748</v>
      </c>
      <c r="V546" t="s">
        <v>2499</v>
      </c>
      <c r="W546">
        <v>2025</v>
      </c>
    </row>
    <row r="547" spans="1:23" x14ac:dyDescent="0.25">
      <c r="A547" t="s">
        <v>594</v>
      </c>
      <c r="B547" s="1">
        <v>45330</v>
      </c>
      <c r="C547" s="1">
        <v>45335</v>
      </c>
      <c r="D547" t="s">
        <v>47</v>
      </c>
      <c r="E547" t="s">
        <v>71</v>
      </c>
      <c r="F547" t="s">
        <v>29</v>
      </c>
      <c r="G547" t="s">
        <v>16</v>
      </c>
      <c r="H547" t="s">
        <v>39</v>
      </c>
      <c r="I547">
        <v>7</v>
      </c>
      <c r="J547">
        <v>0</v>
      </c>
      <c r="K547">
        <v>1258.05</v>
      </c>
      <c r="L547">
        <v>7.95</v>
      </c>
      <c r="M547" t="s">
        <v>2471</v>
      </c>
      <c r="N547" t="s">
        <v>2467</v>
      </c>
      <c r="O547" t="s">
        <v>2461</v>
      </c>
      <c r="P547">
        <v>112.09</v>
      </c>
      <c r="Q547">
        <v>192.47</v>
      </c>
      <c r="R547">
        <v>784.63</v>
      </c>
      <c r="S547">
        <v>465.46999999999997</v>
      </c>
      <c r="T547">
        <v>0.36999324351178409</v>
      </c>
      <c r="U547" s="1">
        <v>45323</v>
      </c>
      <c r="V547" t="s">
        <v>2499</v>
      </c>
      <c r="W547">
        <v>2024</v>
      </c>
    </row>
    <row r="548" spans="1:23" x14ac:dyDescent="0.25">
      <c r="A548" t="s">
        <v>595</v>
      </c>
      <c r="B548" s="1">
        <v>45324</v>
      </c>
      <c r="C548" s="1">
        <v>45329</v>
      </c>
      <c r="D548" t="s">
        <v>13</v>
      </c>
      <c r="E548" t="s">
        <v>19</v>
      </c>
      <c r="F548" t="s">
        <v>29</v>
      </c>
      <c r="G548" t="s">
        <v>26</v>
      </c>
      <c r="H548" t="s">
        <v>27</v>
      </c>
      <c r="I548">
        <v>8</v>
      </c>
      <c r="J548">
        <v>0</v>
      </c>
      <c r="K548">
        <v>206.57</v>
      </c>
      <c r="L548">
        <v>4.8600000000000003</v>
      </c>
      <c r="M548" t="s">
        <v>2478</v>
      </c>
      <c r="N548" t="s">
        <v>2474</v>
      </c>
      <c r="O548" t="s">
        <v>2463</v>
      </c>
      <c r="P548">
        <v>16.760000000000002</v>
      </c>
      <c r="Q548">
        <v>27.71</v>
      </c>
      <c r="R548">
        <v>134.08000000000001</v>
      </c>
      <c r="S548">
        <v>67.629999999999981</v>
      </c>
      <c r="T548">
        <v>0.3273950718884639</v>
      </c>
      <c r="U548" s="1">
        <v>45323</v>
      </c>
      <c r="V548" t="s">
        <v>2499</v>
      </c>
      <c r="W548">
        <v>2024</v>
      </c>
    </row>
    <row r="549" spans="1:23" x14ac:dyDescent="0.25">
      <c r="A549" t="s">
        <v>596</v>
      </c>
      <c r="B549" s="1">
        <v>45725</v>
      </c>
      <c r="C549" s="1">
        <v>45729</v>
      </c>
      <c r="D549" t="s">
        <v>47</v>
      </c>
      <c r="E549" t="s">
        <v>48</v>
      </c>
      <c r="F549" t="s">
        <v>29</v>
      </c>
      <c r="G549" t="s">
        <v>26</v>
      </c>
      <c r="H549" t="s">
        <v>21</v>
      </c>
      <c r="I549">
        <v>2</v>
      </c>
      <c r="J549">
        <v>0</v>
      </c>
      <c r="K549">
        <v>215.61</v>
      </c>
      <c r="L549">
        <v>5.46</v>
      </c>
      <c r="M549" t="s">
        <v>2462</v>
      </c>
      <c r="N549" t="s">
        <v>2458</v>
      </c>
      <c r="O549" t="s">
        <v>2463</v>
      </c>
      <c r="P549">
        <v>71.489999999999995</v>
      </c>
      <c r="Q549">
        <v>112.88</v>
      </c>
      <c r="R549">
        <v>142.97999999999999</v>
      </c>
      <c r="S549">
        <v>67.17000000000003</v>
      </c>
      <c r="T549">
        <v>0.31153471545846678</v>
      </c>
      <c r="U549" s="1">
        <v>45717</v>
      </c>
      <c r="V549" t="s">
        <v>2499</v>
      </c>
      <c r="W549">
        <v>2025</v>
      </c>
    </row>
    <row r="550" spans="1:23" x14ac:dyDescent="0.25">
      <c r="A550" t="s">
        <v>597</v>
      </c>
      <c r="B550" s="1">
        <v>45902</v>
      </c>
      <c r="C550" s="1">
        <v>45908</v>
      </c>
      <c r="D550" t="s">
        <v>23</v>
      </c>
      <c r="E550" t="s">
        <v>59</v>
      </c>
      <c r="F550" t="s">
        <v>29</v>
      </c>
      <c r="G550" t="s">
        <v>20</v>
      </c>
      <c r="H550" t="s">
        <v>17</v>
      </c>
      <c r="I550">
        <v>3</v>
      </c>
      <c r="J550">
        <v>0</v>
      </c>
      <c r="K550">
        <v>416.96</v>
      </c>
      <c r="L550">
        <v>4.95</v>
      </c>
      <c r="M550" t="s">
        <v>2472</v>
      </c>
      <c r="N550" t="s">
        <v>2467</v>
      </c>
      <c r="O550" t="s">
        <v>2468</v>
      </c>
      <c r="P550">
        <v>63.69</v>
      </c>
      <c r="Q550">
        <v>125.5</v>
      </c>
      <c r="R550">
        <v>191.07</v>
      </c>
      <c r="S550">
        <v>220.94</v>
      </c>
      <c r="T550">
        <v>0.5298829623944743</v>
      </c>
      <c r="U550" s="1">
        <v>45901</v>
      </c>
      <c r="V550" t="s">
        <v>2499</v>
      </c>
      <c r="W550">
        <v>2025</v>
      </c>
    </row>
    <row r="551" spans="1:23" x14ac:dyDescent="0.25">
      <c r="A551" t="s">
        <v>598</v>
      </c>
      <c r="B551" s="1">
        <v>45660</v>
      </c>
      <c r="C551" s="1">
        <v>45661</v>
      </c>
      <c r="D551" t="s">
        <v>32</v>
      </c>
      <c r="E551" t="s">
        <v>45</v>
      </c>
      <c r="F551" t="s">
        <v>29</v>
      </c>
      <c r="G551" t="s">
        <v>16</v>
      </c>
      <c r="H551" t="s">
        <v>87</v>
      </c>
      <c r="I551">
        <v>3</v>
      </c>
      <c r="J551">
        <v>0</v>
      </c>
      <c r="K551">
        <v>21.32</v>
      </c>
      <c r="L551">
        <v>3.51</v>
      </c>
      <c r="M551" t="s">
        <v>2476</v>
      </c>
      <c r="N551" t="s">
        <v>2474</v>
      </c>
      <c r="O551" t="s">
        <v>2459</v>
      </c>
      <c r="P551">
        <v>4.5</v>
      </c>
      <c r="Q551">
        <v>8.2899999999999991</v>
      </c>
      <c r="R551">
        <v>13.5</v>
      </c>
      <c r="S551">
        <v>4.3100000000000005</v>
      </c>
      <c r="T551">
        <v>0.20215759849906192</v>
      </c>
      <c r="U551" s="1">
        <v>45658</v>
      </c>
      <c r="V551" t="s">
        <v>2499</v>
      </c>
      <c r="W551">
        <v>2025</v>
      </c>
    </row>
    <row r="552" spans="1:23" x14ac:dyDescent="0.25">
      <c r="A552" t="s">
        <v>599</v>
      </c>
      <c r="B552" s="1">
        <v>45331</v>
      </c>
      <c r="C552" s="1">
        <v>45334</v>
      </c>
      <c r="D552" t="s">
        <v>32</v>
      </c>
      <c r="E552" t="s">
        <v>62</v>
      </c>
      <c r="F552" t="s">
        <v>15</v>
      </c>
      <c r="G552" t="s">
        <v>26</v>
      </c>
      <c r="H552" t="s">
        <v>34</v>
      </c>
      <c r="I552">
        <v>1</v>
      </c>
      <c r="J552">
        <v>0.1</v>
      </c>
      <c r="K552">
        <v>174.78</v>
      </c>
      <c r="L552">
        <v>6.8</v>
      </c>
      <c r="M552" t="s">
        <v>2460</v>
      </c>
      <c r="N552" t="s">
        <v>2458</v>
      </c>
      <c r="O552" t="s">
        <v>2461</v>
      </c>
      <c r="P552">
        <v>119.02</v>
      </c>
      <c r="Q552">
        <v>205.39</v>
      </c>
      <c r="R552">
        <v>119.02</v>
      </c>
      <c r="S552">
        <v>48.960000000000008</v>
      </c>
      <c r="T552">
        <v>0.28012358393408859</v>
      </c>
      <c r="U552" s="1">
        <v>45323</v>
      </c>
      <c r="V552" t="s">
        <v>2498</v>
      </c>
      <c r="W552">
        <v>2024</v>
      </c>
    </row>
    <row r="553" spans="1:23" x14ac:dyDescent="0.25">
      <c r="A553" t="s">
        <v>600</v>
      </c>
      <c r="B553" s="1">
        <v>45501</v>
      </c>
      <c r="C553" s="1">
        <v>45502</v>
      </c>
      <c r="D553" t="s">
        <v>23</v>
      </c>
      <c r="E553" t="s">
        <v>59</v>
      </c>
      <c r="F553" t="s">
        <v>15</v>
      </c>
      <c r="G553" t="s">
        <v>26</v>
      </c>
      <c r="H553" t="s">
        <v>63</v>
      </c>
      <c r="I553">
        <v>9</v>
      </c>
      <c r="J553">
        <v>0</v>
      </c>
      <c r="K553">
        <v>97.93</v>
      </c>
      <c r="L553">
        <v>5.13</v>
      </c>
      <c r="M553" t="s">
        <v>2477</v>
      </c>
      <c r="N553" t="s">
        <v>2474</v>
      </c>
      <c r="O553" t="s">
        <v>2468</v>
      </c>
      <c r="P553">
        <v>6.33</v>
      </c>
      <c r="Q553">
        <v>12.16</v>
      </c>
      <c r="R553">
        <v>56.97</v>
      </c>
      <c r="S553">
        <v>35.830000000000005</v>
      </c>
      <c r="T553">
        <v>0.36587358317165325</v>
      </c>
      <c r="U553" s="1">
        <v>45474</v>
      </c>
      <c r="V553" t="s">
        <v>2499</v>
      </c>
      <c r="W553">
        <v>2024</v>
      </c>
    </row>
    <row r="554" spans="1:23" x14ac:dyDescent="0.25">
      <c r="A554" t="s">
        <v>601</v>
      </c>
      <c r="B554" s="1">
        <v>45516</v>
      </c>
      <c r="C554" s="1">
        <v>45517</v>
      </c>
      <c r="D554" t="s">
        <v>32</v>
      </c>
      <c r="E554" t="s">
        <v>45</v>
      </c>
      <c r="F554" t="s">
        <v>29</v>
      </c>
      <c r="G554" t="s">
        <v>16</v>
      </c>
      <c r="H554" t="s">
        <v>53</v>
      </c>
      <c r="I554">
        <v>4</v>
      </c>
      <c r="J554">
        <v>0.05</v>
      </c>
      <c r="K554">
        <v>205.91</v>
      </c>
      <c r="L554">
        <v>5.7</v>
      </c>
      <c r="M554" t="s">
        <v>2470</v>
      </c>
      <c r="N554" t="s">
        <v>2467</v>
      </c>
      <c r="O554" t="s">
        <v>2459</v>
      </c>
      <c r="P554">
        <v>31.34</v>
      </c>
      <c r="Q554">
        <v>56.49</v>
      </c>
      <c r="R554">
        <v>125.36</v>
      </c>
      <c r="S554">
        <v>74.849999999999994</v>
      </c>
      <c r="T554">
        <v>0.36350832888155016</v>
      </c>
      <c r="U554" s="1">
        <v>45505</v>
      </c>
      <c r="V554" t="s">
        <v>2498</v>
      </c>
      <c r="W554">
        <v>2024</v>
      </c>
    </row>
    <row r="555" spans="1:23" x14ac:dyDescent="0.25">
      <c r="A555" t="s">
        <v>602</v>
      </c>
      <c r="B555" s="1">
        <v>45420</v>
      </c>
      <c r="C555" s="1">
        <v>45422</v>
      </c>
      <c r="D555" t="s">
        <v>13</v>
      </c>
      <c r="E555" t="s">
        <v>19</v>
      </c>
      <c r="F555" t="s">
        <v>25</v>
      </c>
      <c r="G555" t="s">
        <v>20</v>
      </c>
      <c r="H555" t="s">
        <v>34</v>
      </c>
      <c r="I555">
        <v>2</v>
      </c>
      <c r="J555">
        <v>0.2</v>
      </c>
      <c r="K555">
        <v>319.62</v>
      </c>
      <c r="L555">
        <v>5.46</v>
      </c>
      <c r="M555" t="s">
        <v>2460</v>
      </c>
      <c r="N555" t="s">
        <v>2458</v>
      </c>
      <c r="O555" t="s">
        <v>2461</v>
      </c>
      <c r="P555">
        <v>119.02</v>
      </c>
      <c r="Q555">
        <v>205.39</v>
      </c>
      <c r="R555">
        <v>238.04</v>
      </c>
      <c r="S555">
        <v>76.120000000000019</v>
      </c>
      <c r="T555">
        <v>0.23815781240222769</v>
      </c>
      <c r="U555" s="1">
        <v>45413</v>
      </c>
      <c r="V555" t="s">
        <v>2500</v>
      </c>
      <c r="W555">
        <v>2024</v>
      </c>
    </row>
    <row r="556" spans="1:23" x14ac:dyDescent="0.25">
      <c r="A556" t="s">
        <v>603</v>
      </c>
      <c r="B556" s="1">
        <v>45787</v>
      </c>
      <c r="C556" s="1">
        <v>45788</v>
      </c>
      <c r="D556" t="s">
        <v>32</v>
      </c>
      <c r="E556" t="s">
        <v>33</v>
      </c>
      <c r="F556" t="s">
        <v>29</v>
      </c>
      <c r="G556" t="s">
        <v>26</v>
      </c>
      <c r="H556" t="s">
        <v>51</v>
      </c>
      <c r="I556">
        <v>10</v>
      </c>
      <c r="J556">
        <v>0</v>
      </c>
      <c r="K556">
        <v>154.19</v>
      </c>
      <c r="L556">
        <v>9</v>
      </c>
      <c r="M556" t="s">
        <v>2475</v>
      </c>
      <c r="N556" t="s">
        <v>2474</v>
      </c>
      <c r="O556" t="s">
        <v>2463</v>
      </c>
      <c r="P556">
        <v>7.93</v>
      </c>
      <c r="Q556">
        <v>14.78</v>
      </c>
      <c r="R556">
        <v>79.3</v>
      </c>
      <c r="S556">
        <v>65.89</v>
      </c>
      <c r="T556">
        <v>0.42732991763408784</v>
      </c>
      <c r="U556" s="1">
        <v>45778</v>
      </c>
      <c r="V556" t="s">
        <v>2499</v>
      </c>
      <c r="W556">
        <v>2025</v>
      </c>
    </row>
    <row r="557" spans="1:23" x14ac:dyDescent="0.25">
      <c r="A557" t="s">
        <v>604</v>
      </c>
      <c r="B557" s="1">
        <v>45893</v>
      </c>
      <c r="C557" s="1">
        <v>45894</v>
      </c>
      <c r="D557" t="s">
        <v>23</v>
      </c>
      <c r="E557" t="s">
        <v>43</v>
      </c>
      <c r="F557" t="s">
        <v>15</v>
      </c>
      <c r="G557" t="s">
        <v>26</v>
      </c>
      <c r="H557" t="s">
        <v>39</v>
      </c>
      <c r="I557">
        <v>4</v>
      </c>
      <c r="J557">
        <v>0</v>
      </c>
      <c r="K557">
        <v>771.96</v>
      </c>
      <c r="L557">
        <v>9.5</v>
      </c>
      <c r="M557" t="s">
        <v>2471</v>
      </c>
      <c r="N557" t="s">
        <v>2467</v>
      </c>
      <c r="O557" t="s">
        <v>2461</v>
      </c>
      <c r="P557">
        <v>112.09</v>
      </c>
      <c r="Q557">
        <v>192.47</v>
      </c>
      <c r="R557">
        <v>448.36</v>
      </c>
      <c r="S557">
        <v>314.10000000000002</v>
      </c>
      <c r="T557">
        <v>0.40688636716928339</v>
      </c>
      <c r="U557" s="1">
        <v>45870</v>
      </c>
      <c r="V557" t="s">
        <v>2499</v>
      </c>
      <c r="W557">
        <v>2025</v>
      </c>
    </row>
    <row r="558" spans="1:23" x14ac:dyDescent="0.25">
      <c r="A558" t="s">
        <v>605</v>
      </c>
      <c r="B558" s="1">
        <v>45625</v>
      </c>
      <c r="C558" s="1">
        <v>45630</v>
      </c>
      <c r="D558" t="s">
        <v>32</v>
      </c>
      <c r="E558" t="s">
        <v>45</v>
      </c>
      <c r="F558" t="s">
        <v>25</v>
      </c>
      <c r="G558" t="s">
        <v>26</v>
      </c>
      <c r="H558" t="s">
        <v>21</v>
      </c>
      <c r="I558">
        <v>1</v>
      </c>
      <c r="J558">
        <v>0</v>
      </c>
      <c r="K558">
        <v>146.26</v>
      </c>
      <c r="L558">
        <v>4.08</v>
      </c>
      <c r="M558" t="s">
        <v>2462</v>
      </c>
      <c r="N558" t="s">
        <v>2458</v>
      </c>
      <c r="O558" t="s">
        <v>2463</v>
      </c>
      <c r="P558">
        <v>71.489999999999995</v>
      </c>
      <c r="Q558">
        <v>112.88</v>
      </c>
      <c r="R558">
        <v>71.489999999999995</v>
      </c>
      <c r="S558">
        <v>70.69</v>
      </c>
      <c r="T558">
        <v>0.48331738000820457</v>
      </c>
      <c r="U558" s="1">
        <v>45597</v>
      </c>
      <c r="V558" t="s">
        <v>2499</v>
      </c>
      <c r="W558">
        <v>2024</v>
      </c>
    </row>
    <row r="559" spans="1:23" x14ac:dyDescent="0.25">
      <c r="A559" t="s">
        <v>606</v>
      </c>
      <c r="B559" s="1">
        <v>45995</v>
      </c>
      <c r="C559" s="1">
        <v>45997</v>
      </c>
      <c r="D559" t="s">
        <v>32</v>
      </c>
      <c r="E559" t="s">
        <v>62</v>
      </c>
      <c r="F559" t="s">
        <v>29</v>
      </c>
      <c r="G559" t="s">
        <v>26</v>
      </c>
      <c r="H559" t="s">
        <v>27</v>
      </c>
      <c r="I559">
        <v>7</v>
      </c>
      <c r="J559">
        <v>0.1</v>
      </c>
      <c r="K559">
        <v>248.1</v>
      </c>
      <c r="L559">
        <v>4.59</v>
      </c>
      <c r="M559" t="s">
        <v>2478</v>
      </c>
      <c r="N559" t="s">
        <v>2474</v>
      </c>
      <c r="O559" t="s">
        <v>2463</v>
      </c>
      <c r="P559">
        <v>16.760000000000002</v>
      </c>
      <c r="Q559">
        <v>27.71</v>
      </c>
      <c r="R559">
        <v>117.32000000000001</v>
      </c>
      <c r="S559">
        <v>126.18999999999997</v>
      </c>
      <c r="T559">
        <v>0.50862555421201117</v>
      </c>
      <c r="U559" s="1">
        <v>45992</v>
      </c>
      <c r="V559" t="s">
        <v>2498</v>
      </c>
      <c r="W559">
        <v>2025</v>
      </c>
    </row>
    <row r="560" spans="1:23" x14ac:dyDescent="0.25">
      <c r="A560" t="s">
        <v>607</v>
      </c>
      <c r="B560" s="1">
        <v>45755</v>
      </c>
      <c r="C560" s="1">
        <v>45756</v>
      </c>
      <c r="D560" t="s">
        <v>23</v>
      </c>
      <c r="E560" t="s">
        <v>24</v>
      </c>
      <c r="F560" t="s">
        <v>15</v>
      </c>
      <c r="G560" t="s">
        <v>26</v>
      </c>
      <c r="H560" t="s">
        <v>63</v>
      </c>
      <c r="I560">
        <v>11</v>
      </c>
      <c r="J560">
        <v>0</v>
      </c>
      <c r="K560">
        <v>129.01</v>
      </c>
      <c r="L560">
        <v>5.67</v>
      </c>
      <c r="M560" t="s">
        <v>2477</v>
      </c>
      <c r="N560" t="s">
        <v>2474</v>
      </c>
      <c r="O560" t="s">
        <v>2468</v>
      </c>
      <c r="P560">
        <v>6.33</v>
      </c>
      <c r="Q560">
        <v>12.16</v>
      </c>
      <c r="R560">
        <v>69.63</v>
      </c>
      <c r="S560">
        <v>53.709999999999994</v>
      </c>
      <c r="T560">
        <v>0.41632431594450042</v>
      </c>
      <c r="U560" s="1">
        <v>45748</v>
      </c>
      <c r="V560" t="s">
        <v>2499</v>
      </c>
      <c r="W560">
        <v>2025</v>
      </c>
    </row>
    <row r="561" spans="1:23" x14ac:dyDescent="0.25">
      <c r="A561" t="s">
        <v>608</v>
      </c>
      <c r="B561" s="1">
        <v>45819</v>
      </c>
      <c r="C561" s="1">
        <v>45824</v>
      </c>
      <c r="D561" t="s">
        <v>32</v>
      </c>
      <c r="E561" t="s">
        <v>45</v>
      </c>
      <c r="F561" t="s">
        <v>25</v>
      </c>
      <c r="G561" t="s">
        <v>26</v>
      </c>
      <c r="H561" t="s">
        <v>87</v>
      </c>
      <c r="I561">
        <v>6</v>
      </c>
      <c r="J561">
        <v>0</v>
      </c>
      <c r="K561">
        <v>50.85</v>
      </c>
      <c r="L561">
        <v>4.32</v>
      </c>
      <c r="M561" t="s">
        <v>2476</v>
      </c>
      <c r="N561" t="s">
        <v>2474</v>
      </c>
      <c r="O561" t="s">
        <v>2459</v>
      </c>
      <c r="P561">
        <v>4.5</v>
      </c>
      <c r="Q561">
        <v>8.2899999999999991</v>
      </c>
      <c r="R561">
        <v>27</v>
      </c>
      <c r="S561">
        <v>19.53</v>
      </c>
      <c r="T561">
        <v>0.384070796460177</v>
      </c>
      <c r="U561" s="1">
        <v>45809</v>
      </c>
      <c r="V561" t="s">
        <v>2499</v>
      </c>
      <c r="W561">
        <v>2025</v>
      </c>
    </row>
    <row r="562" spans="1:23" x14ac:dyDescent="0.25">
      <c r="A562" t="s">
        <v>609</v>
      </c>
      <c r="B562" s="1">
        <v>45705</v>
      </c>
      <c r="C562" s="1">
        <v>45708</v>
      </c>
      <c r="D562" t="s">
        <v>32</v>
      </c>
      <c r="E562" t="s">
        <v>33</v>
      </c>
      <c r="F562" t="s">
        <v>25</v>
      </c>
      <c r="G562" t="s">
        <v>26</v>
      </c>
      <c r="H562" t="s">
        <v>68</v>
      </c>
      <c r="I562">
        <v>7</v>
      </c>
      <c r="J562">
        <v>0.05</v>
      </c>
      <c r="K562">
        <v>290.55</v>
      </c>
      <c r="L562">
        <v>7.95</v>
      </c>
      <c r="M562" t="s">
        <v>2466</v>
      </c>
      <c r="N562" t="s">
        <v>2467</v>
      </c>
      <c r="O562" t="s">
        <v>2468</v>
      </c>
      <c r="P562">
        <v>25.33</v>
      </c>
      <c r="Q562">
        <v>51.56</v>
      </c>
      <c r="R562">
        <v>177.31</v>
      </c>
      <c r="S562">
        <v>105.29</v>
      </c>
      <c r="T562">
        <v>0.36238168989846842</v>
      </c>
      <c r="U562" s="1">
        <v>45689</v>
      </c>
      <c r="V562" t="s">
        <v>2498</v>
      </c>
      <c r="W562">
        <v>2025</v>
      </c>
    </row>
    <row r="563" spans="1:23" x14ac:dyDescent="0.25">
      <c r="A563" t="s">
        <v>610</v>
      </c>
      <c r="B563" s="1">
        <v>45452</v>
      </c>
      <c r="C563" s="1">
        <v>45456</v>
      </c>
      <c r="D563" t="s">
        <v>47</v>
      </c>
      <c r="E563" t="s">
        <v>48</v>
      </c>
      <c r="F563" t="s">
        <v>25</v>
      </c>
      <c r="G563" t="s">
        <v>26</v>
      </c>
      <c r="H563" t="s">
        <v>65</v>
      </c>
      <c r="I563">
        <v>4</v>
      </c>
      <c r="J563">
        <v>0.15</v>
      </c>
      <c r="K563">
        <v>976.8</v>
      </c>
      <c r="L563">
        <v>13.7</v>
      </c>
      <c r="M563" t="s">
        <v>2457</v>
      </c>
      <c r="N563" t="s">
        <v>2458</v>
      </c>
      <c r="O563" t="s">
        <v>2459</v>
      </c>
      <c r="P563">
        <v>173.56</v>
      </c>
      <c r="Q563">
        <v>286.14999999999998</v>
      </c>
      <c r="R563">
        <v>694.24</v>
      </c>
      <c r="S563">
        <v>268.85999999999996</v>
      </c>
      <c r="T563">
        <v>0.27524570024570022</v>
      </c>
      <c r="U563" s="1">
        <v>45444</v>
      </c>
      <c r="V563" t="s">
        <v>2500</v>
      </c>
      <c r="W563">
        <v>2024</v>
      </c>
    </row>
    <row r="564" spans="1:23" x14ac:dyDescent="0.25">
      <c r="A564" t="s">
        <v>611</v>
      </c>
      <c r="B564" s="1">
        <v>45961</v>
      </c>
      <c r="C564" s="1">
        <v>45962</v>
      </c>
      <c r="D564" t="s">
        <v>13</v>
      </c>
      <c r="E564" t="s">
        <v>19</v>
      </c>
      <c r="F564" t="s">
        <v>15</v>
      </c>
      <c r="G564" t="s">
        <v>26</v>
      </c>
      <c r="H564" t="s">
        <v>17</v>
      </c>
      <c r="I564">
        <v>5</v>
      </c>
      <c r="J564">
        <v>0</v>
      </c>
      <c r="K564">
        <v>727.7</v>
      </c>
      <c r="L564">
        <v>10.75</v>
      </c>
      <c r="M564" t="s">
        <v>2472</v>
      </c>
      <c r="N564" t="s">
        <v>2467</v>
      </c>
      <c r="O564" t="s">
        <v>2468</v>
      </c>
      <c r="P564">
        <v>63.69</v>
      </c>
      <c r="Q564">
        <v>125.5</v>
      </c>
      <c r="R564">
        <v>318.45</v>
      </c>
      <c r="S564">
        <v>398.50000000000006</v>
      </c>
      <c r="T564">
        <v>0.54761577573175768</v>
      </c>
      <c r="U564" s="1">
        <v>45931</v>
      </c>
      <c r="V564" t="s">
        <v>2499</v>
      </c>
      <c r="W564">
        <v>2025</v>
      </c>
    </row>
    <row r="565" spans="1:23" x14ac:dyDescent="0.25">
      <c r="A565" t="s">
        <v>612</v>
      </c>
      <c r="B565" s="1">
        <v>45732</v>
      </c>
      <c r="C565" s="1">
        <v>45737</v>
      </c>
      <c r="D565" t="s">
        <v>47</v>
      </c>
      <c r="E565" t="s">
        <v>50</v>
      </c>
      <c r="F565" t="s">
        <v>29</v>
      </c>
      <c r="G565" t="s">
        <v>16</v>
      </c>
      <c r="H565" t="s">
        <v>17</v>
      </c>
      <c r="I565">
        <v>2</v>
      </c>
      <c r="J565">
        <v>0</v>
      </c>
      <c r="K565">
        <v>230.59</v>
      </c>
      <c r="L565">
        <v>4.2</v>
      </c>
      <c r="M565" t="s">
        <v>2472</v>
      </c>
      <c r="N565" t="s">
        <v>2467</v>
      </c>
      <c r="O565" t="s">
        <v>2468</v>
      </c>
      <c r="P565">
        <v>63.69</v>
      </c>
      <c r="Q565">
        <v>125.5</v>
      </c>
      <c r="R565">
        <v>127.38</v>
      </c>
      <c r="S565">
        <v>99.01</v>
      </c>
      <c r="T565">
        <v>0.42937681599375516</v>
      </c>
      <c r="U565" s="1">
        <v>45717</v>
      </c>
      <c r="V565" t="s">
        <v>2499</v>
      </c>
      <c r="W565">
        <v>2025</v>
      </c>
    </row>
    <row r="566" spans="1:23" x14ac:dyDescent="0.25">
      <c r="A566" t="s">
        <v>613</v>
      </c>
      <c r="B566" s="1">
        <v>45993</v>
      </c>
      <c r="C566" s="1">
        <v>45997</v>
      </c>
      <c r="D566" t="s">
        <v>47</v>
      </c>
      <c r="E566" t="s">
        <v>48</v>
      </c>
      <c r="F566" t="s">
        <v>29</v>
      </c>
      <c r="G566" t="s">
        <v>20</v>
      </c>
      <c r="H566" t="s">
        <v>51</v>
      </c>
      <c r="I566">
        <v>13</v>
      </c>
      <c r="J566">
        <v>0</v>
      </c>
      <c r="K566">
        <v>272.36</v>
      </c>
      <c r="L566">
        <v>6.21</v>
      </c>
      <c r="M566" t="s">
        <v>2475</v>
      </c>
      <c r="N566" t="s">
        <v>2474</v>
      </c>
      <c r="O566" t="s">
        <v>2463</v>
      </c>
      <c r="P566">
        <v>7.93</v>
      </c>
      <c r="Q566">
        <v>14.78</v>
      </c>
      <c r="R566">
        <v>103.09</v>
      </c>
      <c r="S566">
        <v>163.06</v>
      </c>
      <c r="T566">
        <v>0.59869290644734907</v>
      </c>
      <c r="U566" s="1">
        <v>45992</v>
      </c>
      <c r="V566" t="s">
        <v>2499</v>
      </c>
      <c r="W566">
        <v>2025</v>
      </c>
    </row>
    <row r="567" spans="1:23" x14ac:dyDescent="0.25">
      <c r="A567" t="s">
        <v>614</v>
      </c>
      <c r="B567" s="1">
        <v>45857</v>
      </c>
      <c r="C567" s="1">
        <v>45860</v>
      </c>
      <c r="D567" t="s">
        <v>32</v>
      </c>
      <c r="E567" t="s">
        <v>33</v>
      </c>
      <c r="F567" t="s">
        <v>29</v>
      </c>
      <c r="G567" t="s">
        <v>20</v>
      </c>
      <c r="H567" t="s">
        <v>30</v>
      </c>
      <c r="I567">
        <v>5</v>
      </c>
      <c r="J567">
        <v>0</v>
      </c>
      <c r="K567">
        <v>26.64</v>
      </c>
      <c r="L567">
        <v>6.75</v>
      </c>
      <c r="M567" t="s">
        <v>2473</v>
      </c>
      <c r="N567" t="s">
        <v>2474</v>
      </c>
      <c r="O567" t="s">
        <v>2463</v>
      </c>
      <c r="P567">
        <v>3.62</v>
      </c>
      <c r="Q567">
        <v>6.03</v>
      </c>
      <c r="R567">
        <v>18.100000000000001</v>
      </c>
      <c r="S567">
        <v>1.7899999999999991</v>
      </c>
      <c r="T567">
        <v>6.7192192192192163E-2</v>
      </c>
      <c r="U567" s="1">
        <v>45839</v>
      </c>
      <c r="V567" t="s">
        <v>2499</v>
      </c>
      <c r="W567">
        <v>2025</v>
      </c>
    </row>
    <row r="568" spans="1:23" x14ac:dyDescent="0.25">
      <c r="A568" t="s">
        <v>615</v>
      </c>
      <c r="B568" s="1">
        <v>45587</v>
      </c>
      <c r="C568" s="1">
        <v>45593</v>
      </c>
      <c r="D568" t="s">
        <v>32</v>
      </c>
      <c r="E568" t="s">
        <v>45</v>
      </c>
      <c r="F568" t="s">
        <v>25</v>
      </c>
      <c r="G568" t="s">
        <v>20</v>
      </c>
      <c r="H568" t="s">
        <v>27</v>
      </c>
      <c r="I568">
        <v>8</v>
      </c>
      <c r="J568">
        <v>0</v>
      </c>
      <c r="K568">
        <v>269</v>
      </c>
      <c r="L568">
        <v>8.1</v>
      </c>
      <c r="M568" t="s">
        <v>2478</v>
      </c>
      <c r="N568" t="s">
        <v>2474</v>
      </c>
      <c r="O568" t="s">
        <v>2463</v>
      </c>
      <c r="P568">
        <v>16.760000000000002</v>
      </c>
      <c r="Q568">
        <v>27.71</v>
      </c>
      <c r="R568">
        <v>134.08000000000001</v>
      </c>
      <c r="S568">
        <v>126.82</v>
      </c>
      <c r="T568">
        <v>0.47144981412639403</v>
      </c>
      <c r="U568" s="1">
        <v>45566</v>
      </c>
      <c r="V568" t="s">
        <v>2499</v>
      </c>
      <c r="W568">
        <v>2024</v>
      </c>
    </row>
    <row r="569" spans="1:23" x14ac:dyDescent="0.25">
      <c r="A569" t="s">
        <v>616</v>
      </c>
      <c r="B569" s="1">
        <v>45517</v>
      </c>
      <c r="C569" s="1">
        <v>45520</v>
      </c>
      <c r="D569" t="s">
        <v>13</v>
      </c>
      <c r="E569" t="s">
        <v>19</v>
      </c>
      <c r="F569" t="s">
        <v>15</v>
      </c>
      <c r="G569" t="s">
        <v>26</v>
      </c>
      <c r="H569" t="s">
        <v>39</v>
      </c>
      <c r="I569">
        <v>1</v>
      </c>
      <c r="J569">
        <v>0.15</v>
      </c>
      <c r="K569">
        <v>158.19</v>
      </c>
      <c r="L569">
        <v>3.45</v>
      </c>
      <c r="M569" t="s">
        <v>2471</v>
      </c>
      <c r="N569" t="s">
        <v>2467</v>
      </c>
      <c r="O569" t="s">
        <v>2461</v>
      </c>
      <c r="P569">
        <v>112.09</v>
      </c>
      <c r="Q569">
        <v>192.47</v>
      </c>
      <c r="R569">
        <v>112.09</v>
      </c>
      <c r="S569">
        <v>42.649999999999991</v>
      </c>
      <c r="T569">
        <v>0.26961249130792081</v>
      </c>
      <c r="U569" s="1">
        <v>45505</v>
      </c>
      <c r="V569" t="s">
        <v>2500</v>
      </c>
      <c r="W569">
        <v>2024</v>
      </c>
    </row>
    <row r="570" spans="1:23" x14ac:dyDescent="0.25">
      <c r="A570" t="s">
        <v>617</v>
      </c>
      <c r="B570" s="1">
        <v>45831</v>
      </c>
      <c r="C570" s="1">
        <v>45834</v>
      </c>
      <c r="D570" t="s">
        <v>13</v>
      </c>
      <c r="E570" t="s">
        <v>36</v>
      </c>
      <c r="F570" t="s">
        <v>29</v>
      </c>
      <c r="G570" t="s">
        <v>26</v>
      </c>
      <c r="H570" t="s">
        <v>63</v>
      </c>
      <c r="I570">
        <v>10</v>
      </c>
      <c r="J570">
        <v>0.25</v>
      </c>
      <c r="K570">
        <v>100.11</v>
      </c>
      <c r="L570">
        <v>9</v>
      </c>
      <c r="M570" t="s">
        <v>2477</v>
      </c>
      <c r="N570" t="s">
        <v>2474</v>
      </c>
      <c r="O570" t="s">
        <v>2468</v>
      </c>
      <c r="P570">
        <v>6.33</v>
      </c>
      <c r="Q570">
        <v>12.16</v>
      </c>
      <c r="R570">
        <v>63.3</v>
      </c>
      <c r="S570">
        <v>27.810000000000002</v>
      </c>
      <c r="T570">
        <v>0.27779442613125566</v>
      </c>
      <c r="U570" s="1">
        <v>45809</v>
      </c>
      <c r="V570" t="s">
        <v>2501</v>
      </c>
      <c r="W570">
        <v>2025</v>
      </c>
    </row>
    <row r="571" spans="1:23" x14ac:dyDescent="0.25">
      <c r="A571" t="s">
        <v>618</v>
      </c>
      <c r="B571" s="1">
        <v>45500</v>
      </c>
      <c r="C571" s="1">
        <v>45506</v>
      </c>
      <c r="D571" t="s">
        <v>23</v>
      </c>
      <c r="E571" t="s">
        <v>24</v>
      </c>
      <c r="F571" t="s">
        <v>29</v>
      </c>
      <c r="G571" t="s">
        <v>20</v>
      </c>
      <c r="H571" t="s">
        <v>34</v>
      </c>
      <c r="I571">
        <v>1</v>
      </c>
      <c r="J571">
        <v>0.15</v>
      </c>
      <c r="K571">
        <v>158.94</v>
      </c>
      <c r="L571">
        <v>4.08</v>
      </c>
      <c r="M571" t="s">
        <v>2460</v>
      </c>
      <c r="N571" t="s">
        <v>2458</v>
      </c>
      <c r="O571" t="s">
        <v>2461</v>
      </c>
      <c r="P571">
        <v>119.02</v>
      </c>
      <c r="Q571">
        <v>205.39</v>
      </c>
      <c r="R571">
        <v>119.02</v>
      </c>
      <c r="S571">
        <v>35.840000000000003</v>
      </c>
      <c r="T571">
        <v>0.22549389706807602</v>
      </c>
      <c r="U571" s="1">
        <v>45474</v>
      </c>
      <c r="V571" t="s">
        <v>2500</v>
      </c>
      <c r="W571">
        <v>2024</v>
      </c>
    </row>
    <row r="572" spans="1:23" x14ac:dyDescent="0.25">
      <c r="A572" t="s">
        <v>619</v>
      </c>
      <c r="B572" s="1">
        <v>45804</v>
      </c>
      <c r="C572" s="1">
        <v>45806</v>
      </c>
      <c r="D572" t="s">
        <v>13</v>
      </c>
      <c r="E572" t="s">
        <v>36</v>
      </c>
      <c r="F572" t="s">
        <v>25</v>
      </c>
      <c r="G572" t="s">
        <v>20</v>
      </c>
      <c r="H572" t="s">
        <v>63</v>
      </c>
      <c r="I572">
        <v>14</v>
      </c>
      <c r="J572">
        <v>0.15</v>
      </c>
      <c r="K572">
        <v>151.26</v>
      </c>
      <c r="L572">
        <v>10.8</v>
      </c>
      <c r="M572" t="s">
        <v>2477</v>
      </c>
      <c r="N572" t="s">
        <v>2474</v>
      </c>
      <c r="O572" t="s">
        <v>2468</v>
      </c>
      <c r="P572">
        <v>6.33</v>
      </c>
      <c r="Q572">
        <v>12.16</v>
      </c>
      <c r="R572">
        <v>88.62</v>
      </c>
      <c r="S572">
        <v>51.839999999999989</v>
      </c>
      <c r="T572">
        <v>0.34272114240380797</v>
      </c>
      <c r="U572" s="1">
        <v>45778</v>
      </c>
      <c r="V572" t="s">
        <v>2500</v>
      </c>
      <c r="W572">
        <v>2025</v>
      </c>
    </row>
    <row r="573" spans="1:23" x14ac:dyDescent="0.25">
      <c r="A573" t="s">
        <v>620</v>
      </c>
      <c r="B573" s="1">
        <v>46009</v>
      </c>
      <c r="C573" s="1">
        <v>46010</v>
      </c>
      <c r="D573" t="s">
        <v>32</v>
      </c>
      <c r="E573" t="s">
        <v>45</v>
      </c>
      <c r="F573" t="s">
        <v>15</v>
      </c>
      <c r="G573" t="s">
        <v>26</v>
      </c>
      <c r="H573" t="s">
        <v>34</v>
      </c>
      <c r="I573">
        <v>2</v>
      </c>
      <c r="J573">
        <v>0</v>
      </c>
      <c r="K573">
        <v>580.1</v>
      </c>
      <c r="L573">
        <v>5.46</v>
      </c>
      <c r="M573" t="s">
        <v>2460</v>
      </c>
      <c r="N573" t="s">
        <v>2458</v>
      </c>
      <c r="O573" t="s">
        <v>2461</v>
      </c>
      <c r="P573">
        <v>119.02</v>
      </c>
      <c r="Q573">
        <v>205.39</v>
      </c>
      <c r="R573">
        <v>238.04</v>
      </c>
      <c r="S573">
        <v>336.60000000000008</v>
      </c>
      <c r="T573">
        <v>0.58024478538183089</v>
      </c>
      <c r="U573" s="1">
        <v>45992</v>
      </c>
      <c r="V573" t="s">
        <v>2499</v>
      </c>
      <c r="W573">
        <v>2025</v>
      </c>
    </row>
    <row r="574" spans="1:23" x14ac:dyDescent="0.25">
      <c r="A574" t="s">
        <v>621</v>
      </c>
      <c r="B574" s="1">
        <v>45328</v>
      </c>
      <c r="C574" s="1">
        <v>45331</v>
      </c>
      <c r="D574" t="s">
        <v>47</v>
      </c>
      <c r="E574" t="s">
        <v>48</v>
      </c>
      <c r="F574" t="s">
        <v>25</v>
      </c>
      <c r="G574" t="s">
        <v>26</v>
      </c>
      <c r="H574" t="s">
        <v>37</v>
      </c>
      <c r="I574">
        <v>1</v>
      </c>
      <c r="J574">
        <v>0</v>
      </c>
      <c r="K574">
        <v>95.14</v>
      </c>
      <c r="L574">
        <v>6.8</v>
      </c>
      <c r="M574" t="s">
        <v>2464</v>
      </c>
      <c r="N574" t="s">
        <v>2458</v>
      </c>
      <c r="O574" t="s">
        <v>2465</v>
      </c>
      <c r="P574">
        <v>63.6</v>
      </c>
      <c r="Q574">
        <v>107.94</v>
      </c>
      <c r="R574">
        <v>63.6</v>
      </c>
      <c r="S574">
        <v>24.74</v>
      </c>
      <c r="T574">
        <v>0.26003783897414334</v>
      </c>
      <c r="U574" s="1">
        <v>45323</v>
      </c>
      <c r="V574" t="s">
        <v>2499</v>
      </c>
      <c r="W574">
        <v>2024</v>
      </c>
    </row>
    <row r="575" spans="1:23" x14ac:dyDescent="0.25">
      <c r="A575" t="s">
        <v>622</v>
      </c>
      <c r="B575" s="1">
        <v>46006</v>
      </c>
      <c r="C575" s="1">
        <v>46010</v>
      </c>
      <c r="D575" t="s">
        <v>13</v>
      </c>
      <c r="E575" t="s">
        <v>36</v>
      </c>
      <c r="F575" t="s">
        <v>15</v>
      </c>
      <c r="G575" t="s">
        <v>16</v>
      </c>
      <c r="H575" t="s">
        <v>68</v>
      </c>
      <c r="I575">
        <v>2</v>
      </c>
      <c r="J575">
        <v>0</v>
      </c>
      <c r="K575">
        <v>154.46</v>
      </c>
      <c r="L575">
        <v>7</v>
      </c>
      <c r="M575" t="s">
        <v>2466</v>
      </c>
      <c r="N575" t="s">
        <v>2467</v>
      </c>
      <c r="O575" t="s">
        <v>2468</v>
      </c>
      <c r="P575">
        <v>25.33</v>
      </c>
      <c r="Q575">
        <v>51.56</v>
      </c>
      <c r="R575">
        <v>50.66</v>
      </c>
      <c r="S575">
        <v>96.800000000000011</v>
      </c>
      <c r="T575">
        <v>0.62669946911821839</v>
      </c>
      <c r="U575" s="1">
        <v>45992</v>
      </c>
      <c r="V575" t="s">
        <v>2499</v>
      </c>
      <c r="W575">
        <v>2025</v>
      </c>
    </row>
    <row r="576" spans="1:23" x14ac:dyDescent="0.25">
      <c r="A576" t="s">
        <v>623</v>
      </c>
      <c r="B576" s="1">
        <v>45550</v>
      </c>
      <c r="C576" s="1">
        <v>45555</v>
      </c>
      <c r="D576" t="s">
        <v>13</v>
      </c>
      <c r="E576" t="s">
        <v>14</v>
      </c>
      <c r="F576" t="s">
        <v>25</v>
      </c>
      <c r="G576" t="s">
        <v>16</v>
      </c>
      <c r="H576" t="s">
        <v>53</v>
      </c>
      <c r="I576">
        <v>7</v>
      </c>
      <c r="J576">
        <v>0.25</v>
      </c>
      <c r="K576">
        <v>321.29000000000002</v>
      </c>
      <c r="L576">
        <v>7.95</v>
      </c>
      <c r="M576" t="s">
        <v>2470</v>
      </c>
      <c r="N576" t="s">
        <v>2467</v>
      </c>
      <c r="O576" t="s">
        <v>2459</v>
      </c>
      <c r="P576">
        <v>31.34</v>
      </c>
      <c r="Q576">
        <v>56.49</v>
      </c>
      <c r="R576">
        <v>219.38</v>
      </c>
      <c r="S576">
        <v>93.960000000000022</v>
      </c>
      <c r="T576">
        <v>0.29244607675308915</v>
      </c>
      <c r="U576" s="1">
        <v>45536</v>
      </c>
      <c r="V576" t="s">
        <v>2501</v>
      </c>
      <c r="W576">
        <v>2024</v>
      </c>
    </row>
    <row r="577" spans="1:23" x14ac:dyDescent="0.25">
      <c r="A577" t="s">
        <v>624</v>
      </c>
      <c r="B577" s="1">
        <v>45602</v>
      </c>
      <c r="C577" s="1">
        <v>45607</v>
      </c>
      <c r="D577" t="s">
        <v>13</v>
      </c>
      <c r="E577" t="s">
        <v>14</v>
      </c>
      <c r="F577" t="s">
        <v>29</v>
      </c>
      <c r="G577" t="s">
        <v>20</v>
      </c>
      <c r="H577" t="s">
        <v>63</v>
      </c>
      <c r="I577">
        <v>13</v>
      </c>
      <c r="J577">
        <v>0.05</v>
      </c>
      <c r="K577">
        <v>191.19</v>
      </c>
      <c r="L577">
        <v>6.21</v>
      </c>
      <c r="M577" t="s">
        <v>2477</v>
      </c>
      <c r="N577" t="s">
        <v>2474</v>
      </c>
      <c r="O577" t="s">
        <v>2468</v>
      </c>
      <c r="P577">
        <v>6.33</v>
      </c>
      <c r="Q577">
        <v>12.16</v>
      </c>
      <c r="R577">
        <v>82.29</v>
      </c>
      <c r="S577">
        <v>102.69</v>
      </c>
      <c r="T577">
        <v>0.53710968146869609</v>
      </c>
      <c r="U577" s="1">
        <v>45597</v>
      </c>
      <c r="V577" t="s">
        <v>2498</v>
      </c>
      <c r="W577">
        <v>2024</v>
      </c>
    </row>
    <row r="578" spans="1:23" x14ac:dyDescent="0.25">
      <c r="A578" t="s">
        <v>625</v>
      </c>
      <c r="B578" s="1">
        <v>45730</v>
      </c>
      <c r="C578" s="1">
        <v>45734</v>
      </c>
      <c r="D578" t="s">
        <v>32</v>
      </c>
      <c r="E578" t="s">
        <v>33</v>
      </c>
      <c r="F578" t="s">
        <v>29</v>
      </c>
      <c r="G578" t="s">
        <v>20</v>
      </c>
      <c r="H578" t="s">
        <v>41</v>
      </c>
      <c r="I578">
        <v>5</v>
      </c>
      <c r="J578">
        <v>0</v>
      </c>
      <c r="K578">
        <v>29.57</v>
      </c>
      <c r="L578">
        <v>6.75</v>
      </c>
      <c r="M578" t="s">
        <v>2479</v>
      </c>
      <c r="N578" t="s">
        <v>2474</v>
      </c>
      <c r="O578" t="s">
        <v>2459</v>
      </c>
      <c r="P578">
        <v>3.3</v>
      </c>
      <c r="Q578">
        <v>6.13</v>
      </c>
      <c r="R578">
        <v>16.5</v>
      </c>
      <c r="S578">
        <v>6.32</v>
      </c>
      <c r="T578">
        <v>0.2137301318904295</v>
      </c>
      <c r="U578" s="1">
        <v>45717</v>
      </c>
      <c r="V578" t="s">
        <v>2499</v>
      </c>
      <c r="W578">
        <v>2025</v>
      </c>
    </row>
    <row r="579" spans="1:23" x14ac:dyDescent="0.25">
      <c r="A579" t="s">
        <v>626</v>
      </c>
      <c r="B579" s="1">
        <v>45922</v>
      </c>
      <c r="C579" s="1">
        <v>45926</v>
      </c>
      <c r="D579" t="s">
        <v>32</v>
      </c>
      <c r="E579" t="s">
        <v>45</v>
      </c>
      <c r="F579" t="s">
        <v>15</v>
      </c>
      <c r="G579" t="s">
        <v>16</v>
      </c>
      <c r="H579" t="s">
        <v>53</v>
      </c>
      <c r="I579">
        <v>3</v>
      </c>
      <c r="J579">
        <v>0</v>
      </c>
      <c r="K579">
        <v>183.09</v>
      </c>
      <c r="L579">
        <v>8.25</v>
      </c>
      <c r="M579" t="s">
        <v>2470</v>
      </c>
      <c r="N579" t="s">
        <v>2467</v>
      </c>
      <c r="O579" t="s">
        <v>2459</v>
      </c>
      <c r="P579">
        <v>31.34</v>
      </c>
      <c r="Q579">
        <v>56.49</v>
      </c>
      <c r="R579">
        <v>94.02</v>
      </c>
      <c r="S579">
        <v>80.820000000000007</v>
      </c>
      <c r="T579">
        <v>0.44142225135179425</v>
      </c>
      <c r="U579" s="1">
        <v>45901</v>
      </c>
      <c r="V579" t="s">
        <v>2499</v>
      </c>
      <c r="W579">
        <v>2025</v>
      </c>
    </row>
    <row r="580" spans="1:23" x14ac:dyDescent="0.25">
      <c r="A580" t="s">
        <v>627</v>
      </c>
      <c r="B580" s="1">
        <v>45713</v>
      </c>
      <c r="C580" s="1">
        <v>45717</v>
      </c>
      <c r="D580" t="s">
        <v>13</v>
      </c>
      <c r="E580" t="s">
        <v>36</v>
      </c>
      <c r="F580" t="s">
        <v>25</v>
      </c>
      <c r="G580" t="s">
        <v>26</v>
      </c>
      <c r="H580" t="s">
        <v>87</v>
      </c>
      <c r="I580">
        <v>13</v>
      </c>
      <c r="J580">
        <v>0</v>
      </c>
      <c r="K580">
        <v>91.92</v>
      </c>
      <c r="L580">
        <v>6.21</v>
      </c>
      <c r="M580" t="s">
        <v>2476</v>
      </c>
      <c r="N580" t="s">
        <v>2474</v>
      </c>
      <c r="O580" t="s">
        <v>2459</v>
      </c>
      <c r="P580">
        <v>4.5</v>
      </c>
      <c r="Q580">
        <v>8.2899999999999991</v>
      </c>
      <c r="R580">
        <v>58.5</v>
      </c>
      <c r="S580">
        <v>27.21</v>
      </c>
      <c r="T580">
        <v>0.29601827676240211</v>
      </c>
      <c r="U580" s="1">
        <v>45689</v>
      </c>
      <c r="V580" t="s">
        <v>2499</v>
      </c>
      <c r="W580">
        <v>2025</v>
      </c>
    </row>
    <row r="581" spans="1:23" x14ac:dyDescent="0.25">
      <c r="A581" t="s">
        <v>628</v>
      </c>
      <c r="B581" s="1">
        <v>45711</v>
      </c>
      <c r="C581" s="1">
        <v>45714</v>
      </c>
      <c r="D581" t="s">
        <v>32</v>
      </c>
      <c r="E581" t="s">
        <v>45</v>
      </c>
      <c r="F581" t="s">
        <v>25</v>
      </c>
      <c r="G581" t="s">
        <v>26</v>
      </c>
      <c r="H581" t="s">
        <v>21</v>
      </c>
      <c r="I581">
        <v>3</v>
      </c>
      <c r="J581">
        <v>0</v>
      </c>
      <c r="K581">
        <v>317.26</v>
      </c>
      <c r="L581">
        <v>11.4</v>
      </c>
      <c r="M581" t="s">
        <v>2462</v>
      </c>
      <c r="N581" t="s">
        <v>2458</v>
      </c>
      <c r="O581" t="s">
        <v>2463</v>
      </c>
      <c r="P581">
        <v>71.489999999999995</v>
      </c>
      <c r="Q581">
        <v>112.88</v>
      </c>
      <c r="R581">
        <v>214.46999999999997</v>
      </c>
      <c r="S581">
        <v>91.390000000000015</v>
      </c>
      <c r="T581">
        <v>0.28806026602786361</v>
      </c>
      <c r="U581" s="1">
        <v>45689</v>
      </c>
      <c r="V581" t="s">
        <v>2499</v>
      </c>
      <c r="W581">
        <v>2025</v>
      </c>
    </row>
    <row r="582" spans="1:23" x14ac:dyDescent="0.25">
      <c r="A582" t="s">
        <v>629</v>
      </c>
      <c r="B582" s="1">
        <v>45922</v>
      </c>
      <c r="C582" s="1">
        <v>45925</v>
      </c>
      <c r="D582" t="s">
        <v>47</v>
      </c>
      <c r="E582" t="s">
        <v>48</v>
      </c>
      <c r="F582" t="s">
        <v>15</v>
      </c>
      <c r="G582" t="s">
        <v>26</v>
      </c>
      <c r="H582" t="s">
        <v>37</v>
      </c>
      <c r="I582">
        <v>2</v>
      </c>
      <c r="J582">
        <v>0</v>
      </c>
      <c r="K582">
        <v>235.73</v>
      </c>
      <c r="L582">
        <v>5.46</v>
      </c>
      <c r="M582" t="s">
        <v>2464</v>
      </c>
      <c r="N582" t="s">
        <v>2458</v>
      </c>
      <c r="O582" t="s">
        <v>2465</v>
      </c>
      <c r="P582">
        <v>63.6</v>
      </c>
      <c r="Q582">
        <v>107.94</v>
      </c>
      <c r="R582">
        <v>127.2</v>
      </c>
      <c r="S582">
        <v>103.07</v>
      </c>
      <c r="T582">
        <v>0.43723751749883338</v>
      </c>
      <c r="U582" s="1">
        <v>45901</v>
      </c>
      <c r="V582" t="s">
        <v>2499</v>
      </c>
      <c r="W582">
        <v>2025</v>
      </c>
    </row>
    <row r="583" spans="1:23" x14ac:dyDescent="0.25">
      <c r="A583" t="s">
        <v>630</v>
      </c>
      <c r="B583" s="1">
        <v>45839</v>
      </c>
      <c r="C583" s="1">
        <v>45845</v>
      </c>
      <c r="D583" t="s">
        <v>23</v>
      </c>
      <c r="E583" t="s">
        <v>43</v>
      </c>
      <c r="F583" t="s">
        <v>25</v>
      </c>
      <c r="G583" t="s">
        <v>16</v>
      </c>
      <c r="H583" t="s">
        <v>21</v>
      </c>
      <c r="I583">
        <v>2</v>
      </c>
      <c r="J583">
        <v>0.05</v>
      </c>
      <c r="K583">
        <v>202.46</v>
      </c>
      <c r="L583">
        <v>5.46</v>
      </c>
      <c r="M583" t="s">
        <v>2462</v>
      </c>
      <c r="N583" t="s">
        <v>2458</v>
      </c>
      <c r="O583" t="s">
        <v>2463</v>
      </c>
      <c r="P583">
        <v>71.489999999999995</v>
      </c>
      <c r="Q583">
        <v>112.88</v>
      </c>
      <c r="R583">
        <v>142.97999999999999</v>
      </c>
      <c r="S583">
        <v>54.020000000000017</v>
      </c>
      <c r="T583">
        <v>0.26681813691593409</v>
      </c>
      <c r="U583" s="1">
        <v>45839</v>
      </c>
      <c r="V583" t="s">
        <v>2498</v>
      </c>
      <c r="W583">
        <v>2025</v>
      </c>
    </row>
    <row r="584" spans="1:23" x14ac:dyDescent="0.25">
      <c r="A584" t="s">
        <v>631</v>
      </c>
      <c r="B584" s="1">
        <v>45578</v>
      </c>
      <c r="C584" s="1">
        <v>45580</v>
      </c>
      <c r="D584" t="s">
        <v>23</v>
      </c>
      <c r="E584" t="s">
        <v>43</v>
      </c>
      <c r="F584" t="s">
        <v>15</v>
      </c>
      <c r="G584" t="s">
        <v>26</v>
      </c>
      <c r="H584" t="s">
        <v>68</v>
      </c>
      <c r="I584">
        <v>4</v>
      </c>
      <c r="J584">
        <v>0</v>
      </c>
      <c r="K584">
        <v>228.35</v>
      </c>
      <c r="L584">
        <v>9.5</v>
      </c>
      <c r="M584" t="s">
        <v>2466</v>
      </c>
      <c r="N584" t="s">
        <v>2467</v>
      </c>
      <c r="O584" t="s">
        <v>2468</v>
      </c>
      <c r="P584">
        <v>25.33</v>
      </c>
      <c r="Q584">
        <v>51.56</v>
      </c>
      <c r="R584">
        <v>101.32</v>
      </c>
      <c r="S584">
        <v>117.53</v>
      </c>
      <c r="T584">
        <v>0.51469235822202763</v>
      </c>
      <c r="U584" s="1">
        <v>45566</v>
      </c>
      <c r="V584" t="s">
        <v>2499</v>
      </c>
      <c r="W584">
        <v>2024</v>
      </c>
    </row>
    <row r="585" spans="1:23" x14ac:dyDescent="0.25">
      <c r="A585" t="s">
        <v>632</v>
      </c>
      <c r="B585" s="1">
        <v>45718</v>
      </c>
      <c r="C585" s="1">
        <v>45722</v>
      </c>
      <c r="D585" t="s">
        <v>23</v>
      </c>
      <c r="E585" t="s">
        <v>24</v>
      </c>
      <c r="F585" t="s">
        <v>25</v>
      </c>
      <c r="G585" t="s">
        <v>16</v>
      </c>
      <c r="H585" t="s">
        <v>65</v>
      </c>
      <c r="I585">
        <v>3</v>
      </c>
      <c r="J585">
        <v>0</v>
      </c>
      <c r="K585">
        <v>808.55</v>
      </c>
      <c r="L585">
        <v>11.4</v>
      </c>
      <c r="M585" t="s">
        <v>2457</v>
      </c>
      <c r="N585" t="s">
        <v>2458</v>
      </c>
      <c r="O585" t="s">
        <v>2459</v>
      </c>
      <c r="P585">
        <v>173.56</v>
      </c>
      <c r="Q585">
        <v>286.14999999999998</v>
      </c>
      <c r="R585">
        <v>520.68000000000006</v>
      </c>
      <c r="S585">
        <v>276.46999999999991</v>
      </c>
      <c r="T585">
        <v>0.34193309009956085</v>
      </c>
      <c r="U585" s="1">
        <v>45717</v>
      </c>
      <c r="V585" t="s">
        <v>2499</v>
      </c>
      <c r="W585">
        <v>2025</v>
      </c>
    </row>
    <row r="586" spans="1:23" x14ac:dyDescent="0.25">
      <c r="A586" t="s">
        <v>633</v>
      </c>
      <c r="B586" s="1">
        <v>45641</v>
      </c>
      <c r="C586" s="1">
        <v>45643</v>
      </c>
      <c r="D586" t="s">
        <v>13</v>
      </c>
      <c r="E586" t="s">
        <v>36</v>
      </c>
      <c r="F586" t="s">
        <v>29</v>
      </c>
      <c r="G586" t="s">
        <v>16</v>
      </c>
      <c r="H586" t="s">
        <v>60</v>
      </c>
      <c r="I586">
        <v>2</v>
      </c>
      <c r="J586">
        <v>0.15</v>
      </c>
      <c r="K586">
        <v>278.27999999999997</v>
      </c>
      <c r="L586">
        <v>4.2</v>
      </c>
      <c r="M586" t="s">
        <v>2469</v>
      </c>
      <c r="N586" t="s">
        <v>2467</v>
      </c>
      <c r="O586" t="s">
        <v>2468</v>
      </c>
      <c r="P586">
        <v>54.95</v>
      </c>
      <c r="Q586">
        <v>112.56</v>
      </c>
      <c r="R586">
        <v>109.9</v>
      </c>
      <c r="S586">
        <v>164.17999999999998</v>
      </c>
      <c r="T586">
        <v>0.58998131378467733</v>
      </c>
      <c r="U586" s="1">
        <v>45627</v>
      </c>
      <c r="V586" t="s">
        <v>2500</v>
      </c>
      <c r="W586">
        <v>2024</v>
      </c>
    </row>
    <row r="587" spans="1:23" x14ac:dyDescent="0.25">
      <c r="A587" t="s">
        <v>634</v>
      </c>
      <c r="B587" s="1">
        <v>45619</v>
      </c>
      <c r="C587" s="1">
        <v>45622</v>
      </c>
      <c r="D587" t="s">
        <v>23</v>
      </c>
      <c r="E587" t="s">
        <v>59</v>
      </c>
      <c r="F587" t="s">
        <v>15</v>
      </c>
      <c r="G587" t="s">
        <v>20</v>
      </c>
      <c r="H587" t="s">
        <v>68</v>
      </c>
      <c r="I587">
        <v>3</v>
      </c>
      <c r="J587">
        <v>0.15</v>
      </c>
      <c r="K587">
        <v>186.25</v>
      </c>
      <c r="L587">
        <v>4.95</v>
      </c>
      <c r="M587" t="s">
        <v>2466</v>
      </c>
      <c r="N587" t="s">
        <v>2467</v>
      </c>
      <c r="O587" t="s">
        <v>2468</v>
      </c>
      <c r="P587">
        <v>25.33</v>
      </c>
      <c r="Q587">
        <v>51.56</v>
      </c>
      <c r="R587">
        <v>75.989999999999995</v>
      </c>
      <c r="S587">
        <v>105.31</v>
      </c>
      <c r="T587">
        <v>0.56542281879194634</v>
      </c>
      <c r="U587" s="1">
        <v>45597</v>
      </c>
      <c r="V587" t="s">
        <v>2500</v>
      </c>
      <c r="W587">
        <v>2024</v>
      </c>
    </row>
    <row r="588" spans="1:23" x14ac:dyDescent="0.25">
      <c r="A588" t="s">
        <v>635</v>
      </c>
      <c r="B588" s="1">
        <v>45556</v>
      </c>
      <c r="C588" s="1">
        <v>45561</v>
      </c>
      <c r="D588" t="s">
        <v>32</v>
      </c>
      <c r="E588" t="s">
        <v>62</v>
      </c>
      <c r="F588" t="s">
        <v>29</v>
      </c>
      <c r="G588" t="s">
        <v>20</v>
      </c>
      <c r="H588" t="s">
        <v>21</v>
      </c>
      <c r="I588">
        <v>4</v>
      </c>
      <c r="J588">
        <v>0</v>
      </c>
      <c r="K588">
        <v>501.71</v>
      </c>
      <c r="L588">
        <v>8.2200000000000006</v>
      </c>
      <c r="M588" t="s">
        <v>2462</v>
      </c>
      <c r="N588" t="s">
        <v>2458</v>
      </c>
      <c r="O588" t="s">
        <v>2463</v>
      </c>
      <c r="P588">
        <v>71.489999999999995</v>
      </c>
      <c r="Q588">
        <v>112.88</v>
      </c>
      <c r="R588">
        <v>285.95999999999998</v>
      </c>
      <c r="S588">
        <v>207.53</v>
      </c>
      <c r="T588">
        <v>0.41364533296127248</v>
      </c>
      <c r="U588" s="1">
        <v>45536</v>
      </c>
      <c r="V588" t="s">
        <v>2499</v>
      </c>
      <c r="W588">
        <v>2024</v>
      </c>
    </row>
    <row r="589" spans="1:23" x14ac:dyDescent="0.25">
      <c r="A589" t="s">
        <v>636</v>
      </c>
      <c r="B589" s="1">
        <v>45406</v>
      </c>
      <c r="C589" s="1">
        <v>45411</v>
      </c>
      <c r="D589" t="s">
        <v>47</v>
      </c>
      <c r="E589" t="s">
        <v>71</v>
      </c>
      <c r="F589" t="s">
        <v>25</v>
      </c>
      <c r="G589" t="s">
        <v>16</v>
      </c>
      <c r="H589" t="s">
        <v>63</v>
      </c>
      <c r="I589">
        <v>7</v>
      </c>
      <c r="J589">
        <v>0</v>
      </c>
      <c r="K589">
        <v>78.88</v>
      </c>
      <c r="L589">
        <v>7.65</v>
      </c>
      <c r="M589" t="s">
        <v>2477</v>
      </c>
      <c r="N589" t="s">
        <v>2474</v>
      </c>
      <c r="O589" t="s">
        <v>2468</v>
      </c>
      <c r="P589">
        <v>6.33</v>
      </c>
      <c r="Q589">
        <v>12.16</v>
      </c>
      <c r="R589">
        <v>44.31</v>
      </c>
      <c r="S589">
        <v>26.919999999999995</v>
      </c>
      <c r="T589">
        <v>0.3412778904665314</v>
      </c>
      <c r="U589" s="1">
        <v>45383</v>
      </c>
      <c r="V589" t="s">
        <v>2499</v>
      </c>
      <c r="W589">
        <v>2024</v>
      </c>
    </row>
    <row r="590" spans="1:23" x14ac:dyDescent="0.25">
      <c r="A590" t="s">
        <v>637</v>
      </c>
      <c r="B590" s="1">
        <v>45584</v>
      </c>
      <c r="C590" s="1">
        <v>45586</v>
      </c>
      <c r="D590" t="s">
        <v>32</v>
      </c>
      <c r="E590" t="s">
        <v>45</v>
      </c>
      <c r="F590" t="s">
        <v>29</v>
      </c>
      <c r="G590" t="s">
        <v>16</v>
      </c>
      <c r="H590" t="s">
        <v>41</v>
      </c>
      <c r="I590">
        <v>6</v>
      </c>
      <c r="J590">
        <v>0.15</v>
      </c>
      <c r="K590">
        <v>35.78</v>
      </c>
      <c r="L590">
        <v>4.32</v>
      </c>
      <c r="M590" t="s">
        <v>2479</v>
      </c>
      <c r="N590" t="s">
        <v>2474</v>
      </c>
      <c r="O590" t="s">
        <v>2459</v>
      </c>
      <c r="P590">
        <v>3.3</v>
      </c>
      <c r="Q590">
        <v>6.13</v>
      </c>
      <c r="R590">
        <v>19.799999999999997</v>
      </c>
      <c r="S590">
        <v>11.660000000000004</v>
      </c>
      <c r="T590">
        <v>0.32588038010061499</v>
      </c>
      <c r="U590" s="1">
        <v>45566</v>
      </c>
      <c r="V590" t="s">
        <v>2500</v>
      </c>
      <c r="W590">
        <v>2024</v>
      </c>
    </row>
    <row r="591" spans="1:23" x14ac:dyDescent="0.25">
      <c r="A591" t="s">
        <v>638</v>
      </c>
      <c r="B591" s="1">
        <v>45470</v>
      </c>
      <c r="C591" s="1">
        <v>45474</v>
      </c>
      <c r="D591" t="s">
        <v>13</v>
      </c>
      <c r="E591" t="s">
        <v>36</v>
      </c>
      <c r="F591" t="s">
        <v>29</v>
      </c>
      <c r="G591" t="s">
        <v>20</v>
      </c>
      <c r="H591" t="s">
        <v>27</v>
      </c>
      <c r="I591">
        <v>11</v>
      </c>
      <c r="J591">
        <v>0</v>
      </c>
      <c r="K591">
        <v>318.98</v>
      </c>
      <c r="L591">
        <v>5.67</v>
      </c>
      <c r="M591" t="s">
        <v>2478</v>
      </c>
      <c r="N591" t="s">
        <v>2474</v>
      </c>
      <c r="O591" t="s">
        <v>2463</v>
      </c>
      <c r="P591">
        <v>16.760000000000002</v>
      </c>
      <c r="Q591">
        <v>27.71</v>
      </c>
      <c r="R591">
        <v>184.36</v>
      </c>
      <c r="S591">
        <v>128.95000000000002</v>
      </c>
      <c r="T591">
        <v>0.40425732020816357</v>
      </c>
      <c r="U591" s="1">
        <v>45444</v>
      </c>
      <c r="V591" t="s">
        <v>2499</v>
      </c>
      <c r="W591">
        <v>2024</v>
      </c>
    </row>
    <row r="592" spans="1:23" x14ac:dyDescent="0.25">
      <c r="A592" t="s">
        <v>639</v>
      </c>
      <c r="B592" s="1">
        <v>45790</v>
      </c>
      <c r="C592" s="1">
        <v>45794</v>
      </c>
      <c r="D592" t="s">
        <v>32</v>
      </c>
      <c r="E592" t="s">
        <v>62</v>
      </c>
      <c r="F592" t="s">
        <v>25</v>
      </c>
      <c r="G592" t="s">
        <v>20</v>
      </c>
      <c r="H592" t="s">
        <v>37</v>
      </c>
      <c r="I592">
        <v>2</v>
      </c>
      <c r="J592">
        <v>0</v>
      </c>
      <c r="K592">
        <v>221.15</v>
      </c>
      <c r="L592">
        <v>5.46</v>
      </c>
      <c r="M592" t="s">
        <v>2464</v>
      </c>
      <c r="N592" t="s">
        <v>2458</v>
      </c>
      <c r="O592" t="s">
        <v>2465</v>
      </c>
      <c r="P592">
        <v>63.6</v>
      </c>
      <c r="Q592">
        <v>107.94</v>
      </c>
      <c r="R592">
        <v>127.2</v>
      </c>
      <c r="S592">
        <v>88.490000000000009</v>
      </c>
      <c r="T592">
        <v>0.40013565453312233</v>
      </c>
      <c r="U592" s="1">
        <v>45778</v>
      </c>
      <c r="V592" t="s">
        <v>2499</v>
      </c>
      <c r="W592">
        <v>2025</v>
      </c>
    </row>
    <row r="593" spans="1:23" x14ac:dyDescent="0.25">
      <c r="A593" t="s">
        <v>640</v>
      </c>
      <c r="B593" s="1">
        <v>45723</v>
      </c>
      <c r="C593" s="1">
        <v>45728</v>
      </c>
      <c r="D593" t="s">
        <v>13</v>
      </c>
      <c r="E593" t="s">
        <v>19</v>
      </c>
      <c r="F593" t="s">
        <v>15</v>
      </c>
      <c r="G593" t="s">
        <v>16</v>
      </c>
      <c r="H593" t="s">
        <v>21</v>
      </c>
      <c r="I593">
        <v>1</v>
      </c>
      <c r="J593">
        <v>0.25</v>
      </c>
      <c r="K593">
        <v>81.75</v>
      </c>
      <c r="L593">
        <v>6.8</v>
      </c>
      <c r="M593" t="s">
        <v>2462</v>
      </c>
      <c r="N593" t="s">
        <v>2458</v>
      </c>
      <c r="O593" t="s">
        <v>2463</v>
      </c>
      <c r="P593">
        <v>71.489999999999995</v>
      </c>
      <c r="Q593">
        <v>112.88</v>
      </c>
      <c r="R593">
        <v>71.489999999999995</v>
      </c>
      <c r="S593">
        <v>3.4600000000000053</v>
      </c>
      <c r="T593">
        <v>4.2324159021406793E-2</v>
      </c>
      <c r="U593" s="1">
        <v>45717</v>
      </c>
      <c r="V593" t="s">
        <v>2501</v>
      </c>
      <c r="W593">
        <v>2025</v>
      </c>
    </row>
    <row r="594" spans="1:23" x14ac:dyDescent="0.25">
      <c r="A594" t="s">
        <v>641</v>
      </c>
      <c r="B594" s="1">
        <v>45836</v>
      </c>
      <c r="C594" s="1">
        <v>45841</v>
      </c>
      <c r="D594" t="s">
        <v>32</v>
      </c>
      <c r="E594" t="s">
        <v>45</v>
      </c>
      <c r="F594" t="s">
        <v>25</v>
      </c>
      <c r="G594" t="s">
        <v>26</v>
      </c>
      <c r="H594" t="s">
        <v>51</v>
      </c>
      <c r="I594">
        <v>6</v>
      </c>
      <c r="J594">
        <v>0</v>
      </c>
      <c r="K594">
        <v>96.54</v>
      </c>
      <c r="L594">
        <v>7.2</v>
      </c>
      <c r="M594" t="s">
        <v>2475</v>
      </c>
      <c r="N594" t="s">
        <v>2474</v>
      </c>
      <c r="O594" t="s">
        <v>2463</v>
      </c>
      <c r="P594">
        <v>7.93</v>
      </c>
      <c r="Q594">
        <v>14.78</v>
      </c>
      <c r="R594">
        <v>47.58</v>
      </c>
      <c r="S594">
        <v>41.760000000000005</v>
      </c>
      <c r="T594">
        <v>0.43256681168427596</v>
      </c>
      <c r="U594" s="1">
        <v>45809</v>
      </c>
      <c r="V594" t="s">
        <v>2499</v>
      </c>
      <c r="W594">
        <v>2025</v>
      </c>
    </row>
    <row r="595" spans="1:23" x14ac:dyDescent="0.25">
      <c r="A595" t="s">
        <v>642</v>
      </c>
      <c r="B595" s="1">
        <v>45846</v>
      </c>
      <c r="C595" s="1">
        <v>45852</v>
      </c>
      <c r="D595" t="s">
        <v>47</v>
      </c>
      <c r="E595" t="s">
        <v>71</v>
      </c>
      <c r="F595" t="s">
        <v>29</v>
      </c>
      <c r="G595" t="s">
        <v>26</v>
      </c>
      <c r="H595" t="s">
        <v>63</v>
      </c>
      <c r="I595">
        <v>5</v>
      </c>
      <c r="J595">
        <v>0.25</v>
      </c>
      <c r="K595">
        <v>43.06</v>
      </c>
      <c r="L595">
        <v>6.75</v>
      </c>
      <c r="M595" t="s">
        <v>2477</v>
      </c>
      <c r="N595" t="s">
        <v>2474</v>
      </c>
      <c r="O595" t="s">
        <v>2468</v>
      </c>
      <c r="P595">
        <v>6.33</v>
      </c>
      <c r="Q595">
        <v>12.16</v>
      </c>
      <c r="R595">
        <v>31.65</v>
      </c>
      <c r="S595">
        <v>4.6600000000000037</v>
      </c>
      <c r="T595">
        <v>0.10822108685555047</v>
      </c>
      <c r="U595" s="1">
        <v>45839</v>
      </c>
      <c r="V595" t="s">
        <v>2501</v>
      </c>
      <c r="W595">
        <v>2025</v>
      </c>
    </row>
    <row r="596" spans="1:23" x14ac:dyDescent="0.25">
      <c r="A596" t="s">
        <v>643</v>
      </c>
      <c r="B596" s="1">
        <v>45518</v>
      </c>
      <c r="C596" s="1">
        <v>45521</v>
      </c>
      <c r="D596" t="s">
        <v>32</v>
      </c>
      <c r="E596" t="s">
        <v>45</v>
      </c>
      <c r="F596" t="s">
        <v>15</v>
      </c>
      <c r="G596" t="s">
        <v>16</v>
      </c>
      <c r="H596" t="s">
        <v>51</v>
      </c>
      <c r="I596">
        <v>7</v>
      </c>
      <c r="J596">
        <v>0</v>
      </c>
      <c r="K596">
        <v>95.21</v>
      </c>
      <c r="L596">
        <v>4.59</v>
      </c>
      <c r="M596" t="s">
        <v>2475</v>
      </c>
      <c r="N596" t="s">
        <v>2474</v>
      </c>
      <c r="O596" t="s">
        <v>2463</v>
      </c>
      <c r="P596">
        <v>7.93</v>
      </c>
      <c r="Q596">
        <v>14.78</v>
      </c>
      <c r="R596">
        <v>55.51</v>
      </c>
      <c r="S596">
        <v>35.11</v>
      </c>
      <c r="T596">
        <v>0.36876378531666842</v>
      </c>
      <c r="U596" s="1">
        <v>45505</v>
      </c>
      <c r="V596" t="s">
        <v>2499</v>
      </c>
      <c r="W596">
        <v>2024</v>
      </c>
    </row>
    <row r="597" spans="1:23" x14ac:dyDescent="0.25">
      <c r="A597" t="s">
        <v>644</v>
      </c>
      <c r="B597" s="1">
        <v>45589</v>
      </c>
      <c r="C597" s="1">
        <v>45590</v>
      </c>
      <c r="D597" t="s">
        <v>32</v>
      </c>
      <c r="E597" t="s">
        <v>45</v>
      </c>
      <c r="F597" t="s">
        <v>25</v>
      </c>
      <c r="G597" t="s">
        <v>26</v>
      </c>
      <c r="H597" t="s">
        <v>41</v>
      </c>
      <c r="I597">
        <v>13</v>
      </c>
      <c r="J597">
        <v>0.2</v>
      </c>
      <c r="K597">
        <v>74.12</v>
      </c>
      <c r="L597">
        <v>6.21</v>
      </c>
      <c r="M597" t="s">
        <v>2479</v>
      </c>
      <c r="N597" t="s">
        <v>2474</v>
      </c>
      <c r="O597" t="s">
        <v>2459</v>
      </c>
      <c r="P597">
        <v>3.3</v>
      </c>
      <c r="Q597">
        <v>6.13</v>
      </c>
      <c r="R597">
        <v>42.9</v>
      </c>
      <c r="S597">
        <v>25.010000000000005</v>
      </c>
      <c r="T597">
        <v>0.33742579600647604</v>
      </c>
      <c r="U597" s="1">
        <v>45566</v>
      </c>
      <c r="V597" t="s">
        <v>2500</v>
      </c>
      <c r="W597">
        <v>2024</v>
      </c>
    </row>
    <row r="598" spans="1:23" x14ac:dyDescent="0.25">
      <c r="A598" t="s">
        <v>645</v>
      </c>
      <c r="B598" s="1">
        <v>45644</v>
      </c>
      <c r="C598" s="1">
        <v>45645</v>
      </c>
      <c r="D598" t="s">
        <v>13</v>
      </c>
      <c r="E598" t="s">
        <v>36</v>
      </c>
      <c r="F598" t="s">
        <v>25</v>
      </c>
      <c r="G598" t="s">
        <v>26</v>
      </c>
      <c r="H598" t="s">
        <v>60</v>
      </c>
      <c r="I598">
        <v>1</v>
      </c>
      <c r="J598">
        <v>0.05</v>
      </c>
      <c r="K598">
        <v>147.86000000000001</v>
      </c>
      <c r="L598">
        <v>3.45</v>
      </c>
      <c r="M598" t="s">
        <v>2469</v>
      </c>
      <c r="N598" t="s">
        <v>2467</v>
      </c>
      <c r="O598" t="s">
        <v>2468</v>
      </c>
      <c r="P598">
        <v>54.95</v>
      </c>
      <c r="Q598">
        <v>112.56</v>
      </c>
      <c r="R598">
        <v>54.95</v>
      </c>
      <c r="S598">
        <v>89.460000000000008</v>
      </c>
      <c r="T598">
        <v>0.6050317868253754</v>
      </c>
      <c r="U598" s="1">
        <v>45627</v>
      </c>
      <c r="V598" t="s">
        <v>2498</v>
      </c>
      <c r="W598">
        <v>2024</v>
      </c>
    </row>
    <row r="599" spans="1:23" x14ac:dyDescent="0.25">
      <c r="A599" t="s">
        <v>646</v>
      </c>
      <c r="B599" s="1">
        <v>45468</v>
      </c>
      <c r="C599" s="1">
        <v>45471</v>
      </c>
      <c r="D599" t="s">
        <v>13</v>
      </c>
      <c r="E599" t="s">
        <v>14</v>
      </c>
      <c r="F599" t="s">
        <v>29</v>
      </c>
      <c r="G599" t="s">
        <v>26</v>
      </c>
      <c r="H599" t="s">
        <v>39</v>
      </c>
      <c r="I599">
        <v>3</v>
      </c>
      <c r="J599">
        <v>0.2</v>
      </c>
      <c r="K599">
        <v>485.75</v>
      </c>
      <c r="L599">
        <v>8.25</v>
      </c>
      <c r="M599" t="s">
        <v>2471</v>
      </c>
      <c r="N599" t="s">
        <v>2467</v>
      </c>
      <c r="O599" t="s">
        <v>2461</v>
      </c>
      <c r="P599">
        <v>112.09</v>
      </c>
      <c r="Q599">
        <v>192.47</v>
      </c>
      <c r="R599">
        <v>336.27</v>
      </c>
      <c r="S599">
        <v>141.23000000000002</v>
      </c>
      <c r="T599">
        <v>0.29074626865671643</v>
      </c>
      <c r="U599" s="1">
        <v>45444</v>
      </c>
      <c r="V599" t="s">
        <v>2500</v>
      </c>
      <c r="W599">
        <v>2024</v>
      </c>
    </row>
    <row r="600" spans="1:23" x14ac:dyDescent="0.25">
      <c r="A600" t="s">
        <v>647</v>
      </c>
      <c r="B600" s="1">
        <v>45417</v>
      </c>
      <c r="C600" s="1">
        <v>45418</v>
      </c>
      <c r="D600" t="s">
        <v>32</v>
      </c>
      <c r="E600" t="s">
        <v>62</v>
      </c>
      <c r="F600" t="s">
        <v>29</v>
      </c>
      <c r="G600" t="s">
        <v>26</v>
      </c>
      <c r="H600" t="s">
        <v>41</v>
      </c>
      <c r="I600">
        <v>7</v>
      </c>
      <c r="J600">
        <v>0.2</v>
      </c>
      <c r="K600">
        <v>34.020000000000003</v>
      </c>
      <c r="L600">
        <v>4.59</v>
      </c>
      <c r="M600" t="s">
        <v>2479</v>
      </c>
      <c r="N600" t="s">
        <v>2474</v>
      </c>
      <c r="O600" t="s">
        <v>2459</v>
      </c>
      <c r="P600">
        <v>3.3</v>
      </c>
      <c r="Q600">
        <v>6.13</v>
      </c>
      <c r="R600">
        <v>23.099999999999998</v>
      </c>
      <c r="S600">
        <v>6.3300000000000054</v>
      </c>
      <c r="T600">
        <v>0.18606701940035286</v>
      </c>
      <c r="U600" s="1">
        <v>45413</v>
      </c>
      <c r="V600" t="s">
        <v>2500</v>
      </c>
      <c r="W600">
        <v>2024</v>
      </c>
    </row>
    <row r="601" spans="1:23" x14ac:dyDescent="0.25">
      <c r="A601" t="s">
        <v>648</v>
      </c>
      <c r="B601" s="1">
        <v>45903</v>
      </c>
      <c r="C601" s="1">
        <v>45905</v>
      </c>
      <c r="D601" t="s">
        <v>23</v>
      </c>
      <c r="E601" t="s">
        <v>59</v>
      </c>
      <c r="F601" t="s">
        <v>15</v>
      </c>
      <c r="G601" t="s">
        <v>26</v>
      </c>
      <c r="H601" t="s">
        <v>53</v>
      </c>
      <c r="I601">
        <v>4</v>
      </c>
      <c r="J601">
        <v>0</v>
      </c>
      <c r="K601">
        <v>240.48</v>
      </c>
      <c r="L601">
        <v>5.7</v>
      </c>
      <c r="M601" t="s">
        <v>2470</v>
      </c>
      <c r="N601" t="s">
        <v>2467</v>
      </c>
      <c r="O601" t="s">
        <v>2459</v>
      </c>
      <c r="P601">
        <v>31.34</v>
      </c>
      <c r="Q601">
        <v>56.49</v>
      </c>
      <c r="R601">
        <v>125.36</v>
      </c>
      <c r="S601">
        <v>109.41999999999999</v>
      </c>
      <c r="T601">
        <v>0.45500665335994672</v>
      </c>
      <c r="U601" s="1">
        <v>45901</v>
      </c>
      <c r="V601" t="s">
        <v>2499</v>
      </c>
      <c r="W601">
        <v>2025</v>
      </c>
    </row>
    <row r="602" spans="1:23" x14ac:dyDescent="0.25">
      <c r="A602" t="s">
        <v>649</v>
      </c>
      <c r="B602" s="1">
        <v>45781</v>
      </c>
      <c r="C602" s="1">
        <v>45784</v>
      </c>
      <c r="D602" t="s">
        <v>47</v>
      </c>
      <c r="E602" t="s">
        <v>48</v>
      </c>
      <c r="F602" t="s">
        <v>15</v>
      </c>
      <c r="G602" t="s">
        <v>26</v>
      </c>
      <c r="H602" t="s">
        <v>63</v>
      </c>
      <c r="I602">
        <v>7</v>
      </c>
      <c r="J602">
        <v>0.25</v>
      </c>
      <c r="K602">
        <v>61.58</v>
      </c>
      <c r="L602">
        <v>4.59</v>
      </c>
      <c r="M602" t="s">
        <v>2477</v>
      </c>
      <c r="N602" t="s">
        <v>2474</v>
      </c>
      <c r="O602" t="s">
        <v>2468</v>
      </c>
      <c r="P602">
        <v>6.33</v>
      </c>
      <c r="Q602">
        <v>12.16</v>
      </c>
      <c r="R602">
        <v>44.31</v>
      </c>
      <c r="S602">
        <v>12.679999999999996</v>
      </c>
      <c r="T602">
        <v>0.20591101006820389</v>
      </c>
      <c r="U602" s="1">
        <v>45778</v>
      </c>
      <c r="V602" t="s">
        <v>2501</v>
      </c>
      <c r="W602">
        <v>2025</v>
      </c>
    </row>
    <row r="603" spans="1:23" x14ac:dyDescent="0.25">
      <c r="A603" t="s">
        <v>650</v>
      </c>
      <c r="B603" s="1">
        <v>45751</v>
      </c>
      <c r="C603" s="1">
        <v>45756</v>
      </c>
      <c r="D603" t="s">
        <v>23</v>
      </c>
      <c r="E603" t="s">
        <v>59</v>
      </c>
      <c r="F603" t="s">
        <v>25</v>
      </c>
      <c r="G603" t="s">
        <v>20</v>
      </c>
      <c r="H603" t="s">
        <v>53</v>
      </c>
      <c r="I603">
        <v>4</v>
      </c>
      <c r="J603">
        <v>0.1</v>
      </c>
      <c r="K603">
        <v>208.9</v>
      </c>
      <c r="L603">
        <v>9.5</v>
      </c>
      <c r="M603" t="s">
        <v>2470</v>
      </c>
      <c r="N603" t="s">
        <v>2467</v>
      </c>
      <c r="O603" t="s">
        <v>2459</v>
      </c>
      <c r="P603">
        <v>31.34</v>
      </c>
      <c r="Q603">
        <v>56.49</v>
      </c>
      <c r="R603">
        <v>125.36</v>
      </c>
      <c r="S603">
        <v>74.040000000000006</v>
      </c>
      <c r="T603">
        <v>0.35442795595978938</v>
      </c>
      <c r="U603" s="1">
        <v>45748</v>
      </c>
      <c r="V603" t="s">
        <v>2498</v>
      </c>
      <c r="W603">
        <v>2025</v>
      </c>
    </row>
    <row r="604" spans="1:23" x14ac:dyDescent="0.25">
      <c r="A604" t="s">
        <v>651</v>
      </c>
      <c r="B604" s="1">
        <v>45911</v>
      </c>
      <c r="C604" s="1">
        <v>45916</v>
      </c>
      <c r="D604" t="s">
        <v>47</v>
      </c>
      <c r="E604" t="s">
        <v>71</v>
      </c>
      <c r="F604" t="s">
        <v>29</v>
      </c>
      <c r="G604" t="s">
        <v>26</v>
      </c>
      <c r="H604" t="s">
        <v>37</v>
      </c>
      <c r="I604">
        <v>2</v>
      </c>
      <c r="J604">
        <v>0</v>
      </c>
      <c r="K604">
        <v>235.3</v>
      </c>
      <c r="L604">
        <v>9.1</v>
      </c>
      <c r="M604" t="s">
        <v>2464</v>
      </c>
      <c r="N604" t="s">
        <v>2458</v>
      </c>
      <c r="O604" t="s">
        <v>2465</v>
      </c>
      <c r="P604">
        <v>63.6</v>
      </c>
      <c r="Q604">
        <v>107.94</v>
      </c>
      <c r="R604">
        <v>127.2</v>
      </c>
      <c r="S604">
        <v>99.000000000000014</v>
      </c>
      <c r="T604">
        <v>0.4207394815129622</v>
      </c>
      <c r="U604" s="1">
        <v>45901</v>
      </c>
      <c r="V604" t="s">
        <v>2499</v>
      </c>
      <c r="W604">
        <v>2025</v>
      </c>
    </row>
    <row r="605" spans="1:23" x14ac:dyDescent="0.25">
      <c r="A605" t="s">
        <v>652</v>
      </c>
      <c r="B605" s="1">
        <v>45582</v>
      </c>
      <c r="C605" s="1">
        <v>45586</v>
      </c>
      <c r="D605" t="s">
        <v>23</v>
      </c>
      <c r="E605" t="s">
        <v>43</v>
      </c>
      <c r="F605" t="s">
        <v>25</v>
      </c>
      <c r="G605" t="s">
        <v>20</v>
      </c>
      <c r="H605" t="s">
        <v>17</v>
      </c>
      <c r="I605">
        <v>4</v>
      </c>
      <c r="J605">
        <v>0.1</v>
      </c>
      <c r="K605">
        <v>514.55999999999995</v>
      </c>
      <c r="L605">
        <v>5.7</v>
      </c>
      <c r="M605" t="s">
        <v>2472</v>
      </c>
      <c r="N605" t="s">
        <v>2467</v>
      </c>
      <c r="O605" t="s">
        <v>2468</v>
      </c>
      <c r="P605">
        <v>63.69</v>
      </c>
      <c r="Q605">
        <v>125.5</v>
      </c>
      <c r="R605">
        <v>254.76</v>
      </c>
      <c r="S605">
        <v>254.09999999999997</v>
      </c>
      <c r="T605">
        <v>0.49381996268656714</v>
      </c>
      <c r="U605" s="1">
        <v>45566</v>
      </c>
      <c r="V605" t="s">
        <v>2498</v>
      </c>
      <c r="W605">
        <v>2024</v>
      </c>
    </row>
    <row r="606" spans="1:23" x14ac:dyDescent="0.25">
      <c r="A606" t="s">
        <v>653</v>
      </c>
      <c r="B606" s="1">
        <v>45988</v>
      </c>
      <c r="C606" s="1">
        <v>45994</v>
      </c>
      <c r="D606" t="s">
        <v>32</v>
      </c>
      <c r="E606" t="s">
        <v>62</v>
      </c>
      <c r="F606" t="s">
        <v>25</v>
      </c>
      <c r="G606" t="s">
        <v>16</v>
      </c>
      <c r="H606" t="s">
        <v>53</v>
      </c>
      <c r="I606">
        <v>1</v>
      </c>
      <c r="J606">
        <v>0</v>
      </c>
      <c r="K606">
        <v>74.41</v>
      </c>
      <c r="L606">
        <v>3.45</v>
      </c>
      <c r="M606" t="s">
        <v>2470</v>
      </c>
      <c r="N606" t="s">
        <v>2467</v>
      </c>
      <c r="O606" t="s">
        <v>2459</v>
      </c>
      <c r="P606">
        <v>31.34</v>
      </c>
      <c r="Q606">
        <v>56.49</v>
      </c>
      <c r="R606">
        <v>31.34</v>
      </c>
      <c r="S606">
        <v>39.61999999999999</v>
      </c>
      <c r="T606">
        <v>0.53245531514581368</v>
      </c>
      <c r="U606" s="1">
        <v>45962</v>
      </c>
      <c r="V606" t="s">
        <v>2499</v>
      </c>
      <c r="W606">
        <v>2025</v>
      </c>
    </row>
    <row r="607" spans="1:23" x14ac:dyDescent="0.25">
      <c r="A607" t="s">
        <v>654</v>
      </c>
      <c r="B607" s="1">
        <v>45798</v>
      </c>
      <c r="C607" s="1">
        <v>45804</v>
      </c>
      <c r="D607" t="s">
        <v>23</v>
      </c>
      <c r="E607" t="s">
        <v>24</v>
      </c>
      <c r="F607" t="s">
        <v>25</v>
      </c>
      <c r="G607" t="s">
        <v>20</v>
      </c>
      <c r="H607" t="s">
        <v>39</v>
      </c>
      <c r="I607">
        <v>5</v>
      </c>
      <c r="J607">
        <v>0.25</v>
      </c>
      <c r="K607">
        <v>723.31</v>
      </c>
      <c r="L607">
        <v>6.45</v>
      </c>
      <c r="M607" t="s">
        <v>2471</v>
      </c>
      <c r="N607" t="s">
        <v>2467</v>
      </c>
      <c r="O607" t="s">
        <v>2461</v>
      </c>
      <c r="P607">
        <v>112.09</v>
      </c>
      <c r="Q607">
        <v>192.47</v>
      </c>
      <c r="R607">
        <v>560.45000000000005</v>
      </c>
      <c r="S607">
        <v>156.40999999999991</v>
      </c>
      <c r="T607">
        <v>0.21624199858981616</v>
      </c>
      <c r="U607" s="1">
        <v>45778</v>
      </c>
      <c r="V607" t="s">
        <v>2501</v>
      </c>
      <c r="W607">
        <v>2025</v>
      </c>
    </row>
    <row r="608" spans="1:23" x14ac:dyDescent="0.25">
      <c r="A608" t="s">
        <v>655</v>
      </c>
      <c r="B608" s="1">
        <v>45992</v>
      </c>
      <c r="C608" s="1">
        <v>45995</v>
      </c>
      <c r="D608" t="s">
        <v>23</v>
      </c>
      <c r="E608" t="s">
        <v>24</v>
      </c>
      <c r="F608" t="s">
        <v>25</v>
      </c>
      <c r="G608" t="s">
        <v>20</v>
      </c>
      <c r="H608" t="s">
        <v>30</v>
      </c>
      <c r="I608">
        <v>6</v>
      </c>
      <c r="J608">
        <v>0.15</v>
      </c>
      <c r="K608">
        <v>42.49</v>
      </c>
      <c r="L608">
        <v>7.2</v>
      </c>
      <c r="M608" t="s">
        <v>2473</v>
      </c>
      <c r="N608" t="s">
        <v>2474</v>
      </c>
      <c r="O608" t="s">
        <v>2463</v>
      </c>
      <c r="P608">
        <v>3.62</v>
      </c>
      <c r="Q608">
        <v>6.03</v>
      </c>
      <c r="R608">
        <v>21.72</v>
      </c>
      <c r="S608">
        <v>13.570000000000004</v>
      </c>
      <c r="T608">
        <v>0.31936926335608384</v>
      </c>
      <c r="U608" s="1">
        <v>45992</v>
      </c>
      <c r="V608" t="s">
        <v>2500</v>
      </c>
      <c r="W608">
        <v>2025</v>
      </c>
    </row>
    <row r="609" spans="1:23" x14ac:dyDescent="0.25">
      <c r="A609" t="s">
        <v>656</v>
      </c>
      <c r="B609" s="1">
        <v>45634</v>
      </c>
      <c r="C609" s="1">
        <v>45635</v>
      </c>
      <c r="D609" t="s">
        <v>32</v>
      </c>
      <c r="E609" t="s">
        <v>62</v>
      </c>
      <c r="F609" t="s">
        <v>25</v>
      </c>
      <c r="G609" t="s">
        <v>20</v>
      </c>
      <c r="H609" t="s">
        <v>87</v>
      </c>
      <c r="I609">
        <v>4</v>
      </c>
      <c r="J609">
        <v>0</v>
      </c>
      <c r="K609">
        <v>47.36</v>
      </c>
      <c r="L609">
        <v>3.78</v>
      </c>
      <c r="M609" t="s">
        <v>2476</v>
      </c>
      <c r="N609" t="s">
        <v>2474</v>
      </c>
      <c r="O609" t="s">
        <v>2459</v>
      </c>
      <c r="P609">
        <v>4.5</v>
      </c>
      <c r="Q609">
        <v>8.2899999999999991</v>
      </c>
      <c r="R609">
        <v>18</v>
      </c>
      <c r="S609">
        <v>25.58</v>
      </c>
      <c r="T609">
        <v>0.5401182432432432</v>
      </c>
      <c r="U609" s="1">
        <v>45627</v>
      </c>
      <c r="V609" t="s">
        <v>2499</v>
      </c>
      <c r="W609">
        <v>2024</v>
      </c>
    </row>
    <row r="610" spans="1:23" x14ac:dyDescent="0.25">
      <c r="A610" t="s">
        <v>657</v>
      </c>
      <c r="B610" s="1">
        <v>45680</v>
      </c>
      <c r="C610" s="1">
        <v>45685</v>
      </c>
      <c r="D610" t="s">
        <v>47</v>
      </c>
      <c r="E610" t="s">
        <v>50</v>
      </c>
      <c r="F610" t="s">
        <v>29</v>
      </c>
      <c r="G610" t="s">
        <v>26</v>
      </c>
      <c r="H610" t="s">
        <v>68</v>
      </c>
      <c r="I610">
        <v>2</v>
      </c>
      <c r="J610">
        <v>0</v>
      </c>
      <c r="K610">
        <v>87.13</v>
      </c>
      <c r="L610">
        <v>4.2</v>
      </c>
      <c r="M610" t="s">
        <v>2466</v>
      </c>
      <c r="N610" t="s">
        <v>2467</v>
      </c>
      <c r="O610" t="s">
        <v>2468</v>
      </c>
      <c r="P610">
        <v>25.33</v>
      </c>
      <c r="Q610">
        <v>51.56</v>
      </c>
      <c r="R610">
        <v>50.66</v>
      </c>
      <c r="S610">
        <v>32.269999999999996</v>
      </c>
      <c r="T610">
        <v>0.37036611959141508</v>
      </c>
      <c r="U610" s="1">
        <v>45658</v>
      </c>
      <c r="V610" t="s">
        <v>2499</v>
      </c>
      <c r="W610">
        <v>2025</v>
      </c>
    </row>
    <row r="611" spans="1:23" x14ac:dyDescent="0.25">
      <c r="A611" t="s">
        <v>658</v>
      </c>
      <c r="B611" s="1">
        <v>45301</v>
      </c>
      <c r="C611" s="1">
        <v>45302</v>
      </c>
      <c r="D611" t="s">
        <v>32</v>
      </c>
      <c r="E611" t="s">
        <v>62</v>
      </c>
      <c r="F611" t="s">
        <v>15</v>
      </c>
      <c r="G611" t="s">
        <v>20</v>
      </c>
      <c r="H611" t="s">
        <v>63</v>
      </c>
      <c r="I611">
        <v>5</v>
      </c>
      <c r="J611">
        <v>0</v>
      </c>
      <c r="K611">
        <v>56.03</v>
      </c>
      <c r="L611">
        <v>4.05</v>
      </c>
      <c r="M611" t="s">
        <v>2477</v>
      </c>
      <c r="N611" t="s">
        <v>2474</v>
      </c>
      <c r="O611" t="s">
        <v>2468</v>
      </c>
      <c r="P611">
        <v>6.33</v>
      </c>
      <c r="Q611">
        <v>12.16</v>
      </c>
      <c r="R611">
        <v>31.65</v>
      </c>
      <c r="S611">
        <v>20.330000000000002</v>
      </c>
      <c r="T611">
        <v>0.36284133499910765</v>
      </c>
      <c r="U611" s="1">
        <v>45292</v>
      </c>
      <c r="V611" t="s">
        <v>2499</v>
      </c>
      <c r="W611">
        <v>2024</v>
      </c>
    </row>
    <row r="612" spans="1:23" x14ac:dyDescent="0.25">
      <c r="A612" t="s">
        <v>659</v>
      </c>
      <c r="B612" s="1">
        <v>45942</v>
      </c>
      <c r="C612" s="1">
        <v>45944</v>
      </c>
      <c r="D612" t="s">
        <v>47</v>
      </c>
      <c r="E612" t="s">
        <v>50</v>
      </c>
      <c r="F612" t="s">
        <v>15</v>
      </c>
      <c r="G612" t="s">
        <v>20</v>
      </c>
      <c r="H612" t="s">
        <v>30</v>
      </c>
      <c r="I612">
        <v>14</v>
      </c>
      <c r="J612">
        <v>0</v>
      </c>
      <c r="K612">
        <v>100.06</v>
      </c>
      <c r="L612">
        <v>10.8</v>
      </c>
      <c r="M612" t="s">
        <v>2473</v>
      </c>
      <c r="N612" t="s">
        <v>2474</v>
      </c>
      <c r="O612" t="s">
        <v>2463</v>
      </c>
      <c r="P612">
        <v>3.62</v>
      </c>
      <c r="Q612">
        <v>6.03</v>
      </c>
      <c r="R612">
        <v>50.68</v>
      </c>
      <c r="S612">
        <v>38.58</v>
      </c>
      <c r="T612">
        <v>0.38556865880471713</v>
      </c>
      <c r="U612" s="1">
        <v>45931</v>
      </c>
      <c r="V612" t="s">
        <v>2499</v>
      </c>
      <c r="W612">
        <v>2025</v>
      </c>
    </row>
    <row r="613" spans="1:23" x14ac:dyDescent="0.25">
      <c r="A613" t="s">
        <v>660</v>
      </c>
      <c r="B613" s="1">
        <v>45632</v>
      </c>
      <c r="C613" s="1">
        <v>45635</v>
      </c>
      <c r="D613" t="s">
        <v>23</v>
      </c>
      <c r="E613" t="s">
        <v>24</v>
      </c>
      <c r="F613" t="s">
        <v>25</v>
      </c>
      <c r="G613" t="s">
        <v>20</v>
      </c>
      <c r="H613" t="s">
        <v>17</v>
      </c>
      <c r="I613">
        <v>3</v>
      </c>
      <c r="J613">
        <v>0.25</v>
      </c>
      <c r="K613">
        <v>404.69</v>
      </c>
      <c r="L613">
        <v>8.25</v>
      </c>
      <c r="M613" t="s">
        <v>2472</v>
      </c>
      <c r="N613" t="s">
        <v>2467</v>
      </c>
      <c r="O613" t="s">
        <v>2468</v>
      </c>
      <c r="P613">
        <v>63.69</v>
      </c>
      <c r="Q613">
        <v>125.5</v>
      </c>
      <c r="R613">
        <v>191.07</v>
      </c>
      <c r="S613">
        <v>205.37</v>
      </c>
      <c r="T613">
        <v>0.50747485729817887</v>
      </c>
      <c r="U613" s="1">
        <v>45627</v>
      </c>
      <c r="V613" t="s">
        <v>2501</v>
      </c>
      <c r="W613">
        <v>2024</v>
      </c>
    </row>
    <row r="614" spans="1:23" x14ac:dyDescent="0.25">
      <c r="A614" t="s">
        <v>661</v>
      </c>
      <c r="B614" s="1">
        <v>45576</v>
      </c>
      <c r="C614" s="1">
        <v>45577</v>
      </c>
      <c r="D614" t="s">
        <v>13</v>
      </c>
      <c r="E614" t="s">
        <v>14</v>
      </c>
      <c r="F614" t="s">
        <v>29</v>
      </c>
      <c r="G614" t="s">
        <v>20</v>
      </c>
      <c r="H614" t="s">
        <v>34</v>
      </c>
      <c r="I614">
        <v>7</v>
      </c>
      <c r="J614">
        <v>0</v>
      </c>
      <c r="K614">
        <v>1648.94</v>
      </c>
      <c r="L614">
        <v>12.36</v>
      </c>
      <c r="M614" t="s">
        <v>2460</v>
      </c>
      <c r="N614" t="s">
        <v>2458</v>
      </c>
      <c r="O614" t="s">
        <v>2461</v>
      </c>
      <c r="P614">
        <v>119.02</v>
      </c>
      <c r="Q614">
        <v>205.39</v>
      </c>
      <c r="R614">
        <v>833.14</v>
      </c>
      <c r="S614">
        <v>803.44</v>
      </c>
      <c r="T614">
        <v>0.48724635220202073</v>
      </c>
      <c r="U614" s="1">
        <v>45566</v>
      </c>
      <c r="V614" t="s">
        <v>2499</v>
      </c>
      <c r="W614">
        <v>2024</v>
      </c>
    </row>
    <row r="615" spans="1:23" x14ac:dyDescent="0.25">
      <c r="A615" t="s">
        <v>662</v>
      </c>
      <c r="B615" s="1">
        <v>45322</v>
      </c>
      <c r="C615" s="1">
        <v>45326</v>
      </c>
      <c r="D615" t="s">
        <v>13</v>
      </c>
      <c r="E615" t="s">
        <v>19</v>
      </c>
      <c r="F615" t="s">
        <v>29</v>
      </c>
      <c r="G615" t="s">
        <v>16</v>
      </c>
      <c r="H615" t="s">
        <v>34</v>
      </c>
      <c r="I615">
        <v>2</v>
      </c>
      <c r="J615">
        <v>0.2</v>
      </c>
      <c r="K615">
        <v>297.14</v>
      </c>
      <c r="L615">
        <v>5.46</v>
      </c>
      <c r="M615" t="s">
        <v>2460</v>
      </c>
      <c r="N615" t="s">
        <v>2458</v>
      </c>
      <c r="O615" t="s">
        <v>2461</v>
      </c>
      <c r="P615">
        <v>119.02</v>
      </c>
      <c r="Q615">
        <v>205.39</v>
      </c>
      <c r="R615">
        <v>238.04</v>
      </c>
      <c r="S615">
        <v>53.639999999999993</v>
      </c>
      <c r="T615">
        <v>0.18052096654775526</v>
      </c>
      <c r="U615" s="1">
        <v>45292</v>
      </c>
      <c r="V615" t="s">
        <v>2500</v>
      </c>
      <c r="W615">
        <v>2024</v>
      </c>
    </row>
    <row r="616" spans="1:23" x14ac:dyDescent="0.25">
      <c r="A616" t="s">
        <v>663</v>
      </c>
      <c r="B616" s="1">
        <v>45766</v>
      </c>
      <c r="C616" s="1">
        <v>45770</v>
      </c>
      <c r="D616" t="s">
        <v>47</v>
      </c>
      <c r="E616" t="s">
        <v>50</v>
      </c>
      <c r="F616" t="s">
        <v>25</v>
      </c>
      <c r="G616" t="s">
        <v>20</v>
      </c>
      <c r="H616" t="s">
        <v>68</v>
      </c>
      <c r="I616">
        <v>3</v>
      </c>
      <c r="J616">
        <v>0.15</v>
      </c>
      <c r="K616">
        <v>132.31</v>
      </c>
      <c r="L616">
        <v>4.95</v>
      </c>
      <c r="M616" t="s">
        <v>2466</v>
      </c>
      <c r="N616" t="s">
        <v>2467</v>
      </c>
      <c r="O616" t="s">
        <v>2468</v>
      </c>
      <c r="P616">
        <v>25.33</v>
      </c>
      <c r="Q616">
        <v>51.56</v>
      </c>
      <c r="R616">
        <v>75.989999999999995</v>
      </c>
      <c r="S616">
        <v>51.370000000000005</v>
      </c>
      <c r="T616">
        <v>0.38825485601995319</v>
      </c>
      <c r="U616" s="1">
        <v>45748</v>
      </c>
      <c r="V616" t="s">
        <v>2500</v>
      </c>
      <c r="W616">
        <v>2025</v>
      </c>
    </row>
    <row r="617" spans="1:23" x14ac:dyDescent="0.25">
      <c r="A617" t="s">
        <v>664</v>
      </c>
      <c r="B617" s="1">
        <v>45669</v>
      </c>
      <c r="C617" s="1">
        <v>45675</v>
      </c>
      <c r="D617" t="s">
        <v>23</v>
      </c>
      <c r="E617" t="s">
        <v>43</v>
      </c>
      <c r="F617" t="s">
        <v>15</v>
      </c>
      <c r="G617" t="s">
        <v>26</v>
      </c>
      <c r="H617" t="s">
        <v>63</v>
      </c>
      <c r="I617">
        <v>3</v>
      </c>
      <c r="J617">
        <v>0.2</v>
      </c>
      <c r="K617">
        <v>25.32</v>
      </c>
      <c r="L617">
        <v>5.85</v>
      </c>
      <c r="M617" t="s">
        <v>2477</v>
      </c>
      <c r="N617" t="s">
        <v>2474</v>
      </c>
      <c r="O617" t="s">
        <v>2468</v>
      </c>
      <c r="P617">
        <v>6.33</v>
      </c>
      <c r="Q617">
        <v>12.16</v>
      </c>
      <c r="R617">
        <v>18.990000000000002</v>
      </c>
      <c r="S617">
        <v>0.47999999999999865</v>
      </c>
      <c r="T617">
        <v>1.8957345971563927E-2</v>
      </c>
      <c r="U617" s="1">
        <v>45658</v>
      </c>
      <c r="V617" t="s">
        <v>2500</v>
      </c>
      <c r="W617">
        <v>2025</v>
      </c>
    </row>
    <row r="618" spans="1:23" x14ac:dyDescent="0.25">
      <c r="A618" t="s">
        <v>665</v>
      </c>
      <c r="B618" s="1">
        <v>45747</v>
      </c>
      <c r="C618" s="1">
        <v>45752</v>
      </c>
      <c r="D618" t="s">
        <v>23</v>
      </c>
      <c r="E618" t="s">
        <v>43</v>
      </c>
      <c r="F618" t="s">
        <v>29</v>
      </c>
      <c r="G618" t="s">
        <v>16</v>
      </c>
      <c r="H618" t="s">
        <v>39</v>
      </c>
      <c r="I618">
        <v>2</v>
      </c>
      <c r="J618">
        <v>0.1</v>
      </c>
      <c r="K618">
        <v>327.04000000000002</v>
      </c>
      <c r="L618">
        <v>7</v>
      </c>
      <c r="M618" t="s">
        <v>2471</v>
      </c>
      <c r="N618" t="s">
        <v>2467</v>
      </c>
      <c r="O618" t="s">
        <v>2461</v>
      </c>
      <c r="P618">
        <v>112.09</v>
      </c>
      <c r="Q618">
        <v>192.47</v>
      </c>
      <c r="R618">
        <v>224.18</v>
      </c>
      <c r="S618">
        <v>95.860000000000014</v>
      </c>
      <c r="T618">
        <v>0.29311399217221135</v>
      </c>
      <c r="U618" s="1">
        <v>45717</v>
      </c>
      <c r="V618" t="s">
        <v>2498</v>
      </c>
      <c r="W618">
        <v>2025</v>
      </c>
    </row>
    <row r="619" spans="1:23" x14ac:dyDescent="0.25">
      <c r="A619" t="s">
        <v>666</v>
      </c>
      <c r="B619" s="1">
        <v>45669</v>
      </c>
      <c r="C619" s="1">
        <v>45672</v>
      </c>
      <c r="D619" t="s">
        <v>47</v>
      </c>
      <c r="E619" t="s">
        <v>48</v>
      </c>
      <c r="F619" t="s">
        <v>25</v>
      </c>
      <c r="G619" t="s">
        <v>16</v>
      </c>
      <c r="H619" t="s">
        <v>39</v>
      </c>
      <c r="I619">
        <v>2</v>
      </c>
      <c r="J619">
        <v>0.25</v>
      </c>
      <c r="K619">
        <v>256.58</v>
      </c>
      <c r="L619">
        <v>4.2</v>
      </c>
      <c r="M619" t="s">
        <v>2471</v>
      </c>
      <c r="N619" t="s">
        <v>2467</v>
      </c>
      <c r="O619" t="s">
        <v>2461</v>
      </c>
      <c r="P619">
        <v>112.09</v>
      </c>
      <c r="Q619">
        <v>192.47</v>
      </c>
      <c r="R619">
        <v>224.18</v>
      </c>
      <c r="S619">
        <v>28.199999999999978</v>
      </c>
      <c r="T619">
        <v>0.10990724140618903</v>
      </c>
      <c r="U619" s="1">
        <v>45658</v>
      </c>
      <c r="V619" t="s">
        <v>2501</v>
      </c>
      <c r="W619">
        <v>2025</v>
      </c>
    </row>
    <row r="620" spans="1:23" x14ac:dyDescent="0.25">
      <c r="A620" t="s">
        <v>667</v>
      </c>
      <c r="B620" s="1">
        <v>45969</v>
      </c>
      <c r="C620" s="1">
        <v>45975</v>
      </c>
      <c r="D620" t="s">
        <v>13</v>
      </c>
      <c r="E620" t="s">
        <v>19</v>
      </c>
      <c r="F620" t="s">
        <v>25</v>
      </c>
      <c r="G620" t="s">
        <v>16</v>
      </c>
      <c r="H620" t="s">
        <v>65</v>
      </c>
      <c r="I620">
        <v>3</v>
      </c>
      <c r="J620">
        <v>0</v>
      </c>
      <c r="K620">
        <v>1221.1400000000001</v>
      </c>
      <c r="L620">
        <v>11.4</v>
      </c>
      <c r="M620" t="s">
        <v>2457</v>
      </c>
      <c r="N620" t="s">
        <v>2458</v>
      </c>
      <c r="O620" t="s">
        <v>2459</v>
      </c>
      <c r="P620">
        <v>173.56</v>
      </c>
      <c r="Q620">
        <v>286.14999999999998</v>
      </c>
      <c r="R620">
        <v>520.68000000000006</v>
      </c>
      <c r="S620">
        <v>689.06000000000006</v>
      </c>
      <c r="T620">
        <v>0.56427600438934111</v>
      </c>
      <c r="U620" s="1">
        <v>45962</v>
      </c>
      <c r="V620" t="s">
        <v>2499</v>
      </c>
      <c r="W620">
        <v>2025</v>
      </c>
    </row>
    <row r="621" spans="1:23" x14ac:dyDescent="0.25">
      <c r="A621" t="s">
        <v>668</v>
      </c>
      <c r="B621" s="1">
        <v>45798</v>
      </c>
      <c r="C621" s="1">
        <v>45802</v>
      </c>
      <c r="D621" t="s">
        <v>13</v>
      </c>
      <c r="E621" t="s">
        <v>19</v>
      </c>
      <c r="F621" t="s">
        <v>29</v>
      </c>
      <c r="G621" t="s">
        <v>26</v>
      </c>
      <c r="H621" t="s">
        <v>37</v>
      </c>
      <c r="I621">
        <v>4</v>
      </c>
      <c r="J621">
        <v>0.2</v>
      </c>
      <c r="K621">
        <v>336.15</v>
      </c>
      <c r="L621">
        <v>8.2200000000000006</v>
      </c>
      <c r="M621" t="s">
        <v>2464</v>
      </c>
      <c r="N621" t="s">
        <v>2458</v>
      </c>
      <c r="O621" t="s">
        <v>2465</v>
      </c>
      <c r="P621">
        <v>63.6</v>
      </c>
      <c r="Q621">
        <v>107.94</v>
      </c>
      <c r="R621">
        <v>254.4</v>
      </c>
      <c r="S621">
        <v>73.529999999999973</v>
      </c>
      <c r="T621">
        <v>0.21874163319946446</v>
      </c>
      <c r="U621" s="1">
        <v>45778</v>
      </c>
      <c r="V621" t="s">
        <v>2500</v>
      </c>
      <c r="W621">
        <v>2025</v>
      </c>
    </row>
    <row r="622" spans="1:23" x14ac:dyDescent="0.25">
      <c r="A622" t="s">
        <v>669</v>
      </c>
      <c r="B622" s="1">
        <v>45524</v>
      </c>
      <c r="C622" s="1">
        <v>45530</v>
      </c>
      <c r="D622" t="s">
        <v>47</v>
      </c>
      <c r="E622" t="s">
        <v>71</v>
      </c>
      <c r="F622" t="s">
        <v>29</v>
      </c>
      <c r="G622" t="s">
        <v>16</v>
      </c>
      <c r="H622" t="s">
        <v>63</v>
      </c>
      <c r="I622">
        <v>6</v>
      </c>
      <c r="J622">
        <v>0.25</v>
      </c>
      <c r="K622">
        <v>53.12</v>
      </c>
      <c r="L622">
        <v>4.32</v>
      </c>
      <c r="M622" t="s">
        <v>2477</v>
      </c>
      <c r="N622" t="s">
        <v>2474</v>
      </c>
      <c r="O622" t="s">
        <v>2468</v>
      </c>
      <c r="P622">
        <v>6.33</v>
      </c>
      <c r="Q622">
        <v>12.16</v>
      </c>
      <c r="R622">
        <v>37.980000000000004</v>
      </c>
      <c r="S622">
        <v>10.819999999999993</v>
      </c>
      <c r="T622">
        <v>0.20368975903614445</v>
      </c>
      <c r="U622" s="1">
        <v>45505</v>
      </c>
      <c r="V622" t="s">
        <v>2501</v>
      </c>
      <c r="W622">
        <v>2024</v>
      </c>
    </row>
    <row r="623" spans="1:23" x14ac:dyDescent="0.25">
      <c r="A623" t="s">
        <v>670</v>
      </c>
      <c r="B623" s="1">
        <v>45727</v>
      </c>
      <c r="C623" s="1">
        <v>45732</v>
      </c>
      <c r="D623" t="s">
        <v>47</v>
      </c>
      <c r="E623" t="s">
        <v>50</v>
      </c>
      <c r="F623" t="s">
        <v>25</v>
      </c>
      <c r="G623" t="s">
        <v>16</v>
      </c>
      <c r="H623" t="s">
        <v>41</v>
      </c>
      <c r="I623">
        <v>6</v>
      </c>
      <c r="J623">
        <v>0.05</v>
      </c>
      <c r="K623">
        <v>31.61</v>
      </c>
      <c r="L623">
        <v>4.32</v>
      </c>
      <c r="M623" t="s">
        <v>2479</v>
      </c>
      <c r="N623" t="s">
        <v>2474</v>
      </c>
      <c r="O623" t="s">
        <v>2459</v>
      </c>
      <c r="P623">
        <v>3.3</v>
      </c>
      <c r="Q623">
        <v>6.13</v>
      </c>
      <c r="R623">
        <v>19.799999999999997</v>
      </c>
      <c r="S623">
        <v>7.490000000000002</v>
      </c>
      <c r="T623">
        <v>0.23695033217336292</v>
      </c>
      <c r="U623" s="1">
        <v>45717</v>
      </c>
      <c r="V623" t="s">
        <v>2498</v>
      </c>
      <c r="W623">
        <v>2025</v>
      </c>
    </row>
    <row r="624" spans="1:23" x14ac:dyDescent="0.25">
      <c r="A624" t="s">
        <v>671</v>
      </c>
      <c r="B624" s="1">
        <v>45979</v>
      </c>
      <c r="C624" s="1">
        <v>45982</v>
      </c>
      <c r="D624" t="s">
        <v>47</v>
      </c>
      <c r="E624" t="s">
        <v>50</v>
      </c>
      <c r="F624" t="s">
        <v>29</v>
      </c>
      <c r="G624" t="s">
        <v>20</v>
      </c>
      <c r="H624" t="s">
        <v>39</v>
      </c>
      <c r="I624">
        <v>2</v>
      </c>
      <c r="J624">
        <v>0.25</v>
      </c>
      <c r="K624">
        <v>397.72</v>
      </c>
      <c r="L624">
        <v>7</v>
      </c>
      <c r="M624" t="s">
        <v>2471</v>
      </c>
      <c r="N624" t="s">
        <v>2467</v>
      </c>
      <c r="O624" t="s">
        <v>2461</v>
      </c>
      <c r="P624">
        <v>112.09</v>
      </c>
      <c r="Q624">
        <v>192.47</v>
      </c>
      <c r="R624">
        <v>224.18</v>
      </c>
      <c r="S624">
        <v>166.54000000000002</v>
      </c>
      <c r="T624">
        <v>0.41873679975862416</v>
      </c>
      <c r="U624" s="1">
        <v>45962</v>
      </c>
      <c r="V624" t="s">
        <v>2501</v>
      </c>
      <c r="W624">
        <v>2025</v>
      </c>
    </row>
    <row r="625" spans="1:23" x14ac:dyDescent="0.25">
      <c r="A625" t="s">
        <v>672</v>
      </c>
      <c r="B625" s="1">
        <v>45891</v>
      </c>
      <c r="C625" s="1">
        <v>45894</v>
      </c>
      <c r="D625" t="s">
        <v>32</v>
      </c>
      <c r="E625" t="s">
        <v>62</v>
      </c>
      <c r="F625" t="s">
        <v>29</v>
      </c>
      <c r="G625" t="s">
        <v>16</v>
      </c>
      <c r="H625" t="s">
        <v>51</v>
      </c>
      <c r="I625">
        <v>7</v>
      </c>
      <c r="J625">
        <v>0</v>
      </c>
      <c r="K625">
        <v>92.67</v>
      </c>
      <c r="L625">
        <v>7.65</v>
      </c>
      <c r="M625" t="s">
        <v>2475</v>
      </c>
      <c r="N625" t="s">
        <v>2474</v>
      </c>
      <c r="O625" t="s">
        <v>2463</v>
      </c>
      <c r="P625">
        <v>7.93</v>
      </c>
      <c r="Q625">
        <v>14.78</v>
      </c>
      <c r="R625">
        <v>55.51</v>
      </c>
      <c r="S625">
        <v>29.510000000000005</v>
      </c>
      <c r="T625">
        <v>0.3184417826696882</v>
      </c>
      <c r="U625" s="1">
        <v>45870</v>
      </c>
      <c r="V625" t="s">
        <v>2499</v>
      </c>
      <c r="W625">
        <v>2025</v>
      </c>
    </row>
    <row r="626" spans="1:23" x14ac:dyDescent="0.25">
      <c r="A626" t="s">
        <v>673</v>
      </c>
      <c r="B626" s="1">
        <v>45478</v>
      </c>
      <c r="C626" s="1">
        <v>45482</v>
      </c>
      <c r="D626" t="s">
        <v>47</v>
      </c>
      <c r="E626" t="s">
        <v>71</v>
      </c>
      <c r="F626" t="s">
        <v>15</v>
      </c>
      <c r="G626" t="s">
        <v>16</v>
      </c>
      <c r="H626" t="s">
        <v>60</v>
      </c>
      <c r="I626">
        <v>4</v>
      </c>
      <c r="J626">
        <v>0.1</v>
      </c>
      <c r="K626">
        <v>368.52</v>
      </c>
      <c r="L626">
        <v>9.5</v>
      </c>
      <c r="M626" t="s">
        <v>2469</v>
      </c>
      <c r="N626" t="s">
        <v>2467</v>
      </c>
      <c r="O626" t="s">
        <v>2468</v>
      </c>
      <c r="P626">
        <v>54.95</v>
      </c>
      <c r="Q626">
        <v>112.56</v>
      </c>
      <c r="R626">
        <v>219.8</v>
      </c>
      <c r="S626">
        <v>139.21999999999997</v>
      </c>
      <c r="T626">
        <v>0.37778139585368498</v>
      </c>
      <c r="U626" s="1">
        <v>45474</v>
      </c>
      <c r="V626" t="s">
        <v>2498</v>
      </c>
      <c r="W626">
        <v>2024</v>
      </c>
    </row>
    <row r="627" spans="1:23" x14ac:dyDescent="0.25">
      <c r="A627" t="s">
        <v>674</v>
      </c>
      <c r="B627" s="1">
        <v>45495</v>
      </c>
      <c r="C627" s="1">
        <v>45497</v>
      </c>
      <c r="D627" t="s">
        <v>32</v>
      </c>
      <c r="E627" t="s">
        <v>62</v>
      </c>
      <c r="F627" t="s">
        <v>29</v>
      </c>
      <c r="G627" t="s">
        <v>26</v>
      </c>
      <c r="H627" t="s">
        <v>63</v>
      </c>
      <c r="I627">
        <v>3</v>
      </c>
      <c r="J627">
        <v>0</v>
      </c>
      <c r="K627">
        <v>32.21</v>
      </c>
      <c r="L627">
        <v>5.85</v>
      </c>
      <c r="M627" t="s">
        <v>2477</v>
      </c>
      <c r="N627" t="s">
        <v>2474</v>
      </c>
      <c r="O627" t="s">
        <v>2468</v>
      </c>
      <c r="P627">
        <v>6.33</v>
      </c>
      <c r="Q627">
        <v>12.16</v>
      </c>
      <c r="R627">
        <v>18.990000000000002</v>
      </c>
      <c r="S627">
        <v>7.3699999999999992</v>
      </c>
      <c r="T627">
        <v>0.22881092828314184</v>
      </c>
      <c r="U627" s="1">
        <v>45474</v>
      </c>
      <c r="V627" t="s">
        <v>2499</v>
      </c>
      <c r="W627">
        <v>2024</v>
      </c>
    </row>
    <row r="628" spans="1:23" x14ac:dyDescent="0.25">
      <c r="A628" t="s">
        <v>675</v>
      </c>
      <c r="B628" s="1">
        <v>45533</v>
      </c>
      <c r="C628" s="1">
        <v>45538</v>
      </c>
      <c r="D628" t="s">
        <v>23</v>
      </c>
      <c r="E628" t="s">
        <v>24</v>
      </c>
      <c r="F628" t="s">
        <v>15</v>
      </c>
      <c r="G628" t="s">
        <v>20</v>
      </c>
      <c r="H628" t="s">
        <v>27</v>
      </c>
      <c r="I628">
        <v>14</v>
      </c>
      <c r="J628">
        <v>0.1</v>
      </c>
      <c r="K628">
        <v>324.54000000000002</v>
      </c>
      <c r="L628">
        <v>10.8</v>
      </c>
      <c r="M628" t="s">
        <v>2478</v>
      </c>
      <c r="N628" t="s">
        <v>2474</v>
      </c>
      <c r="O628" t="s">
        <v>2463</v>
      </c>
      <c r="P628">
        <v>16.760000000000002</v>
      </c>
      <c r="Q628">
        <v>27.71</v>
      </c>
      <c r="R628">
        <v>234.64000000000001</v>
      </c>
      <c r="S628">
        <v>79.100000000000009</v>
      </c>
      <c r="T628">
        <v>0.24372958649164972</v>
      </c>
      <c r="U628" s="1">
        <v>45505</v>
      </c>
      <c r="V628" t="s">
        <v>2498</v>
      </c>
      <c r="W628">
        <v>2024</v>
      </c>
    </row>
    <row r="629" spans="1:23" x14ac:dyDescent="0.25">
      <c r="A629" t="s">
        <v>676</v>
      </c>
      <c r="B629" s="1">
        <v>45912</v>
      </c>
      <c r="C629" s="1">
        <v>45915</v>
      </c>
      <c r="D629" t="s">
        <v>47</v>
      </c>
      <c r="E629" t="s">
        <v>50</v>
      </c>
      <c r="F629" t="s">
        <v>25</v>
      </c>
      <c r="G629" t="s">
        <v>16</v>
      </c>
      <c r="H629" t="s">
        <v>39</v>
      </c>
      <c r="I629">
        <v>1</v>
      </c>
      <c r="J629">
        <v>0</v>
      </c>
      <c r="K629">
        <v>206.56</v>
      </c>
      <c r="L629">
        <v>3.45</v>
      </c>
      <c r="M629" t="s">
        <v>2471</v>
      </c>
      <c r="N629" t="s">
        <v>2467</v>
      </c>
      <c r="O629" t="s">
        <v>2461</v>
      </c>
      <c r="P629">
        <v>112.09</v>
      </c>
      <c r="Q629">
        <v>192.47</v>
      </c>
      <c r="R629">
        <v>112.09</v>
      </c>
      <c r="S629">
        <v>91.02</v>
      </c>
      <c r="T629">
        <v>0.44064678543764524</v>
      </c>
      <c r="U629" s="1">
        <v>45901</v>
      </c>
      <c r="V629" t="s">
        <v>2499</v>
      </c>
      <c r="W629">
        <v>2025</v>
      </c>
    </row>
    <row r="630" spans="1:23" x14ac:dyDescent="0.25">
      <c r="A630" t="s">
        <v>677</v>
      </c>
      <c r="B630" s="1">
        <v>45954</v>
      </c>
      <c r="C630" s="1">
        <v>45955</v>
      </c>
      <c r="D630" t="s">
        <v>47</v>
      </c>
      <c r="E630" t="s">
        <v>71</v>
      </c>
      <c r="F630" t="s">
        <v>15</v>
      </c>
      <c r="G630" t="s">
        <v>16</v>
      </c>
      <c r="H630" t="s">
        <v>68</v>
      </c>
      <c r="I630">
        <v>4</v>
      </c>
      <c r="J630">
        <v>0</v>
      </c>
      <c r="K630">
        <v>243.15</v>
      </c>
      <c r="L630">
        <v>5.7</v>
      </c>
      <c r="M630" t="s">
        <v>2466</v>
      </c>
      <c r="N630" t="s">
        <v>2467</v>
      </c>
      <c r="O630" t="s">
        <v>2468</v>
      </c>
      <c r="P630">
        <v>25.33</v>
      </c>
      <c r="Q630">
        <v>51.56</v>
      </c>
      <c r="R630">
        <v>101.32</v>
      </c>
      <c r="S630">
        <v>136.13000000000002</v>
      </c>
      <c r="T630">
        <v>0.55986016862019339</v>
      </c>
      <c r="U630" s="1">
        <v>45931</v>
      </c>
      <c r="V630" t="s">
        <v>2499</v>
      </c>
      <c r="W630">
        <v>2025</v>
      </c>
    </row>
    <row r="631" spans="1:23" x14ac:dyDescent="0.25">
      <c r="A631" t="s">
        <v>678</v>
      </c>
      <c r="B631" s="1">
        <v>45515</v>
      </c>
      <c r="C631" s="1">
        <v>45521</v>
      </c>
      <c r="D631" t="s">
        <v>23</v>
      </c>
      <c r="E631" t="s">
        <v>59</v>
      </c>
      <c r="F631" t="s">
        <v>25</v>
      </c>
      <c r="G631" t="s">
        <v>16</v>
      </c>
      <c r="H631" t="s">
        <v>63</v>
      </c>
      <c r="I631">
        <v>8</v>
      </c>
      <c r="J631">
        <v>0.05</v>
      </c>
      <c r="K631">
        <v>93.06</v>
      </c>
      <c r="L631">
        <v>4.8600000000000003</v>
      </c>
      <c r="M631" t="s">
        <v>2477</v>
      </c>
      <c r="N631" t="s">
        <v>2474</v>
      </c>
      <c r="O631" t="s">
        <v>2468</v>
      </c>
      <c r="P631">
        <v>6.33</v>
      </c>
      <c r="Q631">
        <v>12.16</v>
      </c>
      <c r="R631">
        <v>50.64</v>
      </c>
      <c r="S631">
        <v>37.56</v>
      </c>
      <c r="T631">
        <v>0.40361057382333981</v>
      </c>
      <c r="U631" s="1">
        <v>45505</v>
      </c>
      <c r="V631" t="s">
        <v>2498</v>
      </c>
      <c r="W631">
        <v>2024</v>
      </c>
    </row>
    <row r="632" spans="1:23" x14ac:dyDescent="0.25">
      <c r="A632" t="s">
        <v>679</v>
      </c>
      <c r="B632" s="1">
        <v>45318</v>
      </c>
      <c r="C632" s="1">
        <v>45322</v>
      </c>
      <c r="D632" t="s">
        <v>23</v>
      </c>
      <c r="E632" t="s">
        <v>24</v>
      </c>
      <c r="F632" t="s">
        <v>25</v>
      </c>
      <c r="G632" t="s">
        <v>20</v>
      </c>
      <c r="H632" t="s">
        <v>60</v>
      </c>
      <c r="I632">
        <v>1</v>
      </c>
      <c r="J632">
        <v>0</v>
      </c>
      <c r="K632">
        <v>96.96</v>
      </c>
      <c r="L632">
        <v>5.75</v>
      </c>
      <c r="M632" t="s">
        <v>2469</v>
      </c>
      <c r="N632" t="s">
        <v>2467</v>
      </c>
      <c r="O632" t="s">
        <v>2468</v>
      </c>
      <c r="P632">
        <v>54.95</v>
      </c>
      <c r="Q632">
        <v>112.56</v>
      </c>
      <c r="R632">
        <v>54.95</v>
      </c>
      <c r="S632">
        <v>36.259999999999991</v>
      </c>
      <c r="T632">
        <v>0.37396864686468639</v>
      </c>
      <c r="U632" s="1">
        <v>45292</v>
      </c>
      <c r="V632" t="s">
        <v>2499</v>
      </c>
      <c r="W632">
        <v>2024</v>
      </c>
    </row>
    <row r="633" spans="1:23" x14ac:dyDescent="0.25">
      <c r="A633" t="s">
        <v>680</v>
      </c>
      <c r="B633" s="1">
        <v>45355</v>
      </c>
      <c r="C633" s="1">
        <v>45356</v>
      </c>
      <c r="D633" t="s">
        <v>47</v>
      </c>
      <c r="E633" t="s">
        <v>71</v>
      </c>
      <c r="F633" t="s">
        <v>15</v>
      </c>
      <c r="G633" t="s">
        <v>20</v>
      </c>
      <c r="H633" t="s">
        <v>51</v>
      </c>
      <c r="I633">
        <v>6</v>
      </c>
      <c r="J633">
        <v>0</v>
      </c>
      <c r="K633">
        <v>84.93</v>
      </c>
      <c r="L633">
        <v>7.2</v>
      </c>
      <c r="M633" t="s">
        <v>2475</v>
      </c>
      <c r="N633" t="s">
        <v>2474</v>
      </c>
      <c r="O633" t="s">
        <v>2463</v>
      </c>
      <c r="P633">
        <v>7.93</v>
      </c>
      <c r="Q633">
        <v>14.78</v>
      </c>
      <c r="R633">
        <v>47.58</v>
      </c>
      <c r="S633">
        <v>30.150000000000009</v>
      </c>
      <c r="T633">
        <v>0.35499823383963269</v>
      </c>
      <c r="U633" s="1">
        <v>45352</v>
      </c>
      <c r="V633" t="s">
        <v>2499</v>
      </c>
      <c r="W633">
        <v>2024</v>
      </c>
    </row>
    <row r="634" spans="1:23" x14ac:dyDescent="0.25">
      <c r="A634" t="s">
        <v>681</v>
      </c>
      <c r="B634" s="1">
        <v>45888</v>
      </c>
      <c r="C634" s="1">
        <v>45890</v>
      </c>
      <c r="D634" t="s">
        <v>47</v>
      </c>
      <c r="E634" t="s">
        <v>50</v>
      </c>
      <c r="F634" t="s">
        <v>25</v>
      </c>
      <c r="G634" t="s">
        <v>26</v>
      </c>
      <c r="H634" t="s">
        <v>68</v>
      </c>
      <c r="I634">
        <v>1</v>
      </c>
      <c r="J634">
        <v>0</v>
      </c>
      <c r="K634">
        <v>51.08</v>
      </c>
      <c r="L634">
        <v>3.45</v>
      </c>
      <c r="M634" t="s">
        <v>2466</v>
      </c>
      <c r="N634" t="s">
        <v>2467</v>
      </c>
      <c r="O634" t="s">
        <v>2468</v>
      </c>
      <c r="P634">
        <v>25.33</v>
      </c>
      <c r="Q634">
        <v>51.56</v>
      </c>
      <c r="R634">
        <v>25.33</v>
      </c>
      <c r="S634">
        <v>22.3</v>
      </c>
      <c r="T634">
        <v>0.43657008613938925</v>
      </c>
      <c r="U634" s="1">
        <v>45870</v>
      </c>
      <c r="V634" t="s">
        <v>2499</v>
      </c>
      <c r="W634">
        <v>2025</v>
      </c>
    </row>
    <row r="635" spans="1:23" x14ac:dyDescent="0.25">
      <c r="A635" t="s">
        <v>682</v>
      </c>
      <c r="B635" s="1">
        <v>45601</v>
      </c>
      <c r="C635" s="1">
        <v>45602</v>
      </c>
      <c r="D635" t="s">
        <v>13</v>
      </c>
      <c r="E635" t="s">
        <v>36</v>
      </c>
      <c r="F635" t="s">
        <v>15</v>
      </c>
      <c r="G635" t="s">
        <v>26</v>
      </c>
      <c r="H635" t="s">
        <v>39</v>
      </c>
      <c r="I635">
        <v>2</v>
      </c>
      <c r="J635">
        <v>0.15</v>
      </c>
      <c r="K635">
        <v>443.73</v>
      </c>
      <c r="L635">
        <v>7</v>
      </c>
      <c r="M635" t="s">
        <v>2471</v>
      </c>
      <c r="N635" t="s">
        <v>2467</v>
      </c>
      <c r="O635" t="s">
        <v>2461</v>
      </c>
      <c r="P635">
        <v>112.09</v>
      </c>
      <c r="Q635">
        <v>192.47</v>
      </c>
      <c r="R635">
        <v>224.18</v>
      </c>
      <c r="S635">
        <v>212.55</v>
      </c>
      <c r="T635">
        <v>0.47900750456358598</v>
      </c>
      <c r="U635" s="1">
        <v>45597</v>
      </c>
      <c r="V635" t="s">
        <v>2500</v>
      </c>
      <c r="W635">
        <v>2024</v>
      </c>
    </row>
    <row r="636" spans="1:23" x14ac:dyDescent="0.25">
      <c r="A636" t="s">
        <v>683</v>
      </c>
      <c r="B636" s="1">
        <v>45637</v>
      </c>
      <c r="C636" s="1">
        <v>45638</v>
      </c>
      <c r="D636" t="s">
        <v>23</v>
      </c>
      <c r="E636" t="s">
        <v>59</v>
      </c>
      <c r="F636" t="s">
        <v>25</v>
      </c>
      <c r="G636" t="s">
        <v>26</v>
      </c>
      <c r="H636" t="s">
        <v>27</v>
      </c>
      <c r="I636">
        <v>3</v>
      </c>
      <c r="J636">
        <v>0</v>
      </c>
      <c r="K636">
        <v>114.06</v>
      </c>
      <c r="L636">
        <v>5.85</v>
      </c>
      <c r="M636" t="s">
        <v>2478</v>
      </c>
      <c r="N636" t="s">
        <v>2474</v>
      </c>
      <c r="O636" t="s">
        <v>2463</v>
      </c>
      <c r="P636">
        <v>16.760000000000002</v>
      </c>
      <c r="Q636">
        <v>27.71</v>
      </c>
      <c r="R636">
        <v>50.28</v>
      </c>
      <c r="S636">
        <v>57.93</v>
      </c>
      <c r="T636">
        <v>0.50789058390320885</v>
      </c>
      <c r="U636" s="1">
        <v>45627</v>
      </c>
      <c r="V636" t="s">
        <v>2499</v>
      </c>
      <c r="W636">
        <v>2024</v>
      </c>
    </row>
    <row r="637" spans="1:23" x14ac:dyDescent="0.25">
      <c r="A637" t="s">
        <v>684</v>
      </c>
      <c r="B637" s="1">
        <v>45466</v>
      </c>
      <c r="C637" s="1">
        <v>45471</v>
      </c>
      <c r="D637" t="s">
        <v>13</v>
      </c>
      <c r="E637" t="s">
        <v>36</v>
      </c>
      <c r="F637" t="s">
        <v>25</v>
      </c>
      <c r="G637" t="s">
        <v>20</v>
      </c>
      <c r="H637" t="s">
        <v>37</v>
      </c>
      <c r="I637">
        <v>7</v>
      </c>
      <c r="J637">
        <v>0</v>
      </c>
      <c r="K637">
        <v>829.96</v>
      </c>
      <c r="L637">
        <v>12.36</v>
      </c>
      <c r="M637" t="s">
        <v>2464</v>
      </c>
      <c r="N637" t="s">
        <v>2458</v>
      </c>
      <c r="O637" t="s">
        <v>2465</v>
      </c>
      <c r="P637">
        <v>63.6</v>
      </c>
      <c r="Q637">
        <v>107.94</v>
      </c>
      <c r="R637">
        <v>445.2</v>
      </c>
      <c r="S637">
        <v>372.40000000000003</v>
      </c>
      <c r="T637">
        <v>0.44869632271434773</v>
      </c>
      <c r="U637" s="1">
        <v>45444</v>
      </c>
      <c r="V637" t="s">
        <v>2499</v>
      </c>
      <c r="W637">
        <v>2024</v>
      </c>
    </row>
    <row r="638" spans="1:23" x14ac:dyDescent="0.25">
      <c r="A638" t="s">
        <v>685</v>
      </c>
      <c r="B638" s="1">
        <v>45465</v>
      </c>
      <c r="C638" s="1">
        <v>45471</v>
      </c>
      <c r="D638" t="s">
        <v>47</v>
      </c>
      <c r="E638" t="s">
        <v>50</v>
      </c>
      <c r="F638" t="s">
        <v>25</v>
      </c>
      <c r="G638" t="s">
        <v>20</v>
      </c>
      <c r="H638" t="s">
        <v>51</v>
      </c>
      <c r="I638">
        <v>5</v>
      </c>
      <c r="J638">
        <v>0.2</v>
      </c>
      <c r="K638">
        <v>62.81</v>
      </c>
      <c r="L638">
        <v>4.05</v>
      </c>
      <c r="M638" t="s">
        <v>2475</v>
      </c>
      <c r="N638" t="s">
        <v>2474</v>
      </c>
      <c r="O638" t="s">
        <v>2463</v>
      </c>
      <c r="P638">
        <v>7.93</v>
      </c>
      <c r="Q638">
        <v>14.78</v>
      </c>
      <c r="R638">
        <v>39.65</v>
      </c>
      <c r="S638">
        <v>19.110000000000003</v>
      </c>
      <c r="T638">
        <v>0.30425091545932181</v>
      </c>
      <c r="U638" s="1">
        <v>45444</v>
      </c>
      <c r="V638" t="s">
        <v>2500</v>
      </c>
      <c r="W638">
        <v>2024</v>
      </c>
    </row>
    <row r="639" spans="1:23" x14ac:dyDescent="0.25">
      <c r="A639" t="s">
        <v>686</v>
      </c>
      <c r="B639" s="1">
        <v>45672</v>
      </c>
      <c r="C639" s="1">
        <v>45673</v>
      </c>
      <c r="D639" t="s">
        <v>47</v>
      </c>
      <c r="E639" t="s">
        <v>71</v>
      </c>
      <c r="F639" t="s">
        <v>29</v>
      </c>
      <c r="G639" t="s">
        <v>20</v>
      </c>
      <c r="H639" t="s">
        <v>87</v>
      </c>
      <c r="I639">
        <v>12</v>
      </c>
      <c r="J639">
        <v>0</v>
      </c>
      <c r="K639">
        <v>83.82</v>
      </c>
      <c r="L639">
        <v>5.94</v>
      </c>
      <c r="M639" t="s">
        <v>2476</v>
      </c>
      <c r="N639" t="s">
        <v>2474</v>
      </c>
      <c r="O639" t="s">
        <v>2459</v>
      </c>
      <c r="P639">
        <v>4.5</v>
      </c>
      <c r="Q639">
        <v>8.2899999999999991</v>
      </c>
      <c r="R639">
        <v>54</v>
      </c>
      <c r="S639">
        <v>23.879999999999992</v>
      </c>
      <c r="T639">
        <v>0.2848962061560486</v>
      </c>
      <c r="U639" s="1">
        <v>45658</v>
      </c>
      <c r="V639" t="s">
        <v>2499</v>
      </c>
      <c r="W639">
        <v>2025</v>
      </c>
    </row>
    <row r="640" spans="1:23" x14ac:dyDescent="0.25">
      <c r="A640" t="s">
        <v>687</v>
      </c>
      <c r="B640" s="1">
        <v>45841</v>
      </c>
      <c r="C640" s="1">
        <v>45847</v>
      </c>
      <c r="D640" t="s">
        <v>47</v>
      </c>
      <c r="E640" t="s">
        <v>71</v>
      </c>
      <c r="F640" t="s">
        <v>29</v>
      </c>
      <c r="G640" t="s">
        <v>16</v>
      </c>
      <c r="H640" t="s">
        <v>27</v>
      </c>
      <c r="I640">
        <v>6</v>
      </c>
      <c r="J640">
        <v>0</v>
      </c>
      <c r="K640">
        <v>149</v>
      </c>
      <c r="L640">
        <v>7.2</v>
      </c>
      <c r="M640" t="s">
        <v>2478</v>
      </c>
      <c r="N640" t="s">
        <v>2474</v>
      </c>
      <c r="O640" t="s">
        <v>2463</v>
      </c>
      <c r="P640">
        <v>16.760000000000002</v>
      </c>
      <c r="Q640">
        <v>27.71</v>
      </c>
      <c r="R640">
        <v>100.56</v>
      </c>
      <c r="S640">
        <v>41.239999999999995</v>
      </c>
      <c r="T640">
        <v>0.27677852348993287</v>
      </c>
      <c r="U640" s="1">
        <v>45839</v>
      </c>
      <c r="V640" t="s">
        <v>2499</v>
      </c>
      <c r="W640">
        <v>2025</v>
      </c>
    </row>
    <row r="641" spans="1:23" x14ac:dyDescent="0.25">
      <c r="A641" t="s">
        <v>688</v>
      </c>
      <c r="B641" s="1">
        <v>45532</v>
      </c>
      <c r="C641" s="1">
        <v>45534</v>
      </c>
      <c r="D641" t="s">
        <v>23</v>
      </c>
      <c r="E641" t="s">
        <v>59</v>
      </c>
      <c r="F641" t="s">
        <v>15</v>
      </c>
      <c r="G641" t="s">
        <v>20</v>
      </c>
      <c r="H641" t="s">
        <v>27</v>
      </c>
      <c r="I641">
        <v>3</v>
      </c>
      <c r="J641">
        <v>0.15</v>
      </c>
      <c r="K641">
        <v>64.900000000000006</v>
      </c>
      <c r="L641">
        <v>5.85</v>
      </c>
      <c r="M641" t="s">
        <v>2478</v>
      </c>
      <c r="N641" t="s">
        <v>2474</v>
      </c>
      <c r="O641" t="s">
        <v>2463</v>
      </c>
      <c r="P641">
        <v>16.760000000000002</v>
      </c>
      <c r="Q641">
        <v>27.71</v>
      </c>
      <c r="R641">
        <v>50.28</v>
      </c>
      <c r="S641">
        <v>8.7700000000000049</v>
      </c>
      <c r="T641">
        <v>0.13513097072419114</v>
      </c>
      <c r="U641" s="1">
        <v>45505</v>
      </c>
      <c r="V641" t="s">
        <v>2500</v>
      </c>
      <c r="W641">
        <v>2024</v>
      </c>
    </row>
    <row r="642" spans="1:23" x14ac:dyDescent="0.25">
      <c r="A642" t="s">
        <v>689</v>
      </c>
      <c r="B642" s="1">
        <v>45694</v>
      </c>
      <c r="C642" s="1">
        <v>45699</v>
      </c>
      <c r="D642" t="s">
        <v>23</v>
      </c>
      <c r="E642" t="s">
        <v>24</v>
      </c>
      <c r="F642" t="s">
        <v>25</v>
      </c>
      <c r="G642" t="s">
        <v>26</v>
      </c>
      <c r="H642" t="s">
        <v>65</v>
      </c>
      <c r="I642">
        <v>1</v>
      </c>
      <c r="J642">
        <v>0.1</v>
      </c>
      <c r="K642">
        <v>229.93</v>
      </c>
      <c r="L642">
        <v>6.8</v>
      </c>
      <c r="M642" t="s">
        <v>2457</v>
      </c>
      <c r="N642" t="s">
        <v>2458</v>
      </c>
      <c r="O642" t="s">
        <v>2459</v>
      </c>
      <c r="P642">
        <v>173.56</v>
      </c>
      <c r="Q642">
        <v>286.14999999999998</v>
      </c>
      <c r="R642">
        <v>173.56</v>
      </c>
      <c r="S642">
        <v>49.570000000000007</v>
      </c>
      <c r="T642">
        <v>0.21558735267255255</v>
      </c>
      <c r="U642" s="1">
        <v>45689</v>
      </c>
      <c r="V642" t="s">
        <v>2498</v>
      </c>
      <c r="W642">
        <v>2025</v>
      </c>
    </row>
    <row r="643" spans="1:23" x14ac:dyDescent="0.25">
      <c r="A643" t="s">
        <v>690</v>
      </c>
      <c r="B643" s="1">
        <v>45711</v>
      </c>
      <c r="C643" s="1">
        <v>45716</v>
      </c>
      <c r="D643" t="s">
        <v>47</v>
      </c>
      <c r="E643" t="s">
        <v>48</v>
      </c>
      <c r="F643" t="s">
        <v>25</v>
      </c>
      <c r="G643" t="s">
        <v>26</v>
      </c>
      <c r="H643" t="s">
        <v>51</v>
      </c>
      <c r="I643">
        <v>8</v>
      </c>
      <c r="J643">
        <v>0</v>
      </c>
      <c r="K643">
        <v>109.95</v>
      </c>
      <c r="L643">
        <v>4.8600000000000003</v>
      </c>
      <c r="M643" t="s">
        <v>2475</v>
      </c>
      <c r="N643" t="s">
        <v>2474</v>
      </c>
      <c r="O643" t="s">
        <v>2463</v>
      </c>
      <c r="P643">
        <v>7.93</v>
      </c>
      <c r="Q643">
        <v>14.78</v>
      </c>
      <c r="R643">
        <v>63.44</v>
      </c>
      <c r="S643">
        <v>41.650000000000006</v>
      </c>
      <c r="T643">
        <v>0.37880854934060942</v>
      </c>
      <c r="U643" s="1">
        <v>45689</v>
      </c>
      <c r="V643" t="s">
        <v>2499</v>
      </c>
      <c r="W643">
        <v>2025</v>
      </c>
    </row>
    <row r="644" spans="1:23" x14ac:dyDescent="0.25">
      <c r="A644" t="s">
        <v>691</v>
      </c>
      <c r="B644" s="1">
        <v>45948</v>
      </c>
      <c r="C644" s="1">
        <v>45952</v>
      </c>
      <c r="D644" t="s">
        <v>47</v>
      </c>
      <c r="E644" t="s">
        <v>71</v>
      </c>
      <c r="F644" t="s">
        <v>29</v>
      </c>
      <c r="G644" t="s">
        <v>26</v>
      </c>
      <c r="H644" t="s">
        <v>65</v>
      </c>
      <c r="I644">
        <v>4</v>
      </c>
      <c r="J644">
        <v>0</v>
      </c>
      <c r="K644">
        <v>1312.22</v>
      </c>
      <c r="L644">
        <v>8.2200000000000006</v>
      </c>
      <c r="M644" t="s">
        <v>2457</v>
      </c>
      <c r="N644" t="s">
        <v>2458</v>
      </c>
      <c r="O644" t="s">
        <v>2459</v>
      </c>
      <c r="P644">
        <v>173.56</v>
      </c>
      <c r="Q644">
        <v>286.14999999999998</v>
      </c>
      <c r="R644">
        <v>694.24</v>
      </c>
      <c r="S644">
        <v>609.76</v>
      </c>
      <c r="T644">
        <v>0.46467817896389324</v>
      </c>
      <c r="U644" s="1">
        <v>45931</v>
      </c>
      <c r="V644" t="s">
        <v>2499</v>
      </c>
      <c r="W644">
        <v>2025</v>
      </c>
    </row>
    <row r="645" spans="1:23" x14ac:dyDescent="0.25">
      <c r="A645" t="s">
        <v>692</v>
      </c>
      <c r="B645" s="1">
        <v>45533</v>
      </c>
      <c r="C645" s="1">
        <v>45535</v>
      </c>
      <c r="D645" t="s">
        <v>47</v>
      </c>
      <c r="E645" t="s">
        <v>48</v>
      </c>
      <c r="F645" t="s">
        <v>15</v>
      </c>
      <c r="G645" t="s">
        <v>26</v>
      </c>
      <c r="H645" t="s">
        <v>65</v>
      </c>
      <c r="I645">
        <v>7</v>
      </c>
      <c r="J645">
        <v>0</v>
      </c>
      <c r="K645">
        <v>1980.24</v>
      </c>
      <c r="L645">
        <v>20.6</v>
      </c>
      <c r="M645" t="s">
        <v>2457</v>
      </c>
      <c r="N645" t="s">
        <v>2458</v>
      </c>
      <c r="O645" t="s">
        <v>2459</v>
      </c>
      <c r="P645">
        <v>173.56</v>
      </c>
      <c r="Q645">
        <v>286.14999999999998</v>
      </c>
      <c r="R645">
        <v>1214.92</v>
      </c>
      <c r="S645">
        <v>744.71999999999991</v>
      </c>
      <c r="T645">
        <v>0.3760756271967034</v>
      </c>
      <c r="U645" s="1">
        <v>45505</v>
      </c>
      <c r="V645" t="s">
        <v>2499</v>
      </c>
      <c r="W645">
        <v>2024</v>
      </c>
    </row>
    <row r="646" spans="1:23" x14ac:dyDescent="0.25">
      <c r="A646" t="s">
        <v>693</v>
      </c>
      <c r="B646" s="1">
        <v>45648</v>
      </c>
      <c r="C646" s="1">
        <v>45649</v>
      </c>
      <c r="D646" t="s">
        <v>47</v>
      </c>
      <c r="E646" t="s">
        <v>71</v>
      </c>
      <c r="F646" t="s">
        <v>25</v>
      </c>
      <c r="G646" t="s">
        <v>26</v>
      </c>
      <c r="H646" t="s">
        <v>39</v>
      </c>
      <c r="I646">
        <v>3</v>
      </c>
      <c r="J646">
        <v>0.15</v>
      </c>
      <c r="K646">
        <v>721.78</v>
      </c>
      <c r="L646">
        <v>8.25</v>
      </c>
      <c r="M646" t="s">
        <v>2471</v>
      </c>
      <c r="N646" t="s">
        <v>2467</v>
      </c>
      <c r="O646" t="s">
        <v>2461</v>
      </c>
      <c r="P646">
        <v>112.09</v>
      </c>
      <c r="Q646">
        <v>192.47</v>
      </c>
      <c r="R646">
        <v>336.27</v>
      </c>
      <c r="S646">
        <v>377.26</v>
      </c>
      <c r="T646">
        <v>0.52268004100972598</v>
      </c>
      <c r="U646" s="1">
        <v>45627</v>
      </c>
      <c r="V646" t="s">
        <v>2500</v>
      </c>
      <c r="W646">
        <v>2024</v>
      </c>
    </row>
    <row r="647" spans="1:23" x14ac:dyDescent="0.25">
      <c r="A647" t="s">
        <v>694</v>
      </c>
      <c r="B647" s="1">
        <v>45516</v>
      </c>
      <c r="C647" s="1">
        <v>45519</v>
      </c>
      <c r="D647" t="s">
        <v>23</v>
      </c>
      <c r="E647" t="s">
        <v>43</v>
      </c>
      <c r="F647" t="s">
        <v>15</v>
      </c>
      <c r="G647" t="s">
        <v>26</v>
      </c>
      <c r="H647" t="s">
        <v>53</v>
      </c>
      <c r="I647">
        <v>3</v>
      </c>
      <c r="J647">
        <v>0.25</v>
      </c>
      <c r="K647">
        <v>127.94</v>
      </c>
      <c r="L647">
        <v>8.25</v>
      </c>
      <c r="M647" t="s">
        <v>2470</v>
      </c>
      <c r="N647" t="s">
        <v>2467</v>
      </c>
      <c r="O647" t="s">
        <v>2459</v>
      </c>
      <c r="P647">
        <v>31.34</v>
      </c>
      <c r="Q647">
        <v>56.49</v>
      </c>
      <c r="R647">
        <v>94.02</v>
      </c>
      <c r="S647">
        <v>25.67</v>
      </c>
      <c r="T647">
        <v>0.20064092543379711</v>
      </c>
      <c r="U647" s="1">
        <v>45505</v>
      </c>
      <c r="V647" t="s">
        <v>2501</v>
      </c>
      <c r="W647">
        <v>2024</v>
      </c>
    </row>
    <row r="648" spans="1:23" x14ac:dyDescent="0.25">
      <c r="A648" t="s">
        <v>695</v>
      </c>
      <c r="B648" s="1">
        <v>45898</v>
      </c>
      <c r="C648" s="1">
        <v>45901</v>
      </c>
      <c r="D648" t="s">
        <v>47</v>
      </c>
      <c r="E648" t="s">
        <v>50</v>
      </c>
      <c r="F648" t="s">
        <v>25</v>
      </c>
      <c r="G648" t="s">
        <v>16</v>
      </c>
      <c r="H648" t="s">
        <v>87</v>
      </c>
      <c r="I648">
        <v>13</v>
      </c>
      <c r="J648">
        <v>0</v>
      </c>
      <c r="K648">
        <v>104.09</v>
      </c>
      <c r="L648">
        <v>6.21</v>
      </c>
      <c r="M648" t="s">
        <v>2476</v>
      </c>
      <c r="N648" t="s">
        <v>2474</v>
      </c>
      <c r="O648" t="s">
        <v>2459</v>
      </c>
      <c r="P648">
        <v>4.5</v>
      </c>
      <c r="Q648">
        <v>8.2899999999999991</v>
      </c>
      <c r="R648">
        <v>58.5</v>
      </c>
      <c r="S648">
        <v>39.380000000000003</v>
      </c>
      <c r="T648">
        <v>0.37832644826592371</v>
      </c>
      <c r="U648" s="1">
        <v>45870</v>
      </c>
      <c r="V648" t="s">
        <v>2499</v>
      </c>
      <c r="W648">
        <v>2025</v>
      </c>
    </row>
    <row r="649" spans="1:23" x14ac:dyDescent="0.25">
      <c r="A649" t="s">
        <v>696</v>
      </c>
      <c r="B649" s="1">
        <v>45705</v>
      </c>
      <c r="C649" s="1">
        <v>45711</v>
      </c>
      <c r="D649" t="s">
        <v>13</v>
      </c>
      <c r="E649" t="s">
        <v>19</v>
      </c>
      <c r="F649" t="s">
        <v>29</v>
      </c>
      <c r="G649" t="s">
        <v>26</v>
      </c>
      <c r="H649" t="s">
        <v>53</v>
      </c>
      <c r="I649">
        <v>5</v>
      </c>
      <c r="J649">
        <v>0</v>
      </c>
      <c r="K649">
        <v>256.26</v>
      </c>
      <c r="L649">
        <v>6.45</v>
      </c>
      <c r="M649" t="s">
        <v>2470</v>
      </c>
      <c r="N649" t="s">
        <v>2467</v>
      </c>
      <c r="O649" t="s">
        <v>2459</v>
      </c>
      <c r="P649">
        <v>31.34</v>
      </c>
      <c r="Q649">
        <v>56.49</v>
      </c>
      <c r="R649">
        <v>156.69999999999999</v>
      </c>
      <c r="S649">
        <v>93.11</v>
      </c>
      <c r="T649">
        <v>0.36334191836416141</v>
      </c>
      <c r="U649" s="1">
        <v>45689</v>
      </c>
      <c r="V649" t="s">
        <v>2499</v>
      </c>
      <c r="W649">
        <v>2025</v>
      </c>
    </row>
    <row r="650" spans="1:23" x14ac:dyDescent="0.25">
      <c r="A650" t="s">
        <v>697</v>
      </c>
      <c r="B650" s="1">
        <v>45920</v>
      </c>
      <c r="C650" s="1">
        <v>45923</v>
      </c>
      <c r="D650" t="s">
        <v>32</v>
      </c>
      <c r="E650" t="s">
        <v>33</v>
      </c>
      <c r="F650" t="s">
        <v>25</v>
      </c>
      <c r="G650" t="s">
        <v>16</v>
      </c>
      <c r="H650" t="s">
        <v>30</v>
      </c>
      <c r="I650">
        <v>4</v>
      </c>
      <c r="J650">
        <v>0.25</v>
      </c>
      <c r="K650">
        <v>20.010000000000002</v>
      </c>
      <c r="L650">
        <v>3.78</v>
      </c>
      <c r="M650" t="s">
        <v>2473</v>
      </c>
      <c r="N650" t="s">
        <v>2474</v>
      </c>
      <c r="O650" t="s">
        <v>2463</v>
      </c>
      <c r="P650">
        <v>3.62</v>
      </c>
      <c r="Q650">
        <v>6.03</v>
      </c>
      <c r="R650">
        <v>14.48</v>
      </c>
      <c r="S650">
        <v>1.7500000000000013</v>
      </c>
      <c r="T650">
        <v>8.7456271864068028E-2</v>
      </c>
      <c r="U650" s="1">
        <v>45901</v>
      </c>
      <c r="V650" t="s">
        <v>2501</v>
      </c>
      <c r="W650">
        <v>2025</v>
      </c>
    </row>
    <row r="651" spans="1:23" x14ac:dyDescent="0.25">
      <c r="A651" t="s">
        <v>698</v>
      </c>
      <c r="B651" s="1">
        <v>45504</v>
      </c>
      <c r="C651" s="1">
        <v>45505</v>
      </c>
      <c r="D651" t="s">
        <v>23</v>
      </c>
      <c r="E651" t="s">
        <v>24</v>
      </c>
      <c r="F651" t="s">
        <v>25</v>
      </c>
      <c r="G651" t="s">
        <v>26</v>
      </c>
      <c r="H651" t="s">
        <v>17</v>
      </c>
      <c r="I651">
        <v>4</v>
      </c>
      <c r="J651">
        <v>0</v>
      </c>
      <c r="K651">
        <v>459</v>
      </c>
      <c r="L651">
        <v>5.7</v>
      </c>
      <c r="M651" t="s">
        <v>2472</v>
      </c>
      <c r="N651" t="s">
        <v>2467</v>
      </c>
      <c r="O651" t="s">
        <v>2468</v>
      </c>
      <c r="P651">
        <v>63.69</v>
      </c>
      <c r="Q651">
        <v>125.5</v>
      </c>
      <c r="R651">
        <v>254.76</v>
      </c>
      <c r="S651">
        <v>198.54000000000002</v>
      </c>
      <c r="T651">
        <v>0.4325490196078432</v>
      </c>
      <c r="U651" s="1">
        <v>45474</v>
      </c>
      <c r="V651" t="s">
        <v>2499</v>
      </c>
      <c r="W651">
        <v>2024</v>
      </c>
    </row>
    <row r="652" spans="1:23" x14ac:dyDescent="0.25">
      <c r="A652" t="s">
        <v>699</v>
      </c>
      <c r="B652" s="1">
        <v>46015</v>
      </c>
      <c r="C652" s="1">
        <v>46019</v>
      </c>
      <c r="D652" t="s">
        <v>47</v>
      </c>
      <c r="E652" t="s">
        <v>48</v>
      </c>
      <c r="F652" t="s">
        <v>29</v>
      </c>
      <c r="G652" t="s">
        <v>20</v>
      </c>
      <c r="H652" t="s">
        <v>63</v>
      </c>
      <c r="I652">
        <v>7</v>
      </c>
      <c r="J652">
        <v>0.2</v>
      </c>
      <c r="K652">
        <v>92.21</v>
      </c>
      <c r="L652">
        <v>7.65</v>
      </c>
      <c r="M652" t="s">
        <v>2477</v>
      </c>
      <c r="N652" t="s">
        <v>2474</v>
      </c>
      <c r="O652" t="s">
        <v>2468</v>
      </c>
      <c r="P652">
        <v>6.33</v>
      </c>
      <c r="Q652">
        <v>12.16</v>
      </c>
      <c r="R652">
        <v>44.31</v>
      </c>
      <c r="S652">
        <v>40.249999999999993</v>
      </c>
      <c r="T652">
        <v>0.43650363301160389</v>
      </c>
      <c r="U652" s="1">
        <v>45992</v>
      </c>
      <c r="V652" t="s">
        <v>2500</v>
      </c>
      <c r="W652">
        <v>2025</v>
      </c>
    </row>
    <row r="653" spans="1:23" x14ac:dyDescent="0.25">
      <c r="A653" t="s">
        <v>700</v>
      </c>
      <c r="B653" s="1">
        <v>45882</v>
      </c>
      <c r="C653" s="1">
        <v>45883</v>
      </c>
      <c r="D653" t="s">
        <v>32</v>
      </c>
      <c r="E653" t="s">
        <v>62</v>
      </c>
      <c r="F653" t="s">
        <v>15</v>
      </c>
      <c r="G653" t="s">
        <v>20</v>
      </c>
      <c r="H653" t="s">
        <v>39</v>
      </c>
      <c r="I653">
        <v>1</v>
      </c>
      <c r="J653">
        <v>0.05</v>
      </c>
      <c r="K653">
        <v>180.19</v>
      </c>
      <c r="L653">
        <v>3.45</v>
      </c>
      <c r="M653" t="s">
        <v>2471</v>
      </c>
      <c r="N653" t="s">
        <v>2467</v>
      </c>
      <c r="O653" t="s">
        <v>2461</v>
      </c>
      <c r="P653">
        <v>112.09</v>
      </c>
      <c r="Q653">
        <v>192.47</v>
      </c>
      <c r="R653">
        <v>112.09</v>
      </c>
      <c r="S653">
        <v>64.649999999999991</v>
      </c>
      <c r="T653">
        <v>0.35878794605693987</v>
      </c>
      <c r="U653" s="1">
        <v>45870</v>
      </c>
      <c r="V653" t="s">
        <v>2498</v>
      </c>
      <c r="W653">
        <v>2025</v>
      </c>
    </row>
    <row r="654" spans="1:23" x14ac:dyDescent="0.25">
      <c r="A654" t="s">
        <v>701</v>
      </c>
      <c r="B654" s="1">
        <v>45838</v>
      </c>
      <c r="C654" s="1">
        <v>45839</v>
      </c>
      <c r="D654" t="s">
        <v>23</v>
      </c>
      <c r="E654" t="s">
        <v>43</v>
      </c>
      <c r="F654" t="s">
        <v>29</v>
      </c>
      <c r="G654" t="s">
        <v>26</v>
      </c>
      <c r="H654" t="s">
        <v>51</v>
      </c>
      <c r="I654">
        <v>8</v>
      </c>
      <c r="J654">
        <v>0.1</v>
      </c>
      <c r="K654">
        <v>108.55</v>
      </c>
      <c r="L654">
        <v>8.1</v>
      </c>
      <c r="M654" t="s">
        <v>2475</v>
      </c>
      <c r="N654" t="s">
        <v>2474</v>
      </c>
      <c r="O654" t="s">
        <v>2463</v>
      </c>
      <c r="P654">
        <v>7.93</v>
      </c>
      <c r="Q654">
        <v>14.78</v>
      </c>
      <c r="R654">
        <v>63.44</v>
      </c>
      <c r="S654">
        <v>37.01</v>
      </c>
      <c r="T654">
        <v>0.34094887148779363</v>
      </c>
      <c r="U654" s="1">
        <v>45809</v>
      </c>
      <c r="V654" t="s">
        <v>2498</v>
      </c>
      <c r="W654">
        <v>2025</v>
      </c>
    </row>
    <row r="655" spans="1:23" x14ac:dyDescent="0.25">
      <c r="A655" t="s">
        <v>702</v>
      </c>
      <c r="B655" s="1">
        <v>45606</v>
      </c>
      <c r="C655" s="1">
        <v>45607</v>
      </c>
      <c r="D655" t="s">
        <v>32</v>
      </c>
      <c r="E655" t="s">
        <v>62</v>
      </c>
      <c r="F655" t="s">
        <v>25</v>
      </c>
      <c r="G655" t="s">
        <v>16</v>
      </c>
      <c r="H655" t="s">
        <v>30</v>
      </c>
      <c r="I655">
        <v>9</v>
      </c>
      <c r="J655">
        <v>0.15</v>
      </c>
      <c r="K655">
        <v>59.91</v>
      </c>
      <c r="L655">
        <v>5.13</v>
      </c>
      <c r="M655" t="s">
        <v>2473</v>
      </c>
      <c r="N655" t="s">
        <v>2474</v>
      </c>
      <c r="O655" t="s">
        <v>2463</v>
      </c>
      <c r="P655">
        <v>3.62</v>
      </c>
      <c r="Q655">
        <v>6.03</v>
      </c>
      <c r="R655">
        <v>32.58</v>
      </c>
      <c r="S655">
        <v>22.2</v>
      </c>
      <c r="T655">
        <v>0.37055583375062595</v>
      </c>
      <c r="U655" s="1">
        <v>45597</v>
      </c>
      <c r="V655" t="s">
        <v>2500</v>
      </c>
      <c r="W655">
        <v>2024</v>
      </c>
    </row>
    <row r="656" spans="1:23" x14ac:dyDescent="0.25">
      <c r="A656" t="s">
        <v>703</v>
      </c>
      <c r="B656" s="1">
        <v>45835</v>
      </c>
      <c r="C656" s="1">
        <v>45837</v>
      </c>
      <c r="D656" t="s">
        <v>23</v>
      </c>
      <c r="E656" t="s">
        <v>43</v>
      </c>
      <c r="F656" t="s">
        <v>25</v>
      </c>
      <c r="G656" t="s">
        <v>20</v>
      </c>
      <c r="H656" t="s">
        <v>60</v>
      </c>
      <c r="I656">
        <v>2</v>
      </c>
      <c r="J656">
        <v>0.05</v>
      </c>
      <c r="K656">
        <v>209.09</v>
      </c>
      <c r="L656">
        <v>7</v>
      </c>
      <c r="M656" t="s">
        <v>2469</v>
      </c>
      <c r="N656" t="s">
        <v>2467</v>
      </c>
      <c r="O656" t="s">
        <v>2468</v>
      </c>
      <c r="P656">
        <v>54.95</v>
      </c>
      <c r="Q656">
        <v>112.56</v>
      </c>
      <c r="R656">
        <v>109.9</v>
      </c>
      <c r="S656">
        <v>92.19</v>
      </c>
      <c r="T656">
        <v>0.44091061265483761</v>
      </c>
      <c r="U656" s="1">
        <v>45809</v>
      </c>
      <c r="V656" t="s">
        <v>2498</v>
      </c>
      <c r="W656">
        <v>2025</v>
      </c>
    </row>
    <row r="657" spans="1:23" x14ac:dyDescent="0.25">
      <c r="A657" t="s">
        <v>704</v>
      </c>
      <c r="B657" s="1">
        <v>45349</v>
      </c>
      <c r="C657" s="1">
        <v>45353</v>
      </c>
      <c r="D657" t="s">
        <v>47</v>
      </c>
      <c r="E657" t="s">
        <v>50</v>
      </c>
      <c r="F657" t="s">
        <v>29</v>
      </c>
      <c r="G657" t="s">
        <v>26</v>
      </c>
      <c r="H657" t="s">
        <v>17</v>
      </c>
      <c r="I657">
        <v>4</v>
      </c>
      <c r="J657">
        <v>0</v>
      </c>
      <c r="K657">
        <v>461.89</v>
      </c>
      <c r="L657">
        <v>9.5</v>
      </c>
      <c r="M657" t="s">
        <v>2472</v>
      </c>
      <c r="N657" t="s">
        <v>2467</v>
      </c>
      <c r="O657" t="s">
        <v>2468</v>
      </c>
      <c r="P657">
        <v>63.69</v>
      </c>
      <c r="Q657">
        <v>125.5</v>
      </c>
      <c r="R657">
        <v>254.76</v>
      </c>
      <c r="S657">
        <v>197.63</v>
      </c>
      <c r="T657">
        <v>0.42787243716036288</v>
      </c>
      <c r="U657" s="1">
        <v>45323</v>
      </c>
      <c r="V657" t="s">
        <v>2499</v>
      </c>
      <c r="W657">
        <v>2024</v>
      </c>
    </row>
    <row r="658" spans="1:23" x14ac:dyDescent="0.25">
      <c r="A658" t="s">
        <v>705</v>
      </c>
      <c r="B658" s="1">
        <v>45451</v>
      </c>
      <c r="C658" s="1">
        <v>45457</v>
      </c>
      <c r="D658" t="s">
        <v>32</v>
      </c>
      <c r="E658" t="s">
        <v>45</v>
      </c>
      <c r="F658" t="s">
        <v>25</v>
      </c>
      <c r="G658" t="s">
        <v>26</v>
      </c>
      <c r="H658" t="s">
        <v>37</v>
      </c>
      <c r="I658">
        <v>2</v>
      </c>
      <c r="J658">
        <v>0.15</v>
      </c>
      <c r="K658">
        <v>200.62</v>
      </c>
      <c r="L658">
        <v>9.1</v>
      </c>
      <c r="M658" t="s">
        <v>2464</v>
      </c>
      <c r="N658" t="s">
        <v>2458</v>
      </c>
      <c r="O658" t="s">
        <v>2465</v>
      </c>
      <c r="P658">
        <v>63.6</v>
      </c>
      <c r="Q658">
        <v>107.94</v>
      </c>
      <c r="R658">
        <v>127.2</v>
      </c>
      <c r="S658">
        <v>64.320000000000007</v>
      </c>
      <c r="T658">
        <v>0.32060612102482305</v>
      </c>
      <c r="U658" s="1">
        <v>45444</v>
      </c>
      <c r="V658" t="s">
        <v>2500</v>
      </c>
      <c r="W658">
        <v>2024</v>
      </c>
    </row>
    <row r="659" spans="1:23" x14ac:dyDescent="0.25">
      <c r="A659" t="s">
        <v>706</v>
      </c>
      <c r="B659" s="1">
        <v>45357</v>
      </c>
      <c r="C659" s="1">
        <v>45358</v>
      </c>
      <c r="D659" t="s">
        <v>47</v>
      </c>
      <c r="E659" t="s">
        <v>48</v>
      </c>
      <c r="F659" t="s">
        <v>29</v>
      </c>
      <c r="G659" t="s">
        <v>26</v>
      </c>
      <c r="H659" t="s">
        <v>87</v>
      </c>
      <c r="I659">
        <v>8</v>
      </c>
      <c r="J659">
        <v>0.2</v>
      </c>
      <c r="K659">
        <v>51.33</v>
      </c>
      <c r="L659">
        <v>4.8600000000000003</v>
      </c>
      <c r="M659" t="s">
        <v>2476</v>
      </c>
      <c r="N659" t="s">
        <v>2474</v>
      </c>
      <c r="O659" t="s">
        <v>2459</v>
      </c>
      <c r="P659">
        <v>4.5</v>
      </c>
      <c r="Q659">
        <v>8.2899999999999991</v>
      </c>
      <c r="R659">
        <v>36</v>
      </c>
      <c r="S659">
        <v>10.469999999999999</v>
      </c>
      <c r="T659">
        <v>0.20397428404441845</v>
      </c>
      <c r="U659" s="1">
        <v>45352</v>
      </c>
      <c r="V659" t="s">
        <v>2500</v>
      </c>
      <c r="W659">
        <v>2024</v>
      </c>
    </row>
    <row r="660" spans="1:23" x14ac:dyDescent="0.25">
      <c r="A660" t="s">
        <v>707</v>
      </c>
      <c r="B660" s="1">
        <v>45463</v>
      </c>
      <c r="C660" s="1">
        <v>45464</v>
      </c>
      <c r="D660" t="s">
        <v>47</v>
      </c>
      <c r="E660" t="s">
        <v>48</v>
      </c>
      <c r="F660" t="s">
        <v>29</v>
      </c>
      <c r="G660" t="s">
        <v>20</v>
      </c>
      <c r="H660" t="s">
        <v>37</v>
      </c>
      <c r="I660">
        <v>4</v>
      </c>
      <c r="J660">
        <v>0.2</v>
      </c>
      <c r="K660">
        <v>355.81</v>
      </c>
      <c r="L660">
        <v>13.7</v>
      </c>
      <c r="M660" t="s">
        <v>2464</v>
      </c>
      <c r="N660" t="s">
        <v>2458</v>
      </c>
      <c r="O660" t="s">
        <v>2465</v>
      </c>
      <c r="P660">
        <v>63.6</v>
      </c>
      <c r="Q660">
        <v>107.94</v>
      </c>
      <c r="R660">
        <v>254.4</v>
      </c>
      <c r="S660">
        <v>87.71</v>
      </c>
      <c r="T660">
        <v>0.2465079677355892</v>
      </c>
      <c r="U660" s="1">
        <v>45444</v>
      </c>
      <c r="V660" t="s">
        <v>2500</v>
      </c>
      <c r="W660">
        <v>2024</v>
      </c>
    </row>
    <row r="661" spans="1:23" x14ac:dyDescent="0.25">
      <c r="A661" t="s">
        <v>708</v>
      </c>
      <c r="B661" s="1">
        <v>45524</v>
      </c>
      <c r="C661" s="1">
        <v>45527</v>
      </c>
      <c r="D661" t="s">
        <v>23</v>
      </c>
      <c r="E661" t="s">
        <v>43</v>
      </c>
      <c r="F661" t="s">
        <v>25</v>
      </c>
      <c r="G661" t="s">
        <v>26</v>
      </c>
      <c r="H661" t="s">
        <v>51</v>
      </c>
      <c r="I661">
        <v>18</v>
      </c>
      <c r="J661">
        <v>0</v>
      </c>
      <c r="K661">
        <v>243.78</v>
      </c>
      <c r="L661">
        <v>12.6</v>
      </c>
      <c r="M661" t="s">
        <v>2475</v>
      </c>
      <c r="N661" t="s">
        <v>2474</v>
      </c>
      <c r="O661" t="s">
        <v>2463</v>
      </c>
      <c r="P661">
        <v>7.93</v>
      </c>
      <c r="Q661">
        <v>14.78</v>
      </c>
      <c r="R661">
        <v>142.74</v>
      </c>
      <c r="S661">
        <v>88.44</v>
      </c>
      <c r="T661">
        <v>0.36278611863155302</v>
      </c>
      <c r="U661" s="1">
        <v>45505</v>
      </c>
      <c r="V661" t="s">
        <v>2499</v>
      </c>
      <c r="W661">
        <v>2024</v>
      </c>
    </row>
    <row r="662" spans="1:23" x14ac:dyDescent="0.25">
      <c r="A662" t="s">
        <v>709</v>
      </c>
      <c r="B662" s="1">
        <v>46000</v>
      </c>
      <c r="C662" s="1">
        <v>46005</v>
      </c>
      <c r="D662" t="s">
        <v>47</v>
      </c>
      <c r="E662" t="s">
        <v>71</v>
      </c>
      <c r="F662" t="s">
        <v>25</v>
      </c>
      <c r="G662" t="s">
        <v>26</v>
      </c>
      <c r="H662" t="s">
        <v>65</v>
      </c>
      <c r="I662">
        <v>4</v>
      </c>
      <c r="J662">
        <v>0.2</v>
      </c>
      <c r="K662">
        <v>1296.3599999999999</v>
      </c>
      <c r="L662">
        <v>13.7</v>
      </c>
      <c r="M662" t="s">
        <v>2457</v>
      </c>
      <c r="N662" t="s">
        <v>2458</v>
      </c>
      <c r="O662" t="s">
        <v>2459</v>
      </c>
      <c r="P662">
        <v>173.56</v>
      </c>
      <c r="Q662">
        <v>286.14999999999998</v>
      </c>
      <c r="R662">
        <v>694.24</v>
      </c>
      <c r="S662">
        <v>588.41999999999985</v>
      </c>
      <c r="T662">
        <v>0.45390169397389607</v>
      </c>
      <c r="U662" s="1">
        <v>45992</v>
      </c>
      <c r="V662" t="s">
        <v>2500</v>
      </c>
      <c r="W662">
        <v>2025</v>
      </c>
    </row>
    <row r="663" spans="1:23" x14ac:dyDescent="0.25">
      <c r="A663" t="s">
        <v>710</v>
      </c>
      <c r="B663" s="1">
        <v>45812</v>
      </c>
      <c r="C663" s="1">
        <v>45818</v>
      </c>
      <c r="D663" t="s">
        <v>32</v>
      </c>
      <c r="E663" t="s">
        <v>62</v>
      </c>
      <c r="F663" t="s">
        <v>29</v>
      </c>
      <c r="G663" t="s">
        <v>16</v>
      </c>
      <c r="H663" t="s">
        <v>63</v>
      </c>
      <c r="I663">
        <v>5</v>
      </c>
      <c r="J663">
        <v>0</v>
      </c>
      <c r="K663">
        <v>64.290000000000006</v>
      </c>
      <c r="L663">
        <v>4.05</v>
      </c>
      <c r="M663" t="s">
        <v>2477</v>
      </c>
      <c r="N663" t="s">
        <v>2474</v>
      </c>
      <c r="O663" t="s">
        <v>2468</v>
      </c>
      <c r="P663">
        <v>6.33</v>
      </c>
      <c r="Q663">
        <v>12.16</v>
      </c>
      <c r="R663">
        <v>31.65</v>
      </c>
      <c r="S663">
        <v>28.590000000000007</v>
      </c>
      <c r="T663">
        <v>0.44470368642090535</v>
      </c>
      <c r="U663" s="1">
        <v>45809</v>
      </c>
      <c r="V663" t="s">
        <v>2499</v>
      </c>
      <c r="W663">
        <v>2025</v>
      </c>
    </row>
    <row r="664" spans="1:23" x14ac:dyDescent="0.25">
      <c r="A664" t="s">
        <v>711</v>
      </c>
      <c r="B664" s="1">
        <v>45724</v>
      </c>
      <c r="C664" s="1">
        <v>45725</v>
      </c>
      <c r="D664" t="s">
        <v>23</v>
      </c>
      <c r="E664" t="s">
        <v>59</v>
      </c>
      <c r="F664" t="s">
        <v>29</v>
      </c>
      <c r="G664" t="s">
        <v>20</v>
      </c>
      <c r="H664" t="s">
        <v>34</v>
      </c>
      <c r="I664">
        <v>4</v>
      </c>
      <c r="J664">
        <v>0</v>
      </c>
      <c r="K664">
        <v>746.09</v>
      </c>
      <c r="L664">
        <v>8.2200000000000006</v>
      </c>
      <c r="M664" t="s">
        <v>2460</v>
      </c>
      <c r="N664" t="s">
        <v>2458</v>
      </c>
      <c r="O664" t="s">
        <v>2461</v>
      </c>
      <c r="P664">
        <v>119.02</v>
      </c>
      <c r="Q664">
        <v>205.39</v>
      </c>
      <c r="R664">
        <v>476.08</v>
      </c>
      <c r="S664">
        <v>261.79000000000002</v>
      </c>
      <c r="T664">
        <v>0.35088260129474996</v>
      </c>
      <c r="U664" s="1">
        <v>45717</v>
      </c>
      <c r="V664" t="s">
        <v>2499</v>
      </c>
      <c r="W664">
        <v>2025</v>
      </c>
    </row>
    <row r="665" spans="1:23" x14ac:dyDescent="0.25">
      <c r="A665" t="s">
        <v>712</v>
      </c>
      <c r="B665" s="1">
        <v>45387</v>
      </c>
      <c r="C665" s="1">
        <v>45389</v>
      </c>
      <c r="D665" t="s">
        <v>23</v>
      </c>
      <c r="E665" t="s">
        <v>24</v>
      </c>
      <c r="F665" t="s">
        <v>29</v>
      </c>
      <c r="G665" t="s">
        <v>16</v>
      </c>
      <c r="H665" t="s">
        <v>41</v>
      </c>
      <c r="I665">
        <v>9</v>
      </c>
      <c r="J665">
        <v>0.1</v>
      </c>
      <c r="K665">
        <v>49.82</v>
      </c>
      <c r="L665">
        <v>8.5500000000000007</v>
      </c>
      <c r="M665" t="s">
        <v>2479</v>
      </c>
      <c r="N665" t="s">
        <v>2474</v>
      </c>
      <c r="O665" t="s">
        <v>2459</v>
      </c>
      <c r="P665">
        <v>3.3</v>
      </c>
      <c r="Q665">
        <v>6.13</v>
      </c>
      <c r="R665">
        <v>29.7</v>
      </c>
      <c r="S665">
        <v>11.57</v>
      </c>
      <c r="T665">
        <v>0.23223604977920514</v>
      </c>
      <c r="U665" s="1">
        <v>45383</v>
      </c>
      <c r="V665" t="s">
        <v>2498</v>
      </c>
      <c r="W665">
        <v>2024</v>
      </c>
    </row>
    <row r="666" spans="1:23" x14ac:dyDescent="0.25">
      <c r="A666" t="s">
        <v>713</v>
      </c>
      <c r="B666" s="1">
        <v>45812</v>
      </c>
      <c r="C666" s="1">
        <v>45813</v>
      </c>
      <c r="D666" t="s">
        <v>32</v>
      </c>
      <c r="E666" t="s">
        <v>45</v>
      </c>
      <c r="F666" t="s">
        <v>25</v>
      </c>
      <c r="G666" t="s">
        <v>16</v>
      </c>
      <c r="H666" t="s">
        <v>53</v>
      </c>
      <c r="I666">
        <v>2</v>
      </c>
      <c r="J666">
        <v>0</v>
      </c>
      <c r="K666">
        <v>114.15</v>
      </c>
      <c r="L666">
        <v>7</v>
      </c>
      <c r="M666" t="s">
        <v>2470</v>
      </c>
      <c r="N666" t="s">
        <v>2467</v>
      </c>
      <c r="O666" t="s">
        <v>2459</v>
      </c>
      <c r="P666">
        <v>31.34</v>
      </c>
      <c r="Q666">
        <v>56.49</v>
      </c>
      <c r="R666">
        <v>62.68</v>
      </c>
      <c r="S666">
        <v>44.470000000000006</v>
      </c>
      <c r="T666">
        <v>0.38957512045554099</v>
      </c>
      <c r="U666" s="1">
        <v>45809</v>
      </c>
      <c r="V666" t="s">
        <v>2499</v>
      </c>
      <c r="W666">
        <v>2025</v>
      </c>
    </row>
    <row r="667" spans="1:23" x14ac:dyDescent="0.25">
      <c r="A667" t="s">
        <v>714</v>
      </c>
      <c r="B667" s="1">
        <v>45872</v>
      </c>
      <c r="C667" s="1">
        <v>45873</v>
      </c>
      <c r="D667" t="s">
        <v>23</v>
      </c>
      <c r="E667" t="s">
        <v>43</v>
      </c>
      <c r="F667" t="s">
        <v>29</v>
      </c>
      <c r="G667" t="s">
        <v>20</v>
      </c>
      <c r="H667" t="s">
        <v>37</v>
      </c>
      <c r="I667">
        <v>4</v>
      </c>
      <c r="J667">
        <v>0</v>
      </c>
      <c r="K667">
        <v>416.92</v>
      </c>
      <c r="L667">
        <v>8.2200000000000006</v>
      </c>
      <c r="M667" t="s">
        <v>2464</v>
      </c>
      <c r="N667" t="s">
        <v>2458</v>
      </c>
      <c r="O667" t="s">
        <v>2465</v>
      </c>
      <c r="P667">
        <v>63.6</v>
      </c>
      <c r="Q667">
        <v>107.94</v>
      </c>
      <c r="R667">
        <v>254.4</v>
      </c>
      <c r="S667">
        <v>154.30000000000001</v>
      </c>
      <c r="T667">
        <v>0.37009498225079152</v>
      </c>
      <c r="U667" s="1">
        <v>45870</v>
      </c>
      <c r="V667" t="s">
        <v>2499</v>
      </c>
      <c r="W667">
        <v>2025</v>
      </c>
    </row>
    <row r="668" spans="1:23" x14ac:dyDescent="0.25">
      <c r="A668" t="s">
        <v>715</v>
      </c>
      <c r="B668" s="1">
        <v>45574</v>
      </c>
      <c r="C668" s="1">
        <v>45579</v>
      </c>
      <c r="D668" t="s">
        <v>32</v>
      </c>
      <c r="E668" t="s">
        <v>33</v>
      </c>
      <c r="F668" t="s">
        <v>29</v>
      </c>
      <c r="G668" t="s">
        <v>20</v>
      </c>
      <c r="H668" t="s">
        <v>63</v>
      </c>
      <c r="I668">
        <v>13</v>
      </c>
      <c r="J668">
        <v>0</v>
      </c>
      <c r="K668">
        <v>174.63</v>
      </c>
      <c r="L668">
        <v>6.21</v>
      </c>
      <c r="M668" t="s">
        <v>2477</v>
      </c>
      <c r="N668" t="s">
        <v>2474</v>
      </c>
      <c r="O668" t="s">
        <v>2468</v>
      </c>
      <c r="P668">
        <v>6.33</v>
      </c>
      <c r="Q668">
        <v>12.16</v>
      </c>
      <c r="R668">
        <v>82.29</v>
      </c>
      <c r="S668">
        <v>86.13</v>
      </c>
      <c r="T668">
        <v>0.49321422436007556</v>
      </c>
      <c r="U668" s="1">
        <v>45566</v>
      </c>
      <c r="V668" t="s">
        <v>2499</v>
      </c>
      <c r="W668">
        <v>2024</v>
      </c>
    </row>
    <row r="669" spans="1:23" x14ac:dyDescent="0.25">
      <c r="A669" t="s">
        <v>716</v>
      </c>
      <c r="B669" s="1">
        <v>45775</v>
      </c>
      <c r="C669" s="1">
        <v>45778</v>
      </c>
      <c r="D669" t="s">
        <v>47</v>
      </c>
      <c r="E669" t="s">
        <v>50</v>
      </c>
      <c r="F669" t="s">
        <v>15</v>
      </c>
      <c r="G669" t="s">
        <v>16</v>
      </c>
      <c r="H669" t="s">
        <v>53</v>
      </c>
      <c r="I669">
        <v>4</v>
      </c>
      <c r="J669">
        <v>0.15</v>
      </c>
      <c r="K669">
        <v>198.35</v>
      </c>
      <c r="L669">
        <v>5.7</v>
      </c>
      <c r="M669" t="s">
        <v>2470</v>
      </c>
      <c r="N669" t="s">
        <v>2467</v>
      </c>
      <c r="O669" t="s">
        <v>2459</v>
      </c>
      <c r="P669">
        <v>31.34</v>
      </c>
      <c r="Q669">
        <v>56.49</v>
      </c>
      <c r="R669">
        <v>125.36</v>
      </c>
      <c r="S669">
        <v>67.289999999999992</v>
      </c>
      <c r="T669">
        <v>0.33924880262162843</v>
      </c>
      <c r="U669" s="1">
        <v>45748</v>
      </c>
      <c r="V669" t="s">
        <v>2500</v>
      </c>
      <c r="W669">
        <v>2025</v>
      </c>
    </row>
    <row r="670" spans="1:23" x14ac:dyDescent="0.25">
      <c r="A670" t="s">
        <v>717</v>
      </c>
      <c r="B670" s="1">
        <v>45407</v>
      </c>
      <c r="C670" s="1">
        <v>45410</v>
      </c>
      <c r="D670" t="s">
        <v>47</v>
      </c>
      <c r="E670" t="s">
        <v>50</v>
      </c>
      <c r="F670" t="s">
        <v>29</v>
      </c>
      <c r="G670" t="s">
        <v>26</v>
      </c>
      <c r="H670" t="s">
        <v>51</v>
      </c>
      <c r="I670">
        <v>10</v>
      </c>
      <c r="J670">
        <v>0</v>
      </c>
      <c r="K670">
        <v>136.6</v>
      </c>
      <c r="L670">
        <v>5.4</v>
      </c>
      <c r="M670" t="s">
        <v>2475</v>
      </c>
      <c r="N670" t="s">
        <v>2474</v>
      </c>
      <c r="O670" t="s">
        <v>2463</v>
      </c>
      <c r="P670">
        <v>7.93</v>
      </c>
      <c r="Q670">
        <v>14.78</v>
      </c>
      <c r="R670">
        <v>79.3</v>
      </c>
      <c r="S670">
        <v>51.9</v>
      </c>
      <c r="T670">
        <v>0.37994143484626647</v>
      </c>
      <c r="U670" s="1">
        <v>45383</v>
      </c>
      <c r="V670" t="s">
        <v>2499</v>
      </c>
      <c r="W670">
        <v>2024</v>
      </c>
    </row>
    <row r="671" spans="1:23" x14ac:dyDescent="0.25">
      <c r="A671" t="s">
        <v>718</v>
      </c>
      <c r="B671" s="1">
        <v>45644</v>
      </c>
      <c r="C671" s="1">
        <v>45647</v>
      </c>
      <c r="D671" t="s">
        <v>13</v>
      </c>
      <c r="E671" t="s">
        <v>36</v>
      </c>
      <c r="F671" t="s">
        <v>15</v>
      </c>
      <c r="G671" t="s">
        <v>20</v>
      </c>
      <c r="H671" t="s">
        <v>30</v>
      </c>
      <c r="I671">
        <v>10</v>
      </c>
      <c r="J671">
        <v>0.05</v>
      </c>
      <c r="K671">
        <v>79.930000000000007</v>
      </c>
      <c r="L671">
        <v>9</v>
      </c>
      <c r="M671" t="s">
        <v>2473</v>
      </c>
      <c r="N671" t="s">
        <v>2474</v>
      </c>
      <c r="O671" t="s">
        <v>2463</v>
      </c>
      <c r="P671">
        <v>3.62</v>
      </c>
      <c r="Q671">
        <v>6.03</v>
      </c>
      <c r="R671">
        <v>36.200000000000003</v>
      </c>
      <c r="S671">
        <v>34.730000000000004</v>
      </c>
      <c r="T671">
        <v>0.43450519204303767</v>
      </c>
      <c r="U671" s="1">
        <v>45627</v>
      </c>
      <c r="V671" t="s">
        <v>2498</v>
      </c>
      <c r="W671">
        <v>2024</v>
      </c>
    </row>
    <row r="672" spans="1:23" x14ac:dyDescent="0.25">
      <c r="A672" t="s">
        <v>719</v>
      </c>
      <c r="B672" s="1">
        <v>45416</v>
      </c>
      <c r="C672" s="1">
        <v>45419</v>
      </c>
      <c r="D672" t="s">
        <v>23</v>
      </c>
      <c r="E672" t="s">
        <v>59</v>
      </c>
      <c r="F672" t="s">
        <v>29</v>
      </c>
      <c r="G672" t="s">
        <v>16</v>
      </c>
      <c r="H672" t="s">
        <v>53</v>
      </c>
      <c r="I672">
        <v>4</v>
      </c>
      <c r="J672">
        <v>0.2</v>
      </c>
      <c r="K672">
        <v>186.24</v>
      </c>
      <c r="L672">
        <v>5.7</v>
      </c>
      <c r="M672" t="s">
        <v>2470</v>
      </c>
      <c r="N672" t="s">
        <v>2467</v>
      </c>
      <c r="O672" t="s">
        <v>2459</v>
      </c>
      <c r="P672">
        <v>31.34</v>
      </c>
      <c r="Q672">
        <v>56.49</v>
      </c>
      <c r="R672">
        <v>125.36</v>
      </c>
      <c r="S672">
        <v>55.180000000000007</v>
      </c>
      <c r="T672">
        <v>0.29628436426116839</v>
      </c>
      <c r="U672" s="1">
        <v>45413</v>
      </c>
      <c r="V672" t="s">
        <v>2500</v>
      </c>
      <c r="W672">
        <v>2024</v>
      </c>
    </row>
    <row r="673" spans="1:23" x14ac:dyDescent="0.25">
      <c r="A673" t="s">
        <v>720</v>
      </c>
      <c r="B673" s="1">
        <v>45866</v>
      </c>
      <c r="C673" s="1">
        <v>45871</v>
      </c>
      <c r="D673" t="s">
        <v>47</v>
      </c>
      <c r="E673" t="s">
        <v>48</v>
      </c>
      <c r="F673" t="s">
        <v>25</v>
      </c>
      <c r="G673" t="s">
        <v>26</v>
      </c>
      <c r="H673" t="s">
        <v>51</v>
      </c>
      <c r="I673">
        <v>8</v>
      </c>
      <c r="J673">
        <v>0.05</v>
      </c>
      <c r="K673">
        <v>104.04</v>
      </c>
      <c r="L673">
        <v>8.1</v>
      </c>
      <c r="M673" t="s">
        <v>2475</v>
      </c>
      <c r="N673" t="s">
        <v>2474</v>
      </c>
      <c r="O673" t="s">
        <v>2463</v>
      </c>
      <c r="P673">
        <v>7.93</v>
      </c>
      <c r="Q673">
        <v>14.78</v>
      </c>
      <c r="R673">
        <v>63.44</v>
      </c>
      <c r="S673">
        <v>32.500000000000007</v>
      </c>
      <c r="T673">
        <v>0.31237985390234529</v>
      </c>
      <c r="U673" s="1">
        <v>45839</v>
      </c>
      <c r="V673" t="s">
        <v>2498</v>
      </c>
      <c r="W673">
        <v>2025</v>
      </c>
    </row>
    <row r="674" spans="1:23" x14ac:dyDescent="0.25">
      <c r="A674" t="s">
        <v>721</v>
      </c>
      <c r="B674" s="1">
        <v>45329</v>
      </c>
      <c r="C674" s="1">
        <v>45334</v>
      </c>
      <c r="D674" t="s">
        <v>47</v>
      </c>
      <c r="E674" t="s">
        <v>50</v>
      </c>
      <c r="F674" t="s">
        <v>15</v>
      </c>
      <c r="G674" t="s">
        <v>26</v>
      </c>
      <c r="H674" t="s">
        <v>68</v>
      </c>
      <c r="I674">
        <v>3</v>
      </c>
      <c r="J674">
        <v>0.05</v>
      </c>
      <c r="K674">
        <v>138.27000000000001</v>
      </c>
      <c r="L674">
        <v>4.95</v>
      </c>
      <c r="M674" t="s">
        <v>2466</v>
      </c>
      <c r="N674" t="s">
        <v>2467</v>
      </c>
      <c r="O674" t="s">
        <v>2468</v>
      </c>
      <c r="P674">
        <v>25.33</v>
      </c>
      <c r="Q674">
        <v>51.56</v>
      </c>
      <c r="R674">
        <v>75.989999999999995</v>
      </c>
      <c r="S674">
        <v>57.330000000000013</v>
      </c>
      <c r="T674">
        <v>0.41462356259492306</v>
      </c>
      <c r="U674" s="1">
        <v>45323</v>
      </c>
      <c r="V674" t="s">
        <v>2498</v>
      </c>
      <c r="W674">
        <v>2024</v>
      </c>
    </row>
    <row r="675" spans="1:23" x14ac:dyDescent="0.25">
      <c r="A675" t="s">
        <v>722</v>
      </c>
      <c r="B675" s="1">
        <v>45971</v>
      </c>
      <c r="C675" s="1">
        <v>45976</v>
      </c>
      <c r="D675" t="s">
        <v>23</v>
      </c>
      <c r="E675" t="s">
        <v>43</v>
      </c>
      <c r="F675" t="s">
        <v>29</v>
      </c>
      <c r="G675" t="s">
        <v>16</v>
      </c>
      <c r="H675" t="s">
        <v>17</v>
      </c>
      <c r="I675">
        <v>4</v>
      </c>
      <c r="J675">
        <v>0</v>
      </c>
      <c r="K675">
        <v>713.61</v>
      </c>
      <c r="L675">
        <v>5.7</v>
      </c>
      <c r="M675" t="s">
        <v>2472</v>
      </c>
      <c r="N675" t="s">
        <v>2467</v>
      </c>
      <c r="O675" t="s">
        <v>2468</v>
      </c>
      <c r="P675">
        <v>63.69</v>
      </c>
      <c r="Q675">
        <v>125.5</v>
      </c>
      <c r="R675">
        <v>254.76</v>
      </c>
      <c r="S675">
        <v>453.15000000000003</v>
      </c>
      <c r="T675">
        <v>0.6350107201412537</v>
      </c>
      <c r="U675" s="1">
        <v>45962</v>
      </c>
      <c r="V675" t="s">
        <v>2499</v>
      </c>
      <c r="W675">
        <v>2025</v>
      </c>
    </row>
    <row r="676" spans="1:23" x14ac:dyDescent="0.25">
      <c r="A676" t="s">
        <v>723</v>
      </c>
      <c r="B676" s="1">
        <v>45530</v>
      </c>
      <c r="C676" s="1">
        <v>45536</v>
      </c>
      <c r="D676" t="s">
        <v>32</v>
      </c>
      <c r="E676" t="s">
        <v>62</v>
      </c>
      <c r="F676" t="s">
        <v>25</v>
      </c>
      <c r="G676" t="s">
        <v>20</v>
      </c>
      <c r="H676" t="s">
        <v>21</v>
      </c>
      <c r="I676">
        <v>3</v>
      </c>
      <c r="J676">
        <v>0</v>
      </c>
      <c r="K676">
        <v>304.38</v>
      </c>
      <c r="L676">
        <v>11.4</v>
      </c>
      <c r="M676" t="s">
        <v>2462</v>
      </c>
      <c r="N676" t="s">
        <v>2458</v>
      </c>
      <c r="O676" t="s">
        <v>2463</v>
      </c>
      <c r="P676">
        <v>71.489999999999995</v>
      </c>
      <c r="Q676">
        <v>112.88</v>
      </c>
      <c r="R676">
        <v>214.46999999999997</v>
      </c>
      <c r="S676">
        <v>78.510000000000019</v>
      </c>
      <c r="T676">
        <v>0.2579341612458112</v>
      </c>
      <c r="U676" s="1">
        <v>45505</v>
      </c>
      <c r="V676" t="s">
        <v>2499</v>
      </c>
      <c r="W676">
        <v>2024</v>
      </c>
    </row>
    <row r="677" spans="1:23" x14ac:dyDescent="0.25">
      <c r="A677" t="s">
        <v>724</v>
      </c>
      <c r="B677" s="1">
        <v>45789</v>
      </c>
      <c r="C677" s="1">
        <v>45792</v>
      </c>
      <c r="D677" t="s">
        <v>23</v>
      </c>
      <c r="E677" t="s">
        <v>59</v>
      </c>
      <c r="F677" t="s">
        <v>25</v>
      </c>
      <c r="G677" t="s">
        <v>26</v>
      </c>
      <c r="H677" t="s">
        <v>87</v>
      </c>
      <c r="I677">
        <v>10</v>
      </c>
      <c r="J677">
        <v>0</v>
      </c>
      <c r="K677">
        <v>83.64</v>
      </c>
      <c r="L677">
        <v>9</v>
      </c>
      <c r="M677" t="s">
        <v>2476</v>
      </c>
      <c r="N677" t="s">
        <v>2474</v>
      </c>
      <c r="O677" t="s">
        <v>2459</v>
      </c>
      <c r="P677">
        <v>4.5</v>
      </c>
      <c r="Q677">
        <v>8.2899999999999991</v>
      </c>
      <c r="R677">
        <v>45</v>
      </c>
      <c r="S677">
        <v>29.64</v>
      </c>
      <c r="T677">
        <v>0.35437589670014347</v>
      </c>
      <c r="U677" s="1">
        <v>45778</v>
      </c>
      <c r="V677" t="s">
        <v>2499</v>
      </c>
      <c r="W677">
        <v>2025</v>
      </c>
    </row>
    <row r="678" spans="1:23" x14ac:dyDescent="0.25">
      <c r="A678" t="s">
        <v>725</v>
      </c>
      <c r="B678" s="1">
        <v>45877</v>
      </c>
      <c r="C678" s="1">
        <v>45878</v>
      </c>
      <c r="D678" t="s">
        <v>13</v>
      </c>
      <c r="E678" t="s">
        <v>36</v>
      </c>
      <c r="F678" t="s">
        <v>15</v>
      </c>
      <c r="G678" t="s">
        <v>26</v>
      </c>
      <c r="H678" t="s">
        <v>30</v>
      </c>
      <c r="I678">
        <v>13</v>
      </c>
      <c r="J678">
        <v>0</v>
      </c>
      <c r="K678">
        <v>73.14</v>
      </c>
      <c r="L678">
        <v>10.35</v>
      </c>
      <c r="M678" t="s">
        <v>2473</v>
      </c>
      <c r="N678" t="s">
        <v>2474</v>
      </c>
      <c r="O678" t="s">
        <v>2463</v>
      </c>
      <c r="P678">
        <v>3.62</v>
      </c>
      <c r="Q678">
        <v>6.03</v>
      </c>
      <c r="R678">
        <v>47.06</v>
      </c>
      <c r="S678">
        <v>15.729999999999999</v>
      </c>
      <c r="T678">
        <v>0.21506699480448452</v>
      </c>
      <c r="U678" s="1">
        <v>45870</v>
      </c>
      <c r="V678" t="s">
        <v>2499</v>
      </c>
      <c r="W678">
        <v>2025</v>
      </c>
    </row>
    <row r="679" spans="1:23" x14ac:dyDescent="0.25">
      <c r="A679" t="s">
        <v>726</v>
      </c>
      <c r="B679" s="1">
        <v>45786</v>
      </c>
      <c r="C679" s="1">
        <v>45788</v>
      </c>
      <c r="D679" t="s">
        <v>47</v>
      </c>
      <c r="E679" t="s">
        <v>50</v>
      </c>
      <c r="F679" t="s">
        <v>15</v>
      </c>
      <c r="G679" t="s">
        <v>26</v>
      </c>
      <c r="H679" t="s">
        <v>37</v>
      </c>
      <c r="I679">
        <v>1</v>
      </c>
      <c r="J679">
        <v>0</v>
      </c>
      <c r="K679">
        <v>110.1</v>
      </c>
      <c r="L679">
        <v>6.8</v>
      </c>
      <c r="M679" t="s">
        <v>2464</v>
      </c>
      <c r="N679" t="s">
        <v>2458</v>
      </c>
      <c r="O679" t="s">
        <v>2465</v>
      </c>
      <c r="P679">
        <v>63.6</v>
      </c>
      <c r="Q679">
        <v>107.94</v>
      </c>
      <c r="R679">
        <v>63.6</v>
      </c>
      <c r="S679">
        <v>39.699999999999996</v>
      </c>
      <c r="T679">
        <v>0.36058128973660308</v>
      </c>
      <c r="U679" s="1">
        <v>45778</v>
      </c>
      <c r="V679" t="s">
        <v>2499</v>
      </c>
      <c r="W679">
        <v>2025</v>
      </c>
    </row>
    <row r="680" spans="1:23" x14ac:dyDescent="0.25">
      <c r="A680" t="s">
        <v>727</v>
      </c>
      <c r="B680" s="1">
        <v>45892</v>
      </c>
      <c r="C680" s="1">
        <v>45893</v>
      </c>
      <c r="D680" t="s">
        <v>23</v>
      </c>
      <c r="E680" t="s">
        <v>24</v>
      </c>
      <c r="F680" t="s">
        <v>15</v>
      </c>
      <c r="G680" t="s">
        <v>20</v>
      </c>
      <c r="H680" t="s">
        <v>51</v>
      </c>
      <c r="I680">
        <v>5</v>
      </c>
      <c r="J680">
        <v>0.1</v>
      </c>
      <c r="K680">
        <v>66.67</v>
      </c>
      <c r="L680">
        <v>4.05</v>
      </c>
      <c r="M680" t="s">
        <v>2475</v>
      </c>
      <c r="N680" t="s">
        <v>2474</v>
      </c>
      <c r="O680" t="s">
        <v>2463</v>
      </c>
      <c r="P680">
        <v>7.93</v>
      </c>
      <c r="Q680">
        <v>14.78</v>
      </c>
      <c r="R680">
        <v>39.65</v>
      </c>
      <c r="S680">
        <v>22.970000000000002</v>
      </c>
      <c r="T680">
        <v>0.34453277336133198</v>
      </c>
      <c r="U680" s="1">
        <v>45870</v>
      </c>
      <c r="V680" t="s">
        <v>2498</v>
      </c>
      <c r="W680">
        <v>2025</v>
      </c>
    </row>
    <row r="681" spans="1:23" x14ac:dyDescent="0.25">
      <c r="A681" t="s">
        <v>728</v>
      </c>
      <c r="B681" s="1">
        <v>45758</v>
      </c>
      <c r="C681" s="1">
        <v>45762</v>
      </c>
      <c r="D681" t="s">
        <v>47</v>
      </c>
      <c r="E681" t="s">
        <v>71</v>
      </c>
      <c r="F681" t="s">
        <v>25</v>
      </c>
      <c r="G681" t="s">
        <v>16</v>
      </c>
      <c r="H681" t="s">
        <v>53</v>
      </c>
      <c r="I681">
        <v>1</v>
      </c>
      <c r="J681">
        <v>0.05</v>
      </c>
      <c r="K681">
        <v>52.62</v>
      </c>
      <c r="L681">
        <v>3.45</v>
      </c>
      <c r="M681" t="s">
        <v>2470</v>
      </c>
      <c r="N681" t="s">
        <v>2467</v>
      </c>
      <c r="O681" t="s">
        <v>2459</v>
      </c>
      <c r="P681">
        <v>31.34</v>
      </c>
      <c r="Q681">
        <v>56.49</v>
      </c>
      <c r="R681">
        <v>31.34</v>
      </c>
      <c r="S681">
        <v>17.829999999999998</v>
      </c>
      <c r="T681">
        <v>0.338844545800076</v>
      </c>
      <c r="U681" s="1">
        <v>45748</v>
      </c>
      <c r="V681" t="s">
        <v>2498</v>
      </c>
      <c r="W681">
        <v>2025</v>
      </c>
    </row>
    <row r="682" spans="1:23" x14ac:dyDescent="0.25">
      <c r="A682" t="s">
        <v>729</v>
      </c>
      <c r="B682" s="1">
        <v>45879</v>
      </c>
      <c r="C682" s="1">
        <v>45881</v>
      </c>
      <c r="D682" t="s">
        <v>13</v>
      </c>
      <c r="E682" t="s">
        <v>14</v>
      </c>
      <c r="F682" t="s">
        <v>25</v>
      </c>
      <c r="G682" t="s">
        <v>26</v>
      </c>
      <c r="H682" t="s">
        <v>37</v>
      </c>
      <c r="I682">
        <v>4</v>
      </c>
      <c r="J682">
        <v>0</v>
      </c>
      <c r="K682">
        <v>398.85</v>
      </c>
      <c r="L682">
        <v>13.7</v>
      </c>
      <c r="M682" t="s">
        <v>2464</v>
      </c>
      <c r="N682" t="s">
        <v>2458</v>
      </c>
      <c r="O682" t="s">
        <v>2465</v>
      </c>
      <c r="P682">
        <v>63.6</v>
      </c>
      <c r="Q682">
        <v>107.94</v>
      </c>
      <c r="R682">
        <v>254.4</v>
      </c>
      <c r="S682">
        <v>130.75000000000003</v>
      </c>
      <c r="T682">
        <v>0.32781747524131882</v>
      </c>
      <c r="U682" s="1">
        <v>45870</v>
      </c>
      <c r="V682" t="s">
        <v>2499</v>
      </c>
      <c r="W682">
        <v>2025</v>
      </c>
    </row>
    <row r="683" spans="1:23" x14ac:dyDescent="0.25">
      <c r="A683" t="s">
        <v>730</v>
      </c>
      <c r="B683" s="1">
        <v>45406</v>
      </c>
      <c r="C683" s="1">
        <v>45407</v>
      </c>
      <c r="D683" t="s">
        <v>13</v>
      </c>
      <c r="E683" t="s">
        <v>14</v>
      </c>
      <c r="F683" t="s">
        <v>29</v>
      </c>
      <c r="G683" t="s">
        <v>26</v>
      </c>
      <c r="H683" t="s">
        <v>27</v>
      </c>
      <c r="I683">
        <v>4</v>
      </c>
      <c r="J683">
        <v>0.15</v>
      </c>
      <c r="K683">
        <v>90.35</v>
      </c>
      <c r="L683">
        <v>3.78</v>
      </c>
      <c r="M683" t="s">
        <v>2478</v>
      </c>
      <c r="N683" t="s">
        <v>2474</v>
      </c>
      <c r="O683" t="s">
        <v>2463</v>
      </c>
      <c r="P683">
        <v>16.760000000000002</v>
      </c>
      <c r="Q683">
        <v>27.71</v>
      </c>
      <c r="R683">
        <v>67.040000000000006</v>
      </c>
      <c r="S683">
        <v>19.529999999999987</v>
      </c>
      <c r="T683">
        <v>0.21615938018815703</v>
      </c>
      <c r="U683" s="1">
        <v>45383</v>
      </c>
      <c r="V683" t="s">
        <v>2500</v>
      </c>
      <c r="W683">
        <v>2024</v>
      </c>
    </row>
    <row r="684" spans="1:23" x14ac:dyDescent="0.25">
      <c r="A684" t="s">
        <v>731</v>
      </c>
      <c r="B684" s="1">
        <v>45494</v>
      </c>
      <c r="C684" s="1">
        <v>45496</v>
      </c>
      <c r="D684" t="s">
        <v>13</v>
      </c>
      <c r="E684" t="s">
        <v>36</v>
      </c>
      <c r="F684" t="s">
        <v>29</v>
      </c>
      <c r="G684" t="s">
        <v>20</v>
      </c>
      <c r="H684" t="s">
        <v>51</v>
      </c>
      <c r="I684">
        <v>13</v>
      </c>
      <c r="J684">
        <v>0</v>
      </c>
      <c r="K684">
        <v>173.31</v>
      </c>
      <c r="L684">
        <v>6.21</v>
      </c>
      <c r="M684" t="s">
        <v>2475</v>
      </c>
      <c r="N684" t="s">
        <v>2474</v>
      </c>
      <c r="O684" t="s">
        <v>2463</v>
      </c>
      <c r="P684">
        <v>7.93</v>
      </c>
      <c r="Q684">
        <v>14.78</v>
      </c>
      <c r="R684">
        <v>103.09</v>
      </c>
      <c r="S684">
        <v>64.010000000000005</v>
      </c>
      <c r="T684">
        <v>0.36933818013963421</v>
      </c>
      <c r="U684" s="1">
        <v>45474</v>
      </c>
      <c r="V684" t="s">
        <v>2499</v>
      </c>
      <c r="W684">
        <v>2024</v>
      </c>
    </row>
    <row r="685" spans="1:23" x14ac:dyDescent="0.25">
      <c r="A685" t="s">
        <v>732</v>
      </c>
      <c r="B685" s="1">
        <v>45854</v>
      </c>
      <c r="C685" s="1">
        <v>45856</v>
      </c>
      <c r="D685" t="s">
        <v>23</v>
      </c>
      <c r="E685" t="s">
        <v>24</v>
      </c>
      <c r="F685" t="s">
        <v>25</v>
      </c>
      <c r="G685" t="s">
        <v>20</v>
      </c>
      <c r="H685" t="s">
        <v>30</v>
      </c>
      <c r="I685">
        <v>13</v>
      </c>
      <c r="J685">
        <v>0</v>
      </c>
      <c r="K685">
        <v>70.489999999999995</v>
      </c>
      <c r="L685">
        <v>6.21</v>
      </c>
      <c r="M685" t="s">
        <v>2473</v>
      </c>
      <c r="N685" t="s">
        <v>2474</v>
      </c>
      <c r="O685" t="s">
        <v>2463</v>
      </c>
      <c r="P685">
        <v>3.62</v>
      </c>
      <c r="Q685">
        <v>6.03</v>
      </c>
      <c r="R685">
        <v>47.06</v>
      </c>
      <c r="S685">
        <v>17.219999999999992</v>
      </c>
      <c r="T685">
        <v>0.24428997020854012</v>
      </c>
      <c r="U685" s="1">
        <v>45839</v>
      </c>
      <c r="V685" t="s">
        <v>2499</v>
      </c>
      <c r="W685">
        <v>2025</v>
      </c>
    </row>
    <row r="686" spans="1:23" x14ac:dyDescent="0.25">
      <c r="A686" t="s">
        <v>733</v>
      </c>
      <c r="B686" s="1">
        <v>45618</v>
      </c>
      <c r="C686" s="1">
        <v>45621</v>
      </c>
      <c r="D686" t="s">
        <v>32</v>
      </c>
      <c r="E686" t="s">
        <v>62</v>
      </c>
      <c r="F686" t="s">
        <v>29</v>
      </c>
      <c r="G686" t="s">
        <v>20</v>
      </c>
      <c r="H686" t="s">
        <v>37</v>
      </c>
      <c r="I686">
        <v>2</v>
      </c>
      <c r="J686">
        <v>0</v>
      </c>
      <c r="K686">
        <v>292.83999999999997</v>
      </c>
      <c r="L686">
        <v>5.46</v>
      </c>
      <c r="M686" t="s">
        <v>2464</v>
      </c>
      <c r="N686" t="s">
        <v>2458</v>
      </c>
      <c r="O686" t="s">
        <v>2465</v>
      </c>
      <c r="P686">
        <v>63.6</v>
      </c>
      <c r="Q686">
        <v>107.94</v>
      </c>
      <c r="R686">
        <v>127.2</v>
      </c>
      <c r="S686">
        <v>160.17999999999998</v>
      </c>
      <c r="T686">
        <v>0.54698811637754408</v>
      </c>
      <c r="U686" s="1">
        <v>45597</v>
      </c>
      <c r="V686" t="s">
        <v>2499</v>
      </c>
      <c r="W686">
        <v>2024</v>
      </c>
    </row>
    <row r="687" spans="1:23" x14ac:dyDescent="0.25">
      <c r="A687" t="s">
        <v>734</v>
      </c>
      <c r="B687" s="1">
        <v>45356</v>
      </c>
      <c r="C687" s="1">
        <v>45361</v>
      </c>
      <c r="D687" t="s">
        <v>47</v>
      </c>
      <c r="E687" t="s">
        <v>50</v>
      </c>
      <c r="F687" t="s">
        <v>15</v>
      </c>
      <c r="G687" t="s">
        <v>20</v>
      </c>
      <c r="H687" t="s">
        <v>17</v>
      </c>
      <c r="I687">
        <v>4</v>
      </c>
      <c r="J687">
        <v>0.1</v>
      </c>
      <c r="K687">
        <v>424.33</v>
      </c>
      <c r="L687">
        <v>5.7</v>
      </c>
      <c r="M687" t="s">
        <v>2472</v>
      </c>
      <c r="N687" t="s">
        <v>2467</v>
      </c>
      <c r="O687" t="s">
        <v>2468</v>
      </c>
      <c r="P687">
        <v>63.69</v>
      </c>
      <c r="Q687">
        <v>125.5</v>
      </c>
      <c r="R687">
        <v>254.76</v>
      </c>
      <c r="S687">
        <v>163.87</v>
      </c>
      <c r="T687">
        <v>0.38618528032427596</v>
      </c>
      <c r="U687" s="1">
        <v>45352</v>
      </c>
      <c r="V687" t="s">
        <v>2498</v>
      </c>
      <c r="W687">
        <v>2024</v>
      </c>
    </row>
    <row r="688" spans="1:23" x14ac:dyDescent="0.25">
      <c r="A688" t="s">
        <v>735</v>
      </c>
      <c r="B688" s="1">
        <v>45875</v>
      </c>
      <c r="C688" s="1">
        <v>45881</v>
      </c>
      <c r="D688" t="s">
        <v>13</v>
      </c>
      <c r="E688" t="s">
        <v>19</v>
      </c>
      <c r="F688" t="s">
        <v>29</v>
      </c>
      <c r="G688" t="s">
        <v>16</v>
      </c>
      <c r="H688" t="s">
        <v>39</v>
      </c>
      <c r="I688">
        <v>2</v>
      </c>
      <c r="J688">
        <v>0.15</v>
      </c>
      <c r="K688">
        <v>295.94</v>
      </c>
      <c r="L688">
        <v>4.2</v>
      </c>
      <c r="M688" t="s">
        <v>2471</v>
      </c>
      <c r="N688" t="s">
        <v>2467</v>
      </c>
      <c r="O688" t="s">
        <v>2461</v>
      </c>
      <c r="P688">
        <v>112.09</v>
      </c>
      <c r="Q688">
        <v>192.47</v>
      </c>
      <c r="R688">
        <v>224.18</v>
      </c>
      <c r="S688">
        <v>67.559999999999988</v>
      </c>
      <c r="T688">
        <v>0.22828951814557</v>
      </c>
      <c r="U688" s="1">
        <v>45870</v>
      </c>
      <c r="V688" t="s">
        <v>2500</v>
      </c>
      <c r="W688">
        <v>2025</v>
      </c>
    </row>
    <row r="689" spans="1:23" x14ac:dyDescent="0.25">
      <c r="A689" t="s">
        <v>736</v>
      </c>
      <c r="B689" s="1">
        <v>45328</v>
      </c>
      <c r="C689" s="1">
        <v>45334</v>
      </c>
      <c r="D689" t="s">
        <v>47</v>
      </c>
      <c r="E689" t="s">
        <v>48</v>
      </c>
      <c r="F689" t="s">
        <v>29</v>
      </c>
      <c r="G689" t="s">
        <v>20</v>
      </c>
      <c r="H689" t="s">
        <v>17</v>
      </c>
      <c r="I689">
        <v>4</v>
      </c>
      <c r="J689">
        <v>0.15</v>
      </c>
      <c r="K689">
        <v>403.87</v>
      </c>
      <c r="L689">
        <v>9.5</v>
      </c>
      <c r="M689" t="s">
        <v>2472</v>
      </c>
      <c r="N689" t="s">
        <v>2467</v>
      </c>
      <c r="O689" t="s">
        <v>2468</v>
      </c>
      <c r="P689">
        <v>63.69</v>
      </c>
      <c r="Q689">
        <v>125.5</v>
      </c>
      <c r="R689">
        <v>254.76</v>
      </c>
      <c r="S689">
        <v>139.61000000000001</v>
      </c>
      <c r="T689">
        <v>0.34568054076806898</v>
      </c>
      <c r="U689" s="1">
        <v>45323</v>
      </c>
      <c r="V689" t="s">
        <v>2500</v>
      </c>
      <c r="W689">
        <v>2024</v>
      </c>
    </row>
    <row r="690" spans="1:23" x14ac:dyDescent="0.25">
      <c r="A690" t="s">
        <v>737</v>
      </c>
      <c r="B690" s="1">
        <v>45433</v>
      </c>
      <c r="C690" s="1">
        <v>45438</v>
      </c>
      <c r="D690" t="s">
        <v>32</v>
      </c>
      <c r="E690" t="s">
        <v>62</v>
      </c>
      <c r="F690" t="s">
        <v>15</v>
      </c>
      <c r="G690" t="s">
        <v>20</v>
      </c>
      <c r="H690" t="s">
        <v>41</v>
      </c>
      <c r="I690">
        <v>10</v>
      </c>
      <c r="J690">
        <v>0</v>
      </c>
      <c r="K690">
        <v>61.08</v>
      </c>
      <c r="L690">
        <v>9</v>
      </c>
      <c r="M690" t="s">
        <v>2479</v>
      </c>
      <c r="N690" t="s">
        <v>2474</v>
      </c>
      <c r="O690" t="s">
        <v>2459</v>
      </c>
      <c r="P690">
        <v>3.3</v>
      </c>
      <c r="Q690">
        <v>6.13</v>
      </c>
      <c r="R690">
        <v>33</v>
      </c>
      <c r="S690">
        <v>19.079999999999998</v>
      </c>
      <c r="T690">
        <v>0.31237721021610998</v>
      </c>
      <c r="U690" s="1">
        <v>45413</v>
      </c>
      <c r="V690" t="s">
        <v>2499</v>
      </c>
      <c r="W690">
        <v>2024</v>
      </c>
    </row>
    <row r="691" spans="1:23" x14ac:dyDescent="0.25">
      <c r="A691" t="s">
        <v>738</v>
      </c>
      <c r="B691" s="1">
        <v>45548</v>
      </c>
      <c r="C691" s="1">
        <v>45549</v>
      </c>
      <c r="D691" t="s">
        <v>23</v>
      </c>
      <c r="E691" t="s">
        <v>59</v>
      </c>
      <c r="F691" t="s">
        <v>15</v>
      </c>
      <c r="G691" t="s">
        <v>26</v>
      </c>
      <c r="H691" t="s">
        <v>17</v>
      </c>
      <c r="I691">
        <v>1</v>
      </c>
      <c r="J691">
        <v>0.1</v>
      </c>
      <c r="K691">
        <v>118.67</v>
      </c>
      <c r="L691">
        <v>3.45</v>
      </c>
      <c r="M691" t="s">
        <v>2472</v>
      </c>
      <c r="N691" t="s">
        <v>2467</v>
      </c>
      <c r="O691" t="s">
        <v>2468</v>
      </c>
      <c r="P691">
        <v>63.69</v>
      </c>
      <c r="Q691">
        <v>125.5</v>
      </c>
      <c r="R691">
        <v>63.69</v>
      </c>
      <c r="S691">
        <v>51.53</v>
      </c>
      <c r="T691">
        <v>0.43422937557933766</v>
      </c>
      <c r="U691" s="1">
        <v>45536</v>
      </c>
      <c r="V691" t="s">
        <v>2498</v>
      </c>
      <c r="W691">
        <v>2024</v>
      </c>
    </row>
    <row r="692" spans="1:23" x14ac:dyDescent="0.25">
      <c r="A692" t="s">
        <v>739</v>
      </c>
      <c r="B692" s="1">
        <v>45567</v>
      </c>
      <c r="C692" s="1">
        <v>45568</v>
      </c>
      <c r="D692" t="s">
        <v>47</v>
      </c>
      <c r="E692" t="s">
        <v>50</v>
      </c>
      <c r="F692" t="s">
        <v>29</v>
      </c>
      <c r="G692" t="s">
        <v>26</v>
      </c>
      <c r="H692" t="s">
        <v>87</v>
      </c>
      <c r="I692">
        <v>14</v>
      </c>
      <c r="J692">
        <v>0</v>
      </c>
      <c r="K692">
        <v>133.18</v>
      </c>
      <c r="L692">
        <v>6.48</v>
      </c>
      <c r="M692" t="s">
        <v>2476</v>
      </c>
      <c r="N692" t="s">
        <v>2474</v>
      </c>
      <c r="O692" t="s">
        <v>2459</v>
      </c>
      <c r="P692">
        <v>4.5</v>
      </c>
      <c r="Q692">
        <v>8.2899999999999991</v>
      </c>
      <c r="R692">
        <v>63</v>
      </c>
      <c r="S692">
        <v>63.7</v>
      </c>
      <c r="T692">
        <v>0.47830004505180956</v>
      </c>
      <c r="U692" s="1">
        <v>45566</v>
      </c>
      <c r="V692" t="s">
        <v>2499</v>
      </c>
      <c r="W692">
        <v>2024</v>
      </c>
    </row>
    <row r="693" spans="1:23" x14ac:dyDescent="0.25">
      <c r="A693" t="s">
        <v>740</v>
      </c>
      <c r="B693" s="1">
        <v>45403</v>
      </c>
      <c r="C693" s="1">
        <v>45404</v>
      </c>
      <c r="D693" t="s">
        <v>32</v>
      </c>
      <c r="E693" t="s">
        <v>45</v>
      </c>
      <c r="F693" t="s">
        <v>15</v>
      </c>
      <c r="G693" t="s">
        <v>26</v>
      </c>
      <c r="H693" t="s">
        <v>68</v>
      </c>
      <c r="I693">
        <v>3</v>
      </c>
      <c r="J693">
        <v>0.05</v>
      </c>
      <c r="K693">
        <v>137.59</v>
      </c>
      <c r="L693">
        <v>8.25</v>
      </c>
      <c r="M693" t="s">
        <v>2466</v>
      </c>
      <c r="N693" t="s">
        <v>2467</v>
      </c>
      <c r="O693" t="s">
        <v>2468</v>
      </c>
      <c r="P693">
        <v>25.33</v>
      </c>
      <c r="Q693">
        <v>51.56</v>
      </c>
      <c r="R693">
        <v>75.989999999999995</v>
      </c>
      <c r="S693">
        <v>53.350000000000009</v>
      </c>
      <c r="T693">
        <v>0.38774620248564579</v>
      </c>
      <c r="U693" s="1">
        <v>45383</v>
      </c>
      <c r="V693" t="s">
        <v>2498</v>
      </c>
      <c r="W693">
        <v>2024</v>
      </c>
    </row>
    <row r="694" spans="1:23" x14ac:dyDescent="0.25">
      <c r="A694" t="s">
        <v>741</v>
      </c>
      <c r="B694" s="1">
        <v>45740</v>
      </c>
      <c r="C694" s="1">
        <v>45743</v>
      </c>
      <c r="D694" t="s">
        <v>23</v>
      </c>
      <c r="E694" t="s">
        <v>59</v>
      </c>
      <c r="F694" t="s">
        <v>29</v>
      </c>
      <c r="G694" t="s">
        <v>16</v>
      </c>
      <c r="H694" t="s">
        <v>87</v>
      </c>
      <c r="I694">
        <v>10</v>
      </c>
      <c r="J694">
        <v>0</v>
      </c>
      <c r="K694">
        <v>74.48</v>
      </c>
      <c r="L694">
        <v>5.4</v>
      </c>
      <c r="M694" t="s">
        <v>2476</v>
      </c>
      <c r="N694" t="s">
        <v>2474</v>
      </c>
      <c r="O694" t="s">
        <v>2459</v>
      </c>
      <c r="P694">
        <v>4.5</v>
      </c>
      <c r="Q694">
        <v>8.2899999999999991</v>
      </c>
      <c r="R694">
        <v>45</v>
      </c>
      <c r="S694">
        <v>24.080000000000005</v>
      </c>
      <c r="T694">
        <v>0.32330827067669177</v>
      </c>
      <c r="U694" s="1">
        <v>45717</v>
      </c>
      <c r="V694" t="s">
        <v>2499</v>
      </c>
      <c r="W694">
        <v>2025</v>
      </c>
    </row>
    <row r="695" spans="1:23" x14ac:dyDescent="0.25">
      <c r="A695" t="s">
        <v>742</v>
      </c>
      <c r="B695" s="1">
        <v>45758</v>
      </c>
      <c r="C695" s="1">
        <v>45763</v>
      </c>
      <c r="D695" t="s">
        <v>13</v>
      </c>
      <c r="E695" t="s">
        <v>14</v>
      </c>
      <c r="F695" t="s">
        <v>25</v>
      </c>
      <c r="G695" t="s">
        <v>20</v>
      </c>
      <c r="H695" t="s">
        <v>65</v>
      </c>
      <c r="I695">
        <v>1</v>
      </c>
      <c r="J695">
        <v>0</v>
      </c>
      <c r="K695">
        <v>288.8</v>
      </c>
      <c r="L695">
        <v>6.8</v>
      </c>
      <c r="M695" t="s">
        <v>2457</v>
      </c>
      <c r="N695" t="s">
        <v>2458</v>
      </c>
      <c r="O695" t="s">
        <v>2459</v>
      </c>
      <c r="P695">
        <v>173.56</v>
      </c>
      <c r="Q695">
        <v>286.14999999999998</v>
      </c>
      <c r="R695">
        <v>173.56</v>
      </c>
      <c r="S695">
        <v>108.44000000000001</v>
      </c>
      <c r="T695">
        <v>0.37548476454293633</v>
      </c>
      <c r="U695" s="1">
        <v>45748</v>
      </c>
      <c r="V695" t="s">
        <v>2499</v>
      </c>
      <c r="W695">
        <v>2025</v>
      </c>
    </row>
    <row r="696" spans="1:23" x14ac:dyDescent="0.25">
      <c r="A696" t="s">
        <v>743</v>
      </c>
      <c r="B696" s="1">
        <v>45423</v>
      </c>
      <c r="C696" s="1">
        <v>45424</v>
      </c>
      <c r="D696" t="s">
        <v>47</v>
      </c>
      <c r="E696" t="s">
        <v>48</v>
      </c>
      <c r="F696" t="s">
        <v>29</v>
      </c>
      <c r="G696" t="s">
        <v>20</v>
      </c>
      <c r="H696" t="s">
        <v>65</v>
      </c>
      <c r="I696">
        <v>1</v>
      </c>
      <c r="J696">
        <v>0.05</v>
      </c>
      <c r="K696">
        <v>261.89999999999998</v>
      </c>
      <c r="L696">
        <v>4.08</v>
      </c>
      <c r="M696" t="s">
        <v>2457</v>
      </c>
      <c r="N696" t="s">
        <v>2458</v>
      </c>
      <c r="O696" t="s">
        <v>2459</v>
      </c>
      <c r="P696">
        <v>173.56</v>
      </c>
      <c r="Q696">
        <v>286.14999999999998</v>
      </c>
      <c r="R696">
        <v>173.56</v>
      </c>
      <c r="S696">
        <v>84.259999999999977</v>
      </c>
      <c r="T696">
        <v>0.32172584956090106</v>
      </c>
      <c r="U696" s="1">
        <v>45413</v>
      </c>
      <c r="V696" t="s">
        <v>2498</v>
      </c>
      <c r="W696">
        <v>2024</v>
      </c>
    </row>
    <row r="697" spans="1:23" x14ac:dyDescent="0.25">
      <c r="A697" t="s">
        <v>744</v>
      </c>
      <c r="B697" s="1">
        <v>45601</v>
      </c>
      <c r="C697" s="1">
        <v>45602</v>
      </c>
      <c r="D697" t="s">
        <v>23</v>
      </c>
      <c r="E697" t="s">
        <v>43</v>
      </c>
      <c r="F697" t="s">
        <v>25</v>
      </c>
      <c r="G697" t="s">
        <v>20</v>
      </c>
      <c r="H697" t="s">
        <v>63</v>
      </c>
      <c r="I697">
        <v>3</v>
      </c>
      <c r="J697">
        <v>0.15</v>
      </c>
      <c r="K697">
        <v>40.33</v>
      </c>
      <c r="L697">
        <v>3.51</v>
      </c>
      <c r="M697" t="s">
        <v>2477</v>
      </c>
      <c r="N697" t="s">
        <v>2474</v>
      </c>
      <c r="O697" t="s">
        <v>2468</v>
      </c>
      <c r="P697">
        <v>6.33</v>
      </c>
      <c r="Q697">
        <v>12.16</v>
      </c>
      <c r="R697">
        <v>18.990000000000002</v>
      </c>
      <c r="S697">
        <v>17.829999999999998</v>
      </c>
      <c r="T697">
        <v>0.44210265311182739</v>
      </c>
      <c r="U697" s="1">
        <v>45597</v>
      </c>
      <c r="V697" t="s">
        <v>2500</v>
      </c>
      <c r="W697">
        <v>2024</v>
      </c>
    </row>
    <row r="698" spans="1:23" x14ac:dyDescent="0.25">
      <c r="A698" t="s">
        <v>745</v>
      </c>
      <c r="B698" s="1">
        <v>45874</v>
      </c>
      <c r="C698" s="1">
        <v>45875</v>
      </c>
      <c r="D698" t="s">
        <v>47</v>
      </c>
      <c r="E698" t="s">
        <v>71</v>
      </c>
      <c r="F698" t="s">
        <v>29</v>
      </c>
      <c r="G698" t="s">
        <v>26</v>
      </c>
      <c r="H698" t="s">
        <v>41</v>
      </c>
      <c r="I698">
        <v>9</v>
      </c>
      <c r="J698">
        <v>0</v>
      </c>
      <c r="K698">
        <v>50.11</v>
      </c>
      <c r="L698">
        <v>5.13</v>
      </c>
      <c r="M698" t="s">
        <v>2479</v>
      </c>
      <c r="N698" t="s">
        <v>2474</v>
      </c>
      <c r="O698" t="s">
        <v>2459</v>
      </c>
      <c r="P698">
        <v>3.3</v>
      </c>
      <c r="Q698">
        <v>6.13</v>
      </c>
      <c r="R698">
        <v>29.7</v>
      </c>
      <c r="S698">
        <v>15.280000000000001</v>
      </c>
      <c r="T698">
        <v>0.30492915585711439</v>
      </c>
      <c r="U698" s="1">
        <v>45870</v>
      </c>
      <c r="V698" t="s">
        <v>2499</v>
      </c>
      <c r="W698">
        <v>2025</v>
      </c>
    </row>
    <row r="699" spans="1:23" x14ac:dyDescent="0.25">
      <c r="A699" t="s">
        <v>746</v>
      </c>
      <c r="B699" s="1">
        <v>45413</v>
      </c>
      <c r="C699" s="1">
        <v>45417</v>
      </c>
      <c r="D699" t="s">
        <v>32</v>
      </c>
      <c r="E699" t="s">
        <v>45</v>
      </c>
      <c r="F699" t="s">
        <v>29</v>
      </c>
      <c r="G699" t="s">
        <v>16</v>
      </c>
      <c r="H699" t="s">
        <v>53</v>
      </c>
      <c r="I699">
        <v>2</v>
      </c>
      <c r="J699">
        <v>0</v>
      </c>
      <c r="K699">
        <v>116.58</v>
      </c>
      <c r="L699">
        <v>4.2</v>
      </c>
      <c r="M699" t="s">
        <v>2470</v>
      </c>
      <c r="N699" t="s">
        <v>2467</v>
      </c>
      <c r="O699" t="s">
        <v>2459</v>
      </c>
      <c r="P699">
        <v>31.34</v>
      </c>
      <c r="Q699">
        <v>56.49</v>
      </c>
      <c r="R699">
        <v>62.68</v>
      </c>
      <c r="S699">
        <v>49.699999999999996</v>
      </c>
      <c r="T699">
        <v>0.42631669240006859</v>
      </c>
      <c r="U699" s="1">
        <v>45413</v>
      </c>
      <c r="V699" t="s">
        <v>2499</v>
      </c>
      <c r="W699">
        <v>2024</v>
      </c>
    </row>
    <row r="700" spans="1:23" x14ac:dyDescent="0.25">
      <c r="A700" t="s">
        <v>747</v>
      </c>
      <c r="B700" s="1">
        <v>45663</v>
      </c>
      <c r="C700" s="1">
        <v>45665</v>
      </c>
      <c r="D700" t="s">
        <v>23</v>
      </c>
      <c r="E700" t="s">
        <v>43</v>
      </c>
      <c r="F700" t="s">
        <v>25</v>
      </c>
      <c r="G700" t="s">
        <v>26</v>
      </c>
      <c r="H700" t="s">
        <v>17</v>
      </c>
      <c r="I700">
        <v>1</v>
      </c>
      <c r="J700">
        <v>0</v>
      </c>
      <c r="K700">
        <v>113.77</v>
      </c>
      <c r="L700">
        <v>3.45</v>
      </c>
      <c r="M700" t="s">
        <v>2472</v>
      </c>
      <c r="N700" t="s">
        <v>2467</v>
      </c>
      <c r="O700" t="s">
        <v>2468</v>
      </c>
      <c r="P700">
        <v>63.69</v>
      </c>
      <c r="Q700">
        <v>125.5</v>
      </c>
      <c r="R700">
        <v>63.69</v>
      </c>
      <c r="S700">
        <v>46.629999999999995</v>
      </c>
      <c r="T700">
        <v>0.40986200228531244</v>
      </c>
      <c r="U700" s="1">
        <v>45658</v>
      </c>
      <c r="V700" t="s">
        <v>2499</v>
      </c>
      <c r="W700">
        <v>2025</v>
      </c>
    </row>
    <row r="701" spans="1:23" x14ac:dyDescent="0.25">
      <c r="A701" t="s">
        <v>748</v>
      </c>
      <c r="B701" s="1">
        <v>45743</v>
      </c>
      <c r="C701" s="1">
        <v>45745</v>
      </c>
      <c r="D701" t="s">
        <v>47</v>
      </c>
      <c r="E701" t="s">
        <v>50</v>
      </c>
      <c r="F701" t="s">
        <v>29</v>
      </c>
      <c r="G701" t="s">
        <v>20</v>
      </c>
      <c r="H701" t="s">
        <v>53</v>
      </c>
      <c r="I701">
        <v>3</v>
      </c>
      <c r="J701">
        <v>0</v>
      </c>
      <c r="K701">
        <v>165.84</v>
      </c>
      <c r="L701">
        <v>8.25</v>
      </c>
      <c r="M701" t="s">
        <v>2470</v>
      </c>
      <c r="N701" t="s">
        <v>2467</v>
      </c>
      <c r="O701" t="s">
        <v>2459</v>
      </c>
      <c r="P701">
        <v>31.34</v>
      </c>
      <c r="Q701">
        <v>56.49</v>
      </c>
      <c r="R701">
        <v>94.02</v>
      </c>
      <c r="S701">
        <v>63.570000000000007</v>
      </c>
      <c r="T701">
        <v>0.38332127351664258</v>
      </c>
      <c r="U701" s="1">
        <v>45717</v>
      </c>
      <c r="V701" t="s">
        <v>2499</v>
      </c>
      <c r="W701">
        <v>2025</v>
      </c>
    </row>
    <row r="702" spans="1:23" x14ac:dyDescent="0.25">
      <c r="A702" t="s">
        <v>749</v>
      </c>
      <c r="B702" s="1">
        <v>45518</v>
      </c>
      <c r="C702" s="1">
        <v>45519</v>
      </c>
      <c r="D702" t="s">
        <v>32</v>
      </c>
      <c r="E702" t="s">
        <v>62</v>
      </c>
      <c r="F702" t="s">
        <v>25</v>
      </c>
      <c r="G702" t="s">
        <v>26</v>
      </c>
      <c r="H702" t="s">
        <v>68</v>
      </c>
      <c r="I702">
        <v>4</v>
      </c>
      <c r="J702">
        <v>0.15</v>
      </c>
      <c r="K702">
        <v>164.85</v>
      </c>
      <c r="L702">
        <v>9.5</v>
      </c>
      <c r="M702" t="s">
        <v>2466</v>
      </c>
      <c r="N702" t="s">
        <v>2467</v>
      </c>
      <c r="O702" t="s">
        <v>2468</v>
      </c>
      <c r="P702">
        <v>25.33</v>
      </c>
      <c r="Q702">
        <v>51.56</v>
      </c>
      <c r="R702">
        <v>101.32</v>
      </c>
      <c r="S702">
        <v>54.03</v>
      </c>
      <c r="T702">
        <v>0.3277525022747953</v>
      </c>
      <c r="U702" s="1">
        <v>45505</v>
      </c>
      <c r="V702" t="s">
        <v>2500</v>
      </c>
      <c r="W702">
        <v>2024</v>
      </c>
    </row>
    <row r="703" spans="1:23" x14ac:dyDescent="0.25">
      <c r="A703" t="s">
        <v>750</v>
      </c>
      <c r="B703" s="1">
        <v>45341</v>
      </c>
      <c r="C703" s="1">
        <v>45345</v>
      </c>
      <c r="D703" t="s">
        <v>47</v>
      </c>
      <c r="E703" t="s">
        <v>50</v>
      </c>
      <c r="F703" t="s">
        <v>15</v>
      </c>
      <c r="G703" t="s">
        <v>20</v>
      </c>
      <c r="H703" t="s">
        <v>30</v>
      </c>
      <c r="I703">
        <v>8</v>
      </c>
      <c r="J703">
        <v>0.1</v>
      </c>
      <c r="K703">
        <v>39.81</v>
      </c>
      <c r="L703">
        <v>4.8600000000000003</v>
      </c>
      <c r="M703" t="s">
        <v>2473</v>
      </c>
      <c r="N703" t="s">
        <v>2474</v>
      </c>
      <c r="O703" t="s">
        <v>2463</v>
      </c>
      <c r="P703">
        <v>3.62</v>
      </c>
      <c r="Q703">
        <v>6.03</v>
      </c>
      <c r="R703">
        <v>28.96</v>
      </c>
      <c r="S703">
        <v>5.9900000000000011</v>
      </c>
      <c r="T703">
        <v>0.15046470735995982</v>
      </c>
      <c r="U703" s="1">
        <v>45323</v>
      </c>
      <c r="V703" t="s">
        <v>2498</v>
      </c>
      <c r="W703">
        <v>2024</v>
      </c>
    </row>
    <row r="704" spans="1:23" x14ac:dyDescent="0.25">
      <c r="A704" t="s">
        <v>751</v>
      </c>
      <c r="B704" s="1">
        <v>46016</v>
      </c>
      <c r="C704" s="1">
        <v>46021</v>
      </c>
      <c r="D704" t="s">
        <v>32</v>
      </c>
      <c r="E704" t="s">
        <v>45</v>
      </c>
      <c r="F704" t="s">
        <v>29</v>
      </c>
      <c r="G704" t="s">
        <v>20</v>
      </c>
      <c r="H704" t="s">
        <v>21</v>
      </c>
      <c r="I704">
        <v>4</v>
      </c>
      <c r="J704">
        <v>0</v>
      </c>
      <c r="K704">
        <v>619.28</v>
      </c>
      <c r="L704">
        <v>13.7</v>
      </c>
      <c r="M704" t="s">
        <v>2462</v>
      </c>
      <c r="N704" t="s">
        <v>2458</v>
      </c>
      <c r="O704" t="s">
        <v>2463</v>
      </c>
      <c r="P704">
        <v>71.489999999999995</v>
      </c>
      <c r="Q704">
        <v>112.88</v>
      </c>
      <c r="R704">
        <v>285.95999999999998</v>
      </c>
      <c r="S704">
        <v>319.62</v>
      </c>
      <c r="T704">
        <v>0.51611548895491544</v>
      </c>
      <c r="U704" s="1">
        <v>45992</v>
      </c>
      <c r="V704" t="s">
        <v>2499</v>
      </c>
      <c r="W704">
        <v>2025</v>
      </c>
    </row>
    <row r="705" spans="1:23" x14ac:dyDescent="0.25">
      <c r="A705" t="s">
        <v>752</v>
      </c>
      <c r="B705" s="1">
        <v>45727</v>
      </c>
      <c r="C705" s="1">
        <v>45728</v>
      </c>
      <c r="D705" t="s">
        <v>23</v>
      </c>
      <c r="E705" t="s">
        <v>59</v>
      </c>
      <c r="F705" t="s">
        <v>29</v>
      </c>
      <c r="G705" t="s">
        <v>26</v>
      </c>
      <c r="H705" t="s">
        <v>37</v>
      </c>
      <c r="I705">
        <v>3</v>
      </c>
      <c r="J705">
        <v>0</v>
      </c>
      <c r="K705">
        <v>310.10000000000002</v>
      </c>
      <c r="L705">
        <v>11.4</v>
      </c>
      <c r="M705" t="s">
        <v>2464</v>
      </c>
      <c r="N705" t="s">
        <v>2458</v>
      </c>
      <c r="O705" t="s">
        <v>2465</v>
      </c>
      <c r="P705">
        <v>63.6</v>
      </c>
      <c r="Q705">
        <v>107.94</v>
      </c>
      <c r="R705">
        <v>190.8</v>
      </c>
      <c r="S705">
        <v>107.9</v>
      </c>
      <c r="T705">
        <v>0.34795227346017416</v>
      </c>
      <c r="U705" s="1">
        <v>45717</v>
      </c>
      <c r="V705" t="s">
        <v>2499</v>
      </c>
      <c r="W705">
        <v>2025</v>
      </c>
    </row>
    <row r="706" spans="1:23" x14ac:dyDescent="0.25">
      <c r="A706" t="s">
        <v>753</v>
      </c>
      <c r="B706" s="1">
        <v>45429</v>
      </c>
      <c r="C706" s="1">
        <v>45431</v>
      </c>
      <c r="D706" t="s">
        <v>23</v>
      </c>
      <c r="E706" t="s">
        <v>43</v>
      </c>
      <c r="F706" t="s">
        <v>15</v>
      </c>
      <c r="G706" t="s">
        <v>16</v>
      </c>
      <c r="H706" t="s">
        <v>87</v>
      </c>
      <c r="I706">
        <v>10</v>
      </c>
      <c r="J706">
        <v>0.2</v>
      </c>
      <c r="K706">
        <v>70.819999999999993</v>
      </c>
      <c r="L706">
        <v>9</v>
      </c>
      <c r="M706" t="s">
        <v>2476</v>
      </c>
      <c r="N706" t="s">
        <v>2474</v>
      </c>
      <c r="O706" t="s">
        <v>2459</v>
      </c>
      <c r="P706">
        <v>4.5</v>
      </c>
      <c r="Q706">
        <v>8.2899999999999991</v>
      </c>
      <c r="R706">
        <v>45</v>
      </c>
      <c r="S706">
        <v>16.819999999999993</v>
      </c>
      <c r="T706">
        <v>0.23750353007624958</v>
      </c>
      <c r="U706" s="1">
        <v>45413</v>
      </c>
      <c r="V706" t="s">
        <v>2500</v>
      </c>
      <c r="W706">
        <v>2024</v>
      </c>
    </row>
    <row r="707" spans="1:23" x14ac:dyDescent="0.25">
      <c r="A707" t="s">
        <v>754</v>
      </c>
      <c r="B707" s="1">
        <v>45828</v>
      </c>
      <c r="C707" s="1">
        <v>45834</v>
      </c>
      <c r="D707" t="s">
        <v>32</v>
      </c>
      <c r="E707" t="s">
        <v>45</v>
      </c>
      <c r="F707" t="s">
        <v>29</v>
      </c>
      <c r="G707" t="s">
        <v>20</v>
      </c>
      <c r="H707" t="s">
        <v>30</v>
      </c>
      <c r="I707">
        <v>14</v>
      </c>
      <c r="J707">
        <v>0.25</v>
      </c>
      <c r="K707">
        <v>67.489999999999995</v>
      </c>
      <c r="L707">
        <v>10.8</v>
      </c>
      <c r="M707" t="s">
        <v>2473</v>
      </c>
      <c r="N707" t="s">
        <v>2474</v>
      </c>
      <c r="O707" t="s">
        <v>2463</v>
      </c>
      <c r="P707">
        <v>3.62</v>
      </c>
      <c r="Q707">
        <v>6.03</v>
      </c>
      <c r="R707">
        <v>50.68</v>
      </c>
      <c r="S707">
        <v>6.0099999999999945</v>
      </c>
      <c r="T707">
        <v>8.9050229663653793E-2</v>
      </c>
      <c r="U707" s="1">
        <v>45809</v>
      </c>
      <c r="V707" t="s">
        <v>2501</v>
      </c>
      <c r="W707">
        <v>2025</v>
      </c>
    </row>
    <row r="708" spans="1:23" x14ac:dyDescent="0.25">
      <c r="A708" t="s">
        <v>755</v>
      </c>
      <c r="B708" s="1">
        <v>45812</v>
      </c>
      <c r="C708" s="1">
        <v>45816</v>
      </c>
      <c r="D708" t="s">
        <v>23</v>
      </c>
      <c r="E708" t="s">
        <v>43</v>
      </c>
      <c r="F708" t="s">
        <v>25</v>
      </c>
      <c r="G708" t="s">
        <v>26</v>
      </c>
      <c r="H708" t="s">
        <v>27</v>
      </c>
      <c r="I708">
        <v>8</v>
      </c>
      <c r="J708">
        <v>0</v>
      </c>
      <c r="K708">
        <v>238.04</v>
      </c>
      <c r="L708">
        <v>8.1</v>
      </c>
      <c r="M708" t="s">
        <v>2478</v>
      </c>
      <c r="N708" t="s">
        <v>2474</v>
      </c>
      <c r="O708" t="s">
        <v>2463</v>
      </c>
      <c r="P708">
        <v>16.760000000000002</v>
      </c>
      <c r="Q708">
        <v>27.71</v>
      </c>
      <c r="R708">
        <v>134.08000000000001</v>
      </c>
      <c r="S708">
        <v>95.859999999999985</v>
      </c>
      <c r="T708">
        <v>0.40270542765921691</v>
      </c>
      <c r="U708" s="1">
        <v>45809</v>
      </c>
      <c r="V708" t="s">
        <v>2499</v>
      </c>
      <c r="W708">
        <v>2025</v>
      </c>
    </row>
    <row r="709" spans="1:23" x14ac:dyDescent="0.25">
      <c r="A709" t="s">
        <v>756</v>
      </c>
      <c r="B709" s="1">
        <v>45665</v>
      </c>
      <c r="C709" s="1">
        <v>45669</v>
      </c>
      <c r="D709" t="s">
        <v>47</v>
      </c>
      <c r="E709" t="s">
        <v>48</v>
      </c>
      <c r="F709" t="s">
        <v>25</v>
      </c>
      <c r="G709" t="s">
        <v>20</v>
      </c>
      <c r="H709" t="s">
        <v>39</v>
      </c>
      <c r="I709">
        <v>1</v>
      </c>
      <c r="J709">
        <v>0</v>
      </c>
      <c r="K709">
        <v>163.78</v>
      </c>
      <c r="L709">
        <v>5.75</v>
      </c>
      <c r="M709" t="s">
        <v>2471</v>
      </c>
      <c r="N709" t="s">
        <v>2467</v>
      </c>
      <c r="O709" t="s">
        <v>2461</v>
      </c>
      <c r="P709">
        <v>112.09</v>
      </c>
      <c r="Q709">
        <v>192.47</v>
      </c>
      <c r="R709">
        <v>112.09</v>
      </c>
      <c r="S709">
        <v>45.94</v>
      </c>
      <c r="T709">
        <v>0.28049822933203078</v>
      </c>
      <c r="U709" s="1">
        <v>45658</v>
      </c>
      <c r="V709" t="s">
        <v>2499</v>
      </c>
      <c r="W709">
        <v>2025</v>
      </c>
    </row>
    <row r="710" spans="1:23" x14ac:dyDescent="0.25">
      <c r="A710" t="s">
        <v>757</v>
      </c>
      <c r="B710" s="1">
        <v>45453</v>
      </c>
      <c r="C710" s="1">
        <v>45456</v>
      </c>
      <c r="D710" t="s">
        <v>47</v>
      </c>
      <c r="E710" t="s">
        <v>48</v>
      </c>
      <c r="F710" t="s">
        <v>25</v>
      </c>
      <c r="G710" t="s">
        <v>16</v>
      </c>
      <c r="H710" t="s">
        <v>60</v>
      </c>
      <c r="I710">
        <v>2</v>
      </c>
      <c r="J710">
        <v>0</v>
      </c>
      <c r="K710">
        <v>246.98</v>
      </c>
      <c r="L710">
        <v>4.2</v>
      </c>
      <c r="M710" t="s">
        <v>2469</v>
      </c>
      <c r="N710" t="s">
        <v>2467</v>
      </c>
      <c r="O710" t="s">
        <v>2468</v>
      </c>
      <c r="P710">
        <v>54.95</v>
      </c>
      <c r="Q710">
        <v>112.56</v>
      </c>
      <c r="R710">
        <v>109.9</v>
      </c>
      <c r="S710">
        <v>132.88</v>
      </c>
      <c r="T710">
        <v>0.53801927281561257</v>
      </c>
      <c r="U710" s="1">
        <v>45444</v>
      </c>
      <c r="V710" t="s">
        <v>2499</v>
      </c>
      <c r="W710">
        <v>2024</v>
      </c>
    </row>
    <row r="711" spans="1:23" x14ac:dyDescent="0.25">
      <c r="A711" t="s">
        <v>758</v>
      </c>
      <c r="B711" s="1">
        <v>45987</v>
      </c>
      <c r="C711" s="1">
        <v>45990</v>
      </c>
      <c r="D711" t="s">
        <v>13</v>
      </c>
      <c r="E711" t="s">
        <v>36</v>
      </c>
      <c r="F711" t="s">
        <v>25</v>
      </c>
      <c r="G711" t="s">
        <v>16</v>
      </c>
      <c r="H711" t="s">
        <v>34</v>
      </c>
      <c r="I711">
        <v>1</v>
      </c>
      <c r="J711">
        <v>0</v>
      </c>
      <c r="K711">
        <v>284.32</v>
      </c>
      <c r="L711">
        <v>6.8</v>
      </c>
      <c r="M711" t="s">
        <v>2460</v>
      </c>
      <c r="N711" t="s">
        <v>2458</v>
      </c>
      <c r="O711" t="s">
        <v>2461</v>
      </c>
      <c r="P711">
        <v>119.02</v>
      </c>
      <c r="Q711">
        <v>205.39</v>
      </c>
      <c r="R711">
        <v>119.02</v>
      </c>
      <c r="S711">
        <v>158.5</v>
      </c>
      <c r="T711">
        <v>0.55747045582442323</v>
      </c>
      <c r="U711" s="1">
        <v>45962</v>
      </c>
      <c r="V711" t="s">
        <v>2499</v>
      </c>
      <c r="W711">
        <v>2025</v>
      </c>
    </row>
    <row r="712" spans="1:23" x14ac:dyDescent="0.25">
      <c r="A712" t="s">
        <v>759</v>
      </c>
      <c r="B712" s="1">
        <v>45894</v>
      </c>
      <c r="C712" s="1">
        <v>45900</v>
      </c>
      <c r="D712" t="s">
        <v>32</v>
      </c>
      <c r="E712" t="s">
        <v>45</v>
      </c>
      <c r="F712" t="s">
        <v>25</v>
      </c>
      <c r="G712" t="s">
        <v>26</v>
      </c>
      <c r="H712" t="s">
        <v>17</v>
      </c>
      <c r="I712">
        <v>3</v>
      </c>
      <c r="J712">
        <v>0</v>
      </c>
      <c r="K712">
        <v>355.75</v>
      </c>
      <c r="L712">
        <v>8.25</v>
      </c>
      <c r="M712" t="s">
        <v>2472</v>
      </c>
      <c r="N712" t="s">
        <v>2467</v>
      </c>
      <c r="O712" t="s">
        <v>2468</v>
      </c>
      <c r="P712">
        <v>63.69</v>
      </c>
      <c r="Q712">
        <v>125.5</v>
      </c>
      <c r="R712">
        <v>191.07</v>
      </c>
      <c r="S712">
        <v>156.43</v>
      </c>
      <c r="T712">
        <v>0.43971890372452566</v>
      </c>
      <c r="U712" s="1">
        <v>45870</v>
      </c>
      <c r="V712" t="s">
        <v>2499</v>
      </c>
      <c r="W712">
        <v>2025</v>
      </c>
    </row>
    <row r="713" spans="1:23" x14ac:dyDescent="0.25">
      <c r="A713" t="s">
        <v>760</v>
      </c>
      <c r="B713" s="1">
        <v>45539</v>
      </c>
      <c r="C713" s="1">
        <v>45542</v>
      </c>
      <c r="D713" t="s">
        <v>47</v>
      </c>
      <c r="E713" t="s">
        <v>50</v>
      </c>
      <c r="F713" t="s">
        <v>29</v>
      </c>
      <c r="G713" t="s">
        <v>20</v>
      </c>
      <c r="H713" t="s">
        <v>30</v>
      </c>
      <c r="I713">
        <v>9</v>
      </c>
      <c r="J713">
        <v>0</v>
      </c>
      <c r="K713">
        <v>58.37</v>
      </c>
      <c r="L713">
        <v>5.13</v>
      </c>
      <c r="M713" t="s">
        <v>2473</v>
      </c>
      <c r="N713" t="s">
        <v>2474</v>
      </c>
      <c r="O713" t="s">
        <v>2463</v>
      </c>
      <c r="P713">
        <v>3.62</v>
      </c>
      <c r="Q713">
        <v>6.03</v>
      </c>
      <c r="R713">
        <v>32.58</v>
      </c>
      <c r="S713">
        <v>20.66</v>
      </c>
      <c r="T713">
        <v>0.35394894637656332</v>
      </c>
      <c r="U713" s="1">
        <v>45536</v>
      </c>
      <c r="V713" t="s">
        <v>2499</v>
      </c>
      <c r="W713">
        <v>2024</v>
      </c>
    </row>
    <row r="714" spans="1:23" x14ac:dyDescent="0.25">
      <c r="A714" t="s">
        <v>761</v>
      </c>
      <c r="B714" s="1">
        <v>45347</v>
      </c>
      <c r="C714" s="1">
        <v>45349</v>
      </c>
      <c r="D714" t="s">
        <v>32</v>
      </c>
      <c r="E714" t="s">
        <v>45</v>
      </c>
      <c r="F714" t="s">
        <v>15</v>
      </c>
      <c r="G714" t="s">
        <v>16</v>
      </c>
      <c r="H714" t="s">
        <v>21</v>
      </c>
      <c r="I714">
        <v>3</v>
      </c>
      <c r="J714">
        <v>0</v>
      </c>
      <c r="K714">
        <v>322.5</v>
      </c>
      <c r="L714">
        <v>6.84</v>
      </c>
      <c r="M714" t="s">
        <v>2462</v>
      </c>
      <c r="N714" t="s">
        <v>2458</v>
      </c>
      <c r="O714" t="s">
        <v>2463</v>
      </c>
      <c r="P714">
        <v>71.489999999999995</v>
      </c>
      <c r="Q714">
        <v>112.88</v>
      </c>
      <c r="R714">
        <v>214.46999999999997</v>
      </c>
      <c r="S714">
        <v>101.19000000000003</v>
      </c>
      <c r="T714">
        <v>0.31376744186046518</v>
      </c>
      <c r="U714" s="1">
        <v>45323</v>
      </c>
      <c r="V714" t="s">
        <v>2499</v>
      </c>
      <c r="W714">
        <v>2024</v>
      </c>
    </row>
    <row r="715" spans="1:23" x14ac:dyDescent="0.25">
      <c r="A715" t="s">
        <v>762</v>
      </c>
      <c r="B715" s="1">
        <v>45658</v>
      </c>
      <c r="C715" s="1">
        <v>45661</v>
      </c>
      <c r="D715" t="s">
        <v>47</v>
      </c>
      <c r="E715" t="s">
        <v>48</v>
      </c>
      <c r="F715" t="s">
        <v>25</v>
      </c>
      <c r="G715" t="s">
        <v>26</v>
      </c>
      <c r="H715" t="s">
        <v>37</v>
      </c>
      <c r="I715">
        <v>3</v>
      </c>
      <c r="J715">
        <v>0</v>
      </c>
      <c r="K715">
        <v>273.39</v>
      </c>
      <c r="L715">
        <v>11.4</v>
      </c>
      <c r="M715" t="s">
        <v>2464</v>
      </c>
      <c r="N715" t="s">
        <v>2458</v>
      </c>
      <c r="O715" t="s">
        <v>2465</v>
      </c>
      <c r="P715">
        <v>63.6</v>
      </c>
      <c r="Q715">
        <v>107.94</v>
      </c>
      <c r="R715">
        <v>190.8</v>
      </c>
      <c r="S715">
        <v>71.189999999999969</v>
      </c>
      <c r="T715">
        <v>0.26039723471963122</v>
      </c>
      <c r="U715" s="1">
        <v>45658</v>
      </c>
      <c r="V715" t="s">
        <v>2499</v>
      </c>
      <c r="W715">
        <v>2025</v>
      </c>
    </row>
    <row r="716" spans="1:23" x14ac:dyDescent="0.25">
      <c r="A716" t="s">
        <v>763</v>
      </c>
      <c r="B716" s="1">
        <v>45663</v>
      </c>
      <c r="C716" s="1">
        <v>45664</v>
      </c>
      <c r="D716" t="s">
        <v>23</v>
      </c>
      <c r="E716" t="s">
        <v>59</v>
      </c>
      <c r="F716" t="s">
        <v>29</v>
      </c>
      <c r="G716" t="s">
        <v>26</v>
      </c>
      <c r="H716" t="s">
        <v>51</v>
      </c>
      <c r="I716">
        <v>8</v>
      </c>
      <c r="J716">
        <v>0.15</v>
      </c>
      <c r="K716">
        <v>83.92</v>
      </c>
      <c r="L716">
        <v>4.8600000000000003</v>
      </c>
      <c r="M716" t="s">
        <v>2475</v>
      </c>
      <c r="N716" t="s">
        <v>2474</v>
      </c>
      <c r="O716" t="s">
        <v>2463</v>
      </c>
      <c r="P716">
        <v>7.93</v>
      </c>
      <c r="Q716">
        <v>14.78</v>
      </c>
      <c r="R716">
        <v>63.44</v>
      </c>
      <c r="S716">
        <v>15.620000000000005</v>
      </c>
      <c r="T716">
        <v>0.18612964728312684</v>
      </c>
      <c r="U716" s="1">
        <v>45658</v>
      </c>
      <c r="V716" t="s">
        <v>2500</v>
      </c>
      <c r="W716">
        <v>2025</v>
      </c>
    </row>
    <row r="717" spans="1:23" x14ac:dyDescent="0.25">
      <c r="A717" t="s">
        <v>764</v>
      </c>
      <c r="B717" s="1">
        <v>45348</v>
      </c>
      <c r="C717" s="1">
        <v>45351</v>
      </c>
      <c r="D717" t="s">
        <v>47</v>
      </c>
      <c r="E717" t="s">
        <v>48</v>
      </c>
      <c r="F717" t="s">
        <v>15</v>
      </c>
      <c r="G717" t="s">
        <v>20</v>
      </c>
      <c r="H717" t="s">
        <v>17</v>
      </c>
      <c r="I717">
        <v>3</v>
      </c>
      <c r="J717">
        <v>0.05</v>
      </c>
      <c r="K717">
        <v>314.85000000000002</v>
      </c>
      <c r="L717">
        <v>8.25</v>
      </c>
      <c r="M717" t="s">
        <v>2472</v>
      </c>
      <c r="N717" t="s">
        <v>2467</v>
      </c>
      <c r="O717" t="s">
        <v>2468</v>
      </c>
      <c r="P717">
        <v>63.69</v>
      </c>
      <c r="Q717">
        <v>125.5</v>
      </c>
      <c r="R717">
        <v>191.07</v>
      </c>
      <c r="S717">
        <v>115.53000000000003</v>
      </c>
      <c r="T717">
        <v>0.36693663649356845</v>
      </c>
      <c r="U717" s="1">
        <v>45323</v>
      </c>
      <c r="V717" t="s">
        <v>2498</v>
      </c>
      <c r="W717">
        <v>2024</v>
      </c>
    </row>
    <row r="718" spans="1:23" x14ac:dyDescent="0.25">
      <c r="A718" t="s">
        <v>765</v>
      </c>
      <c r="B718" s="1">
        <v>46010</v>
      </c>
      <c r="C718" s="1">
        <v>46012</v>
      </c>
      <c r="D718" t="s">
        <v>13</v>
      </c>
      <c r="E718" t="s">
        <v>14</v>
      </c>
      <c r="F718" t="s">
        <v>29</v>
      </c>
      <c r="G718" t="s">
        <v>26</v>
      </c>
      <c r="H718" t="s">
        <v>60</v>
      </c>
      <c r="I718">
        <v>2</v>
      </c>
      <c r="J718">
        <v>0</v>
      </c>
      <c r="K718">
        <v>332.31</v>
      </c>
      <c r="L718">
        <v>7</v>
      </c>
      <c r="M718" t="s">
        <v>2469</v>
      </c>
      <c r="N718" t="s">
        <v>2467</v>
      </c>
      <c r="O718" t="s">
        <v>2468</v>
      </c>
      <c r="P718">
        <v>54.95</v>
      </c>
      <c r="Q718">
        <v>112.56</v>
      </c>
      <c r="R718">
        <v>109.9</v>
      </c>
      <c r="S718">
        <v>215.41</v>
      </c>
      <c r="T718">
        <v>0.64822003550901264</v>
      </c>
      <c r="U718" s="1">
        <v>45992</v>
      </c>
      <c r="V718" t="s">
        <v>2499</v>
      </c>
      <c r="W718">
        <v>2025</v>
      </c>
    </row>
    <row r="719" spans="1:23" x14ac:dyDescent="0.25">
      <c r="A719" t="s">
        <v>766</v>
      </c>
      <c r="B719" s="1">
        <v>45677</v>
      </c>
      <c r="C719" s="1">
        <v>45679</v>
      </c>
      <c r="D719" t="s">
        <v>23</v>
      </c>
      <c r="E719" t="s">
        <v>43</v>
      </c>
      <c r="F719" t="s">
        <v>29</v>
      </c>
      <c r="G719" t="s">
        <v>26</v>
      </c>
      <c r="H719" t="s">
        <v>37</v>
      </c>
      <c r="I719">
        <v>4</v>
      </c>
      <c r="J719">
        <v>0</v>
      </c>
      <c r="K719">
        <v>382.36</v>
      </c>
      <c r="L719">
        <v>13.7</v>
      </c>
      <c r="M719" t="s">
        <v>2464</v>
      </c>
      <c r="N719" t="s">
        <v>2458</v>
      </c>
      <c r="O719" t="s">
        <v>2465</v>
      </c>
      <c r="P719">
        <v>63.6</v>
      </c>
      <c r="Q719">
        <v>107.94</v>
      </c>
      <c r="R719">
        <v>254.4</v>
      </c>
      <c r="S719">
        <v>114.26</v>
      </c>
      <c r="T719">
        <v>0.29882832932315095</v>
      </c>
      <c r="U719" s="1">
        <v>45658</v>
      </c>
      <c r="V719" t="s">
        <v>2499</v>
      </c>
      <c r="W719">
        <v>2025</v>
      </c>
    </row>
    <row r="720" spans="1:23" x14ac:dyDescent="0.25">
      <c r="A720" t="s">
        <v>767</v>
      </c>
      <c r="B720" s="1">
        <v>45865</v>
      </c>
      <c r="C720" s="1">
        <v>45866</v>
      </c>
      <c r="D720" t="s">
        <v>32</v>
      </c>
      <c r="E720" t="s">
        <v>62</v>
      </c>
      <c r="F720" t="s">
        <v>29</v>
      </c>
      <c r="G720" t="s">
        <v>16</v>
      </c>
      <c r="H720" t="s">
        <v>53</v>
      </c>
      <c r="I720">
        <v>1</v>
      </c>
      <c r="J720">
        <v>0</v>
      </c>
      <c r="K720">
        <v>51.32</v>
      </c>
      <c r="L720">
        <v>3.45</v>
      </c>
      <c r="M720" t="s">
        <v>2470</v>
      </c>
      <c r="N720" t="s">
        <v>2467</v>
      </c>
      <c r="O720" t="s">
        <v>2459</v>
      </c>
      <c r="P720">
        <v>31.34</v>
      </c>
      <c r="Q720">
        <v>56.49</v>
      </c>
      <c r="R720">
        <v>31.34</v>
      </c>
      <c r="S720">
        <v>16.53</v>
      </c>
      <c r="T720">
        <v>0.3220966484801247</v>
      </c>
      <c r="U720" s="1">
        <v>45839</v>
      </c>
      <c r="V720" t="s">
        <v>2499</v>
      </c>
      <c r="W720">
        <v>2025</v>
      </c>
    </row>
    <row r="721" spans="1:23" x14ac:dyDescent="0.25">
      <c r="A721" t="s">
        <v>768</v>
      </c>
      <c r="B721" s="1">
        <v>45416</v>
      </c>
      <c r="C721" s="1">
        <v>45418</v>
      </c>
      <c r="D721" t="s">
        <v>32</v>
      </c>
      <c r="E721" t="s">
        <v>62</v>
      </c>
      <c r="F721" t="s">
        <v>25</v>
      </c>
      <c r="G721" t="s">
        <v>26</v>
      </c>
      <c r="H721" t="s">
        <v>68</v>
      </c>
      <c r="I721">
        <v>2</v>
      </c>
      <c r="J721">
        <v>0</v>
      </c>
      <c r="K721">
        <v>103.07</v>
      </c>
      <c r="L721">
        <v>7</v>
      </c>
      <c r="M721" t="s">
        <v>2466</v>
      </c>
      <c r="N721" t="s">
        <v>2467</v>
      </c>
      <c r="O721" t="s">
        <v>2468</v>
      </c>
      <c r="P721">
        <v>25.33</v>
      </c>
      <c r="Q721">
        <v>51.56</v>
      </c>
      <c r="R721">
        <v>50.66</v>
      </c>
      <c r="S721">
        <v>45.41</v>
      </c>
      <c r="T721">
        <v>0.44057436693509267</v>
      </c>
      <c r="U721" s="1">
        <v>45413</v>
      </c>
      <c r="V721" t="s">
        <v>2499</v>
      </c>
      <c r="W721">
        <v>2024</v>
      </c>
    </row>
    <row r="722" spans="1:23" x14ac:dyDescent="0.25">
      <c r="A722" t="s">
        <v>769</v>
      </c>
      <c r="B722" s="1">
        <v>45670</v>
      </c>
      <c r="C722" s="1">
        <v>45671</v>
      </c>
      <c r="D722" t="s">
        <v>32</v>
      </c>
      <c r="E722" t="s">
        <v>62</v>
      </c>
      <c r="F722" t="s">
        <v>29</v>
      </c>
      <c r="G722" t="s">
        <v>20</v>
      </c>
      <c r="H722" t="s">
        <v>41</v>
      </c>
      <c r="I722">
        <v>13</v>
      </c>
      <c r="J722">
        <v>0</v>
      </c>
      <c r="K722">
        <v>67.05</v>
      </c>
      <c r="L722">
        <v>10.35</v>
      </c>
      <c r="M722" t="s">
        <v>2479</v>
      </c>
      <c r="N722" t="s">
        <v>2474</v>
      </c>
      <c r="O722" t="s">
        <v>2459</v>
      </c>
      <c r="P722">
        <v>3.3</v>
      </c>
      <c r="Q722">
        <v>6.13</v>
      </c>
      <c r="R722">
        <v>42.9</v>
      </c>
      <c r="S722">
        <v>13.799999999999999</v>
      </c>
      <c r="T722">
        <v>0.2058165548098434</v>
      </c>
      <c r="U722" s="1">
        <v>45658</v>
      </c>
      <c r="V722" t="s">
        <v>2499</v>
      </c>
      <c r="W722">
        <v>2025</v>
      </c>
    </row>
    <row r="723" spans="1:23" x14ac:dyDescent="0.25">
      <c r="A723" t="s">
        <v>770</v>
      </c>
      <c r="B723" s="1">
        <v>45786</v>
      </c>
      <c r="C723" s="1">
        <v>45788</v>
      </c>
      <c r="D723" t="s">
        <v>32</v>
      </c>
      <c r="E723" t="s">
        <v>45</v>
      </c>
      <c r="F723" t="s">
        <v>29</v>
      </c>
      <c r="G723" t="s">
        <v>20</v>
      </c>
      <c r="H723" t="s">
        <v>41</v>
      </c>
      <c r="I723">
        <v>8</v>
      </c>
      <c r="J723">
        <v>0</v>
      </c>
      <c r="K723">
        <v>49.8</v>
      </c>
      <c r="L723">
        <v>4.8600000000000003</v>
      </c>
      <c r="M723" t="s">
        <v>2479</v>
      </c>
      <c r="N723" t="s">
        <v>2474</v>
      </c>
      <c r="O723" t="s">
        <v>2459</v>
      </c>
      <c r="P723">
        <v>3.3</v>
      </c>
      <c r="Q723">
        <v>6.13</v>
      </c>
      <c r="R723">
        <v>26.4</v>
      </c>
      <c r="S723">
        <v>18.54</v>
      </c>
      <c r="T723">
        <v>0.37228915662650602</v>
      </c>
      <c r="U723" s="1">
        <v>45778</v>
      </c>
      <c r="V723" t="s">
        <v>2499</v>
      </c>
      <c r="W723">
        <v>2025</v>
      </c>
    </row>
    <row r="724" spans="1:23" x14ac:dyDescent="0.25">
      <c r="A724" t="s">
        <v>771</v>
      </c>
      <c r="B724" s="1">
        <v>45933</v>
      </c>
      <c r="C724" s="1">
        <v>45939</v>
      </c>
      <c r="D724" t="s">
        <v>32</v>
      </c>
      <c r="E724" t="s">
        <v>62</v>
      </c>
      <c r="F724" t="s">
        <v>15</v>
      </c>
      <c r="G724" t="s">
        <v>20</v>
      </c>
      <c r="H724" t="s">
        <v>17</v>
      </c>
      <c r="I724">
        <v>4</v>
      </c>
      <c r="J724">
        <v>0</v>
      </c>
      <c r="K724">
        <v>561.29999999999995</v>
      </c>
      <c r="L724">
        <v>5.7</v>
      </c>
      <c r="M724" t="s">
        <v>2472</v>
      </c>
      <c r="N724" t="s">
        <v>2467</v>
      </c>
      <c r="O724" t="s">
        <v>2468</v>
      </c>
      <c r="P724">
        <v>63.69</v>
      </c>
      <c r="Q724">
        <v>125.5</v>
      </c>
      <c r="R724">
        <v>254.76</v>
      </c>
      <c r="S724">
        <v>300.83999999999997</v>
      </c>
      <c r="T724">
        <v>0.53597006948156067</v>
      </c>
      <c r="U724" s="1">
        <v>45931</v>
      </c>
      <c r="V724" t="s">
        <v>2499</v>
      </c>
      <c r="W724">
        <v>2025</v>
      </c>
    </row>
    <row r="725" spans="1:23" x14ac:dyDescent="0.25">
      <c r="A725" t="s">
        <v>772</v>
      </c>
      <c r="B725" s="1">
        <v>45887</v>
      </c>
      <c r="C725" s="1">
        <v>45891</v>
      </c>
      <c r="D725" t="s">
        <v>23</v>
      </c>
      <c r="E725" t="s">
        <v>43</v>
      </c>
      <c r="F725" t="s">
        <v>25</v>
      </c>
      <c r="G725" t="s">
        <v>20</v>
      </c>
      <c r="H725" t="s">
        <v>60</v>
      </c>
      <c r="I725">
        <v>5</v>
      </c>
      <c r="J725">
        <v>0.15</v>
      </c>
      <c r="K725">
        <v>435.24</v>
      </c>
      <c r="L725">
        <v>6.45</v>
      </c>
      <c r="M725" t="s">
        <v>2469</v>
      </c>
      <c r="N725" t="s">
        <v>2467</v>
      </c>
      <c r="O725" t="s">
        <v>2468</v>
      </c>
      <c r="P725">
        <v>54.95</v>
      </c>
      <c r="Q725">
        <v>112.56</v>
      </c>
      <c r="R725">
        <v>274.75</v>
      </c>
      <c r="S725">
        <v>154.04000000000002</v>
      </c>
      <c r="T725">
        <v>0.35391967650032169</v>
      </c>
      <c r="U725" s="1">
        <v>45870</v>
      </c>
      <c r="V725" t="s">
        <v>2500</v>
      </c>
      <c r="W725">
        <v>2025</v>
      </c>
    </row>
    <row r="726" spans="1:23" x14ac:dyDescent="0.25">
      <c r="A726" t="s">
        <v>773</v>
      </c>
      <c r="B726" s="1">
        <v>45800</v>
      </c>
      <c r="C726" s="1">
        <v>45805</v>
      </c>
      <c r="D726" t="s">
        <v>32</v>
      </c>
      <c r="E726" t="s">
        <v>45</v>
      </c>
      <c r="F726" t="s">
        <v>29</v>
      </c>
      <c r="G726" t="s">
        <v>20</v>
      </c>
      <c r="H726" t="s">
        <v>53</v>
      </c>
      <c r="I726">
        <v>4</v>
      </c>
      <c r="J726">
        <v>0.05</v>
      </c>
      <c r="K726">
        <v>226.78</v>
      </c>
      <c r="L726">
        <v>9.5</v>
      </c>
      <c r="M726" t="s">
        <v>2470</v>
      </c>
      <c r="N726" t="s">
        <v>2467</v>
      </c>
      <c r="O726" t="s">
        <v>2459</v>
      </c>
      <c r="P726">
        <v>31.34</v>
      </c>
      <c r="Q726">
        <v>56.49</v>
      </c>
      <c r="R726">
        <v>125.36</v>
      </c>
      <c r="S726">
        <v>91.92</v>
      </c>
      <c r="T726">
        <v>0.40532674839051064</v>
      </c>
      <c r="U726" s="1">
        <v>45778</v>
      </c>
      <c r="V726" t="s">
        <v>2498</v>
      </c>
      <c r="W726">
        <v>2025</v>
      </c>
    </row>
    <row r="727" spans="1:23" x14ac:dyDescent="0.25">
      <c r="A727" t="s">
        <v>774</v>
      </c>
      <c r="B727" s="1">
        <v>45415</v>
      </c>
      <c r="C727" s="1">
        <v>45416</v>
      </c>
      <c r="D727" t="s">
        <v>47</v>
      </c>
      <c r="E727" t="s">
        <v>50</v>
      </c>
      <c r="F727" t="s">
        <v>25</v>
      </c>
      <c r="G727" t="s">
        <v>16</v>
      </c>
      <c r="H727" t="s">
        <v>17</v>
      </c>
      <c r="I727">
        <v>3</v>
      </c>
      <c r="J727">
        <v>0</v>
      </c>
      <c r="K727">
        <v>383.24</v>
      </c>
      <c r="L727">
        <v>4.95</v>
      </c>
      <c r="M727" t="s">
        <v>2472</v>
      </c>
      <c r="N727" t="s">
        <v>2467</v>
      </c>
      <c r="O727" t="s">
        <v>2468</v>
      </c>
      <c r="P727">
        <v>63.69</v>
      </c>
      <c r="Q727">
        <v>125.5</v>
      </c>
      <c r="R727">
        <v>191.07</v>
      </c>
      <c r="S727">
        <v>187.22000000000003</v>
      </c>
      <c r="T727">
        <v>0.4885189437428244</v>
      </c>
      <c r="U727" s="1">
        <v>45413</v>
      </c>
      <c r="V727" t="s">
        <v>2499</v>
      </c>
      <c r="W727">
        <v>2024</v>
      </c>
    </row>
    <row r="728" spans="1:23" x14ac:dyDescent="0.25">
      <c r="A728" t="s">
        <v>775</v>
      </c>
      <c r="B728" s="1">
        <v>45493</v>
      </c>
      <c r="C728" s="1">
        <v>45498</v>
      </c>
      <c r="D728" t="s">
        <v>23</v>
      </c>
      <c r="E728" t="s">
        <v>59</v>
      </c>
      <c r="F728" t="s">
        <v>25</v>
      </c>
      <c r="G728" t="s">
        <v>20</v>
      </c>
      <c r="H728" t="s">
        <v>53</v>
      </c>
      <c r="I728">
        <v>4</v>
      </c>
      <c r="J728">
        <v>0</v>
      </c>
      <c r="K728">
        <v>217.46</v>
      </c>
      <c r="L728">
        <v>5.7</v>
      </c>
      <c r="M728" t="s">
        <v>2470</v>
      </c>
      <c r="N728" t="s">
        <v>2467</v>
      </c>
      <c r="O728" t="s">
        <v>2459</v>
      </c>
      <c r="P728">
        <v>31.34</v>
      </c>
      <c r="Q728">
        <v>56.49</v>
      </c>
      <c r="R728">
        <v>125.36</v>
      </c>
      <c r="S728">
        <v>86.4</v>
      </c>
      <c r="T728">
        <v>0.3973144486342316</v>
      </c>
      <c r="U728" s="1">
        <v>45474</v>
      </c>
      <c r="V728" t="s">
        <v>2499</v>
      </c>
      <c r="W728">
        <v>2024</v>
      </c>
    </row>
    <row r="729" spans="1:23" x14ac:dyDescent="0.25">
      <c r="A729" t="s">
        <v>776</v>
      </c>
      <c r="B729" s="1">
        <v>45753</v>
      </c>
      <c r="C729" s="1">
        <v>45758</v>
      </c>
      <c r="D729" t="s">
        <v>32</v>
      </c>
      <c r="E729" t="s">
        <v>45</v>
      </c>
      <c r="F729" t="s">
        <v>15</v>
      </c>
      <c r="G729" t="s">
        <v>20</v>
      </c>
      <c r="H729" t="s">
        <v>63</v>
      </c>
      <c r="I729">
        <v>14</v>
      </c>
      <c r="J729">
        <v>0.1</v>
      </c>
      <c r="K729">
        <v>158.44999999999999</v>
      </c>
      <c r="L729">
        <v>10.8</v>
      </c>
      <c r="M729" t="s">
        <v>2477</v>
      </c>
      <c r="N729" t="s">
        <v>2474</v>
      </c>
      <c r="O729" t="s">
        <v>2468</v>
      </c>
      <c r="P729">
        <v>6.33</v>
      </c>
      <c r="Q729">
        <v>12.16</v>
      </c>
      <c r="R729">
        <v>88.62</v>
      </c>
      <c r="S729">
        <v>59.029999999999987</v>
      </c>
      <c r="T729">
        <v>0.37254654465130949</v>
      </c>
      <c r="U729" s="1">
        <v>45748</v>
      </c>
      <c r="V729" t="s">
        <v>2498</v>
      </c>
      <c r="W729">
        <v>2025</v>
      </c>
    </row>
    <row r="730" spans="1:23" x14ac:dyDescent="0.25">
      <c r="A730" t="s">
        <v>777</v>
      </c>
      <c r="B730" s="1">
        <v>45908</v>
      </c>
      <c r="C730" s="1">
        <v>45914</v>
      </c>
      <c r="D730" t="s">
        <v>23</v>
      </c>
      <c r="E730" t="s">
        <v>59</v>
      </c>
      <c r="F730" t="s">
        <v>29</v>
      </c>
      <c r="G730" t="s">
        <v>20</v>
      </c>
      <c r="H730" t="s">
        <v>37</v>
      </c>
      <c r="I730">
        <v>2</v>
      </c>
      <c r="J730">
        <v>0</v>
      </c>
      <c r="K730">
        <v>244.9</v>
      </c>
      <c r="L730">
        <v>5.46</v>
      </c>
      <c r="M730" t="s">
        <v>2464</v>
      </c>
      <c r="N730" t="s">
        <v>2458</v>
      </c>
      <c r="O730" t="s">
        <v>2465</v>
      </c>
      <c r="P730">
        <v>63.6</v>
      </c>
      <c r="Q730">
        <v>107.94</v>
      </c>
      <c r="R730">
        <v>127.2</v>
      </c>
      <c r="S730">
        <v>112.24000000000001</v>
      </c>
      <c r="T730">
        <v>0.45830951408738263</v>
      </c>
      <c r="U730" s="1">
        <v>45901</v>
      </c>
      <c r="V730" t="s">
        <v>2499</v>
      </c>
      <c r="W730">
        <v>2025</v>
      </c>
    </row>
    <row r="731" spans="1:23" x14ac:dyDescent="0.25">
      <c r="A731" t="s">
        <v>778</v>
      </c>
      <c r="B731" s="1">
        <v>45863</v>
      </c>
      <c r="C731" s="1">
        <v>45864</v>
      </c>
      <c r="D731" t="s">
        <v>47</v>
      </c>
      <c r="E731" t="s">
        <v>50</v>
      </c>
      <c r="F731" t="s">
        <v>15</v>
      </c>
      <c r="G731" t="s">
        <v>26</v>
      </c>
      <c r="H731" t="s">
        <v>63</v>
      </c>
      <c r="I731">
        <v>13</v>
      </c>
      <c r="J731">
        <v>0.1</v>
      </c>
      <c r="K731">
        <v>138</v>
      </c>
      <c r="L731">
        <v>10.35</v>
      </c>
      <c r="M731" t="s">
        <v>2477</v>
      </c>
      <c r="N731" t="s">
        <v>2474</v>
      </c>
      <c r="O731" t="s">
        <v>2468</v>
      </c>
      <c r="P731">
        <v>6.33</v>
      </c>
      <c r="Q731">
        <v>12.16</v>
      </c>
      <c r="R731">
        <v>82.29</v>
      </c>
      <c r="S731">
        <v>45.359999999999992</v>
      </c>
      <c r="T731">
        <v>0.328695652173913</v>
      </c>
      <c r="U731" s="1">
        <v>45839</v>
      </c>
      <c r="V731" t="s">
        <v>2498</v>
      </c>
      <c r="W731">
        <v>2025</v>
      </c>
    </row>
    <row r="732" spans="1:23" x14ac:dyDescent="0.25">
      <c r="A732" t="s">
        <v>779</v>
      </c>
      <c r="B732" s="1">
        <v>45523</v>
      </c>
      <c r="C732" s="1">
        <v>45524</v>
      </c>
      <c r="D732" t="s">
        <v>47</v>
      </c>
      <c r="E732" t="s">
        <v>71</v>
      </c>
      <c r="F732" t="s">
        <v>15</v>
      </c>
      <c r="G732" t="s">
        <v>16</v>
      </c>
      <c r="H732" t="s">
        <v>68</v>
      </c>
      <c r="I732">
        <v>4</v>
      </c>
      <c r="J732">
        <v>0</v>
      </c>
      <c r="K732">
        <v>189.13</v>
      </c>
      <c r="L732">
        <v>5.7</v>
      </c>
      <c r="M732" t="s">
        <v>2466</v>
      </c>
      <c r="N732" t="s">
        <v>2467</v>
      </c>
      <c r="O732" t="s">
        <v>2468</v>
      </c>
      <c r="P732">
        <v>25.33</v>
      </c>
      <c r="Q732">
        <v>51.56</v>
      </c>
      <c r="R732">
        <v>101.32</v>
      </c>
      <c r="S732">
        <v>82.11</v>
      </c>
      <c r="T732">
        <v>0.43414582562258763</v>
      </c>
      <c r="U732" s="1">
        <v>45505</v>
      </c>
      <c r="V732" t="s">
        <v>2499</v>
      </c>
      <c r="W732">
        <v>2024</v>
      </c>
    </row>
    <row r="733" spans="1:23" x14ac:dyDescent="0.25">
      <c r="A733" t="s">
        <v>780</v>
      </c>
      <c r="B733" s="1">
        <v>45975</v>
      </c>
      <c r="C733" s="1">
        <v>45980</v>
      </c>
      <c r="D733" t="s">
        <v>23</v>
      </c>
      <c r="E733" t="s">
        <v>59</v>
      </c>
      <c r="F733" t="s">
        <v>25</v>
      </c>
      <c r="G733" t="s">
        <v>26</v>
      </c>
      <c r="H733" t="s">
        <v>37</v>
      </c>
      <c r="I733">
        <v>4</v>
      </c>
      <c r="J733">
        <v>0.05</v>
      </c>
      <c r="K733">
        <v>571.58000000000004</v>
      </c>
      <c r="L733">
        <v>8.2200000000000006</v>
      </c>
      <c r="M733" t="s">
        <v>2464</v>
      </c>
      <c r="N733" t="s">
        <v>2458</v>
      </c>
      <c r="O733" t="s">
        <v>2465</v>
      </c>
      <c r="P733">
        <v>63.6</v>
      </c>
      <c r="Q733">
        <v>107.94</v>
      </c>
      <c r="R733">
        <v>254.4</v>
      </c>
      <c r="S733">
        <v>308.96000000000004</v>
      </c>
      <c r="T733">
        <v>0.54053675775919385</v>
      </c>
      <c r="U733" s="1">
        <v>45962</v>
      </c>
      <c r="V733" t="s">
        <v>2498</v>
      </c>
      <c r="W733">
        <v>2025</v>
      </c>
    </row>
    <row r="734" spans="1:23" x14ac:dyDescent="0.25">
      <c r="A734" t="s">
        <v>781</v>
      </c>
      <c r="B734" s="1">
        <v>45713</v>
      </c>
      <c r="C734" s="1">
        <v>45714</v>
      </c>
      <c r="D734" t="s">
        <v>13</v>
      </c>
      <c r="E734" t="s">
        <v>36</v>
      </c>
      <c r="F734" t="s">
        <v>29</v>
      </c>
      <c r="G734" t="s">
        <v>20</v>
      </c>
      <c r="H734" t="s">
        <v>30</v>
      </c>
      <c r="I734">
        <v>10</v>
      </c>
      <c r="J734">
        <v>0</v>
      </c>
      <c r="K734">
        <v>53.37</v>
      </c>
      <c r="L734">
        <v>5.4</v>
      </c>
      <c r="M734" t="s">
        <v>2473</v>
      </c>
      <c r="N734" t="s">
        <v>2474</v>
      </c>
      <c r="O734" t="s">
        <v>2463</v>
      </c>
      <c r="P734">
        <v>3.62</v>
      </c>
      <c r="Q734">
        <v>6.03</v>
      </c>
      <c r="R734">
        <v>36.200000000000003</v>
      </c>
      <c r="S734">
        <v>11.769999999999994</v>
      </c>
      <c r="T734">
        <v>0.22053588158141268</v>
      </c>
      <c r="U734" s="1">
        <v>45689</v>
      </c>
      <c r="V734" t="s">
        <v>2499</v>
      </c>
      <c r="W734">
        <v>2025</v>
      </c>
    </row>
    <row r="735" spans="1:23" x14ac:dyDescent="0.25">
      <c r="A735" t="s">
        <v>782</v>
      </c>
      <c r="B735" s="1">
        <v>45377</v>
      </c>
      <c r="C735" s="1">
        <v>45378</v>
      </c>
      <c r="D735" t="s">
        <v>23</v>
      </c>
      <c r="E735" t="s">
        <v>59</v>
      </c>
      <c r="F735" t="s">
        <v>25</v>
      </c>
      <c r="G735" t="s">
        <v>20</v>
      </c>
      <c r="H735" t="s">
        <v>87</v>
      </c>
      <c r="I735">
        <v>10</v>
      </c>
      <c r="J735">
        <v>0</v>
      </c>
      <c r="K735">
        <v>76.78</v>
      </c>
      <c r="L735">
        <v>9</v>
      </c>
      <c r="M735" t="s">
        <v>2476</v>
      </c>
      <c r="N735" t="s">
        <v>2474</v>
      </c>
      <c r="O735" t="s">
        <v>2459</v>
      </c>
      <c r="P735">
        <v>4.5</v>
      </c>
      <c r="Q735">
        <v>8.2899999999999991</v>
      </c>
      <c r="R735">
        <v>45</v>
      </c>
      <c r="S735">
        <v>22.78</v>
      </c>
      <c r="T735">
        <v>0.29669184683511335</v>
      </c>
      <c r="U735" s="1">
        <v>45352</v>
      </c>
      <c r="V735" t="s">
        <v>2499</v>
      </c>
      <c r="W735">
        <v>2024</v>
      </c>
    </row>
    <row r="736" spans="1:23" x14ac:dyDescent="0.25">
      <c r="A736" t="s">
        <v>783</v>
      </c>
      <c r="B736" s="1">
        <v>45621</v>
      </c>
      <c r="C736" s="1">
        <v>45623</v>
      </c>
      <c r="D736" t="s">
        <v>32</v>
      </c>
      <c r="E736" t="s">
        <v>62</v>
      </c>
      <c r="F736" t="s">
        <v>25</v>
      </c>
      <c r="G736" t="s">
        <v>16</v>
      </c>
      <c r="H736" t="s">
        <v>51</v>
      </c>
      <c r="I736">
        <v>7</v>
      </c>
      <c r="J736">
        <v>0.05</v>
      </c>
      <c r="K736">
        <v>135.1</v>
      </c>
      <c r="L736">
        <v>7.65</v>
      </c>
      <c r="M736" t="s">
        <v>2475</v>
      </c>
      <c r="N736" t="s">
        <v>2474</v>
      </c>
      <c r="O736" t="s">
        <v>2463</v>
      </c>
      <c r="P736">
        <v>7.93</v>
      </c>
      <c r="Q736">
        <v>14.78</v>
      </c>
      <c r="R736">
        <v>55.51</v>
      </c>
      <c r="S736">
        <v>71.94</v>
      </c>
      <c r="T736">
        <v>0.53249444855662476</v>
      </c>
      <c r="U736" s="1">
        <v>45597</v>
      </c>
      <c r="V736" t="s">
        <v>2498</v>
      </c>
      <c r="W736">
        <v>2024</v>
      </c>
    </row>
    <row r="737" spans="1:23" x14ac:dyDescent="0.25">
      <c r="A737" t="s">
        <v>784</v>
      </c>
      <c r="B737" s="1">
        <v>45823</v>
      </c>
      <c r="C737" s="1">
        <v>45825</v>
      </c>
      <c r="D737" t="s">
        <v>13</v>
      </c>
      <c r="E737" t="s">
        <v>36</v>
      </c>
      <c r="F737" t="s">
        <v>29</v>
      </c>
      <c r="G737" t="s">
        <v>16</v>
      </c>
      <c r="H737" t="s">
        <v>53</v>
      </c>
      <c r="I737">
        <v>4</v>
      </c>
      <c r="J737">
        <v>0.25</v>
      </c>
      <c r="K737">
        <v>177.16</v>
      </c>
      <c r="L737">
        <v>5.7</v>
      </c>
      <c r="M737" t="s">
        <v>2470</v>
      </c>
      <c r="N737" t="s">
        <v>2467</v>
      </c>
      <c r="O737" t="s">
        <v>2459</v>
      </c>
      <c r="P737">
        <v>31.34</v>
      </c>
      <c r="Q737">
        <v>56.49</v>
      </c>
      <c r="R737">
        <v>125.36</v>
      </c>
      <c r="S737">
        <v>46.099999999999994</v>
      </c>
      <c r="T737">
        <v>0.26021675321743054</v>
      </c>
      <c r="U737" s="1">
        <v>45809</v>
      </c>
      <c r="V737" t="s">
        <v>2501</v>
      </c>
      <c r="W737">
        <v>2025</v>
      </c>
    </row>
    <row r="738" spans="1:23" x14ac:dyDescent="0.25">
      <c r="A738" t="s">
        <v>785</v>
      </c>
      <c r="B738" s="1">
        <v>45355</v>
      </c>
      <c r="C738" s="1">
        <v>45361</v>
      </c>
      <c r="D738" t="s">
        <v>32</v>
      </c>
      <c r="E738" t="s">
        <v>33</v>
      </c>
      <c r="F738" t="s">
        <v>25</v>
      </c>
      <c r="G738" t="s">
        <v>20</v>
      </c>
      <c r="H738" t="s">
        <v>21</v>
      </c>
      <c r="I738">
        <v>2</v>
      </c>
      <c r="J738">
        <v>0</v>
      </c>
      <c r="K738">
        <v>219.06</v>
      </c>
      <c r="L738">
        <v>5.46</v>
      </c>
      <c r="M738" t="s">
        <v>2462</v>
      </c>
      <c r="N738" t="s">
        <v>2458</v>
      </c>
      <c r="O738" t="s">
        <v>2463</v>
      </c>
      <c r="P738">
        <v>71.489999999999995</v>
      </c>
      <c r="Q738">
        <v>112.88</v>
      </c>
      <c r="R738">
        <v>142.97999999999999</v>
      </c>
      <c r="S738">
        <v>70.620000000000019</v>
      </c>
      <c r="T738">
        <v>0.32237743084086562</v>
      </c>
      <c r="U738" s="1">
        <v>45352</v>
      </c>
      <c r="V738" t="s">
        <v>2499</v>
      </c>
      <c r="W738">
        <v>2024</v>
      </c>
    </row>
    <row r="739" spans="1:23" x14ac:dyDescent="0.25">
      <c r="A739" t="s">
        <v>786</v>
      </c>
      <c r="B739" s="1">
        <v>45833</v>
      </c>
      <c r="C739" s="1">
        <v>45835</v>
      </c>
      <c r="D739" t="s">
        <v>32</v>
      </c>
      <c r="E739" t="s">
        <v>62</v>
      </c>
      <c r="F739" t="s">
        <v>29</v>
      </c>
      <c r="G739" t="s">
        <v>26</v>
      </c>
      <c r="H739" t="s">
        <v>87</v>
      </c>
      <c r="I739">
        <v>3</v>
      </c>
      <c r="J739">
        <v>0</v>
      </c>
      <c r="K739">
        <v>26.49</v>
      </c>
      <c r="L739">
        <v>3.51</v>
      </c>
      <c r="M739" t="s">
        <v>2476</v>
      </c>
      <c r="N739" t="s">
        <v>2474</v>
      </c>
      <c r="O739" t="s">
        <v>2459</v>
      </c>
      <c r="P739">
        <v>4.5</v>
      </c>
      <c r="Q739">
        <v>8.2899999999999991</v>
      </c>
      <c r="R739">
        <v>13.5</v>
      </c>
      <c r="S739">
        <v>9.4799999999999986</v>
      </c>
      <c r="T739">
        <v>0.35787089467723665</v>
      </c>
      <c r="U739" s="1">
        <v>45809</v>
      </c>
      <c r="V739" t="s">
        <v>2499</v>
      </c>
      <c r="W739">
        <v>2025</v>
      </c>
    </row>
    <row r="740" spans="1:23" x14ac:dyDescent="0.25">
      <c r="A740" t="s">
        <v>787</v>
      </c>
      <c r="B740" s="1">
        <v>45609</v>
      </c>
      <c r="C740" s="1">
        <v>45615</v>
      </c>
      <c r="D740" t="s">
        <v>23</v>
      </c>
      <c r="E740" t="s">
        <v>24</v>
      </c>
      <c r="F740" t="s">
        <v>29</v>
      </c>
      <c r="G740" t="s">
        <v>26</v>
      </c>
      <c r="H740" t="s">
        <v>68</v>
      </c>
      <c r="I740">
        <v>4</v>
      </c>
      <c r="J740">
        <v>0</v>
      </c>
      <c r="K740">
        <v>283.85000000000002</v>
      </c>
      <c r="L740">
        <v>5.7</v>
      </c>
      <c r="M740" t="s">
        <v>2466</v>
      </c>
      <c r="N740" t="s">
        <v>2467</v>
      </c>
      <c r="O740" t="s">
        <v>2468</v>
      </c>
      <c r="P740">
        <v>25.33</v>
      </c>
      <c r="Q740">
        <v>51.56</v>
      </c>
      <c r="R740">
        <v>101.32</v>
      </c>
      <c r="S740">
        <v>176.83000000000004</v>
      </c>
      <c r="T740">
        <v>0.62296987845693153</v>
      </c>
      <c r="U740" s="1">
        <v>45597</v>
      </c>
      <c r="V740" t="s">
        <v>2499</v>
      </c>
      <c r="W740">
        <v>2024</v>
      </c>
    </row>
    <row r="741" spans="1:23" x14ac:dyDescent="0.25">
      <c r="A741" t="s">
        <v>788</v>
      </c>
      <c r="B741" s="1">
        <v>45707</v>
      </c>
      <c r="C741" s="1">
        <v>45708</v>
      </c>
      <c r="D741" t="s">
        <v>13</v>
      </c>
      <c r="E741" t="s">
        <v>14</v>
      </c>
      <c r="F741" t="s">
        <v>15</v>
      </c>
      <c r="G741" t="s">
        <v>20</v>
      </c>
      <c r="H741" t="s">
        <v>68</v>
      </c>
      <c r="I741">
        <v>2</v>
      </c>
      <c r="J741">
        <v>0.25</v>
      </c>
      <c r="K741">
        <v>72.62</v>
      </c>
      <c r="L741">
        <v>7</v>
      </c>
      <c r="M741" t="s">
        <v>2466</v>
      </c>
      <c r="N741" t="s">
        <v>2467</v>
      </c>
      <c r="O741" t="s">
        <v>2468</v>
      </c>
      <c r="P741">
        <v>25.33</v>
      </c>
      <c r="Q741">
        <v>51.56</v>
      </c>
      <c r="R741">
        <v>50.66</v>
      </c>
      <c r="S741">
        <v>14.960000000000008</v>
      </c>
      <c r="T741">
        <v>0.20600385568713864</v>
      </c>
      <c r="U741" s="1">
        <v>45689</v>
      </c>
      <c r="V741" t="s">
        <v>2501</v>
      </c>
      <c r="W741">
        <v>2025</v>
      </c>
    </row>
    <row r="742" spans="1:23" x14ac:dyDescent="0.25">
      <c r="A742" t="s">
        <v>789</v>
      </c>
      <c r="B742" s="1">
        <v>45491</v>
      </c>
      <c r="C742" s="1">
        <v>45494</v>
      </c>
      <c r="D742" t="s">
        <v>47</v>
      </c>
      <c r="E742" t="s">
        <v>48</v>
      </c>
      <c r="F742" t="s">
        <v>25</v>
      </c>
      <c r="G742" t="s">
        <v>26</v>
      </c>
      <c r="H742" t="s">
        <v>41</v>
      </c>
      <c r="I742">
        <v>4</v>
      </c>
      <c r="J742">
        <v>0</v>
      </c>
      <c r="K742">
        <v>22.76</v>
      </c>
      <c r="L742">
        <v>3.78</v>
      </c>
      <c r="M742" t="s">
        <v>2479</v>
      </c>
      <c r="N742" t="s">
        <v>2474</v>
      </c>
      <c r="O742" t="s">
        <v>2459</v>
      </c>
      <c r="P742">
        <v>3.3</v>
      </c>
      <c r="Q742">
        <v>6.13</v>
      </c>
      <c r="R742">
        <v>13.2</v>
      </c>
      <c r="S742">
        <v>5.7800000000000029</v>
      </c>
      <c r="T742">
        <v>0.25395430579964862</v>
      </c>
      <c r="U742" s="1">
        <v>45474</v>
      </c>
      <c r="V742" t="s">
        <v>2499</v>
      </c>
      <c r="W742">
        <v>2024</v>
      </c>
    </row>
    <row r="743" spans="1:23" x14ac:dyDescent="0.25">
      <c r="A743" t="s">
        <v>790</v>
      </c>
      <c r="B743" s="1">
        <v>45823</v>
      </c>
      <c r="C743" s="1">
        <v>45824</v>
      </c>
      <c r="D743" t="s">
        <v>23</v>
      </c>
      <c r="E743" t="s">
        <v>43</v>
      </c>
      <c r="F743" t="s">
        <v>29</v>
      </c>
      <c r="G743" t="s">
        <v>26</v>
      </c>
      <c r="H743" t="s">
        <v>21</v>
      </c>
      <c r="I743">
        <v>4</v>
      </c>
      <c r="J743">
        <v>0</v>
      </c>
      <c r="K743">
        <v>459.71</v>
      </c>
      <c r="L743">
        <v>8.2200000000000006</v>
      </c>
      <c r="M743" t="s">
        <v>2462</v>
      </c>
      <c r="N743" t="s">
        <v>2458</v>
      </c>
      <c r="O743" t="s">
        <v>2463</v>
      </c>
      <c r="P743">
        <v>71.489999999999995</v>
      </c>
      <c r="Q743">
        <v>112.88</v>
      </c>
      <c r="R743">
        <v>285.95999999999998</v>
      </c>
      <c r="S743">
        <v>165.53</v>
      </c>
      <c r="T743">
        <v>0.3600748297839943</v>
      </c>
      <c r="U743" s="1">
        <v>45809</v>
      </c>
      <c r="V743" t="s">
        <v>2499</v>
      </c>
      <c r="W743">
        <v>2025</v>
      </c>
    </row>
    <row r="744" spans="1:23" x14ac:dyDescent="0.25">
      <c r="A744" t="s">
        <v>791</v>
      </c>
      <c r="B744" s="1">
        <v>45998</v>
      </c>
      <c r="C744" s="1">
        <v>46004</v>
      </c>
      <c r="D744" t="s">
        <v>47</v>
      </c>
      <c r="E744" t="s">
        <v>48</v>
      </c>
      <c r="F744" t="s">
        <v>29</v>
      </c>
      <c r="G744" t="s">
        <v>20</v>
      </c>
      <c r="H744" t="s">
        <v>51</v>
      </c>
      <c r="I744">
        <v>4</v>
      </c>
      <c r="J744">
        <v>0</v>
      </c>
      <c r="K744">
        <v>80.010000000000005</v>
      </c>
      <c r="L744">
        <v>3.78</v>
      </c>
      <c r="M744" t="s">
        <v>2475</v>
      </c>
      <c r="N744" t="s">
        <v>2474</v>
      </c>
      <c r="O744" t="s">
        <v>2463</v>
      </c>
      <c r="P744">
        <v>7.93</v>
      </c>
      <c r="Q744">
        <v>14.78</v>
      </c>
      <c r="R744">
        <v>31.72</v>
      </c>
      <c r="S744">
        <v>44.510000000000005</v>
      </c>
      <c r="T744">
        <v>0.55630546181727292</v>
      </c>
      <c r="U744" s="1">
        <v>45992</v>
      </c>
      <c r="V744" t="s">
        <v>2499</v>
      </c>
      <c r="W744">
        <v>2025</v>
      </c>
    </row>
    <row r="745" spans="1:23" x14ac:dyDescent="0.25">
      <c r="A745" t="s">
        <v>792</v>
      </c>
      <c r="B745" s="1">
        <v>45646</v>
      </c>
      <c r="C745" s="1">
        <v>45649</v>
      </c>
      <c r="D745" t="s">
        <v>32</v>
      </c>
      <c r="E745" t="s">
        <v>33</v>
      </c>
      <c r="F745" t="s">
        <v>15</v>
      </c>
      <c r="G745" t="s">
        <v>26</v>
      </c>
      <c r="H745" t="s">
        <v>17</v>
      </c>
      <c r="I745">
        <v>1</v>
      </c>
      <c r="J745">
        <v>0.25</v>
      </c>
      <c r="K745">
        <v>140.85</v>
      </c>
      <c r="L745">
        <v>5.75</v>
      </c>
      <c r="M745" t="s">
        <v>2472</v>
      </c>
      <c r="N745" t="s">
        <v>2467</v>
      </c>
      <c r="O745" t="s">
        <v>2468</v>
      </c>
      <c r="P745">
        <v>63.69</v>
      </c>
      <c r="Q745">
        <v>125.5</v>
      </c>
      <c r="R745">
        <v>63.69</v>
      </c>
      <c r="S745">
        <v>71.41</v>
      </c>
      <c r="T745">
        <v>0.50699325523606675</v>
      </c>
      <c r="U745" s="1">
        <v>45627</v>
      </c>
      <c r="V745" t="s">
        <v>2501</v>
      </c>
      <c r="W745">
        <v>2024</v>
      </c>
    </row>
    <row r="746" spans="1:23" x14ac:dyDescent="0.25">
      <c r="A746" t="s">
        <v>793</v>
      </c>
      <c r="B746" s="1">
        <v>45571</v>
      </c>
      <c r="C746" s="1">
        <v>45574</v>
      </c>
      <c r="D746" t="s">
        <v>32</v>
      </c>
      <c r="E746" t="s">
        <v>62</v>
      </c>
      <c r="F746" t="s">
        <v>15</v>
      </c>
      <c r="G746" t="s">
        <v>20</v>
      </c>
      <c r="H746" t="s">
        <v>30</v>
      </c>
      <c r="I746">
        <v>20</v>
      </c>
      <c r="J746">
        <v>0.15</v>
      </c>
      <c r="K746">
        <v>112.86</v>
      </c>
      <c r="L746">
        <v>8.1</v>
      </c>
      <c r="M746" t="s">
        <v>2473</v>
      </c>
      <c r="N746" t="s">
        <v>2474</v>
      </c>
      <c r="O746" t="s">
        <v>2463</v>
      </c>
      <c r="P746">
        <v>3.62</v>
      </c>
      <c r="Q746">
        <v>6.03</v>
      </c>
      <c r="R746">
        <v>72.400000000000006</v>
      </c>
      <c r="S746">
        <v>32.359999999999992</v>
      </c>
      <c r="T746">
        <v>0.28672691830586561</v>
      </c>
      <c r="U746" s="1">
        <v>45566</v>
      </c>
      <c r="V746" t="s">
        <v>2500</v>
      </c>
      <c r="W746">
        <v>2024</v>
      </c>
    </row>
    <row r="747" spans="1:23" x14ac:dyDescent="0.25">
      <c r="A747" t="s">
        <v>794</v>
      </c>
      <c r="B747" s="1">
        <v>45870</v>
      </c>
      <c r="C747" s="1">
        <v>45874</v>
      </c>
      <c r="D747" t="s">
        <v>47</v>
      </c>
      <c r="E747" t="s">
        <v>71</v>
      </c>
      <c r="F747" t="s">
        <v>15</v>
      </c>
      <c r="G747" t="s">
        <v>20</v>
      </c>
      <c r="H747" t="s">
        <v>30</v>
      </c>
      <c r="I747">
        <v>14</v>
      </c>
      <c r="J747">
        <v>0.05</v>
      </c>
      <c r="K747">
        <v>72.040000000000006</v>
      </c>
      <c r="L747">
        <v>6.48</v>
      </c>
      <c r="M747" t="s">
        <v>2473</v>
      </c>
      <c r="N747" t="s">
        <v>2474</v>
      </c>
      <c r="O747" t="s">
        <v>2463</v>
      </c>
      <c r="P747">
        <v>3.62</v>
      </c>
      <c r="Q747">
        <v>6.03</v>
      </c>
      <c r="R747">
        <v>50.68</v>
      </c>
      <c r="S747">
        <v>14.880000000000006</v>
      </c>
      <c r="T747">
        <v>0.20655191560244315</v>
      </c>
      <c r="U747" s="1">
        <v>45870</v>
      </c>
      <c r="V747" t="s">
        <v>2498</v>
      </c>
      <c r="W747">
        <v>2025</v>
      </c>
    </row>
    <row r="748" spans="1:23" x14ac:dyDescent="0.25">
      <c r="A748" t="s">
        <v>795</v>
      </c>
      <c r="B748" s="1">
        <v>45919</v>
      </c>
      <c r="C748" s="1">
        <v>45925</v>
      </c>
      <c r="D748" t="s">
        <v>32</v>
      </c>
      <c r="E748" t="s">
        <v>62</v>
      </c>
      <c r="F748" t="s">
        <v>29</v>
      </c>
      <c r="G748" t="s">
        <v>26</v>
      </c>
      <c r="H748" t="s">
        <v>53</v>
      </c>
      <c r="I748">
        <v>3</v>
      </c>
      <c r="J748">
        <v>0</v>
      </c>
      <c r="K748">
        <v>190.62</v>
      </c>
      <c r="L748">
        <v>4.95</v>
      </c>
      <c r="M748" t="s">
        <v>2470</v>
      </c>
      <c r="N748" t="s">
        <v>2467</v>
      </c>
      <c r="O748" t="s">
        <v>2459</v>
      </c>
      <c r="P748">
        <v>31.34</v>
      </c>
      <c r="Q748">
        <v>56.49</v>
      </c>
      <c r="R748">
        <v>94.02</v>
      </c>
      <c r="S748">
        <v>91.65</v>
      </c>
      <c r="T748">
        <v>0.48079949638023295</v>
      </c>
      <c r="U748" s="1">
        <v>45901</v>
      </c>
      <c r="V748" t="s">
        <v>2499</v>
      </c>
      <c r="W748">
        <v>2025</v>
      </c>
    </row>
    <row r="749" spans="1:23" x14ac:dyDescent="0.25">
      <c r="A749" t="s">
        <v>796</v>
      </c>
      <c r="B749" s="1">
        <v>45394</v>
      </c>
      <c r="C749" s="1">
        <v>45399</v>
      </c>
      <c r="D749" t="s">
        <v>47</v>
      </c>
      <c r="E749" t="s">
        <v>71</v>
      </c>
      <c r="F749" t="s">
        <v>25</v>
      </c>
      <c r="G749" t="s">
        <v>20</v>
      </c>
      <c r="H749" t="s">
        <v>17</v>
      </c>
      <c r="I749">
        <v>1</v>
      </c>
      <c r="J749">
        <v>0.2</v>
      </c>
      <c r="K749">
        <v>99.98</v>
      </c>
      <c r="L749">
        <v>3.45</v>
      </c>
      <c r="M749" t="s">
        <v>2472</v>
      </c>
      <c r="N749" t="s">
        <v>2467</v>
      </c>
      <c r="O749" t="s">
        <v>2468</v>
      </c>
      <c r="P749">
        <v>63.69</v>
      </c>
      <c r="Q749">
        <v>125.5</v>
      </c>
      <c r="R749">
        <v>63.69</v>
      </c>
      <c r="S749">
        <v>32.840000000000003</v>
      </c>
      <c r="T749">
        <v>0.32846569313862772</v>
      </c>
      <c r="U749" s="1">
        <v>45383</v>
      </c>
      <c r="V749" t="s">
        <v>2500</v>
      </c>
      <c r="W749">
        <v>2024</v>
      </c>
    </row>
    <row r="750" spans="1:23" x14ac:dyDescent="0.25">
      <c r="A750" t="s">
        <v>797</v>
      </c>
      <c r="B750" s="1">
        <v>45582</v>
      </c>
      <c r="C750" s="1">
        <v>45583</v>
      </c>
      <c r="D750" t="s">
        <v>32</v>
      </c>
      <c r="E750" t="s">
        <v>62</v>
      </c>
      <c r="F750" t="s">
        <v>29</v>
      </c>
      <c r="G750" t="s">
        <v>20</v>
      </c>
      <c r="H750" t="s">
        <v>51</v>
      </c>
      <c r="I750">
        <v>4</v>
      </c>
      <c r="J750">
        <v>0.15</v>
      </c>
      <c r="K750">
        <v>57.79</v>
      </c>
      <c r="L750">
        <v>3.78</v>
      </c>
      <c r="M750" t="s">
        <v>2475</v>
      </c>
      <c r="N750" t="s">
        <v>2474</v>
      </c>
      <c r="O750" t="s">
        <v>2463</v>
      </c>
      <c r="P750">
        <v>7.93</v>
      </c>
      <c r="Q750">
        <v>14.78</v>
      </c>
      <c r="R750">
        <v>31.72</v>
      </c>
      <c r="S750">
        <v>22.29</v>
      </c>
      <c r="T750">
        <v>0.38570686970064022</v>
      </c>
      <c r="U750" s="1">
        <v>45566</v>
      </c>
      <c r="V750" t="s">
        <v>2500</v>
      </c>
      <c r="W750">
        <v>2024</v>
      </c>
    </row>
    <row r="751" spans="1:23" x14ac:dyDescent="0.25">
      <c r="A751" t="s">
        <v>798</v>
      </c>
      <c r="B751" s="1">
        <v>45909</v>
      </c>
      <c r="C751" s="1">
        <v>45911</v>
      </c>
      <c r="D751" t="s">
        <v>47</v>
      </c>
      <c r="E751" t="s">
        <v>50</v>
      </c>
      <c r="F751" t="s">
        <v>25</v>
      </c>
      <c r="G751" t="s">
        <v>20</v>
      </c>
      <c r="H751" t="s">
        <v>30</v>
      </c>
      <c r="I751">
        <v>5</v>
      </c>
      <c r="J751">
        <v>0</v>
      </c>
      <c r="K751">
        <v>32.26</v>
      </c>
      <c r="L751">
        <v>4.05</v>
      </c>
      <c r="M751" t="s">
        <v>2473</v>
      </c>
      <c r="N751" t="s">
        <v>2474</v>
      </c>
      <c r="O751" t="s">
        <v>2463</v>
      </c>
      <c r="P751">
        <v>3.62</v>
      </c>
      <c r="Q751">
        <v>6.03</v>
      </c>
      <c r="R751">
        <v>18.100000000000001</v>
      </c>
      <c r="S751">
        <v>10.109999999999996</v>
      </c>
      <c r="T751">
        <v>0.31339119652820818</v>
      </c>
      <c r="U751" s="1">
        <v>45901</v>
      </c>
      <c r="V751" t="s">
        <v>2499</v>
      </c>
      <c r="W751">
        <v>2025</v>
      </c>
    </row>
    <row r="752" spans="1:23" x14ac:dyDescent="0.25">
      <c r="A752" t="s">
        <v>799</v>
      </c>
      <c r="B752" s="1">
        <v>45997</v>
      </c>
      <c r="C752" s="1">
        <v>46002</v>
      </c>
      <c r="D752" t="s">
        <v>13</v>
      </c>
      <c r="E752" t="s">
        <v>14</v>
      </c>
      <c r="F752" t="s">
        <v>15</v>
      </c>
      <c r="G752" t="s">
        <v>20</v>
      </c>
      <c r="H752" t="s">
        <v>53</v>
      </c>
      <c r="I752">
        <v>3</v>
      </c>
      <c r="J752">
        <v>0</v>
      </c>
      <c r="K752">
        <v>230.32</v>
      </c>
      <c r="L752">
        <v>8.25</v>
      </c>
      <c r="M752" t="s">
        <v>2470</v>
      </c>
      <c r="N752" t="s">
        <v>2467</v>
      </c>
      <c r="O752" t="s">
        <v>2459</v>
      </c>
      <c r="P752">
        <v>31.34</v>
      </c>
      <c r="Q752">
        <v>56.49</v>
      </c>
      <c r="R752">
        <v>94.02</v>
      </c>
      <c r="S752">
        <v>128.05000000000001</v>
      </c>
      <c r="T752">
        <v>0.5559656130600904</v>
      </c>
      <c r="U752" s="1">
        <v>45992</v>
      </c>
      <c r="V752" t="s">
        <v>2499</v>
      </c>
      <c r="W752">
        <v>2025</v>
      </c>
    </row>
    <row r="753" spans="1:23" x14ac:dyDescent="0.25">
      <c r="A753" t="s">
        <v>800</v>
      </c>
      <c r="B753" s="1">
        <v>45614</v>
      </c>
      <c r="C753" s="1">
        <v>45616</v>
      </c>
      <c r="D753" t="s">
        <v>13</v>
      </c>
      <c r="E753" t="s">
        <v>36</v>
      </c>
      <c r="F753" t="s">
        <v>25</v>
      </c>
      <c r="G753" t="s">
        <v>26</v>
      </c>
      <c r="H753" t="s">
        <v>30</v>
      </c>
      <c r="I753">
        <v>25</v>
      </c>
      <c r="J753">
        <v>0</v>
      </c>
      <c r="K753">
        <v>200.11</v>
      </c>
      <c r="L753">
        <v>9.4499999999999993</v>
      </c>
      <c r="M753" t="s">
        <v>2473</v>
      </c>
      <c r="N753" t="s">
        <v>2474</v>
      </c>
      <c r="O753" t="s">
        <v>2463</v>
      </c>
      <c r="P753">
        <v>3.62</v>
      </c>
      <c r="Q753">
        <v>6.03</v>
      </c>
      <c r="R753">
        <v>90.5</v>
      </c>
      <c r="S753">
        <v>100.16000000000001</v>
      </c>
      <c r="T753">
        <v>0.50052471140872523</v>
      </c>
      <c r="U753" s="1">
        <v>45597</v>
      </c>
      <c r="V753" t="s">
        <v>2499</v>
      </c>
      <c r="W753">
        <v>2024</v>
      </c>
    </row>
    <row r="754" spans="1:23" x14ac:dyDescent="0.25">
      <c r="A754" t="s">
        <v>801</v>
      </c>
      <c r="B754" s="1">
        <v>45699</v>
      </c>
      <c r="C754" s="1">
        <v>45701</v>
      </c>
      <c r="D754" t="s">
        <v>23</v>
      </c>
      <c r="E754" t="s">
        <v>24</v>
      </c>
      <c r="F754" t="s">
        <v>25</v>
      </c>
      <c r="G754" t="s">
        <v>20</v>
      </c>
      <c r="H754" t="s">
        <v>63</v>
      </c>
      <c r="I754">
        <v>14</v>
      </c>
      <c r="J754">
        <v>0</v>
      </c>
      <c r="K754">
        <v>155.04</v>
      </c>
      <c r="L754">
        <v>6.48</v>
      </c>
      <c r="M754" t="s">
        <v>2477</v>
      </c>
      <c r="N754" t="s">
        <v>2474</v>
      </c>
      <c r="O754" t="s">
        <v>2468</v>
      </c>
      <c r="P754">
        <v>6.33</v>
      </c>
      <c r="Q754">
        <v>12.16</v>
      </c>
      <c r="R754">
        <v>88.62</v>
      </c>
      <c r="S754">
        <v>59.939999999999984</v>
      </c>
      <c r="T754">
        <v>0.38660990712074295</v>
      </c>
      <c r="U754" s="1">
        <v>45689</v>
      </c>
      <c r="V754" t="s">
        <v>2499</v>
      </c>
      <c r="W754">
        <v>2025</v>
      </c>
    </row>
    <row r="755" spans="1:23" x14ac:dyDescent="0.25">
      <c r="A755" t="s">
        <v>802</v>
      </c>
      <c r="B755" s="1">
        <v>45609</v>
      </c>
      <c r="C755" s="1">
        <v>45613</v>
      </c>
      <c r="D755" t="s">
        <v>32</v>
      </c>
      <c r="E755" t="s">
        <v>62</v>
      </c>
      <c r="F755" t="s">
        <v>25</v>
      </c>
      <c r="G755" t="s">
        <v>16</v>
      </c>
      <c r="H755" t="s">
        <v>17</v>
      </c>
      <c r="I755">
        <v>1</v>
      </c>
      <c r="J755">
        <v>0.2</v>
      </c>
      <c r="K755">
        <v>132.72</v>
      </c>
      <c r="L755">
        <v>5.75</v>
      </c>
      <c r="M755" t="s">
        <v>2472</v>
      </c>
      <c r="N755" t="s">
        <v>2467</v>
      </c>
      <c r="O755" t="s">
        <v>2468</v>
      </c>
      <c r="P755">
        <v>63.69</v>
      </c>
      <c r="Q755">
        <v>125.5</v>
      </c>
      <c r="R755">
        <v>63.69</v>
      </c>
      <c r="S755">
        <v>63.28</v>
      </c>
      <c r="T755">
        <v>0.47679324894514769</v>
      </c>
      <c r="U755" s="1">
        <v>45597</v>
      </c>
      <c r="V755" t="s">
        <v>2500</v>
      </c>
      <c r="W755">
        <v>2024</v>
      </c>
    </row>
    <row r="756" spans="1:23" x14ac:dyDescent="0.25">
      <c r="A756" t="s">
        <v>803</v>
      </c>
      <c r="B756" s="1">
        <v>45486</v>
      </c>
      <c r="C756" s="1">
        <v>45489</v>
      </c>
      <c r="D756" t="s">
        <v>23</v>
      </c>
      <c r="E756" t="s">
        <v>24</v>
      </c>
      <c r="F756" t="s">
        <v>15</v>
      </c>
      <c r="G756" t="s">
        <v>20</v>
      </c>
      <c r="H756" t="s">
        <v>53</v>
      </c>
      <c r="I756">
        <v>3</v>
      </c>
      <c r="J756">
        <v>0</v>
      </c>
      <c r="K756">
        <v>150.75</v>
      </c>
      <c r="L756">
        <v>8.25</v>
      </c>
      <c r="M756" t="s">
        <v>2470</v>
      </c>
      <c r="N756" t="s">
        <v>2467</v>
      </c>
      <c r="O756" t="s">
        <v>2459</v>
      </c>
      <c r="P756">
        <v>31.34</v>
      </c>
      <c r="Q756">
        <v>56.49</v>
      </c>
      <c r="R756">
        <v>94.02</v>
      </c>
      <c r="S756">
        <v>48.480000000000004</v>
      </c>
      <c r="T756">
        <v>0.32159203980099504</v>
      </c>
      <c r="U756" s="1">
        <v>45474</v>
      </c>
      <c r="V756" t="s">
        <v>2499</v>
      </c>
      <c r="W756">
        <v>2024</v>
      </c>
    </row>
    <row r="757" spans="1:23" x14ac:dyDescent="0.25">
      <c r="A757" t="s">
        <v>804</v>
      </c>
      <c r="B757" s="1">
        <v>45416</v>
      </c>
      <c r="C757" s="1">
        <v>45421</v>
      </c>
      <c r="D757" t="s">
        <v>13</v>
      </c>
      <c r="E757" t="s">
        <v>19</v>
      </c>
      <c r="F757" t="s">
        <v>25</v>
      </c>
      <c r="G757" t="s">
        <v>16</v>
      </c>
      <c r="H757" t="s">
        <v>68</v>
      </c>
      <c r="I757">
        <v>2</v>
      </c>
      <c r="J757">
        <v>0</v>
      </c>
      <c r="K757">
        <v>99.2</v>
      </c>
      <c r="L757">
        <v>4.2</v>
      </c>
      <c r="M757" t="s">
        <v>2466</v>
      </c>
      <c r="N757" t="s">
        <v>2467</v>
      </c>
      <c r="O757" t="s">
        <v>2468</v>
      </c>
      <c r="P757">
        <v>25.33</v>
      </c>
      <c r="Q757">
        <v>51.56</v>
      </c>
      <c r="R757">
        <v>50.66</v>
      </c>
      <c r="S757">
        <v>44.34</v>
      </c>
      <c r="T757">
        <v>0.44697580645161294</v>
      </c>
      <c r="U757" s="1">
        <v>45413</v>
      </c>
      <c r="V757" t="s">
        <v>2499</v>
      </c>
      <c r="W757">
        <v>2024</v>
      </c>
    </row>
    <row r="758" spans="1:23" x14ac:dyDescent="0.25">
      <c r="A758" t="s">
        <v>805</v>
      </c>
      <c r="B758" s="1">
        <v>45736</v>
      </c>
      <c r="C758" s="1">
        <v>45740</v>
      </c>
      <c r="D758" t="s">
        <v>23</v>
      </c>
      <c r="E758" t="s">
        <v>24</v>
      </c>
      <c r="F758" t="s">
        <v>15</v>
      </c>
      <c r="G758" t="s">
        <v>16</v>
      </c>
      <c r="H758" t="s">
        <v>68</v>
      </c>
      <c r="I758">
        <v>4</v>
      </c>
      <c r="J758">
        <v>0.2</v>
      </c>
      <c r="K758">
        <v>151.16</v>
      </c>
      <c r="L758">
        <v>5.7</v>
      </c>
      <c r="M758" t="s">
        <v>2466</v>
      </c>
      <c r="N758" t="s">
        <v>2467</v>
      </c>
      <c r="O758" t="s">
        <v>2468</v>
      </c>
      <c r="P758">
        <v>25.33</v>
      </c>
      <c r="Q758">
        <v>51.56</v>
      </c>
      <c r="R758">
        <v>101.32</v>
      </c>
      <c r="S758">
        <v>44.14</v>
      </c>
      <c r="T758">
        <v>0.29200846784863721</v>
      </c>
      <c r="U758" s="1">
        <v>45717</v>
      </c>
      <c r="V758" t="s">
        <v>2500</v>
      </c>
      <c r="W758">
        <v>2025</v>
      </c>
    </row>
    <row r="759" spans="1:23" x14ac:dyDescent="0.25">
      <c r="A759" t="s">
        <v>806</v>
      </c>
      <c r="B759" s="1">
        <v>45700</v>
      </c>
      <c r="C759" s="1">
        <v>45705</v>
      </c>
      <c r="D759" t="s">
        <v>23</v>
      </c>
      <c r="E759" t="s">
        <v>24</v>
      </c>
      <c r="F759" t="s">
        <v>25</v>
      </c>
      <c r="G759" t="s">
        <v>20</v>
      </c>
      <c r="H759" t="s">
        <v>39</v>
      </c>
      <c r="I759">
        <v>1</v>
      </c>
      <c r="J759">
        <v>0</v>
      </c>
      <c r="K759">
        <v>167.94</v>
      </c>
      <c r="L759">
        <v>5.75</v>
      </c>
      <c r="M759" t="s">
        <v>2471</v>
      </c>
      <c r="N759" t="s">
        <v>2467</v>
      </c>
      <c r="O759" t="s">
        <v>2461</v>
      </c>
      <c r="P759">
        <v>112.09</v>
      </c>
      <c r="Q759">
        <v>192.47</v>
      </c>
      <c r="R759">
        <v>112.09</v>
      </c>
      <c r="S759">
        <v>50.099999999999994</v>
      </c>
      <c r="T759">
        <v>0.29832082886745265</v>
      </c>
      <c r="U759" s="1">
        <v>45689</v>
      </c>
      <c r="V759" t="s">
        <v>2499</v>
      </c>
      <c r="W759">
        <v>2025</v>
      </c>
    </row>
    <row r="760" spans="1:23" x14ac:dyDescent="0.25">
      <c r="A760" t="s">
        <v>807</v>
      </c>
      <c r="B760" s="1">
        <v>45943</v>
      </c>
      <c r="C760" s="1">
        <v>45948</v>
      </c>
      <c r="D760" t="s">
        <v>32</v>
      </c>
      <c r="E760" t="s">
        <v>45</v>
      </c>
      <c r="F760" t="s">
        <v>15</v>
      </c>
      <c r="G760" t="s">
        <v>16</v>
      </c>
      <c r="H760" t="s">
        <v>21</v>
      </c>
      <c r="I760">
        <v>4</v>
      </c>
      <c r="J760">
        <v>0</v>
      </c>
      <c r="K760">
        <v>519.29999999999995</v>
      </c>
      <c r="L760">
        <v>13.7</v>
      </c>
      <c r="M760" t="s">
        <v>2462</v>
      </c>
      <c r="N760" t="s">
        <v>2458</v>
      </c>
      <c r="O760" t="s">
        <v>2463</v>
      </c>
      <c r="P760">
        <v>71.489999999999995</v>
      </c>
      <c r="Q760">
        <v>112.88</v>
      </c>
      <c r="R760">
        <v>285.95999999999998</v>
      </c>
      <c r="S760">
        <v>219.64</v>
      </c>
      <c r="T760">
        <v>0.42295397650683614</v>
      </c>
      <c r="U760" s="1">
        <v>45931</v>
      </c>
      <c r="V760" t="s">
        <v>2499</v>
      </c>
      <c r="W760">
        <v>2025</v>
      </c>
    </row>
    <row r="761" spans="1:23" x14ac:dyDescent="0.25">
      <c r="A761" t="s">
        <v>808</v>
      </c>
      <c r="B761" s="1">
        <v>46003</v>
      </c>
      <c r="C761" s="1">
        <v>46005</v>
      </c>
      <c r="D761" t="s">
        <v>13</v>
      </c>
      <c r="E761" t="s">
        <v>36</v>
      </c>
      <c r="F761" t="s">
        <v>29</v>
      </c>
      <c r="G761" t="s">
        <v>16</v>
      </c>
      <c r="H761" t="s">
        <v>51</v>
      </c>
      <c r="I761">
        <v>13</v>
      </c>
      <c r="J761">
        <v>0.2</v>
      </c>
      <c r="K761">
        <v>221.86</v>
      </c>
      <c r="L761">
        <v>10.35</v>
      </c>
      <c r="M761" t="s">
        <v>2475</v>
      </c>
      <c r="N761" t="s">
        <v>2474</v>
      </c>
      <c r="O761" t="s">
        <v>2463</v>
      </c>
      <c r="P761">
        <v>7.93</v>
      </c>
      <c r="Q761">
        <v>14.78</v>
      </c>
      <c r="R761">
        <v>103.09</v>
      </c>
      <c r="S761">
        <v>108.42000000000002</v>
      </c>
      <c r="T761">
        <v>0.48868655909131892</v>
      </c>
      <c r="U761" s="1">
        <v>45992</v>
      </c>
      <c r="V761" t="s">
        <v>2500</v>
      </c>
      <c r="W761">
        <v>2025</v>
      </c>
    </row>
    <row r="762" spans="1:23" x14ac:dyDescent="0.25">
      <c r="A762" t="s">
        <v>809</v>
      </c>
      <c r="B762" s="1">
        <v>45934</v>
      </c>
      <c r="C762" s="1">
        <v>45935</v>
      </c>
      <c r="D762" t="s">
        <v>47</v>
      </c>
      <c r="E762" t="s">
        <v>48</v>
      </c>
      <c r="F762" t="s">
        <v>25</v>
      </c>
      <c r="G762" t="s">
        <v>26</v>
      </c>
      <c r="H762" t="s">
        <v>27</v>
      </c>
      <c r="I762">
        <v>5</v>
      </c>
      <c r="J762">
        <v>0.25</v>
      </c>
      <c r="K762">
        <v>123.93</v>
      </c>
      <c r="L762">
        <v>6.75</v>
      </c>
      <c r="M762" t="s">
        <v>2478</v>
      </c>
      <c r="N762" t="s">
        <v>2474</v>
      </c>
      <c r="O762" t="s">
        <v>2463</v>
      </c>
      <c r="P762">
        <v>16.760000000000002</v>
      </c>
      <c r="Q762">
        <v>27.71</v>
      </c>
      <c r="R762">
        <v>83.800000000000011</v>
      </c>
      <c r="S762">
        <v>33.379999999999995</v>
      </c>
      <c r="T762">
        <v>0.26934559832163313</v>
      </c>
      <c r="U762" s="1">
        <v>45931</v>
      </c>
      <c r="V762" t="s">
        <v>2501</v>
      </c>
      <c r="W762">
        <v>2025</v>
      </c>
    </row>
    <row r="763" spans="1:23" x14ac:dyDescent="0.25">
      <c r="A763" t="s">
        <v>810</v>
      </c>
      <c r="B763" s="1">
        <v>45590</v>
      </c>
      <c r="C763" s="1">
        <v>45591</v>
      </c>
      <c r="D763" t="s">
        <v>23</v>
      </c>
      <c r="E763" t="s">
        <v>43</v>
      </c>
      <c r="F763" t="s">
        <v>15</v>
      </c>
      <c r="G763" t="s">
        <v>26</v>
      </c>
      <c r="H763" t="s">
        <v>60</v>
      </c>
      <c r="I763">
        <v>3</v>
      </c>
      <c r="J763">
        <v>0</v>
      </c>
      <c r="K763">
        <v>400.14</v>
      </c>
      <c r="L763">
        <v>8.25</v>
      </c>
      <c r="M763" t="s">
        <v>2469</v>
      </c>
      <c r="N763" t="s">
        <v>2467</v>
      </c>
      <c r="O763" t="s">
        <v>2468</v>
      </c>
      <c r="P763">
        <v>54.95</v>
      </c>
      <c r="Q763">
        <v>112.56</v>
      </c>
      <c r="R763">
        <v>164.85000000000002</v>
      </c>
      <c r="S763">
        <v>227.03999999999996</v>
      </c>
      <c r="T763">
        <v>0.56740140950667262</v>
      </c>
      <c r="U763" s="1">
        <v>45566</v>
      </c>
      <c r="V763" t="s">
        <v>2499</v>
      </c>
      <c r="W763">
        <v>2024</v>
      </c>
    </row>
    <row r="764" spans="1:23" x14ac:dyDescent="0.25">
      <c r="A764" t="s">
        <v>811</v>
      </c>
      <c r="B764" s="1">
        <v>45705</v>
      </c>
      <c r="C764" s="1">
        <v>45711</v>
      </c>
      <c r="D764" t="s">
        <v>32</v>
      </c>
      <c r="E764" t="s">
        <v>62</v>
      </c>
      <c r="F764" t="s">
        <v>25</v>
      </c>
      <c r="G764" t="s">
        <v>16</v>
      </c>
      <c r="H764" t="s">
        <v>39</v>
      </c>
      <c r="I764">
        <v>2</v>
      </c>
      <c r="J764">
        <v>0</v>
      </c>
      <c r="K764">
        <v>336.97</v>
      </c>
      <c r="L764">
        <v>4.2</v>
      </c>
      <c r="M764" t="s">
        <v>2471</v>
      </c>
      <c r="N764" t="s">
        <v>2467</v>
      </c>
      <c r="O764" t="s">
        <v>2461</v>
      </c>
      <c r="P764">
        <v>112.09</v>
      </c>
      <c r="Q764">
        <v>192.47</v>
      </c>
      <c r="R764">
        <v>224.18</v>
      </c>
      <c r="S764">
        <v>108.59000000000002</v>
      </c>
      <c r="T764">
        <v>0.32225420660592935</v>
      </c>
      <c r="U764" s="1">
        <v>45689</v>
      </c>
      <c r="V764" t="s">
        <v>2499</v>
      </c>
      <c r="W764">
        <v>2025</v>
      </c>
    </row>
    <row r="765" spans="1:23" x14ac:dyDescent="0.25">
      <c r="A765" t="s">
        <v>812</v>
      </c>
      <c r="B765" s="1">
        <v>45506</v>
      </c>
      <c r="C765" s="1">
        <v>45511</v>
      </c>
      <c r="D765" t="s">
        <v>13</v>
      </c>
      <c r="E765" t="s">
        <v>19</v>
      </c>
      <c r="F765" t="s">
        <v>15</v>
      </c>
      <c r="G765" t="s">
        <v>20</v>
      </c>
      <c r="H765" t="s">
        <v>87</v>
      </c>
      <c r="I765">
        <v>10</v>
      </c>
      <c r="J765">
        <v>0.1</v>
      </c>
      <c r="K765">
        <v>74.55</v>
      </c>
      <c r="L765">
        <v>9</v>
      </c>
      <c r="M765" t="s">
        <v>2476</v>
      </c>
      <c r="N765" t="s">
        <v>2474</v>
      </c>
      <c r="O765" t="s">
        <v>2459</v>
      </c>
      <c r="P765">
        <v>4.5</v>
      </c>
      <c r="Q765">
        <v>8.2899999999999991</v>
      </c>
      <c r="R765">
        <v>45</v>
      </c>
      <c r="S765">
        <v>20.549999999999997</v>
      </c>
      <c r="T765">
        <v>0.27565392354124746</v>
      </c>
      <c r="U765" s="1">
        <v>45505</v>
      </c>
      <c r="V765" t="s">
        <v>2498</v>
      </c>
      <c r="W765">
        <v>2024</v>
      </c>
    </row>
    <row r="766" spans="1:23" x14ac:dyDescent="0.25">
      <c r="A766" t="s">
        <v>813</v>
      </c>
      <c r="B766" s="1">
        <v>45495</v>
      </c>
      <c r="C766" s="1">
        <v>45498</v>
      </c>
      <c r="D766" t="s">
        <v>23</v>
      </c>
      <c r="E766" t="s">
        <v>24</v>
      </c>
      <c r="F766" t="s">
        <v>25</v>
      </c>
      <c r="G766" t="s">
        <v>16</v>
      </c>
      <c r="H766" t="s">
        <v>51</v>
      </c>
      <c r="I766">
        <v>5</v>
      </c>
      <c r="J766">
        <v>0</v>
      </c>
      <c r="K766">
        <v>71.790000000000006</v>
      </c>
      <c r="L766">
        <v>6.75</v>
      </c>
      <c r="M766" t="s">
        <v>2475</v>
      </c>
      <c r="N766" t="s">
        <v>2474</v>
      </c>
      <c r="O766" t="s">
        <v>2463</v>
      </c>
      <c r="P766">
        <v>7.93</v>
      </c>
      <c r="Q766">
        <v>14.78</v>
      </c>
      <c r="R766">
        <v>39.65</v>
      </c>
      <c r="S766">
        <v>25.390000000000008</v>
      </c>
      <c r="T766">
        <v>0.35367042763616108</v>
      </c>
      <c r="U766" s="1">
        <v>45474</v>
      </c>
      <c r="V766" t="s">
        <v>2499</v>
      </c>
      <c r="W766">
        <v>2024</v>
      </c>
    </row>
    <row r="767" spans="1:23" x14ac:dyDescent="0.25">
      <c r="A767" t="s">
        <v>814</v>
      </c>
      <c r="B767" s="1">
        <v>45910</v>
      </c>
      <c r="C767" s="1">
        <v>45916</v>
      </c>
      <c r="D767" t="s">
        <v>23</v>
      </c>
      <c r="E767" t="s">
        <v>43</v>
      </c>
      <c r="F767" t="s">
        <v>15</v>
      </c>
      <c r="G767" t="s">
        <v>26</v>
      </c>
      <c r="H767" t="s">
        <v>63</v>
      </c>
      <c r="I767">
        <v>9</v>
      </c>
      <c r="J767">
        <v>0</v>
      </c>
      <c r="K767">
        <v>118.35</v>
      </c>
      <c r="L767">
        <v>8.5500000000000007</v>
      </c>
      <c r="M767" t="s">
        <v>2477</v>
      </c>
      <c r="N767" t="s">
        <v>2474</v>
      </c>
      <c r="O767" t="s">
        <v>2468</v>
      </c>
      <c r="P767">
        <v>6.33</v>
      </c>
      <c r="Q767">
        <v>12.16</v>
      </c>
      <c r="R767">
        <v>56.97</v>
      </c>
      <c r="S767">
        <v>52.83</v>
      </c>
      <c r="T767">
        <v>0.44638783269961979</v>
      </c>
      <c r="U767" s="1">
        <v>45901</v>
      </c>
      <c r="V767" t="s">
        <v>2499</v>
      </c>
      <c r="W767">
        <v>2025</v>
      </c>
    </row>
    <row r="768" spans="1:23" x14ac:dyDescent="0.25">
      <c r="A768" t="s">
        <v>815</v>
      </c>
      <c r="B768" s="1">
        <v>45546</v>
      </c>
      <c r="C768" s="1">
        <v>45551</v>
      </c>
      <c r="D768" t="s">
        <v>23</v>
      </c>
      <c r="E768" t="s">
        <v>43</v>
      </c>
      <c r="F768" t="s">
        <v>25</v>
      </c>
      <c r="G768" t="s">
        <v>26</v>
      </c>
      <c r="H768" t="s">
        <v>60</v>
      </c>
      <c r="I768">
        <v>2</v>
      </c>
      <c r="J768">
        <v>0.1</v>
      </c>
      <c r="K768">
        <v>211.31</v>
      </c>
      <c r="L768">
        <v>7</v>
      </c>
      <c r="M768" t="s">
        <v>2469</v>
      </c>
      <c r="N768" t="s">
        <v>2467</v>
      </c>
      <c r="O768" t="s">
        <v>2468</v>
      </c>
      <c r="P768">
        <v>54.95</v>
      </c>
      <c r="Q768">
        <v>112.56</v>
      </c>
      <c r="R768">
        <v>109.9</v>
      </c>
      <c r="S768">
        <v>94.41</v>
      </c>
      <c r="T768">
        <v>0.44678434527471483</v>
      </c>
      <c r="U768" s="1">
        <v>45536</v>
      </c>
      <c r="V768" t="s">
        <v>2498</v>
      </c>
      <c r="W768">
        <v>2024</v>
      </c>
    </row>
    <row r="769" spans="1:23" x14ac:dyDescent="0.25">
      <c r="A769" t="s">
        <v>816</v>
      </c>
      <c r="B769" s="1">
        <v>45583</v>
      </c>
      <c r="C769" s="1">
        <v>45587</v>
      </c>
      <c r="D769" t="s">
        <v>47</v>
      </c>
      <c r="E769" t="s">
        <v>48</v>
      </c>
      <c r="F769" t="s">
        <v>15</v>
      </c>
      <c r="G769" t="s">
        <v>20</v>
      </c>
      <c r="H769" t="s">
        <v>21</v>
      </c>
      <c r="I769">
        <v>3</v>
      </c>
      <c r="J769">
        <v>0</v>
      </c>
      <c r="K769">
        <v>377.34</v>
      </c>
      <c r="L769">
        <v>11.4</v>
      </c>
      <c r="M769" t="s">
        <v>2462</v>
      </c>
      <c r="N769" t="s">
        <v>2458</v>
      </c>
      <c r="O769" t="s">
        <v>2463</v>
      </c>
      <c r="P769">
        <v>71.489999999999995</v>
      </c>
      <c r="Q769">
        <v>112.88</v>
      </c>
      <c r="R769">
        <v>214.46999999999997</v>
      </c>
      <c r="S769">
        <v>151.47</v>
      </c>
      <c r="T769">
        <v>0.40141516934329785</v>
      </c>
      <c r="U769" s="1">
        <v>45566</v>
      </c>
      <c r="V769" t="s">
        <v>2499</v>
      </c>
      <c r="W769">
        <v>2024</v>
      </c>
    </row>
    <row r="770" spans="1:23" x14ac:dyDescent="0.25">
      <c r="A770" t="s">
        <v>817</v>
      </c>
      <c r="B770" s="1">
        <v>45491</v>
      </c>
      <c r="C770" s="1">
        <v>45492</v>
      </c>
      <c r="D770" t="s">
        <v>32</v>
      </c>
      <c r="E770" t="s">
        <v>33</v>
      </c>
      <c r="F770" t="s">
        <v>29</v>
      </c>
      <c r="G770" t="s">
        <v>16</v>
      </c>
      <c r="H770" t="s">
        <v>34</v>
      </c>
      <c r="I770">
        <v>2</v>
      </c>
      <c r="J770">
        <v>0.05</v>
      </c>
      <c r="K770">
        <v>352.95</v>
      </c>
      <c r="L770">
        <v>5.46</v>
      </c>
      <c r="M770" t="s">
        <v>2460</v>
      </c>
      <c r="N770" t="s">
        <v>2458</v>
      </c>
      <c r="O770" t="s">
        <v>2461</v>
      </c>
      <c r="P770">
        <v>119.02</v>
      </c>
      <c r="Q770">
        <v>205.39</v>
      </c>
      <c r="R770">
        <v>238.04</v>
      </c>
      <c r="S770">
        <v>109.45</v>
      </c>
      <c r="T770">
        <v>0.31010058081881287</v>
      </c>
      <c r="U770" s="1">
        <v>45474</v>
      </c>
      <c r="V770" t="s">
        <v>2498</v>
      </c>
      <c r="W770">
        <v>2024</v>
      </c>
    </row>
    <row r="771" spans="1:23" x14ac:dyDescent="0.25">
      <c r="A771" t="s">
        <v>818</v>
      </c>
      <c r="B771" s="1">
        <v>45386</v>
      </c>
      <c r="C771" s="1">
        <v>45392</v>
      </c>
      <c r="D771" t="s">
        <v>13</v>
      </c>
      <c r="E771" t="s">
        <v>36</v>
      </c>
      <c r="F771" t="s">
        <v>15</v>
      </c>
      <c r="G771" t="s">
        <v>26</v>
      </c>
      <c r="H771" t="s">
        <v>51</v>
      </c>
      <c r="I771">
        <v>6</v>
      </c>
      <c r="J771">
        <v>0</v>
      </c>
      <c r="K771">
        <v>86.34</v>
      </c>
      <c r="L771">
        <v>4.32</v>
      </c>
      <c r="M771" t="s">
        <v>2475</v>
      </c>
      <c r="N771" t="s">
        <v>2474</v>
      </c>
      <c r="O771" t="s">
        <v>2463</v>
      </c>
      <c r="P771">
        <v>7.93</v>
      </c>
      <c r="Q771">
        <v>14.78</v>
      </c>
      <c r="R771">
        <v>47.58</v>
      </c>
      <c r="S771">
        <v>34.440000000000005</v>
      </c>
      <c r="T771">
        <v>0.39888811674774155</v>
      </c>
      <c r="U771" s="1">
        <v>45383</v>
      </c>
      <c r="V771" t="s">
        <v>2499</v>
      </c>
      <c r="W771">
        <v>2024</v>
      </c>
    </row>
    <row r="772" spans="1:23" x14ac:dyDescent="0.25">
      <c r="A772" t="s">
        <v>819</v>
      </c>
      <c r="B772" s="1">
        <v>45831</v>
      </c>
      <c r="C772" s="1">
        <v>45834</v>
      </c>
      <c r="D772" t="s">
        <v>13</v>
      </c>
      <c r="E772" t="s">
        <v>19</v>
      </c>
      <c r="F772" t="s">
        <v>29</v>
      </c>
      <c r="G772" t="s">
        <v>26</v>
      </c>
      <c r="H772" t="s">
        <v>41</v>
      </c>
      <c r="I772">
        <v>12</v>
      </c>
      <c r="J772">
        <v>0.05</v>
      </c>
      <c r="K772">
        <v>69.81</v>
      </c>
      <c r="L772">
        <v>9.9</v>
      </c>
      <c r="M772" t="s">
        <v>2479</v>
      </c>
      <c r="N772" t="s">
        <v>2474</v>
      </c>
      <c r="O772" t="s">
        <v>2459</v>
      </c>
      <c r="P772">
        <v>3.3</v>
      </c>
      <c r="Q772">
        <v>6.13</v>
      </c>
      <c r="R772">
        <v>39.599999999999994</v>
      </c>
      <c r="S772">
        <v>20.310000000000009</v>
      </c>
      <c r="T772">
        <v>0.29093253115599499</v>
      </c>
      <c r="U772" s="1">
        <v>45809</v>
      </c>
      <c r="V772" t="s">
        <v>2498</v>
      </c>
      <c r="W772">
        <v>2025</v>
      </c>
    </row>
    <row r="773" spans="1:23" x14ac:dyDescent="0.25">
      <c r="A773" t="s">
        <v>820</v>
      </c>
      <c r="B773" s="1">
        <v>45372</v>
      </c>
      <c r="C773" s="1">
        <v>45375</v>
      </c>
      <c r="D773" t="s">
        <v>32</v>
      </c>
      <c r="E773" t="s">
        <v>62</v>
      </c>
      <c r="F773" t="s">
        <v>25</v>
      </c>
      <c r="G773" t="s">
        <v>16</v>
      </c>
      <c r="H773" t="s">
        <v>87</v>
      </c>
      <c r="I773">
        <v>3</v>
      </c>
      <c r="J773">
        <v>0</v>
      </c>
      <c r="K773">
        <v>24.12</v>
      </c>
      <c r="L773">
        <v>5.85</v>
      </c>
      <c r="M773" t="s">
        <v>2476</v>
      </c>
      <c r="N773" t="s">
        <v>2474</v>
      </c>
      <c r="O773" t="s">
        <v>2459</v>
      </c>
      <c r="P773">
        <v>4.5</v>
      </c>
      <c r="Q773">
        <v>8.2899999999999991</v>
      </c>
      <c r="R773">
        <v>13.5</v>
      </c>
      <c r="S773">
        <v>4.7700000000000014</v>
      </c>
      <c r="T773">
        <v>0.19776119402985079</v>
      </c>
      <c r="U773" s="1">
        <v>45352</v>
      </c>
      <c r="V773" t="s">
        <v>2499</v>
      </c>
      <c r="W773">
        <v>2024</v>
      </c>
    </row>
    <row r="774" spans="1:23" x14ac:dyDescent="0.25">
      <c r="A774" t="s">
        <v>821</v>
      </c>
      <c r="B774" s="1">
        <v>45533</v>
      </c>
      <c r="C774" s="1">
        <v>45536</v>
      </c>
      <c r="D774" t="s">
        <v>13</v>
      </c>
      <c r="E774" t="s">
        <v>19</v>
      </c>
      <c r="F774" t="s">
        <v>25</v>
      </c>
      <c r="G774" t="s">
        <v>20</v>
      </c>
      <c r="H774" t="s">
        <v>37</v>
      </c>
      <c r="I774">
        <v>2</v>
      </c>
      <c r="J774">
        <v>0.2</v>
      </c>
      <c r="K774">
        <v>173.36</v>
      </c>
      <c r="L774">
        <v>9.1</v>
      </c>
      <c r="M774" t="s">
        <v>2464</v>
      </c>
      <c r="N774" t="s">
        <v>2458</v>
      </c>
      <c r="O774" t="s">
        <v>2465</v>
      </c>
      <c r="P774">
        <v>63.6</v>
      </c>
      <c r="Q774">
        <v>107.94</v>
      </c>
      <c r="R774">
        <v>127.2</v>
      </c>
      <c r="S774">
        <v>37.060000000000009</v>
      </c>
      <c r="T774">
        <v>0.21377480387632675</v>
      </c>
      <c r="U774" s="1">
        <v>45505</v>
      </c>
      <c r="V774" t="s">
        <v>2500</v>
      </c>
      <c r="W774">
        <v>2024</v>
      </c>
    </row>
    <row r="775" spans="1:23" x14ac:dyDescent="0.25">
      <c r="A775" t="s">
        <v>822</v>
      </c>
      <c r="B775" s="1">
        <v>45461</v>
      </c>
      <c r="C775" s="1">
        <v>45464</v>
      </c>
      <c r="D775" t="s">
        <v>23</v>
      </c>
      <c r="E775" t="s">
        <v>43</v>
      </c>
      <c r="F775" t="s">
        <v>15</v>
      </c>
      <c r="G775" t="s">
        <v>26</v>
      </c>
      <c r="H775" t="s">
        <v>65</v>
      </c>
      <c r="I775">
        <v>4</v>
      </c>
      <c r="J775">
        <v>0</v>
      </c>
      <c r="K775">
        <v>1207.95</v>
      </c>
      <c r="L775">
        <v>8.2200000000000006</v>
      </c>
      <c r="M775" t="s">
        <v>2457</v>
      </c>
      <c r="N775" t="s">
        <v>2458</v>
      </c>
      <c r="O775" t="s">
        <v>2459</v>
      </c>
      <c r="P775">
        <v>173.56</v>
      </c>
      <c r="Q775">
        <v>286.14999999999998</v>
      </c>
      <c r="R775">
        <v>694.24</v>
      </c>
      <c r="S775">
        <v>505.49</v>
      </c>
      <c r="T775">
        <v>0.41846930750444966</v>
      </c>
      <c r="U775" s="1">
        <v>45444</v>
      </c>
      <c r="V775" t="s">
        <v>2499</v>
      </c>
      <c r="W775">
        <v>2024</v>
      </c>
    </row>
    <row r="776" spans="1:23" x14ac:dyDescent="0.25">
      <c r="A776" t="s">
        <v>823</v>
      </c>
      <c r="B776" s="1">
        <v>45882</v>
      </c>
      <c r="C776" s="1">
        <v>45888</v>
      </c>
      <c r="D776" t="s">
        <v>13</v>
      </c>
      <c r="E776" t="s">
        <v>36</v>
      </c>
      <c r="F776" t="s">
        <v>29</v>
      </c>
      <c r="G776" t="s">
        <v>16</v>
      </c>
      <c r="H776" t="s">
        <v>68</v>
      </c>
      <c r="I776">
        <v>2</v>
      </c>
      <c r="J776">
        <v>0</v>
      </c>
      <c r="K776">
        <v>103.35</v>
      </c>
      <c r="L776">
        <v>7</v>
      </c>
      <c r="M776" t="s">
        <v>2466</v>
      </c>
      <c r="N776" t="s">
        <v>2467</v>
      </c>
      <c r="O776" t="s">
        <v>2468</v>
      </c>
      <c r="P776">
        <v>25.33</v>
      </c>
      <c r="Q776">
        <v>51.56</v>
      </c>
      <c r="R776">
        <v>50.66</v>
      </c>
      <c r="S776">
        <v>45.69</v>
      </c>
      <c r="T776">
        <v>0.44208998548621192</v>
      </c>
      <c r="U776" s="1">
        <v>45870</v>
      </c>
      <c r="V776" t="s">
        <v>2499</v>
      </c>
      <c r="W776">
        <v>2025</v>
      </c>
    </row>
    <row r="777" spans="1:23" x14ac:dyDescent="0.25">
      <c r="A777" t="s">
        <v>824</v>
      </c>
      <c r="B777" s="1">
        <v>45323</v>
      </c>
      <c r="C777" s="1">
        <v>45327</v>
      </c>
      <c r="D777" t="s">
        <v>23</v>
      </c>
      <c r="E777" t="s">
        <v>43</v>
      </c>
      <c r="F777" t="s">
        <v>15</v>
      </c>
      <c r="G777" t="s">
        <v>16</v>
      </c>
      <c r="H777" t="s">
        <v>27</v>
      </c>
      <c r="I777">
        <v>13</v>
      </c>
      <c r="J777">
        <v>0</v>
      </c>
      <c r="K777">
        <v>337.99</v>
      </c>
      <c r="L777">
        <v>6.21</v>
      </c>
      <c r="M777" t="s">
        <v>2478</v>
      </c>
      <c r="N777" t="s">
        <v>2474</v>
      </c>
      <c r="O777" t="s">
        <v>2463</v>
      </c>
      <c r="P777">
        <v>16.760000000000002</v>
      </c>
      <c r="Q777">
        <v>27.71</v>
      </c>
      <c r="R777">
        <v>217.88000000000002</v>
      </c>
      <c r="S777">
        <v>113.89999999999999</v>
      </c>
      <c r="T777">
        <v>0.33699221870469537</v>
      </c>
      <c r="U777" s="1">
        <v>45323</v>
      </c>
      <c r="V777" t="s">
        <v>2499</v>
      </c>
      <c r="W777">
        <v>2024</v>
      </c>
    </row>
    <row r="778" spans="1:23" x14ac:dyDescent="0.25">
      <c r="A778" t="s">
        <v>825</v>
      </c>
      <c r="B778" s="1">
        <v>45654</v>
      </c>
      <c r="C778" s="1">
        <v>45660</v>
      </c>
      <c r="D778" t="s">
        <v>32</v>
      </c>
      <c r="E778" t="s">
        <v>45</v>
      </c>
      <c r="F778" t="s">
        <v>15</v>
      </c>
      <c r="G778" t="s">
        <v>20</v>
      </c>
      <c r="H778" t="s">
        <v>65</v>
      </c>
      <c r="I778">
        <v>1</v>
      </c>
      <c r="J778">
        <v>0.05</v>
      </c>
      <c r="K778">
        <v>376.71</v>
      </c>
      <c r="L778">
        <v>6.8</v>
      </c>
      <c r="M778" t="s">
        <v>2457</v>
      </c>
      <c r="N778" t="s">
        <v>2458</v>
      </c>
      <c r="O778" t="s">
        <v>2459</v>
      </c>
      <c r="P778">
        <v>173.56</v>
      </c>
      <c r="Q778">
        <v>286.14999999999998</v>
      </c>
      <c r="R778">
        <v>173.56</v>
      </c>
      <c r="S778">
        <v>196.34999999999997</v>
      </c>
      <c r="T778">
        <v>0.52122322210719119</v>
      </c>
      <c r="U778" s="1">
        <v>45627</v>
      </c>
      <c r="V778" t="s">
        <v>2498</v>
      </c>
      <c r="W778">
        <v>2024</v>
      </c>
    </row>
    <row r="779" spans="1:23" x14ac:dyDescent="0.25">
      <c r="A779" t="s">
        <v>826</v>
      </c>
      <c r="B779" s="1">
        <v>45732</v>
      </c>
      <c r="C779" s="1">
        <v>45735</v>
      </c>
      <c r="D779" t="s">
        <v>13</v>
      </c>
      <c r="E779" t="s">
        <v>36</v>
      </c>
      <c r="F779" t="s">
        <v>29</v>
      </c>
      <c r="G779" t="s">
        <v>16</v>
      </c>
      <c r="H779" t="s">
        <v>17</v>
      </c>
      <c r="I779">
        <v>2</v>
      </c>
      <c r="J779">
        <v>0</v>
      </c>
      <c r="K779">
        <v>247.56</v>
      </c>
      <c r="L779">
        <v>7</v>
      </c>
      <c r="M779" t="s">
        <v>2472</v>
      </c>
      <c r="N779" t="s">
        <v>2467</v>
      </c>
      <c r="O779" t="s">
        <v>2468</v>
      </c>
      <c r="P779">
        <v>63.69</v>
      </c>
      <c r="Q779">
        <v>125.5</v>
      </c>
      <c r="R779">
        <v>127.38</v>
      </c>
      <c r="S779">
        <v>113.18</v>
      </c>
      <c r="T779">
        <v>0.45718209726934889</v>
      </c>
      <c r="U779" s="1">
        <v>45717</v>
      </c>
      <c r="V779" t="s">
        <v>2499</v>
      </c>
      <c r="W779">
        <v>2025</v>
      </c>
    </row>
    <row r="780" spans="1:23" x14ac:dyDescent="0.25">
      <c r="A780" t="s">
        <v>827</v>
      </c>
      <c r="B780" s="1">
        <v>45554</v>
      </c>
      <c r="C780" s="1">
        <v>45555</v>
      </c>
      <c r="D780" t="s">
        <v>32</v>
      </c>
      <c r="E780" t="s">
        <v>33</v>
      </c>
      <c r="F780" t="s">
        <v>25</v>
      </c>
      <c r="G780" t="s">
        <v>20</v>
      </c>
      <c r="H780" t="s">
        <v>27</v>
      </c>
      <c r="I780">
        <v>13</v>
      </c>
      <c r="J780">
        <v>0</v>
      </c>
      <c r="K780">
        <v>387.08</v>
      </c>
      <c r="L780">
        <v>6.21</v>
      </c>
      <c r="M780" t="s">
        <v>2478</v>
      </c>
      <c r="N780" t="s">
        <v>2474</v>
      </c>
      <c r="O780" t="s">
        <v>2463</v>
      </c>
      <c r="P780">
        <v>16.760000000000002</v>
      </c>
      <c r="Q780">
        <v>27.71</v>
      </c>
      <c r="R780">
        <v>217.88000000000002</v>
      </c>
      <c r="S780">
        <v>162.98999999999995</v>
      </c>
      <c r="T780">
        <v>0.42107574661568659</v>
      </c>
      <c r="U780" s="1">
        <v>45536</v>
      </c>
      <c r="V780" t="s">
        <v>2499</v>
      </c>
      <c r="W780">
        <v>2024</v>
      </c>
    </row>
    <row r="781" spans="1:23" x14ac:dyDescent="0.25">
      <c r="A781" t="s">
        <v>828</v>
      </c>
      <c r="B781" s="1">
        <v>45544</v>
      </c>
      <c r="C781" s="1">
        <v>45548</v>
      </c>
      <c r="D781" t="s">
        <v>23</v>
      </c>
      <c r="E781" t="s">
        <v>24</v>
      </c>
      <c r="F781" t="s">
        <v>25</v>
      </c>
      <c r="G781" t="s">
        <v>16</v>
      </c>
      <c r="H781" t="s">
        <v>39</v>
      </c>
      <c r="I781">
        <v>1</v>
      </c>
      <c r="J781">
        <v>0.25</v>
      </c>
      <c r="K781">
        <v>163.61000000000001</v>
      </c>
      <c r="L781">
        <v>5.75</v>
      </c>
      <c r="M781" t="s">
        <v>2471</v>
      </c>
      <c r="N781" t="s">
        <v>2467</v>
      </c>
      <c r="O781" t="s">
        <v>2461</v>
      </c>
      <c r="P781">
        <v>112.09</v>
      </c>
      <c r="Q781">
        <v>192.47</v>
      </c>
      <c r="R781">
        <v>112.09</v>
      </c>
      <c r="S781">
        <v>45.77000000000001</v>
      </c>
      <c r="T781">
        <v>0.27975062648982341</v>
      </c>
      <c r="U781" s="1">
        <v>45536</v>
      </c>
      <c r="V781" t="s">
        <v>2501</v>
      </c>
      <c r="W781">
        <v>2024</v>
      </c>
    </row>
    <row r="782" spans="1:23" x14ac:dyDescent="0.25">
      <c r="A782" t="s">
        <v>829</v>
      </c>
      <c r="B782" s="1">
        <v>45778</v>
      </c>
      <c r="C782" s="1">
        <v>45780</v>
      </c>
      <c r="D782" t="s">
        <v>47</v>
      </c>
      <c r="E782" t="s">
        <v>71</v>
      </c>
      <c r="F782" t="s">
        <v>29</v>
      </c>
      <c r="G782" t="s">
        <v>26</v>
      </c>
      <c r="H782" t="s">
        <v>17</v>
      </c>
      <c r="I782">
        <v>2</v>
      </c>
      <c r="J782">
        <v>0</v>
      </c>
      <c r="K782">
        <v>250.13</v>
      </c>
      <c r="L782">
        <v>4.2</v>
      </c>
      <c r="M782" t="s">
        <v>2472</v>
      </c>
      <c r="N782" t="s">
        <v>2467</v>
      </c>
      <c r="O782" t="s">
        <v>2468</v>
      </c>
      <c r="P782">
        <v>63.69</v>
      </c>
      <c r="Q782">
        <v>125.5</v>
      </c>
      <c r="R782">
        <v>127.38</v>
      </c>
      <c r="S782">
        <v>118.55</v>
      </c>
      <c r="T782">
        <v>0.47395354415703833</v>
      </c>
      <c r="U782" s="1">
        <v>45778</v>
      </c>
      <c r="V782" t="s">
        <v>2499</v>
      </c>
      <c r="W782">
        <v>2025</v>
      </c>
    </row>
    <row r="783" spans="1:23" x14ac:dyDescent="0.25">
      <c r="A783" t="s">
        <v>830</v>
      </c>
      <c r="B783" s="1">
        <v>46009</v>
      </c>
      <c r="C783" s="1">
        <v>46015</v>
      </c>
      <c r="D783" t="s">
        <v>13</v>
      </c>
      <c r="E783" t="s">
        <v>14</v>
      </c>
      <c r="F783" t="s">
        <v>25</v>
      </c>
      <c r="G783" t="s">
        <v>26</v>
      </c>
      <c r="H783" t="s">
        <v>27</v>
      </c>
      <c r="I783">
        <v>14</v>
      </c>
      <c r="J783">
        <v>0.15</v>
      </c>
      <c r="K783">
        <v>484.61</v>
      </c>
      <c r="L783">
        <v>6.48</v>
      </c>
      <c r="M783" t="s">
        <v>2478</v>
      </c>
      <c r="N783" t="s">
        <v>2474</v>
      </c>
      <c r="O783" t="s">
        <v>2463</v>
      </c>
      <c r="P783">
        <v>16.760000000000002</v>
      </c>
      <c r="Q783">
        <v>27.71</v>
      </c>
      <c r="R783">
        <v>234.64000000000001</v>
      </c>
      <c r="S783">
        <v>243.49</v>
      </c>
      <c r="T783">
        <v>0.50244526526485211</v>
      </c>
      <c r="U783" s="1">
        <v>45992</v>
      </c>
      <c r="V783" t="s">
        <v>2500</v>
      </c>
      <c r="W783">
        <v>2025</v>
      </c>
    </row>
    <row r="784" spans="1:23" x14ac:dyDescent="0.25">
      <c r="A784" t="s">
        <v>831</v>
      </c>
      <c r="B784" s="1">
        <v>45925</v>
      </c>
      <c r="C784" s="1">
        <v>45931</v>
      </c>
      <c r="D784" t="s">
        <v>23</v>
      </c>
      <c r="E784" t="s">
        <v>24</v>
      </c>
      <c r="F784" t="s">
        <v>25</v>
      </c>
      <c r="G784" t="s">
        <v>20</v>
      </c>
      <c r="H784" t="s">
        <v>21</v>
      </c>
      <c r="I784">
        <v>1</v>
      </c>
      <c r="J784">
        <v>0.1</v>
      </c>
      <c r="K784">
        <v>109.64</v>
      </c>
      <c r="L784">
        <v>4.08</v>
      </c>
      <c r="M784" t="s">
        <v>2462</v>
      </c>
      <c r="N784" t="s">
        <v>2458</v>
      </c>
      <c r="O784" t="s">
        <v>2463</v>
      </c>
      <c r="P784">
        <v>71.489999999999995</v>
      </c>
      <c r="Q784">
        <v>112.88</v>
      </c>
      <c r="R784">
        <v>71.489999999999995</v>
      </c>
      <c r="S784">
        <v>34.070000000000007</v>
      </c>
      <c r="T784">
        <v>0.31074425392192639</v>
      </c>
      <c r="U784" s="1">
        <v>45901</v>
      </c>
      <c r="V784" t="s">
        <v>2498</v>
      </c>
      <c r="W784">
        <v>2025</v>
      </c>
    </row>
    <row r="785" spans="1:23" x14ac:dyDescent="0.25">
      <c r="A785" t="s">
        <v>832</v>
      </c>
      <c r="B785" s="1">
        <v>45657</v>
      </c>
      <c r="C785" s="1">
        <v>45658</v>
      </c>
      <c r="D785" t="s">
        <v>47</v>
      </c>
      <c r="E785" t="s">
        <v>71</v>
      </c>
      <c r="F785" t="s">
        <v>25</v>
      </c>
      <c r="G785" t="s">
        <v>26</v>
      </c>
      <c r="H785" t="s">
        <v>17</v>
      </c>
      <c r="I785">
        <v>1</v>
      </c>
      <c r="J785">
        <v>0</v>
      </c>
      <c r="K785">
        <v>168.87</v>
      </c>
      <c r="L785">
        <v>5.75</v>
      </c>
      <c r="M785" t="s">
        <v>2472</v>
      </c>
      <c r="N785" t="s">
        <v>2467</v>
      </c>
      <c r="O785" t="s">
        <v>2468</v>
      </c>
      <c r="P785">
        <v>63.69</v>
      </c>
      <c r="Q785">
        <v>125.5</v>
      </c>
      <c r="R785">
        <v>63.69</v>
      </c>
      <c r="S785">
        <v>99.43</v>
      </c>
      <c r="T785">
        <v>0.58879611535500687</v>
      </c>
      <c r="U785" s="1">
        <v>45627</v>
      </c>
      <c r="V785" t="s">
        <v>2499</v>
      </c>
      <c r="W785">
        <v>2024</v>
      </c>
    </row>
    <row r="786" spans="1:23" x14ac:dyDescent="0.25">
      <c r="A786" t="s">
        <v>833</v>
      </c>
      <c r="B786" s="1">
        <v>45716</v>
      </c>
      <c r="C786" s="1">
        <v>45717</v>
      </c>
      <c r="D786" t="s">
        <v>47</v>
      </c>
      <c r="E786" t="s">
        <v>48</v>
      </c>
      <c r="F786" t="s">
        <v>25</v>
      </c>
      <c r="G786" t="s">
        <v>20</v>
      </c>
      <c r="H786" t="s">
        <v>34</v>
      </c>
      <c r="I786">
        <v>3</v>
      </c>
      <c r="J786">
        <v>0</v>
      </c>
      <c r="K786">
        <v>544.79999999999995</v>
      </c>
      <c r="L786">
        <v>11.4</v>
      </c>
      <c r="M786" t="s">
        <v>2460</v>
      </c>
      <c r="N786" t="s">
        <v>2458</v>
      </c>
      <c r="O786" t="s">
        <v>2461</v>
      </c>
      <c r="P786">
        <v>119.02</v>
      </c>
      <c r="Q786">
        <v>205.39</v>
      </c>
      <c r="R786">
        <v>357.06</v>
      </c>
      <c r="S786">
        <v>176.33999999999995</v>
      </c>
      <c r="T786">
        <v>0.32367841409691622</v>
      </c>
      <c r="U786" s="1">
        <v>45689</v>
      </c>
      <c r="V786" t="s">
        <v>2499</v>
      </c>
      <c r="W786">
        <v>2025</v>
      </c>
    </row>
    <row r="787" spans="1:23" x14ac:dyDescent="0.25">
      <c r="A787" t="s">
        <v>834</v>
      </c>
      <c r="B787" s="1">
        <v>45708</v>
      </c>
      <c r="C787" s="1">
        <v>45710</v>
      </c>
      <c r="D787" t="s">
        <v>13</v>
      </c>
      <c r="E787" t="s">
        <v>14</v>
      </c>
      <c r="F787" t="s">
        <v>25</v>
      </c>
      <c r="G787" t="s">
        <v>20</v>
      </c>
      <c r="H787" t="s">
        <v>68</v>
      </c>
      <c r="I787">
        <v>4</v>
      </c>
      <c r="J787">
        <v>0.1</v>
      </c>
      <c r="K787">
        <v>158.87</v>
      </c>
      <c r="L787">
        <v>9.5</v>
      </c>
      <c r="M787" t="s">
        <v>2466</v>
      </c>
      <c r="N787" t="s">
        <v>2467</v>
      </c>
      <c r="O787" t="s">
        <v>2468</v>
      </c>
      <c r="P787">
        <v>25.33</v>
      </c>
      <c r="Q787">
        <v>51.56</v>
      </c>
      <c r="R787">
        <v>101.32</v>
      </c>
      <c r="S787">
        <v>48.050000000000011</v>
      </c>
      <c r="T787">
        <v>0.30244854283376349</v>
      </c>
      <c r="U787" s="1">
        <v>45689</v>
      </c>
      <c r="V787" t="s">
        <v>2498</v>
      </c>
      <c r="W787">
        <v>2025</v>
      </c>
    </row>
    <row r="788" spans="1:23" x14ac:dyDescent="0.25">
      <c r="A788" t="s">
        <v>835</v>
      </c>
      <c r="B788" s="1">
        <v>45454</v>
      </c>
      <c r="C788" s="1">
        <v>45459</v>
      </c>
      <c r="D788" t="s">
        <v>32</v>
      </c>
      <c r="E788" t="s">
        <v>45</v>
      </c>
      <c r="F788" t="s">
        <v>25</v>
      </c>
      <c r="G788" t="s">
        <v>20</v>
      </c>
      <c r="H788" t="s">
        <v>53</v>
      </c>
      <c r="I788">
        <v>3</v>
      </c>
      <c r="J788">
        <v>0</v>
      </c>
      <c r="K788">
        <v>182.01</v>
      </c>
      <c r="L788">
        <v>4.95</v>
      </c>
      <c r="M788" t="s">
        <v>2470</v>
      </c>
      <c r="N788" t="s">
        <v>2467</v>
      </c>
      <c r="O788" t="s">
        <v>2459</v>
      </c>
      <c r="P788">
        <v>31.34</v>
      </c>
      <c r="Q788">
        <v>56.49</v>
      </c>
      <c r="R788">
        <v>94.02</v>
      </c>
      <c r="S788">
        <v>83.039999999999992</v>
      </c>
      <c r="T788">
        <v>0.45623866820504366</v>
      </c>
      <c r="U788" s="1">
        <v>45444</v>
      </c>
      <c r="V788" t="s">
        <v>2499</v>
      </c>
      <c r="W788">
        <v>2024</v>
      </c>
    </row>
    <row r="789" spans="1:23" x14ac:dyDescent="0.25">
      <c r="A789" t="s">
        <v>836</v>
      </c>
      <c r="B789" s="1">
        <v>45609</v>
      </c>
      <c r="C789" s="1">
        <v>45613</v>
      </c>
      <c r="D789" t="s">
        <v>13</v>
      </c>
      <c r="E789" t="s">
        <v>36</v>
      </c>
      <c r="F789" t="s">
        <v>29</v>
      </c>
      <c r="G789" t="s">
        <v>20</v>
      </c>
      <c r="H789" t="s">
        <v>21</v>
      </c>
      <c r="I789">
        <v>3</v>
      </c>
      <c r="J789">
        <v>0</v>
      </c>
      <c r="K789">
        <v>469.74</v>
      </c>
      <c r="L789">
        <v>6.84</v>
      </c>
      <c r="M789" t="s">
        <v>2462</v>
      </c>
      <c r="N789" t="s">
        <v>2458</v>
      </c>
      <c r="O789" t="s">
        <v>2463</v>
      </c>
      <c r="P789">
        <v>71.489999999999995</v>
      </c>
      <c r="Q789">
        <v>112.88</v>
      </c>
      <c r="R789">
        <v>214.46999999999997</v>
      </c>
      <c r="S789">
        <v>248.43000000000004</v>
      </c>
      <c r="T789">
        <v>0.52886703282667014</v>
      </c>
      <c r="U789" s="1">
        <v>45597</v>
      </c>
      <c r="V789" t="s">
        <v>2499</v>
      </c>
      <c r="W789">
        <v>2024</v>
      </c>
    </row>
    <row r="790" spans="1:23" x14ac:dyDescent="0.25">
      <c r="A790" t="s">
        <v>837</v>
      </c>
      <c r="B790" s="1">
        <v>45753</v>
      </c>
      <c r="C790" s="1">
        <v>45755</v>
      </c>
      <c r="D790" t="s">
        <v>32</v>
      </c>
      <c r="E790" t="s">
        <v>45</v>
      </c>
      <c r="F790" t="s">
        <v>29</v>
      </c>
      <c r="G790" t="s">
        <v>26</v>
      </c>
      <c r="H790" t="s">
        <v>17</v>
      </c>
      <c r="I790">
        <v>1</v>
      </c>
      <c r="J790">
        <v>0</v>
      </c>
      <c r="K790">
        <v>126.42</v>
      </c>
      <c r="L790">
        <v>5.75</v>
      </c>
      <c r="M790" t="s">
        <v>2472</v>
      </c>
      <c r="N790" t="s">
        <v>2467</v>
      </c>
      <c r="O790" t="s">
        <v>2468</v>
      </c>
      <c r="P790">
        <v>63.69</v>
      </c>
      <c r="Q790">
        <v>125.5</v>
      </c>
      <c r="R790">
        <v>63.69</v>
      </c>
      <c r="S790">
        <v>56.980000000000004</v>
      </c>
      <c r="T790">
        <v>0.45071982281284612</v>
      </c>
      <c r="U790" s="1">
        <v>45748</v>
      </c>
      <c r="V790" t="s">
        <v>2499</v>
      </c>
      <c r="W790">
        <v>2025</v>
      </c>
    </row>
    <row r="791" spans="1:23" x14ac:dyDescent="0.25">
      <c r="A791" t="s">
        <v>838</v>
      </c>
      <c r="B791" s="1">
        <v>45735</v>
      </c>
      <c r="C791" s="1">
        <v>45738</v>
      </c>
      <c r="D791" t="s">
        <v>32</v>
      </c>
      <c r="E791" t="s">
        <v>45</v>
      </c>
      <c r="F791" t="s">
        <v>29</v>
      </c>
      <c r="G791" t="s">
        <v>26</v>
      </c>
      <c r="H791" t="s">
        <v>53</v>
      </c>
      <c r="I791">
        <v>2</v>
      </c>
      <c r="J791">
        <v>0.25</v>
      </c>
      <c r="K791">
        <v>78.98</v>
      </c>
      <c r="L791">
        <v>7</v>
      </c>
      <c r="M791" t="s">
        <v>2470</v>
      </c>
      <c r="N791" t="s">
        <v>2467</v>
      </c>
      <c r="O791" t="s">
        <v>2459</v>
      </c>
      <c r="P791">
        <v>31.34</v>
      </c>
      <c r="Q791">
        <v>56.49</v>
      </c>
      <c r="R791">
        <v>62.68</v>
      </c>
      <c r="S791">
        <v>9.3000000000000043</v>
      </c>
      <c r="T791">
        <v>0.11775132945049384</v>
      </c>
      <c r="U791" s="1">
        <v>45717</v>
      </c>
      <c r="V791" t="s">
        <v>2501</v>
      </c>
      <c r="W791">
        <v>2025</v>
      </c>
    </row>
    <row r="792" spans="1:23" x14ac:dyDescent="0.25">
      <c r="A792" t="s">
        <v>839</v>
      </c>
      <c r="B792" s="1">
        <v>45975</v>
      </c>
      <c r="C792" s="1">
        <v>45976</v>
      </c>
      <c r="D792" t="s">
        <v>13</v>
      </c>
      <c r="E792" t="s">
        <v>14</v>
      </c>
      <c r="F792" t="s">
        <v>15</v>
      </c>
      <c r="G792" t="s">
        <v>26</v>
      </c>
      <c r="H792" t="s">
        <v>87</v>
      </c>
      <c r="I792">
        <v>14</v>
      </c>
      <c r="J792">
        <v>0.2</v>
      </c>
      <c r="K792">
        <v>119.67</v>
      </c>
      <c r="L792">
        <v>10.8</v>
      </c>
      <c r="M792" t="s">
        <v>2476</v>
      </c>
      <c r="N792" t="s">
        <v>2474</v>
      </c>
      <c r="O792" t="s">
        <v>2459</v>
      </c>
      <c r="P792">
        <v>4.5</v>
      </c>
      <c r="Q792">
        <v>8.2899999999999991</v>
      </c>
      <c r="R792">
        <v>63</v>
      </c>
      <c r="S792">
        <v>45.870000000000005</v>
      </c>
      <c r="T792">
        <v>0.38330408623715218</v>
      </c>
      <c r="U792" s="1">
        <v>45962</v>
      </c>
      <c r="V792" t="s">
        <v>2500</v>
      </c>
      <c r="W792">
        <v>2025</v>
      </c>
    </row>
    <row r="793" spans="1:23" x14ac:dyDescent="0.25">
      <c r="A793" t="s">
        <v>840</v>
      </c>
      <c r="B793" s="1">
        <v>45821</v>
      </c>
      <c r="C793" s="1">
        <v>45826</v>
      </c>
      <c r="D793" t="s">
        <v>23</v>
      </c>
      <c r="E793" t="s">
        <v>59</v>
      </c>
      <c r="F793" t="s">
        <v>25</v>
      </c>
      <c r="G793" t="s">
        <v>16</v>
      </c>
      <c r="H793" t="s">
        <v>41</v>
      </c>
      <c r="I793">
        <v>7</v>
      </c>
      <c r="J793">
        <v>0.1</v>
      </c>
      <c r="K793">
        <v>39.01</v>
      </c>
      <c r="L793">
        <v>4.59</v>
      </c>
      <c r="M793" t="s">
        <v>2479</v>
      </c>
      <c r="N793" t="s">
        <v>2474</v>
      </c>
      <c r="O793" t="s">
        <v>2459</v>
      </c>
      <c r="P793">
        <v>3.3</v>
      </c>
      <c r="Q793">
        <v>6.13</v>
      </c>
      <c r="R793">
        <v>23.099999999999998</v>
      </c>
      <c r="S793">
        <v>11.32</v>
      </c>
      <c r="T793">
        <v>0.29018200461420152</v>
      </c>
      <c r="U793" s="1">
        <v>45809</v>
      </c>
      <c r="V793" t="s">
        <v>2498</v>
      </c>
      <c r="W793">
        <v>2025</v>
      </c>
    </row>
    <row r="794" spans="1:23" x14ac:dyDescent="0.25">
      <c r="A794" t="s">
        <v>841</v>
      </c>
      <c r="B794" s="1">
        <v>45528</v>
      </c>
      <c r="C794" s="1">
        <v>45534</v>
      </c>
      <c r="D794" t="s">
        <v>32</v>
      </c>
      <c r="E794" t="s">
        <v>33</v>
      </c>
      <c r="F794" t="s">
        <v>29</v>
      </c>
      <c r="G794" t="s">
        <v>16</v>
      </c>
      <c r="H794" t="s">
        <v>87</v>
      </c>
      <c r="I794">
        <v>5</v>
      </c>
      <c r="J794">
        <v>0</v>
      </c>
      <c r="K794">
        <v>39.35</v>
      </c>
      <c r="L794">
        <v>6.75</v>
      </c>
      <c r="M794" t="s">
        <v>2476</v>
      </c>
      <c r="N794" t="s">
        <v>2474</v>
      </c>
      <c r="O794" t="s">
        <v>2459</v>
      </c>
      <c r="P794">
        <v>4.5</v>
      </c>
      <c r="Q794">
        <v>8.2899999999999991</v>
      </c>
      <c r="R794">
        <v>22.5</v>
      </c>
      <c r="S794">
        <v>10.100000000000001</v>
      </c>
      <c r="T794">
        <v>0.25667090216010169</v>
      </c>
      <c r="U794" s="1">
        <v>45505</v>
      </c>
      <c r="V794" t="s">
        <v>2499</v>
      </c>
      <c r="W794">
        <v>2024</v>
      </c>
    </row>
    <row r="795" spans="1:23" x14ac:dyDescent="0.25">
      <c r="A795" t="s">
        <v>842</v>
      </c>
      <c r="B795" s="1">
        <v>45579</v>
      </c>
      <c r="C795" s="1">
        <v>45585</v>
      </c>
      <c r="D795" t="s">
        <v>47</v>
      </c>
      <c r="E795" t="s">
        <v>48</v>
      </c>
      <c r="F795" t="s">
        <v>25</v>
      </c>
      <c r="G795" t="s">
        <v>20</v>
      </c>
      <c r="H795" t="s">
        <v>65</v>
      </c>
      <c r="I795">
        <v>2</v>
      </c>
      <c r="J795">
        <v>0.25</v>
      </c>
      <c r="K795">
        <v>506.82</v>
      </c>
      <c r="L795">
        <v>5.46</v>
      </c>
      <c r="M795" t="s">
        <v>2457</v>
      </c>
      <c r="N795" t="s">
        <v>2458</v>
      </c>
      <c r="O795" t="s">
        <v>2459</v>
      </c>
      <c r="P795">
        <v>173.56</v>
      </c>
      <c r="Q795">
        <v>286.14999999999998</v>
      </c>
      <c r="R795">
        <v>347.12</v>
      </c>
      <c r="S795">
        <v>154.23999999999998</v>
      </c>
      <c r="T795">
        <v>0.30432895307998892</v>
      </c>
      <c r="U795" s="1">
        <v>45566</v>
      </c>
      <c r="V795" t="s">
        <v>2501</v>
      </c>
      <c r="W795">
        <v>2024</v>
      </c>
    </row>
    <row r="796" spans="1:23" x14ac:dyDescent="0.25">
      <c r="A796" t="s">
        <v>843</v>
      </c>
      <c r="B796" s="1">
        <v>45756</v>
      </c>
      <c r="C796" s="1">
        <v>45758</v>
      </c>
      <c r="D796" t="s">
        <v>23</v>
      </c>
      <c r="E796" t="s">
        <v>43</v>
      </c>
      <c r="F796" t="s">
        <v>15</v>
      </c>
      <c r="G796" t="s">
        <v>16</v>
      </c>
      <c r="H796" t="s">
        <v>34</v>
      </c>
      <c r="I796">
        <v>2</v>
      </c>
      <c r="J796">
        <v>0</v>
      </c>
      <c r="K796">
        <v>409.41</v>
      </c>
      <c r="L796">
        <v>9.1</v>
      </c>
      <c r="M796" t="s">
        <v>2460</v>
      </c>
      <c r="N796" t="s">
        <v>2458</v>
      </c>
      <c r="O796" t="s">
        <v>2461</v>
      </c>
      <c r="P796">
        <v>119.02</v>
      </c>
      <c r="Q796">
        <v>205.39</v>
      </c>
      <c r="R796">
        <v>238.04</v>
      </c>
      <c r="S796">
        <v>162.27000000000004</v>
      </c>
      <c r="T796">
        <v>0.39635084633985496</v>
      </c>
      <c r="U796" s="1">
        <v>45748</v>
      </c>
      <c r="V796" t="s">
        <v>2499</v>
      </c>
      <c r="W796">
        <v>2025</v>
      </c>
    </row>
    <row r="797" spans="1:23" x14ac:dyDescent="0.25">
      <c r="A797" t="s">
        <v>844</v>
      </c>
      <c r="B797" s="1">
        <v>45329</v>
      </c>
      <c r="C797" s="1">
        <v>45331</v>
      </c>
      <c r="D797" t="s">
        <v>23</v>
      </c>
      <c r="E797" t="s">
        <v>24</v>
      </c>
      <c r="F797" t="s">
        <v>15</v>
      </c>
      <c r="G797" t="s">
        <v>26</v>
      </c>
      <c r="H797" t="s">
        <v>63</v>
      </c>
      <c r="I797">
        <v>11</v>
      </c>
      <c r="J797">
        <v>0</v>
      </c>
      <c r="K797">
        <v>117</v>
      </c>
      <c r="L797">
        <v>5.67</v>
      </c>
      <c r="M797" t="s">
        <v>2477</v>
      </c>
      <c r="N797" t="s">
        <v>2474</v>
      </c>
      <c r="O797" t="s">
        <v>2468</v>
      </c>
      <c r="P797">
        <v>6.33</v>
      </c>
      <c r="Q797">
        <v>12.16</v>
      </c>
      <c r="R797">
        <v>69.63</v>
      </c>
      <c r="S797">
        <v>41.7</v>
      </c>
      <c r="T797">
        <v>0.35641025641025642</v>
      </c>
      <c r="U797" s="1">
        <v>45323</v>
      </c>
      <c r="V797" t="s">
        <v>2499</v>
      </c>
      <c r="W797">
        <v>2024</v>
      </c>
    </row>
    <row r="798" spans="1:23" x14ac:dyDescent="0.25">
      <c r="A798" t="s">
        <v>845</v>
      </c>
      <c r="B798" s="1">
        <v>45339</v>
      </c>
      <c r="C798" s="1">
        <v>45344</v>
      </c>
      <c r="D798" t="s">
        <v>32</v>
      </c>
      <c r="E798" t="s">
        <v>62</v>
      </c>
      <c r="F798" t="s">
        <v>25</v>
      </c>
      <c r="G798" t="s">
        <v>16</v>
      </c>
      <c r="H798" t="s">
        <v>34</v>
      </c>
      <c r="I798">
        <v>3</v>
      </c>
      <c r="J798">
        <v>0</v>
      </c>
      <c r="K798">
        <v>560.16999999999996</v>
      </c>
      <c r="L798">
        <v>6.84</v>
      </c>
      <c r="M798" t="s">
        <v>2460</v>
      </c>
      <c r="N798" t="s">
        <v>2458</v>
      </c>
      <c r="O798" t="s">
        <v>2461</v>
      </c>
      <c r="P798">
        <v>119.02</v>
      </c>
      <c r="Q798">
        <v>205.39</v>
      </c>
      <c r="R798">
        <v>357.06</v>
      </c>
      <c r="S798">
        <v>196.26999999999995</v>
      </c>
      <c r="T798">
        <v>0.35037577878144127</v>
      </c>
      <c r="U798" s="1">
        <v>45323</v>
      </c>
      <c r="V798" t="s">
        <v>2499</v>
      </c>
      <c r="W798">
        <v>2024</v>
      </c>
    </row>
    <row r="799" spans="1:23" x14ac:dyDescent="0.25">
      <c r="A799" t="s">
        <v>846</v>
      </c>
      <c r="B799" s="1">
        <v>45928</v>
      </c>
      <c r="C799" s="1">
        <v>45930</v>
      </c>
      <c r="D799" t="s">
        <v>47</v>
      </c>
      <c r="E799" t="s">
        <v>48</v>
      </c>
      <c r="F799" t="s">
        <v>25</v>
      </c>
      <c r="G799" t="s">
        <v>20</v>
      </c>
      <c r="H799" t="s">
        <v>41</v>
      </c>
      <c r="I799">
        <v>11</v>
      </c>
      <c r="J799">
        <v>0.2</v>
      </c>
      <c r="K799">
        <v>59.73</v>
      </c>
      <c r="L799">
        <v>5.67</v>
      </c>
      <c r="M799" t="s">
        <v>2479</v>
      </c>
      <c r="N799" t="s">
        <v>2474</v>
      </c>
      <c r="O799" t="s">
        <v>2459</v>
      </c>
      <c r="P799">
        <v>3.3</v>
      </c>
      <c r="Q799">
        <v>6.13</v>
      </c>
      <c r="R799">
        <v>36.299999999999997</v>
      </c>
      <c r="S799">
        <v>17.759999999999998</v>
      </c>
      <c r="T799">
        <v>0.29733802109492713</v>
      </c>
      <c r="U799" s="1">
        <v>45901</v>
      </c>
      <c r="V799" t="s">
        <v>2500</v>
      </c>
      <c r="W799">
        <v>2025</v>
      </c>
    </row>
    <row r="800" spans="1:23" x14ac:dyDescent="0.25">
      <c r="A800" t="s">
        <v>847</v>
      </c>
      <c r="B800" s="1">
        <v>45372</v>
      </c>
      <c r="C800" s="1">
        <v>45378</v>
      </c>
      <c r="D800" t="s">
        <v>23</v>
      </c>
      <c r="E800" t="s">
        <v>43</v>
      </c>
      <c r="F800" t="s">
        <v>15</v>
      </c>
      <c r="G800" t="s">
        <v>20</v>
      </c>
      <c r="H800" t="s">
        <v>41</v>
      </c>
      <c r="I800">
        <v>7</v>
      </c>
      <c r="J800">
        <v>0</v>
      </c>
      <c r="K800">
        <v>41.02</v>
      </c>
      <c r="L800">
        <v>7.65</v>
      </c>
      <c r="M800" t="s">
        <v>2479</v>
      </c>
      <c r="N800" t="s">
        <v>2474</v>
      </c>
      <c r="O800" t="s">
        <v>2459</v>
      </c>
      <c r="P800">
        <v>3.3</v>
      </c>
      <c r="Q800">
        <v>6.13</v>
      </c>
      <c r="R800">
        <v>23.099999999999998</v>
      </c>
      <c r="S800">
        <v>10.270000000000005</v>
      </c>
      <c r="T800">
        <v>0.25036567528035114</v>
      </c>
      <c r="U800" s="1">
        <v>45352</v>
      </c>
      <c r="V800" t="s">
        <v>2499</v>
      </c>
      <c r="W800">
        <v>2024</v>
      </c>
    </row>
    <row r="801" spans="1:23" x14ac:dyDescent="0.25">
      <c r="A801" t="s">
        <v>848</v>
      </c>
      <c r="B801" s="1">
        <v>45777</v>
      </c>
      <c r="C801" s="1">
        <v>45778</v>
      </c>
      <c r="D801" t="s">
        <v>47</v>
      </c>
      <c r="E801" t="s">
        <v>71</v>
      </c>
      <c r="F801" t="s">
        <v>29</v>
      </c>
      <c r="G801" t="s">
        <v>26</v>
      </c>
      <c r="H801" t="s">
        <v>60</v>
      </c>
      <c r="I801">
        <v>4</v>
      </c>
      <c r="J801">
        <v>0</v>
      </c>
      <c r="K801">
        <v>462.5</v>
      </c>
      <c r="L801">
        <v>5.7</v>
      </c>
      <c r="M801" t="s">
        <v>2469</v>
      </c>
      <c r="N801" t="s">
        <v>2467</v>
      </c>
      <c r="O801" t="s">
        <v>2468</v>
      </c>
      <c r="P801">
        <v>54.95</v>
      </c>
      <c r="Q801">
        <v>112.56</v>
      </c>
      <c r="R801">
        <v>219.8</v>
      </c>
      <c r="S801">
        <v>237</v>
      </c>
      <c r="T801">
        <v>0.51243243243243242</v>
      </c>
      <c r="U801" s="1">
        <v>45748</v>
      </c>
      <c r="V801" t="s">
        <v>2499</v>
      </c>
      <c r="W801">
        <v>2025</v>
      </c>
    </row>
    <row r="802" spans="1:23" x14ac:dyDescent="0.25">
      <c r="A802" t="s">
        <v>849</v>
      </c>
      <c r="B802" s="1">
        <v>45467</v>
      </c>
      <c r="C802" s="1">
        <v>45472</v>
      </c>
      <c r="D802" t="s">
        <v>23</v>
      </c>
      <c r="E802" t="s">
        <v>59</v>
      </c>
      <c r="F802" t="s">
        <v>29</v>
      </c>
      <c r="G802" t="s">
        <v>16</v>
      </c>
      <c r="H802" t="s">
        <v>39</v>
      </c>
      <c r="I802">
        <v>1</v>
      </c>
      <c r="J802">
        <v>0</v>
      </c>
      <c r="K802">
        <v>199.77</v>
      </c>
      <c r="L802">
        <v>3.45</v>
      </c>
      <c r="M802" t="s">
        <v>2471</v>
      </c>
      <c r="N802" t="s">
        <v>2467</v>
      </c>
      <c r="O802" t="s">
        <v>2461</v>
      </c>
      <c r="P802">
        <v>112.09</v>
      </c>
      <c r="Q802">
        <v>192.47</v>
      </c>
      <c r="R802">
        <v>112.09</v>
      </c>
      <c r="S802">
        <v>84.23</v>
      </c>
      <c r="T802">
        <v>0.42163488011212896</v>
      </c>
      <c r="U802" s="1">
        <v>45444</v>
      </c>
      <c r="V802" t="s">
        <v>2499</v>
      </c>
      <c r="W802">
        <v>2024</v>
      </c>
    </row>
    <row r="803" spans="1:23" x14ac:dyDescent="0.25">
      <c r="A803" t="s">
        <v>850</v>
      </c>
      <c r="B803" s="1">
        <v>45387</v>
      </c>
      <c r="C803" s="1">
        <v>45389</v>
      </c>
      <c r="D803" t="s">
        <v>47</v>
      </c>
      <c r="E803" t="s">
        <v>48</v>
      </c>
      <c r="F803" t="s">
        <v>15</v>
      </c>
      <c r="G803" t="s">
        <v>26</v>
      </c>
      <c r="H803" t="s">
        <v>34</v>
      </c>
      <c r="I803">
        <v>2</v>
      </c>
      <c r="J803">
        <v>0.1</v>
      </c>
      <c r="K803">
        <v>352.02</v>
      </c>
      <c r="L803">
        <v>5.46</v>
      </c>
      <c r="M803" t="s">
        <v>2460</v>
      </c>
      <c r="N803" t="s">
        <v>2458</v>
      </c>
      <c r="O803" t="s">
        <v>2461</v>
      </c>
      <c r="P803">
        <v>119.02</v>
      </c>
      <c r="Q803">
        <v>205.39</v>
      </c>
      <c r="R803">
        <v>238.04</v>
      </c>
      <c r="S803">
        <v>108.52</v>
      </c>
      <c r="T803">
        <v>0.30827793875347992</v>
      </c>
      <c r="U803" s="1">
        <v>45383</v>
      </c>
      <c r="V803" t="s">
        <v>2498</v>
      </c>
      <c r="W803">
        <v>2024</v>
      </c>
    </row>
    <row r="804" spans="1:23" x14ac:dyDescent="0.25">
      <c r="A804" t="s">
        <v>851</v>
      </c>
      <c r="B804" s="1">
        <v>45461</v>
      </c>
      <c r="C804" s="1">
        <v>45464</v>
      </c>
      <c r="D804" t="s">
        <v>47</v>
      </c>
      <c r="E804" t="s">
        <v>71</v>
      </c>
      <c r="F804" t="s">
        <v>15</v>
      </c>
      <c r="G804" t="s">
        <v>16</v>
      </c>
      <c r="H804" t="s">
        <v>27</v>
      </c>
      <c r="I804">
        <v>9</v>
      </c>
      <c r="J804">
        <v>0</v>
      </c>
      <c r="K804">
        <v>254.55</v>
      </c>
      <c r="L804">
        <v>5.13</v>
      </c>
      <c r="M804" t="s">
        <v>2478</v>
      </c>
      <c r="N804" t="s">
        <v>2474</v>
      </c>
      <c r="O804" t="s">
        <v>2463</v>
      </c>
      <c r="P804">
        <v>16.760000000000002</v>
      </c>
      <c r="Q804">
        <v>27.71</v>
      </c>
      <c r="R804">
        <v>150.84</v>
      </c>
      <c r="S804">
        <v>98.580000000000013</v>
      </c>
      <c r="T804">
        <v>0.38727165586328821</v>
      </c>
      <c r="U804" s="1">
        <v>45444</v>
      </c>
      <c r="V804" t="s">
        <v>2499</v>
      </c>
      <c r="W804">
        <v>2024</v>
      </c>
    </row>
    <row r="805" spans="1:23" x14ac:dyDescent="0.25">
      <c r="A805" t="s">
        <v>852</v>
      </c>
      <c r="B805" s="1">
        <v>45836</v>
      </c>
      <c r="C805" s="1">
        <v>45837</v>
      </c>
      <c r="D805" t="s">
        <v>47</v>
      </c>
      <c r="E805" t="s">
        <v>71</v>
      </c>
      <c r="F805" t="s">
        <v>25</v>
      </c>
      <c r="G805" t="s">
        <v>16</v>
      </c>
      <c r="H805" t="s">
        <v>17</v>
      </c>
      <c r="I805">
        <v>2</v>
      </c>
      <c r="J805">
        <v>0.15</v>
      </c>
      <c r="K805">
        <v>230.9</v>
      </c>
      <c r="L805">
        <v>4.2</v>
      </c>
      <c r="M805" t="s">
        <v>2472</v>
      </c>
      <c r="N805" t="s">
        <v>2467</v>
      </c>
      <c r="O805" t="s">
        <v>2468</v>
      </c>
      <c r="P805">
        <v>63.69</v>
      </c>
      <c r="Q805">
        <v>125.5</v>
      </c>
      <c r="R805">
        <v>127.38</v>
      </c>
      <c r="S805">
        <v>99.320000000000007</v>
      </c>
      <c r="T805">
        <v>0.43014291901255958</v>
      </c>
      <c r="U805" s="1">
        <v>45809</v>
      </c>
      <c r="V805" t="s">
        <v>2500</v>
      </c>
      <c r="W805">
        <v>2025</v>
      </c>
    </row>
    <row r="806" spans="1:23" x14ac:dyDescent="0.25">
      <c r="A806" t="s">
        <v>853</v>
      </c>
      <c r="B806" s="1">
        <v>45416</v>
      </c>
      <c r="C806" s="1">
        <v>45421</v>
      </c>
      <c r="D806" t="s">
        <v>47</v>
      </c>
      <c r="E806" t="s">
        <v>71</v>
      </c>
      <c r="F806" t="s">
        <v>25</v>
      </c>
      <c r="G806" t="s">
        <v>20</v>
      </c>
      <c r="H806" t="s">
        <v>87</v>
      </c>
      <c r="I806">
        <v>13</v>
      </c>
      <c r="J806">
        <v>0</v>
      </c>
      <c r="K806">
        <v>112.24</v>
      </c>
      <c r="L806">
        <v>6.21</v>
      </c>
      <c r="M806" t="s">
        <v>2476</v>
      </c>
      <c r="N806" t="s">
        <v>2474</v>
      </c>
      <c r="O806" t="s">
        <v>2459</v>
      </c>
      <c r="P806">
        <v>4.5</v>
      </c>
      <c r="Q806">
        <v>8.2899999999999991</v>
      </c>
      <c r="R806">
        <v>58.5</v>
      </c>
      <c r="S806">
        <v>47.529999999999994</v>
      </c>
      <c r="T806">
        <v>0.42346756949394154</v>
      </c>
      <c r="U806" s="1">
        <v>45413</v>
      </c>
      <c r="V806" t="s">
        <v>2499</v>
      </c>
      <c r="W806">
        <v>2024</v>
      </c>
    </row>
    <row r="807" spans="1:23" x14ac:dyDescent="0.25">
      <c r="A807" t="s">
        <v>854</v>
      </c>
      <c r="B807" s="1">
        <v>45884</v>
      </c>
      <c r="C807" s="1">
        <v>45889</v>
      </c>
      <c r="D807" t="s">
        <v>23</v>
      </c>
      <c r="E807" t="s">
        <v>59</v>
      </c>
      <c r="F807" t="s">
        <v>15</v>
      </c>
      <c r="G807" t="s">
        <v>20</v>
      </c>
      <c r="H807" t="s">
        <v>60</v>
      </c>
      <c r="I807">
        <v>1</v>
      </c>
      <c r="J807">
        <v>0.1</v>
      </c>
      <c r="K807">
        <v>91.53</v>
      </c>
      <c r="L807">
        <v>5.75</v>
      </c>
      <c r="M807" t="s">
        <v>2469</v>
      </c>
      <c r="N807" t="s">
        <v>2467</v>
      </c>
      <c r="O807" t="s">
        <v>2468</v>
      </c>
      <c r="P807">
        <v>54.95</v>
      </c>
      <c r="Q807">
        <v>112.56</v>
      </c>
      <c r="R807">
        <v>54.95</v>
      </c>
      <c r="S807">
        <v>30.83</v>
      </c>
      <c r="T807">
        <v>0.33682945482355509</v>
      </c>
      <c r="U807" s="1">
        <v>45870</v>
      </c>
      <c r="V807" t="s">
        <v>2498</v>
      </c>
      <c r="W807">
        <v>2025</v>
      </c>
    </row>
    <row r="808" spans="1:23" x14ac:dyDescent="0.25">
      <c r="A808" t="s">
        <v>855</v>
      </c>
      <c r="B808" s="1">
        <v>45464</v>
      </c>
      <c r="C808" s="1">
        <v>45469</v>
      </c>
      <c r="D808" t="s">
        <v>23</v>
      </c>
      <c r="E808" t="s">
        <v>59</v>
      </c>
      <c r="F808" t="s">
        <v>15</v>
      </c>
      <c r="G808" t="s">
        <v>26</v>
      </c>
      <c r="H808" t="s">
        <v>21</v>
      </c>
      <c r="I808">
        <v>2</v>
      </c>
      <c r="J808">
        <v>0.1</v>
      </c>
      <c r="K808">
        <v>221.23</v>
      </c>
      <c r="L808">
        <v>9.1</v>
      </c>
      <c r="M808" t="s">
        <v>2462</v>
      </c>
      <c r="N808" t="s">
        <v>2458</v>
      </c>
      <c r="O808" t="s">
        <v>2463</v>
      </c>
      <c r="P808">
        <v>71.489999999999995</v>
      </c>
      <c r="Q808">
        <v>112.88</v>
      </c>
      <c r="R808">
        <v>142.97999999999999</v>
      </c>
      <c r="S808">
        <v>69.150000000000006</v>
      </c>
      <c r="T808">
        <v>0.31257062785336531</v>
      </c>
      <c r="U808" s="1">
        <v>45444</v>
      </c>
      <c r="V808" t="s">
        <v>2498</v>
      </c>
      <c r="W808">
        <v>2024</v>
      </c>
    </row>
    <row r="809" spans="1:23" x14ac:dyDescent="0.25">
      <c r="A809" t="s">
        <v>856</v>
      </c>
      <c r="B809" s="1">
        <v>45966</v>
      </c>
      <c r="C809" s="1">
        <v>45969</v>
      </c>
      <c r="D809" t="s">
        <v>32</v>
      </c>
      <c r="E809" t="s">
        <v>62</v>
      </c>
      <c r="F809" t="s">
        <v>29</v>
      </c>
      <c r="G809" t="s">
        <v>26</v>
      </c>
      <c r="H809" t="s">
        <v>68</v>
      </c>
      <c r="I809">
        <v>5</v>
      </c>
      <c r="J809">
        <v>0.25</v>
      </c>
      <c r="K809">
        <v>263.39999999999998</v>
      </c>
      <c r="L809">
        <v>6.45</v>
      </c>
      <c r="M809" t="s">
        <v>2466</v>
      </c>
      <c r="N809" t="s">
        <v>2467</v>
      </c>
      <c r="O809" t="s">
        <v>2468</v>
      </c>
      <c r="P809">
        <v>25.33</v>
      </c>
      <c r="Q809">
        <v>51.56</v>
      </c>
      <c r="R809">
        <v>126.64999999999999</v>
      </c>
      <c r="S809">
        <v>130.30000000000001</v>
      </c>
      <c r="T809">
        <v>0.49468488990129089</v>
      </c>
      <c r="U809" s="1">
        <v>45962</v>
      </c>
      <c r="V809" t="s">
        <v>2501</v>
      </c>
      <c r="W809">
        <v>2025</v>
      </c>
    </row>
    <row r="810" spans="1:23" x14ac:dyDescent="0.25">
      <c r="A810" t="s">
        <v>857</v>
      </c>
      <c r="B810" s="1">
        <v>45908</v>
      </c>
      <c r="C810" s="1">
        <v>45914</v>
      </c>
      <c r="D810" t="s">
        <v>47</v>
      </c>
      <c r="E810" t="s">
        <v>50</v>
      </c>
      <c r="F810" t="s">
        <v>25</v>
      </c>
      <c r="G810" t="s">
        <v>16</v>
      </c>
      <c r="H810" t="s">
        <v>34</v>
      </c>
      <c r="I810">
        <v>1</v>
      </c>
      <c r="J810">
        <v>0.25</v>
      </c>
      <c r="K810">
        <v>159.36000000000001</v>
      </c>
      <c r="L810">
        <v>4.08</v>
      </c>
      <c r="M810" t="s">
        <v>2460</v>
      </c>
      <c r="N810" t="s">
        <v>2458</v>
      </c>
      <c r="O810" t="s">
        <v>2461</v>
      </c>
      <c r="P810">
        <v>119.02</v>
      </c>
      <c r="Q810">
        <v>205.39</v>
      </c>
      <c r="R810">
        <v>119.02</v>
      </c>
      <c r="S810">
        <v>36.260000000000019</v>
      </c>
      <c r="T810">
        <v>0.22753514056224911</v>
      </c>
      <c r="U810" s="1">
        <v>45901</v>
      </c>
      <c r="V810" t="s">
        <v>2501</v>
      </c>
      <c r="W810">
        <v>2025</v>
      </c>
    </row>
    <row r="811" spans="1:23" x14ac:dyDescent="0.25">
      <c r="A811" t="s">
        <v>858</v>
      </c>
      <c r="B811" s="1">
        <v>45978</v>
      </c>
      <c r="C811" s="1">
        <v>45982</v>
      </c>
      <c r="D811" t="s">
        <v>23</v>
      </c>
      <c r="E811" t="s">
        <v>59</v>
      </c>
      <c r="F811" t="s">
        <v>15</v>
      </c>
      <c r="G811" t="s">
        <v>26</v>
      </c>
      <c r="H811" t="s">
        <v>65</v>
      </c>
      <c r="I811">
        <v>2</v>
      </c>
      <c r="J811">
        <v>0.05</v>
      </c>
      <c r="K811">
        <v>771.48</v>
      </c>
      <c r="L811">
        <v>9.1</v>
      </c>
      <c r="M811" t="s">
        <v>2457</v>
      </c>
      <c r="N811" t="s">
        <v>2458</v>
      </c>
      <c r="O811" t="s">
        <v>2459</v>
      </c>
      <c r="P811">
        <v>173.56</v>
      </c>
      <c r="Q811">
        <v>286.14999999999998</v>
      </c>
      <c r="R811">
        <v>347.12</v>
      </c>
      <c r="S811">
        <v>415.26</v>
      </c>
      <c r="T811">
        <v>0.53826411572561828</v>
      </c>
      <c r="U811" s="1">
        <v>45962</v>
      </c>
      <c r="V811" t="s">
        <v>2498</v>
      </c>
      <c r="W811">
        <v>2025</v>
      </c>
    </row>
    <row r="812" spans="1:23" x14ac:dyDescent="0.25">
      <c r="A812" t="s">
        <v>859</v>
      </c>
      <c r="B812" s="1">
        <v>45295</v>
      </c>
      <c r="C812" s="1">
        <v>45298</v>
      </c>
      <c r="D812" t="s">
        <v>13</v>
      </c>
      <c r="E812" t="s">
        <v>19</v>
      </c>
      <c r="F812" t="s">
        <v>29</v>
      </c>
      <c r="G812" t="s">
        <v>16</v>
      </c>
      <c r="H812" t="s">
        <v>27</v>
      </c>
      <c r="I812">
        <v>9</v>
      </c>
      <c r="J812">
        <v>0</v>
      </c>
      <c r="K812">
        <v>214.54</v>
      </c>
      <c r="L812">
        <v>8.5500000000000007</v>
      </c>
      <c r="M812" t="s">
        <v>2478</v>
      </c>
      <c r="N812" t="s">
        <v>2474</v>
      </c>
      <c r="O812" t="s">
        <v>2463</v>
      </c>
      <c r="P812">
        <v>16.760000000000002</v>
      </c>
      <c r="Q812">
        <v>27.71</v>
      </c>
      <c r="R812">
        <v>150.84</v>
      </c>
      <c r="S812">
        <v>55.149999999999991</v>
      </c>
      <c r="T812">
        <v>0.25706162021068329</v>
      </c>
      <c r="U812" s="1">
        <v>45292</v>
      </c>
      <c r="V812" t="s">
        <v>2499</v>
      </c>
      <c r="W812">
        <v>2024</v>
      </c>
    </row>
    <row r="813" spans="1:23" x14ac:dyDescent="0.25">
      <c r="A813" t="s">
        <v>860</v>
      </c>
      <c r="B813" s="1">
        <v>45319</v>
      </c>
      <c r="C813" s="1">
        <v>45323</v>
      </c>
      <c r="D813" t="s">
        <v>23</v>
      </c>
      <c r="E813" t="s">
        <v>59</v>
      </c>
      <c r="F813" t="s">
        <v>15</v>
      </c>
      <c r="G813" t="s">
        <v>26</v>
      </c>
      <c r="H813" t="s">
        <v>37</v>
      </c>
      <c r="I813">
        <v>3</v>
      </c>
      <c r="J813">
        <v>0</v>
      </c>
      <c r="K813">
        <v>284.43</v>
      </c>
      <c r="L813">
        <v>6.84</v>
      </c>
      <c r="M813" t="s">
        <v>2464</v>
      </c>
      <c r="N813" t="s">
        <v>2458</v>
      </c>
      <c r="O813" t="s">
        <v>2465</v>
      </c>
      <c r="P813">
        <v>63.6</v>
      </c>
      <c r="Q813">
        <v>107.94</v>
      </c>
      <c r="R813">
        <v>190.8</v>
      </c>
      <c r="S813">
        <v>86.789999999999992</v>
      </c>
      <c r="T813">
        <v>0.30513658896740847</v>
      </c>
      <c r="U813" s="1">
        <v>45292</v>
      </c>
      <c r="V813" t="s">
        <v>2499</v>
      </c>
      <c r="W813">
        <v>2024</v>
      </c>
    </row>
    <row r="814" spans="1:23" x14ac:dyDescent="0.25">
      <c r="A814" t="s">
        <v>861</v>
      </c>
      <c r="B814" s="1">
        <v>45926</v>
      </c>
      <c r="C814" s="1">
        <v>45930</v>
      </c>
      <c r="D814" t="s">
        <v>32</v>
      </c>
      <c r="E814" t="s">
        <v>33</v>
      </c>
      <c r="F814" t="s">
        <v>15</v>
      </c>
      <c r="G814" t="s">
        <v>26</v>
      </c>
      <c r="H814" t="s">
        <v>63</v>
      </c>
      <c r="I814">
        <v>13</v>
      </c>
      <c r="J814">
        <v>0.15</v>
      </c>
      <c r="K814">
        <v>141.59</v>
      </c>
      <c r="L814">
        <v>10.35</v>
      </c>
      <c r="M814" t="s">
        <v>2477</v>
      </c>
      <c r="N814" t="s">
        <v>2474</v>
      </c>
      <c r="O814" t="s">
        <v>2468</v>
      </c>
      <c r="P814">
        <v>6.33</v>
      </c>
      <c r="Q814">
        <v>12.16</v>
      </c>
      <c r="R814">
        <v>82.29</v>
      </c>
      <c r="S814">
        <v>48.949999999999996</v>
      </c>
      <c r="T814">
        <v>0.34571650540292392</v>
      </c>
      <c r="U814" s="1">
        <v>45901</v>
      </c>
      <c r="V814" t="s">
        <v>2500</v>
      </c>
      <c r="W814">
        <v>2025</v>
      </c>
    </row>
    <row r="815" spans="1:23" x14ac:dyDescent="0.25">
      <c r="A815" t="s">
        <v>862</v>
      </c>
      <c r="B815" s="1">
        <v>45917</v>
      </c>
      <c r="C815" s="1">
        <v>45921</v>
      </c>
      <c r="D815" t="s">
        <v>13</v>
      </c>
      <c r="E815" t="s">
        <v>19</v>
      </c>
      <c r="F815" t="s">
        <v>25</v>
      </c>
      <c r="G815" t="s">
        <v>16</v>
      </c>
      <c r="H815" t="s">
        <v>63</v>
      </c>
      <c r="I815">
        <v>12</v>
      </c>
      <c r="J815">
        <v>0.1</v>
      </c>
      <c r="K815">
        <v>134.38999999999999</v>
      </c>
      <c r="L815">
        <v>5.94</v>
      </c>
      <c r="M815" t="s">
        <v>2477</v>
      </c>
      <c r="N815" t="s">
        <v>2474</v>
      </c>
      <c r="O815" t="s">
        <v>2468</v>
      </c>
      <c r="P815">
        <v>6.33</v>
      </c>
      <c r="Q815">
        <v>12.16</v>
      </c>
      <c r="R815">
        <v>75.960000000000008</v>
      </c>
      <c r="S815">
        <v>52.489999999999981</v>
      </c>
      <c r="T815">
        <v>0.39057965622442137</v>
      </c>
      <c r="U815" s="1">
        <v>45901</v>
      </c>
      <c r="V815" t="s">
        <v>2498</v>
      </c>
      <c r="W815">
        <v>2025</v>
      </c>
    </row>
    <row r="816" spans="1:23" x14ac:dyDescent="0.25">
      <c r="A816" t="s">
        <v>863</v>
      </c>
      <c r="B816" s="1">
        <v>45733</v>
      </c>
      <c r="C816" s="1">
        <v>45737</v>
      </c>
      <c r="D816" t="s">
        <v>23</v>
      </c>
      <c r="E816" t="s">
        <v>24</v>
      </c>
      <c r="F816" t="s">
        <v>29</v>
      </c>
      <c r="G816" t="s">
        <v>20</v>
      </c>
      <c r="H816" t="s">
        <v>68</v>
      </c>
      <c r="I816">
        <v>2</v>
      </c>
      <c r="J816">
        <v>0.2</v>
      </c>
      <c r="K816">
        <v>79.459999999999994</v>
      </c>
      <c r="L816">
        <v>7</v>
      </c>
      <c r="M816" t="s">
        <v>2466</v>
      </c>
      <c r="N816" t="s">
        <v>2467</v>
      </c>
      <c r="O816" t="s">
        <v>2468</v>
      </c>
      <c r="P816">
        <v>25.33</v>
      </c>
      <c r="Q816">
        <v>51.56</v>
      </c>
      <c r="R816">
        <v>50.66</v>
      </c>
      <c r="S816">
        <v>21.799999999999997</v>
      </c>
      <c r="T816">
        <v>0.27435187515731185</v>
      </c>
      <c r="U816" s="1">
        <v>45717</v>
      </c>
      <c r="V816" t="s">
        <v>2500</v>
      </c>
      <c r="W816">
        <v>2025</v>
      </c>
    </row>
    <row r="817" spans="1:23" x14ac:dyDescent="0.25">
      <c r="A817" t="s">
        <v>864</v>
      </c>
      <c r="B817" s="1">
        <v>45389</v>
      </c>
      <c r="C817" s="1">
        <v>45390</v>
      </c>
      <c r="D817" t="s">
        <v>13</v>
      </c>
      <c r="E817" t="s">
        <v>19</v>
      </c>
      <c r="F817" t="s">
        <v>25</v>
      </c>
      <c r="G817" t="s">
        <v>20</v>
      </c>
      <c r="H817" t="s">
        <v>65</v>
      </c>
      <c r="I817">
        <v>4</v>
      </c>
      <c r="J817">
        <v>0.15</v>
      </c>
      <c r="K817">
        <v>965.54</v>
      </c>
      <c r="L817">
        <v>8.2200000000000006</v>
      </c>
      <c r="M817" t="s">
        <v>2457</v>
      </c>
      <c r="N817" t="s">
        <v>2458</v>
      </c>
      <c r="O817" t="s">
        <v>2459</v>
      </c>
      <c r="P817">
        <v>173.56</v>
      </c>
      <c r="Q817">
        <v>286.14999999999998</v>
      </c>
      <c r="R817">
        <v>694.24</v>
      </c>
      <c r="S817">
        <v>263.07999999999993</v>
      </c>
      <c r="T817">
        <v>0.27246929179526475</v>
      </c>
      <c r="U817" s="1">
        <v>45383</v>
      </c>
      <c r="V817" t="s">
        <v>2500</v>
      </c>
      <c r="W817">
        <v>2024</v>
      </c>
    </row>
    <row r="818" spans="1:23" x14ac:dyDescent="0.25">
      <c r="A818" t="s">
        <v>865</v>
      </c>
      <c r="B818" s="1">
        <v>45591</v>
      </c>
      <c r="C818" s="1">
        <v>45592</v>
      </c>
      <c r="D818" t="s">
        <v>13</v>
      </c>
      <c r="E818" t="s">
        <v>36</v>
      </c>
      <c r="F818" t="s">
        <v>15</v>
      </c>
      <c r="G818" t="s">
        <v>20</v>
      </c>
      <c r="H818" t="s">
        <v>63</v>
      </c>
      <c r="I818">
        <v>3</v>
      </c>
      <c r="J818">
        <v>0</v>
      </c>
      <c r="K818">
        <v>44.23</v>
      </c>
      <c r="L818">
        <v>5.85</v>
      </c>
      <c r="M818" t="s">
        <v>2477</v>
      </c>
      <c r="N818" t="s">
        <v>2474</v>
      </c>
      <c r="O818" t="s">
        <v>2468</v>
      </c>
      <c r="P818">
        <v>6.33</v>
      </c>
      <c r="Q818">
        <v>12.16</v>
      </c>
      <c r="R818">
        <v>18.990000000000002</v>
      </c>
      <c r="S818">
        <v>19.389999999999993</v>
      </c>
      <c r="T818">
        <v>0.43839023287361506</v>
      </c>
      <c r="U818" s="1">
        <v>45566</v>
      </c>
      <c r="V818" t="s">
        <v>2499</v>
      </c>
      <c r="W818">
        <v>2024</v>
      </c>
    </row>
    <row r="819" spans="1:23" x14ac:dyDescent="0.25">
      <c r="A819" t="s">
        <v>866</v>
      </c>
      <c r="B819" s="1">
        <v>45931</v>
      </c>
      <c r="C819" s="1">
        <v>45933</v>
      </c>
      <c r="D819" t="s">
        <v>32</v>
      </c>
      <c r="E819" t="s">
        <v>62</v>
      </c>
      <c r="F819" t="s">
        <v>29</v>
      </c>
      <c r="G819" t="s">
        <v>26</v>
      </c>
      <c r="H819" t="s">
        <v>63</v>
      </c>
      <c r="I819">
        <v>25</v>
      </c>
      <c r="J819">
        <v>0</v>
      </c>
      <c r="K819">
        <v>341.81</v>
      </c>
      <c r="L819">
        <v>9.4499999999999993</v>
      </c>
      <c r="M819" t="s">
        <v>2477</v>
      </c>
      <c r="N819" t="s">
        <v>2474</v>
      </c>
      <c r="O819" t="s">
        <v>2468</v>
      </c>
      <c r="P819">
        <v>6.33</v>
      </c>
      <c r="Q819">
        <v>12.16</v>
      </c>
      <c r="R819">
        <v>158.25</v>
      </c>
      <c r="S819">
        <v>174.11</v>
      </c>
      <c r="T819">
        <v>0.50937655422603201</v>
      </c>
      <c r="U819" s="1">
        <v>45931</v>
      </c>
      <c r="V819" t="s">
        <v>2499</v>
      </c>
      <c r="W819">
        <v>2025</v>
      </c>
    </row>
    <row r="820" spans="1:23" x14ac:dyDescent="0.25">
      <c r="A820" t="s">
        <v>867</v>
      </c>
      <c r="B820" s="1">
        <v>45859</v>
      </c>
      <c r="C820" s="1">
        <v>45861</v>
      </c>
      <c r="D820" t="s">
        <v>32</v>
      </c>
      <c r="E820" t="s">
        <v>33</v>
      </c>
      <c r="F820" t="s">
        <v>25</v>
      </c>
      <c r="G820" t="s">
        <v>20</v>
      </c>
      <c r="H820" t="s">
        <v>41</v>
      </c>
      <c r="I820">
        <v>7</v>
      </c>
      <c r="J820">
        <v>0</v>
      </c>
      <c r="K820">
        <v>37.33</v>
      </c>
      <c r="L820">
        <v>4.59</v>
      </c>
      <c r="M820" t="s">
        <v>2479</v>
      </c>
      <c r="N820" t="s">
        <v>2474</v>
      </c>
      <c r="O820" t="s">
        <v>2459</v>
      </c>
      <c r="P820">
        <v>3.3</v>
      </c>
      <c r="Q820">
        <v>6.13</v>
      </c>
      <c r="R820">
        <v>23.099999999999998</v>
      </c>
      <c r="S820">
        <v>9.64</v>
      </c>
      <c r="T820">
        <v>0.2582373426198768</v>
      </c>
      <c r="U820" s="1">
        <v>45839</v>
      </c>
      <c r="V820" t="s">
        <v>2499</v>
      </c>
      <c r="W820">
        <v>2025</v>
      </c>
    </row>
    <row r="821" spans="1:23" x14ac:dyDescent="0.25">
      <c r="A821" t="s">
        <v>868</v>
      </c>
      <c r="B821" s="1">
        <v>45646</v>
      </c>
      <c r="C821" s="1">
        <v>45647</v>
      </c>
      <c r="D821" t="s">
        <v>23</v>
      </c>
      <c r="E821" t="s">
        <v>59</v>
      </c>
      <c r="F821" t="s">
        <v>25</v>
      </c>
      <c r="G821" t="s">
        <v>26</v>
      </c>
      <c r="H821" t="s">
        <v>39</v>
      </c>
      <c r="I821">
        <v>3</v>
      </c>
      <c r="J821">
        <v>0</v>
      </c>
      <c r="K821">
        <v>867.86</v>
      </c>
      <c r="L821">
        <v>4.95</v>
      </c>
      <c r="M821" t="s">
        <v>2471</v>
      </c>
      <c r="N821" t="s">
        <v>2467</v>
      </c>
      <c r="O821" t="s">
        <v>2461</v>
      </c>
      <c r="P821">
        <v>112.09</v>
      </c>
      <c r="Q821">
        <v>192.47</v>
      </c>
      <c r="R821">
        <v>336.27</v>
      </c>
      <c r="S821">
        <v>526.64</v>
      </c>
      <c r="T821">
        <v>0.60682598575807156</v>
      </c>
      <c r="U821" s="1">
        <v>45627</v>
      </c>
      <c r="V821" t="s">
        <v>2499</v>
      </c>
      <c r="W821">
        <v>2024</v>
      </c>
    </row>
    <row r="822" spans="1:23" x14ac:dyDescent="0.25">
      <c r="A822" t="s">
        <v>869</v>
      </c>
      <c r="B822" s="1">
        <v>45296</v>
      </c>
      <c r="C822" s="1">
        <v>45301</v>
      </c>
      <c r="D822" t="s">
        <v>47</v>
      </c>
      <c r="E822" t="s">
        <v>71</v>
      </c>
      <c r="F822" t="s">
        <v>25</v>
      </c>
      <c r="G822" t="s">
        <v>16</v>
      </c>
      <c r="H822" t="s">
        <v>39</v>
      </c>
      <c r="I822">
        <v>1</v>
      </c>
      <c r="J822">
        <v>0</v>
      </c>
      <c r="K822">
        <v>163.80000000000001</v>
      </c>
      <c r="L822">
        <v>3.45</v>
      </c>
      <c r="M822" t="s">
        <v>2471</v>
      </c>
      <c r="N822" t="s">
        <v>2467</v>
      </c>
      <c r="O822" t="s">
        <v>2461</v>
      </c>
      <c r="P822">
        <v>112.09</v>
      </c>
      <c r="Q822">
        <v>192.47</v>
      </c>
      <c r="R822">
        <v>112.09</v>
      </c>
      <c r="S822">
        <v>48.260000000000005</v>
      </c>
      <c r="T822">
        <v>0.29462759462759464</v>
      </c>
      <c r="U822" s="1">
        <v>45292</v>
      </c>
      <c r="V822" t="s">
        <v>2499</v>
      </c>
      <c r="W822">
        <v>2024</v>
      </c>
    </row>
    <row r="823" spans="1:23" x14ac:dyDescent="0.25">
      <c r="A823" t="s">
        <v>870</v>
      </c>
      <c r="B823" s="1">
        <v>45863</v>
      </c>
      <c r="C823" s="1">
        <v>45865</v>
      </c>
      <c r="D823" t="s">
        <v>23</v>
      </c>
      <c r="E823" t="s">
        <v>59</v>
      </c>
      <c r="F823" t="s">
        <v>25</v>
      </c>
      <c r="G823" t="s">
        <v>26</v>
      </c>
      <c r="H823" t="s">
        <v>51</v>
      </c>
      <c r="I823">
        <v>4</v>
      </c>
      <c r="J823">
        <v>0.15</v>
      </c>
      <c r="K823">
        <v>45.44</v>
      </c>
      <c r="L823">
        <v>6.3</v>
      </c>
      <c r="M823" t="s">
        <v>2475</v>
      </c>
      <c r="N823" t="s">
        <v>2474</v>
      </c>
      <c r="O823" t="s">
        <v>2463</v>
      </c>
      <c r="P823">
        <v>7.93</v>
      </c>
      <c r="Q823">
        <v>14.78</v>
      </c>
      <c r="R823">
        <v>31.72</v>
      </c>
      <c r="S823">
        <v>7.419999999999999</v>
      </c>
      <c r="T823">
        <v>0.16329225352112675</v>
      </c>
      <c r="U823" s="1">
        <v>45839</v>
      </c>
      <c r="V823" t="s">
        <v>2500</v>
      </c>
      <c r="W823">
        <v>2025</v>
      </c>
    </row>
    <row r="824" spans="1:23" x14ac:dyDescent="0.25">
      <c r="A824" t="s">
        <v>871</v>
      </c>
      <c r="B824" s="1">
        <v>45730</v>
      </c>
      <c r="C824" s="1">
        <v>45735</v>
      </c>
      <c r="D824" t="s">
        <v>23</v>
      </c>
      <c r="E824" t="s">
        <v>43</v>
      </c>
      <c r="F824" t="s">
        <v>25</v>
      </c>
      <c r="G824" t="s">
        <v>26</v>
      </c>
      <c r="H824" t="s">
        <v>60</v>
      </c>
      <c r="I824">
        <v>4</v>
      </c>
      <c r="J824">
        <v>0.2</v>
      </c>
      <c r="K824">
        <v>336.21</v>
      </c>
      <c r="L824">
        <v>9.5</v>
      </c>
      <c r="M824" t="s">
        <v>2469</v>
      </c>
      <c r="N824" t="s">
        <v>2467</v>
      </c>
      <c r="O824" t="s">
        <v>2468</v>
      </c>
      <c r="P824">
        <v>54.95</v>
      </c>
      <c r="Q824">
        <v>112.56</v>
      </c>
      <c r="R824">
        <v>219.8</v>
      </c>
      <c r="S824">
        <v>106.90999999999997</v>
      </c>
      <c r="T824">
        <v>0.31798578269533917</v>
      </c>
      <c r="U824" s="1">
        <v>45717</v>
      </c>
      <c r="V824" t="s">
        <v>2500</v>
      </c>
      <c r="W824">
        <v>2025</v>
      </c>
    </row>
    <row r="825" spans="1:23" x14ac:dyDescent="0.25">
      <c r="A825" t="s">
        <v>872</v>
      </c>
      <c r="B825" s="1">
        <v>45596</v>
      </c>
      <c r="C825" s="1">
        <v>45597</v>
      </c>
      <c r="D825" t="s">
        <v>13</v>
      </c>
      <c r="E825" t="s">
        <v>14</v>
      </c>
      <c r="F825" t="s">
        <v>29</v>
      </c>
      <c r="G825" t="s">
        <v>16</v>
      </c>
      <c r="H825" t="s">
        <v>53</v>
      </c>
      <c r="I825">
        <v>4</v>
      </c>
      <c r="J825">
        <v>0</v>
      </c>
      <c r="K825">
        <v>261.81</v>
      </c>
      <c r="L825">
        <v>9.5</v>
      </c>
      <c r="M825" t="s">
        <v>2470</v>
      </c>
      <c r="N825" t="s">
        <v>2467</v>
      </c>
      <c r="O825" t="s">
        <v>2459</v>
      </c>
      <c r="P825">
        <v>31.34</v>
      </c>
      <c r="Q825">
        <v>56.49</v>
      </c>
      <c r="R825">
        <v>125.36</v>
      </c>
      <c r="S825">
        <v>126.94999999999999</v>
      </c>
      <c r="T825">
        <v>0.48489362514800805</v>
      </c>
      <c r="U825" s="1">
        <v>45566</v>
      </c>
      <c r="V825" t="s">
        <v>2499</v>
      </c>
      <c r="W825">
        <v>2024</v>
      </c>
    </row>
    <row r="826" spans="1:23" x14ac:dyDescent="0.25">
      <c r="A826" t="s">
        <v>873</v>
      </c>
      <c r="B826" s="1">
        <v>45689</v>
      </c>
      <c r="C826" s="1">
        <v>45694</v>
      </c>
      <c r="D826" t="s">
        <v>47</v>
      </c>
      <c r="E826" t="s">
        <v>71</v>
      </c>
      <c r="F826" t="s">
        <v>15</v>
      </c>
      <c r="G826" t="s">
        <v>26</v>
      </c>
      <c r="H826" t="s">
        <v>63</v>
      </c>
      <c r="I826">
        <v>9</v>
      </c>
      <c r="J826">
        <v>0</v>
      </c>
      <c r="K826">
        <v>103.75</v>
      </c>
      <c r="L826">
        <v>5.13</v>
      </c>
      <c r="M826" t="s">
        <v>2477</v>
      </c>
      <c r="N826" t="s">
        <v>2474</v>
      </c>
      <c r="O826" t="s">
        <v>2468</v>
      </c>
      <c r="P826">
        <v>6.33</v>
      </c>
      <c r="Q826">
        <v>12.16</v>
      </c>
      <c r="R826">
        <v>56.97</v>
      </c>
      <c r="S826">
        <v>41.65</v>
      </c>
      <c r="T826">
        <v>0.4014457831325301</v>
      </c>
      <c r="U826" s="1">
        <v>45689</v>
      </c>
      <c r="V826" t="s">
        <v>2499</v>
      </c>
      <c r="W826">
        <v>2025</v>
      </c>
    </row>
    <row r="827" spans="1:23" x14ac:dyDescent="0.25">
      <c r="A827" t="s">
        <v>874</v>
      </c>
      <c r="B827" s="1">
        <v>45521</v>
      </c>
      <c r="C827" s="1">
        <v>45522</v>
      </c>
      <c r="D827" t="s">
        <v>32</v>
      </c>
      <c r="E827" t="s">
        <v>33</v>
      </c>
      <c r="F827" t="s">
        <v>15</v>
      </c>
      <c r="G827" t="s">
        <v>20</v>
      </c>
      <c r="H827" t="s">
        <v>53</v>
      </c>
      <c r="I827">
        <v>2</v>
      </c>
      <c r="J827">
        <v>0</v>
      </c>
      <c r="K827">
        <v>105.71</v>
      </c>
      <c r="L827">
        <v>7</v>
      </c>
      <c r="M827" t="s">
        <v>2470</v>
      </c>
      <c r="N827" t="s">
        <v>2467</v>
      </c>
      <c r="O827" t="s">
        <v>2459</v>
      </c>
      <c r="P827">
        <v>31.34</v>
      </c>
      <c r="Q827">
        <v>56.49</v>
      </c>
      <c r="R827">
        <v>62.68</v>
      </c>
      <c r="S827">
        <v>36.029999999999994</v>
      </c>
      <c r="T827">
        <v>0.34083814208684132</v>
      </c>
      <c r="U827" s="1">
        <v>45505</v>
      </c>
      <c r="V827" t="s">
        <v>2499</v>
      </c>
      <c r="W827">
        <v>2024</v>
      </c>
    </row>
    <row r="828" spans="1:23" x14ac:dyDescent="0.25">
      <c r="A828" t="s">
        <v>875</v>
      </c>
      <c r="B828" s="1">
        <v>45559</v>
      </c>
      <c r="C828" s="1">
        <v>45562</v>
      </c>
      <c r="D828" t="s">
        <v>47</v>
      </c>
      <c r="E828" t="s">
        <v>48</v>
      </c>
      <c r="F828" t="s">
        <v>15</v>
      </c>
      <c r="G828" t="s">
        <v>16</v>
      </c>
      <c r="H828" t="s">
        <v>53</v>
      </c>
      <c r="I828">
        <v>7</v>
      </c>
      <c r="J828">
        <v>0</v>
      </c>
      <c r="K828">
        <v>410.66</v>
      </c>
      <c r="L828">
        <v>7.95</v>
      </c>
      <c r="M828" t="s">
        <v>2470</v>
      </c>
      <c r="N828" t="s">
        <v>2467</v>
      </c>
      <c r="O828" t="s">
        <v>2459</v>
      </c>
      <c r="P828">
        <v>31.34</v>
      </c>
      <c r="Q828">
        <v>56.49</v>
      </c>
      <c r="R828">
        <v>219.38</v>
      </c>
      <c r="S828">
        <v>183.33000000000004</v>
      </c>
      <c r="T828">
        <v>0.44642770174840507</v>
      </c>
      <c r="U828" s="1">
        <v>45536</v>
      </c>
      <c r="V828" t="s">
        <v>2499</v>
      </c>
      <c r="W828">
        <v>2024</v>
      </c>
    </row>
    <row r="829" spans="1:23" x14ac:dyDescent="0.25">
      <c r="A829" t="s">
        <v>876</v>
      </c>
      <c r="B829" s="1">
        <v>45958</v>
      </c>
      <c r="C829" s="1">
        <v>45962</v>
      </c>
      <c r="D829" t="s">
        <v>47</v>
      </c>
      <c r="E829" t="s">
        <v>50</v>
      </c>
      <c r="F829" t="s">
        <v>25</v>
      </c>
      <c r="G829" t="s">
        <v>16</v>
      </c>
      <c r="H829" t="s">
        <v>65</v>
      </c>
      <c r="I829">
        <v>7</v>
      </c>
      <c r="J829">
        <v>0</v>
      </c>
      <c r="K829">
        <v>2278.6</v>
      </c>
      <c r="L829">
        <v>12.36</v>
      </c>
      <c r="M829" t="s">
        <v>2457</v>
      </c>
      <c r="N829" t="s">
        <v>2458</v>
      </c>
      <c r="O829" t="s">
        <v>2459</v>
      </c>
      <c r="P829">
        <v>173.56</v>
      </c>
      <c r="Q829">
        <v>286.14999999999998</v>
      </c>
      <c r="R829">
        <v>1214.92</v>
      </c>
      <c r="S829">
        <v>1051.32</v>
      </c>
      <c r="T829">
        <v>0.46138857193013255</v>
      </c>
      <c r="U829" s="1">
        <v>45931</v>
      </c>
      <c r="V829" t="s">
        <v>2499</v>
      </c>
      <c r="W829">
        <v>2025</v>
      </c>
    </row>
    <row r="830" spans="1:23" x14ac:dyDescent="0.25">
      <c r="A830" t="s">
        <v>877</v>
      </c>
      <c r="B830" s="1">
        <v>45923</v>
      </c>
      <c r="C830" s="1">
        <v>45925</v>
      </c>
      <c r="D830" t="s">
        <v>47</v>
      </c>
      <c r="E830" t="s">
        <v>50</v>
      </c>
      <c r="F830" t="s">
        <v>15</v>
      </c>
      <c r="G830" t="s">
        <v>20</v>
      </c>
      <c r="H830" t="s">
        <v>51</v>
      </c>
      <c r="I830">
        <v>3</v>
      </c>
      <c r="J830">
        <v>0</v>
      </c>
      <c r="K830">
        <v>45.44</v>
      </c>
      <c r="L830">
        <v>3.51</v>
      </c>
      <c r="M830" t="s">
        <v>2475</v>
      </c>
      <c r="N830" t="s">
        <v>2474</v>
      </c>
      <c r="O830" t="s">
        <v>2463</v>
      </c>
      <c r="P830">
        <v>7.93</v>
      </c>
      <c r="Q830">
        <v>14.78</v>
      </c>
      <c r="R830">
        <v>23.79</v>
      </c>
      <c r="S830">
        <v>18.14</v>
      </c>
      <c r="T830">
        <v>0.39920774647887325</v>
      </c>
      <c r="U830" s="1">
        <v>45901</v>
      </c>
      <c r="V830" t="s">
        <v>2499</v>
      </c>
      <c r="W830">
        <v>2025</v>
      </c>
    </row>
    <row r="831" spans="1:23" x14ac:dyDescent="0.25">
      <c r="A831" t="s">
        <v>878</v>
      </c>
      <c r="B831" s="1">
        <v>45326</v>
      </c>
      <c r="C831" s="1">
        <v>45331</v>
      </c>
      <c r="D831" t="s">
        <v>23</v>
      </c>
      <c r="E831" t="s">
        <v>59</v>
      </c>
      <c r="F831" t="s">
        <v>29</v>
      </c>
      <c r="G831" t="s">
        <v>16</v>
      </c>
      <c r="H831" t="s">
        <v>68</v>
      </c>
      <c r="I831">
        <v>4</v>
      </c>
      <c r="J831">
        <v>0.15</v>
      </c>
      <c r="K831">
        <v>151.18</v>
      </c>
      <c r="L831">
        <v>9.5</v>
      </c>
      <c r="M831" t="s">
        <v>2466</v>
      </c>
      <c r="N831" t="s">
        <v>2467</v>
      </c>
      <c r="O831" t="s">
        <v>2468</v>
      </c>
      <c r="P831">
        <v>25.33</v>
      </c>
      <c r="Q831">
        <v>51.56</v>
      </c>
      <c r="R831">
        <v>101.32</v>
      </c>
      <c r="S831">
        <v>40.360000000000014</v>
      </c>
      <c r="T831">
        <v>0.26696652996428105</v>
      </c>
      <c r="U831" s="1">
        <v>45323</v>
      </c>
      <c r="V831" t="s">
        <v>2500</v>
      </c>
      <c r="W831">
        <v>2024</v>
      </c>
    </row>
    <row r="832" spans="1:23" x14ac:dyDescent="0.25">
      <c r="A832" t="s">
        <v>879</v>
      </c>
      <c r="B832" s="1">
        <v>45533</v>
      </c>
      <c r="C832" s="1">
        <v>45536</v>
      </c>
      <c r="D832" t="s">
        <v>23</v>
      </c>
      <c r="E832" t="s">
        <v>59</v>
      </c>
      <c r="F832" t="s">
        <v>15</v>
      </c>
      <c r="G832" t="s">
        <v>20</v>
      </c>
      <c r="H832" t="s">
        <v>51</v>
      </c>
      <c r="I832">
        <v>4</v>
      </c>
      <c r="J832">
        <v>0</v>
      </c>
      <c r="K832">
        <v>54.59</v>
      </c>
      <c r="L832">
        <v>6.3</v>
      </c>
      <c r="M832" t="s">
        <v>2475</v>
      </c>
      <c r="N832" t="s">
        <v>2474</v>
      </c>
      <c r="O832" t="s">
        <v>2463</v>
      </c>
      <c r="P832">
        <v>7.93</v>
      </c>
      <c r="Q832">
        <v>14.78</v>
      </c>
      <c r="R832">
        <v>31.72</v>
      </c>
      <c r="S832">
        <v>16.570000000000004</v>
      </c>
      <c r="T832">
        <v>0.30353544605239058</v>
      </c>
      <c r="U832" s="1">
        <v>45505</v>
      </c>
      <c r="V832" t="s">
        <v>2499</v>
      </c>
      <c r="W832">
        <v>2024</v>
      </c>
    </row>
    <row r="833" spans="1:23" x14ac:dyDescent="0.25">
      <c r="A833" t="s">
        <v>880</v>
      </c>
      <c r="B833" s="1">
        <v>45659</v>
      </c>
      <c r="C833" s="1">
        <v>45665</v>
      </c>
      <c r="D833" t="s">
        <v>32</v>
      </c>
      <c r="E833" t="s">
        <v>62</v>
      </c>
      <c r="F833" t="s">
        <v>15</v>
      </c>
      <c r="G833" t="s">
        <v>26</v>
      </c>
      <c r="H833" t="s">
        <v>27</v>
      </c>
      <c r="I833">
        <v>8</v>
      </c>
      <c r="J833">
        <v>0</v>
      </c>
      <c r="K833">
        <v>193.43</v>
      </c>
      <c r="L833">
        <v>8.1</v>
      </c>
      <c r="M833" t="s">
        <v>2478</v>
      </c>
      <c r="N833" t="s">
        <v>2474</v>
      </c>
      <c r="O833" t="s">
        <v>2463</v>
      </c>
      <c r="P833">
        <v>16.760000000000002</v>
      </c>
      <c r="Q833">
        <v>27.71</v>
      </c>
      <c r="R833">
        <v>134.08000000000001</v>
      </c>
      <c r="S833">
        <v>51.249999999999993</v>
      </c>
      <c r="T833">
        <v>0.26495373003153588</v>
      </c>
      <c r="U833" s="1">
        <v>45658</v>
      </c>
      <c r="V833" t="s">
        <v>2499</v>
      </c>
      <c r="W833">
        <v>2025</v>
      </c>
    </row>
    <row r="834" spans="1:23" x14ac:dyDescent="0.25">
      <c r="A834" t="s">
        <v>881</v>
      </c>
      <c r="B834" s="1">
        <v>45491</v>
      </c>
      <c r="C834" s="1">
        <v>45493</v>
      </c>
      <c r="D834" t="s">
        <v>23</v>
      </c>
      <c r="E834" t="s">
        <v>59</v>
      </c>
      <c r="F834" t="s">
        <v>25</v>
      </c>
      <c r="G834" t="s">
        <v>26</v>
      </c>
      <c r="H834" t="s">
        <v>68</v>
      </c>
      <c r="I834">
        <v>1</v>
      </c>
      <c r="J834">
        <v>0.2</v>
      </c>
      <c r="K834">
        <v>36.24</v>
      </c>
      <c r="L834">
        <v>3.45</v>
      </c>
      <c r="M834" t="s">
        <v>2466</v>
      </c>
      <c r="N834" t="s">
        <v>2467</v>
      </c>
      <c r="O834" t="s">
        <v>2468</v>
      </c>
      <c r="P834">
        <v>25.33</v>
      </c>
      <c r="Q834">
        <v>51.56</v>
      </c>
      <c r="R834">
        <v>25.33</v>
      </c>
      <c r="S834">
        <v>7.4600000000000035</v>
      </c>
      <c r="T834">
        <v>0.20584988962472414</v>
      </c>
      <c r="U834" s="1">
        <v>45474</v>
      </c>
      <c r="V834" t="s">
        <v>2500</v>
      </c>
      <c r="W834">
        <v>2024</v>
      </c>
    </row>
    <row r="835" spans="1:23" x14ac:dyDescent="0.25">
      <c r="A835" t="s">
        <v>882</v>
      </c>
      <c r="B835" s="1">
        <v>45692</v>
      </c>
      <c r="C835" s="1">
        <v>45695</v>
      </c>
      <c r="D835" t="s">
        <v>23</v>
      </c>
      <c r="E835" t="s">
        <v>59</v>
      </c>
      <c r="F835" t="s">
        <v>15</v>
      </c>
      <c r="G835" t="s">
        <v>20</v>
      </c>
      <c r="H835" t="s">
        <v>30</v>
      </c>
      <c r="I835">
        <v>16</v>
      </c>
      <c r="J835">
        <v>0</v>
      </c>
      <c r="K835">
        <v>90.53</v>
      </c>
      <c r="L835">
        <v>11.7</v>
      </c>
      <c r="M835" t="s">
        <v>2473</v>
      </c>
      <c r="N835" t="s">
        <v>2474</v>
      </c>
      <c r="O835" t="s">
        <v>2463</v>
      </c>
      <c r="P835">
        <v>3.62</v>
      </c>
      <c r="Q835">
        <v>6.03</v>
      </c>
      <c r="R835">
        <v>57.92</v>
      </c>
      <c r="S835">
        <v>20.91</v>
      </c>
      <c r="T835">
        <v>0.23097315806914834</v>
      </c>
      <c r="U835" s="1">
        <v>45689</v>
      </c>
      <c r="V835" t="s">
        <v>2499</v>
      </c>
      <c r="W835">
        <v>2025</v>
      </c>
    </row>
    <row r="836" spans="1:23" x14ac:dyDescent="0.25">
      <c r="A836" t="s">
        <v>883</v>
      </c>
      <c r="B836" s="1">
        <v>45616</v>
      </c>
      <c r="C836" s="1">
        <v>45618</v>
      </c>
      <c r="D836" t="s">
        <v>32</v>
      </c>
      <c r="E836" t="s">
        <v>62</v>
      </c>
      <c r="F836" t="s">
        <v>25</v>
      </c>
      <c r="G836" t="s">
        <v>20</v>
      </c>
      <c r="H836" t="s">
        <v>60</v>
      </c>
      <c r="I836">
        <v>4</v>
      </c>
      <c r="J836">
        <v>0.15</v>
      </c>
      <c r="K836">
        <v>533.4</v>
      </c>
      <c r="L836">
        <v>9.5</v>
      </c>
      <c r="M836" t="s">
        <v>2469</v>
      </c>
      <c r="N836" t="s">
        <v>2467</v>
      </c>
      <c r="O836" t="s">
        <v>2468</v>
      </c>
      <c r="P836">
        <v>54.95</v>
      </c>
      <c r="Q836">
        <v>112.56</v>
      </c>
      <c r="R836">
        <v>219.8</v>
      </c>
      <c r="S836">
        <v>304.09999999999997</v>
      </c>
      <c r="T836">
        <v>0.57011623547056611</v>
      </c>
      <c r="U836" s="1">
        <v>45597</v>
      </c>
      <c r="V836" t="s">
        <v>2500</v>
      </c>
      <c r="W836">
        <v>2024</v>
      </c>
    </row>
    <row r="837" spans="1:23" x14ac:dyDescent="0.25">
      <c r="A837" t="s">
        <v>884</v>
      </c>
      <c r="B837" s="1">
        <v>45881</v>
      </c>
      <c r="C837" s="1">
        <v>45882</v>
      </c>
      <c r="D837" t="s">
        <v>23</v>
      </c>
      <c r="E837" t="s">
        <v>43</v>
      </c>
      <c r="F837" t="s">
        <v>15</v>
      </c>
      <c r="G837" t="s">
        <v>20</v>
      </c>
      <c r="H837" t="s">
        <v>68</v>
      </c>
      <c r="I837">
        <v>7</v>
      </c>
      <c r="J837">
        <v>0.2</v>
      </c>
      <c r="K837">
        <v>271.35000000000002</v>
      </c>
      <c r="L837">
        <v>7.95</v>
      </c>
      <c r="M837" t="s">
        <v>2466</v>
      </c>
      <c r="N837" t="s">
        <v>2467</v>
      </c>
      <c r="O837" t="s">
        <v>2468</v>
      </c>
      <c r="P837">
        <v>25.33</v>
      </c>
      <c r="Q837">
        <v>51.56</v>
      </c>
      <c r="R837">
        <v>177.31</v>
      </c>
      <c r="S837">
        <v>86.090000000000018</v>
      </c>
      <c r="T837">
        <v>0.31726552423069843</v>
      </c>
      <c r="U837" s="1">
        <v>45870</v>
      </c>
      <c r="V837" t="s">
        <v>2500</v>
      </c>
      <c r="W837">
        <v>2025</v>
      </c>
    </row>
    <row r="838" spans="1:23" x14ac:dyDescent="0.25">
      <c r="A838" t="s">
        <v>885</v>
      </c>
      <c r="B838" s="1">
        <v>45439</v>
      </c>
      <c r="C838" s="1">
        <v>45445</v>
      </c>
      <c r="D838" t="s">
        <v>47</v>
      </c>
      <c r="E838" t="s">
        <v>50</v>
      </c>
      <c r="F838" t="s">
        <v>25</v>
      </c>
      <c r="G838" t="s">
        <v>26</v>
      </c>
      <c r="H838" t="s">
        <v>39</v>
      </c>
      <c r="I838">
        <v>2</v>
      </c>
      <c r="J838">
        <v>0</v>
      </c>
      <c r="K838">
        <v>384.91</v>
      </c>
      <c r="L838">
        <v>4.2</v>
      </c>
      <c r="M838" t="s">
        <v>2471</v>
      </c>
      <c r="N838" t="s">
        <v>2467</v>
      </c>
      <c r="O838" t="s">
        <v>2461</v>
      </c>
      <c r="P838">
        <v>112.09</v>
      </c>
      <c r="Q838">
        <v>192.47</v>
      </c>
      <c r="R838">
        <v>224.18</v>
      </c>
      <c r="S838">
        <v>156.53000000000003</v>
      </c>
      <c r="T838">
        <v>0.40666649346600509</v>
      </c>
      <c r="U838" s="1">
        <v>45413</v>
      </c>
      <c r="V838" t="s">
        <v>2499</v>
      </c>
      <c r="W838">
        <v>2024</v>
      </c>
    </row>
    <row r="839" spans="1:23" x14ac:dyDescent="0.25">
      <c r="A839" t="s">
        <v>886</v>
      </c>
      <c r="B839" s="1">
        <v>45591</v>
      </c>
      <c r="C839" s="1">
        <v>45597</v>
      </c>
      <c r="D839" t="s">
        <v>32</v>
      </c>
      <c r="E839" t="s">
        <v>33</v>
      </c>
      <c r="F839" t="s">
        <v>25</v>
      </c>
      <c r="G839" t="s">
        <v>16</v>
      </c>
      <c r="H839" t="s">
        <v>60</v>
      </c>
      <c r="I839">
        <v>3</v>
      </c>
      <c r="J839">
        <v>0</v>
      </c>
      <c r="K839">
        <v>405.34</v>
      </c>
      <c r="L839">
        <v>8.25</v>
      </c>
      <c r="M839" t="s">
        <v>2469</v>
      </c>
      <c r="N839" t="s">
        <v>2467</v>
      </c>
      <c r="O839" t="s">
        <v>2468</v>
      </c>
      <c r="P839">
        <v>54.95</v>
      </c>
      <c r="Q839">
        <v>112.56</v>
      </c>
      <c r="R839">
        <v>164.85000000000002</v>
      </c>
      <c r="S839">
        <v>232.23999999999995</v>
      </c>
      <c r="T839">
        <v>0.57295110277791472</v>
      </c>
      <c r="U839" s="1">
        <v>45566</v>
      </c>
      <c r="V839" t="s">
        <v>2499</v>
      </c>
      <c r="W839">
        <v>2024</v>
      </c>
    </row>
    <row r="840" spans="1:23" x14ac:dyDescent="0.25">
      <c r="A840" t="s">
        <v>887</v>
      </c>
      <c r="B840" s="1">
        <v>45293</v>
      </c>
      <c r="C840" s="1">
        <v>45295</v>
      </c>
      <c r="D840" t="s">
        <v>23</v>
      </c>
      <c r="E840" t="s">
        <v>43</v>
      </c>
      <c r="F840" t="s">
        <v>29</v>
      </c>
      <c r="G840" t="s">
        <v>20</v>
      </c>
      <c r="H840" t="s">
        <v>63</v>
      </c>
      <c r="I840">
        <v>14</v>
      </c>
      <c r="J840">
        <v>0.05</v>
      </c>
      <c r="K840">
        <v>139.03</v>
      </c>
      <c r="L840">
        <v>6.48</v>
      </c>
      <c r="M840" t="s">
        <v>2477</v>
      </c>
      <c r="N840" t="s">
        <v>2474</v>
      </c>
      <c r="O840" t="s">
        <v>2468</v>
      </c>
      <c r="P840">
        <v>6.33</v>
      </c>
      <c r="Q840">
        <v>12.16</v>
      </c>
      <c r="R840">
        <v>88.62</v>
      </c>
      <c r="S840">
        <v>43.929999999999993</v>
      </c>
      <c r="T840">
        <v>0.31597496943105802</v>
      </c>
      <c r="U840" s="1">
        <v>45292</v>
      </c>
      <c r="V840" t="s">
        <v>2498</v>
      </c>
      <c r="W840">
        <v>2024</v>
      </c>
    </row>
    <row r="841" spans="1:23" x14ac:dyDescent="0.25">
      <c r="A841" t="s">
        <v>888</v>
      </c>
      <c r="B841" s="1">
        <v>45700</v>
      </c>
      <c r="C841" s="1">
        <v>45701</v>
      </c>
      <c r="D841" t="s">
        <v>13</v>
      </c>
      <c r="E841" t="s">
        <v>19</v>
      </c>
      <c r="F841" t="s">
        <v>25</v>
      </c>
      <c r="G841" t="s">
        <v>26</v>
      </c>
      <c r="H841" t="s">
        <v>30</v>
      </c>
      <c r="I841">
        <v>5</v>
      </c>
      <c r="J841">
        <v>0.25</v>
      </c>
      <c r="K841">
        <v>21.46</v>
      </c>
      <c r="L841">
        <v>6.75</v>
      </c>
      <c r="M841" t="s">
        <v>2473</v>
      </c>
      <c r="N841" t="s">
        <v>2474</v>
      </c>
      <c r="O841" t="s">
        <v>2463</v>
      </c>
      <c r="P841">
        <v>3.62</v>
      </c>
      <c r="Q841">
        <v>6.03</v>
      </c>
      <c r="R841">
        <v>18.100000000000001</v>
      </c>
      <c r="S841">
        <v>-3.3900000000000006</v>
      </c>
      <c r="T841">
        <v>-0.15796831314072696</v>
      </c>
      <c r="U841" s="1">
        <v>45689</v>
      </c>
      <c r="V841" t="s">
        <v>2501</v>
      </c>
      <c r="W841">
        <v>2025</v>
      </c>
    </row>
    <row r="842" spans="1:23" x14ac:dyDescent="0.25">
      <c r="A842" t="s">
        <v>889</v>
      </c>
      <c r="B842" s="1">
        <v>45375</v>
      </c>
      <c r="C842" s="1">
        <v>45381</v>
      </c>
      <c r="D842" t="s">
        <v>47</v>
      </c>
      <c r="E842" t="s">
        <v>48</v>
      </c>
      <c r="F842" t="s">
        <v>29</v>
      </c>
      <c r="G842" t="s">
        <v>16</v>
      </c>
      <c r="H842" t="s">
        <v>65</v>
      </c>
      <c r="I842">
        <v>3</v>
      </c>
      <c r="J842">
        <v>0</v>
      </c>
      <c r="K842">
        <v>791.41</v>
      </c>
      <c r="L842">
        <v>11.4</v>
      </c>
      <c r="M842" t="s">
        <v>2457</v>
      </c>
      <c r="N842" t="s">
        <v>2458</v>
      </c>
      <c r="O842" t="s">
        <v>2459</v>
      </c>
      <c r="P842">
        <v>173.56</v>
      </c>
      <c r="Q842">
        <v>286.14999999999998</v>
      </c>
      <c r="R842">
        <v>520.68000000000006</v>
      </c>
      <c r="S842">
        <v>259.32999999999993</v>
      </c>
      <c r="T842">
        <v>0.32768097446329958</v>
      </c>
      <c r="U842" s="1">
        <v>45352</v>
      </c>
      <c r="V842" t="s">
        <v>2499</v>
      </c>
      <c r="W842">
        <v>2024</v>
      </c>
    </row>
    <row r="843" spans="1:23" x14ac:dyDescent="0.25">
      <c r="A843" t="s">
        <v>890</v>
      </c>
      <c r="B843" s="1">
        <v>45447</v>
      </c>
      <c r="C843" s="1">
        <v>45452</v>
      </c>
      <c r="D843" t="s">
        <v>13</v>
      </c>
      <c r="E843" t="s">
        <v>36</v>
      </c>
      <c r="F843" t="s">
        <v>15</v>
      </c>
      <c r="G843" t="s">
        <v>26</v>
      </c>
      <c r="H843" t="s">
        <v>65</v>
      </c>
      <c r="I843">
        <v>1</v>
      </c>
      <c r="J843">
        <v>0.05</v>
      </c>
      <c r="K843">
        <v>292.39999999999998</v>
      </c>
      <c r="L843">
        <v>6.8</v>
      </c>
      <c r="M843" t="s">
        <v>2457</v>
      </c>
      <c r="N843" t="s">
        <v>2458</v>
      </c>
      <c r="O843" t="s">
        <v>2459</v>
      </c>
      <c r="P843">
        <v>173.56</v>
      </c>
      <c r="Q843">
        <v>286.14999999999998</v>
      </c>
      <c r="R843">
        <v>173.56</v>
      </c>
      <c r="S843">
        <v>112.03999999999998</v>
      </c>
      <c r="T843">
        <v>0.38317373461012305</v>
      </c>
      <c r="U843" s="1">
        <v>45444</v>
      </c>
      <c r="V843" t="s">
        <v>2498</v>
      </c>
      <c r="W843">
        <v>2024</v>
      </c>
    </row>
    <row r="844" spans="1:23" x14ac:dyDescent="0.25">
      <c r="A844" t="s">
        <v>891</v>
      </c>
      <c r="B844" s="1">
        <v>45954</v>
      </c>
      <c r="C844" s="1">
        <v>45959</v>
      </c>
      <c r="D844" t="s">
        <v>23</v>
      </c>
      <c r="E844" t="s">
        <v>59</v>
      </c>
      <c r="F844" t="s">
        <v>15</v>
      </c>
      <c r="G844" t="s">
        <v>16</v>
      </c>
      <c r="H844" t="s">
        <v>30</v>
      </c>
      <c r="I844">
        <v>9</v>
      </c>
      <c r="J844">
        <v>0</v>
      </c>
      <c r="K844">
        <v>59.56</v>
      </c>
      <c r="L844">
        <v>5.13</v>
      </c>
      <c r="M844" t="s">
        <v>2473</v>
      </c>
      <c r="N844" t="s">
        <v>2474</v>
      </c>
      <c r="O844" t="s">
        <v>2463</v>
      </c>
      <c r="P844">
        <v>3.62</v>
      </c>
      <c r="Q844">
        <v>6.03</v>
      </c>
      <c r="R844">
        <v>32.58</v>
      </c>
      <c r="S844">
        <v>21.850000000000005</v>
      </c>
      <c r="T844">
        <v>0.36685695097380799</v>
      </c>
      <c r="U844" s="1">
        <v>45931</v>
      </c>
      <c r="V844" t="s">
        <v>2499</v>
      </c>
      <c r="W844">
        <v>2025</v>
      </c>
    </row>
    <row r="845" spans="1:23" x14ac:dyDescent="0.25">
      <c r="A845" t="s">
        <v>892</v>
      </c>
      <c r="B845" s="1">
        <v>45839</v>
      </c>
      <c r="C845" s="1">
        <v>45841</v>
      </c>
      <c r="D845" t="s">
        <v>32</v>
      </c>
      <c r="E845" t="s">
        <v>33</v>
      </c>
      <c r="F845" t="s">
        <v>25</v>
      </c>
      <c r="G845" t="s">
        <v>16</v>
      </c>
      <c r="H845" t="s">
        <v>17</v>
      </c>
      <c r="I845">
        <v>4</v>
      </c>
      <c r="J845">
        <v>0</v>
      </c>
      <c r="K845">
        <v>460.28</v>
      </c>
      <c r="L845">
        <v>9.5</v>
      </c>
      <c r="M845" t="s">
        <v>2472</v>
      </c>
      <c r="N845" t="s">
        <v>2467</v>
      </c>
      <c r="O845" t="s">
        <v>2468</v>
      </c>
      <c r="P845">
        <v>63.69</v>
      </c>
      <c r="Q845">
        <v>125.5</v>
      </c>
      <c r="R845">
        <v>254.76</v>
      </c>
      <c r="S845">
        <v>196.01999999999998</v>
      </c>
      <c r="T845">
        <v>0.42587120882940815</v>
      </c>
      <c r="U845" s="1">
        <v>45839</v>
      </c>
      <c r="V845" t="s">
        <v>2499</v>
      </c>
      <c r="W845">
        <v>2025</v>
      </c>
    </row>
    <row r="846" spans="1:23" x14ac:dyDescent="0.25">
      <c r="A846" t="s">
        <v>893</v>
      </c>
      <c r="B846" s="1">
        <v>45907</v>
      </c>
      <c r="C846" s="1">
        <v>45909</v>
      </c>
      <c r="D846" t="s">
        <v>47</v>
      </c>
      <c r="E846" t="s">
        <v>50</v>
      </c>
      <c r="F846" t="s">
        <v>25</v>
      </c>
      <c r="G846" t="s">
        <v>16</v>
      </c>
      <c r="H846" t="s">
        <v>34</v>
      </c>
      <c r="I846">
        <v>4</v>
      </c>
      <c r="J846">
        <v>0</v>
      </c>
      <c r="K846">
        <v>852.81</v>
      </c>
      <c r="L846">
        <v>8.2200000000000006</v>
      </c>
      <c r="M846" t="s">
        <v>2460</v>
      </c>
      <c r="N846" t="s">
        <v>2458</v>
      </c>
      <c r="O846" t="s">
        <v>2461</v>
      </c>
      <c r="P846">
        <v>119.02</v>
      </c>
      <c r="Q846">
        <v>205.39</v>
      </c>
      <c r="R846">
        <v>476.08</v>
      </c>
      <c r="S846">
        <v>368.50999999999993</v>
      </c>
      <c r="T846">
        <v>0.43211266284400973</v>
      </c>
      <c r="U846" s="1">
        <v>45901</v>
      </c>
      <c r="V846" t="s">
        <v>2499</v>
      </c>
      <c r="W846">
        <v>2025</v>
      </c>
    </row>
    <row r="847" spans="1:23" x14ac:dyDescent="0.25">
      <c r="A847" t="s">
        <v>894</v>
      </c>
      <c r="B847" s="1">
        <v>45640</v>
      </c>
      <c r="C847" s="1">
        <v>45641</v>
      </c>
      <c r="D847" t="s">
        <v>23</v>
      </c>
      <c r="E847" t="s">
        <v>24</v>
      </c>
      <c r="F847" t="s">
        <v>29</v>
      </c>
      <c r="G847" t="s">
        <v>16</v>
      </c>
      <c r="H847" t="s">
        <v>68</v>
      </c>
      <c r="I847">
        <v>2</v>
      </c>
      <c r="J847">
        <v>0.1</v>
      </c>
      <c r="K847">
        <v>132.27000000000001</v>
      </c>
      <c r="L847">
        <v>4.2</v>
      </c>
      <c r="M847" t="s">
        <v>2466</v>
      </c>
      <c r="N847" t="s">
        <v>2467</v>
      </c>
      <c r="O847" t="s">
        <v>2468</v>
      </c>
      <c r="P847">
        <v>25.33</v>
      </c>
      <c r="Q847">
        <v>51.56</v>
      </c>
      <c r="R847">
        <v>50.66</v>
      </c>
      <c r="S847">
        <v>77.410000000000011</v>
      </c>
      <c r="T847">
        <v>0.58524230740152716</v>
      </c>
      <c r="U847" s="1">
        <v>45627</v>
      </c>
      <c r="V847" t="s">
        <v>2498</v>
      </c>
      <c r="W847">
        <v>2024</v>
      </c>
    </row>
    <row r="848" spans="1:23" x14ac:dyDescent="0.25">
      <c r="A848" t="s">
        <v>895</v>
      </c>
      <c r="B848" s="1">
        <v>45989</v>
      </c>
      <c r="C848" s="1">
        <v>45990</v>
      </c>
      <c r="D848" t="s">
        <v>13</v>
      </c>
      <c r="E848" t="s">
        <v>19</v>
      </c>
      <c r="F848" t="s">
        <v>25</v>
      </c>
      <c r="G848" t="s">
        <v>16</v>
      </c>
      <c r="H848" t="s">
        <v>21</v>
      </c>
      <c r="I848">
        <v>1</v>
      </c>
      <c r="J848">
        <v>0.15</v>
      </c>
      <c r="K848">
        <v>127.68</v>
      </c>
      <c r="L848">
        <v>4.08</v>
      </c>
      <c r="M848" t="s">
        <v>2462</v>
      </c>
      <c r="N848" t="s">
        <v>2458</v>
      </c>
      <c r="O848" t="s">
        <v>2463</v>
      </c>
      <c r="P848">
        <v>71.489999999999995</v>
      </c>
      <c r="Q848">
        <v>112.88</v>
      </c>
      <c r="R848">
        <v>71.489999999999995</v>
      </c>
      <c r="S848">
        <v>52.110000000000014</v>
      </c>
      <c r="T848">
        <v>0.40812969924812037</v>
      </c>
      <c r="U848" s="1">
        <v>45962</v>
      </c>
      <c r="V848" t="s">
        <v>2500</v>
      </c>
      <c r="W848">
        <v>2025</v>
      </c>
    </row>
    <row r="849" spans="1:23" x14ac:dyDescent="0.25">
      <c r="A849" t="s">
        <v>896</v>
      </c>
      <c r="B849" s="1">
        <v>45480</v>
      </c>
      <c r="C849" s="1">
        <v>45486</v>
      </c>
      <c r="D849" t="s">
        <v>47</v>
      </c>
      <c r="E849" t="s">
        <v>50</v>
      </c>
      <c r="F849" t="s">
        <v>25</v>
      </c>
      <c r="G849" t="s">
        <v>16</v>
      </c>
      <c r="H849" t="s">
        <v>37</v>
      </c>
      <c r="I849">
        <v>1</v>
      </c>
      <c r="J849">
        <v>0</v>
      </c>
      <c r="K849">
        <v>96.9</v>
      </c>
      <c r="L849">
        <v>4.08</v>
      </c>
      <c r="M849" t="s">
        <v>2464</v>
      </c>
      <c r="N849" t="s">
        <v>2458</v>
      </c>
      <c r="O849" t="s">
        <v>2465</v>
      </c>
      <c r="P849">
        <v>63.6</v>
      </c>
      <c r="Q849">
        <v>107.94</v>
      </c>
      <c r="R849">
        <v>63.6</v>
      </c>
      <c r="S849">
        <v>29.220000000000006</v>
      </c>
      <c r="T849">
        <v>0.30154798761609913</v>
      </c>
      <c r="U849" s="1">
        <v>45474</v>
      </c>
      <c r="V849" t="s">
        <v>2499</v>
      </c>
      <c r="W849">
        <v>2024</v>
      </c>
    </row>
    <row r="850" spans="1:23" x14ac:dyDescent="0.25">
      <c r="A850" t="s">
        <v>897</v>
      </c>
      <c r="B850" s="1">
        <v>45390</v>
      </c>
      <c r="C850" s="1">
        <v>45391</v>
      </c>
      <c r="D850" t="s">
        <v>13</v>
      </c>
      <c r="E850" t="s">
        <v>36</v>
      </c>
      <c r="F850" t="s">
        <v>25</v>
      </c>
      <c r="G850" t="s">
        <v>20</v>
      </c>
      <c r="H850" t="s">
        <v>53</v>
      </c>
      <c r="I850">
        <v>3</v>
      </c>
      <c r="J850">
        <v>0.25</v>
      </c>
      <c r="K850">
        <v>118.16</v>
      </c>
      <c r="L850">
        <v>4.95</v>
      </c>
      <c r="M850" t="s">
        <v>2470</v>
      </c>
      <c r="N850" t="s">
        <v>2467</v>
      </c>
      <c r="O850" t="s">
        <v>2459</v>
      </c>
      <c r="P850">
        <v>31.34</v>
      </c>
      <c r="Q850">
        <v>56.49</v>
      </c>
      <c r="R850">
        <v>94.02</v>
      </c>
      <c r="S850">
        <v>19.190000000000001</v>
      </c>
      <c r="T850">
        <v>0.16240690589031823</v>
      </c>
      <c r="U850" s="1">
        <v>45383</v>
      </c>
      <c r="V850" t="s">
        <v>2501</v>
      </c>
      <c r="W850">
        <v>2024</v>
      </c>
    </row>
    <row r="851" spans="1:23" x14ac:dyDescent="0.25">
      <c r="A851" t="s">
        <v>898</v>
      </c>
      <c r="B851" s="1">
        <v>45826</v>
      </c>
      <c r="C851" s="1">
        <v>45832</v>
      </c>
      <c r="D851" t="s">
        <v>47</v>
      </c>
      <c r="E851" t="s">
        <v>50</v>
      </c>
      <c r="F851" t="s">
        <v>25</v>
      </c>
      <c r="G851" t="s">
        <v>26</v>
      </c>
      <c r="H851" t="s">
        <v>27</v>
      </c>
      <c r="I851">
        <v>20</v>
      </c>
      <c r="J851">
        <v>0</v>
      </c>
      <c r="K851">
        <v>597.44000000000005</v>
      </c>
      <c r="L851">
        <v>13.5</v>
      </c>
      <c r="M851" t="s">
        <v>2478</v>
      </c>
      <c r="N851" t="s">
        <v>2474</v>
      </c>
      <c r="O851" t="s">
        <v>2463</v>
      </c>
      <c r="P851">
        <v>16.760000000000002</v>
      </c>
      <c r="Q851">
        <v>27.71</v>
      </c>
      <c r="R851">
        <v>335.20000000000005</v>
      </c>
      <c r="S851">
        <v>248.74</v>
      </c>
      <c r="T851">
        <v>0.41634306373861807</v>
      </c>
      <c r="U851" s="1">
        <v>45809</v>
      </c>
      <c r="V851" t="s">
        <v>2499</v>
      </c>
      <c r="W851">
        <v>2025</v>
      </c>
    </row>
    <row r="852" spans="1:23" x14ac:dyDescent="0.25">
      <c r="A852" t="s">
        <v>899</v>
      </c>
      <c r="B852" s="1">
        <v>45522</v>
      </c>
      <c r="C852" s="1">
        <v>45526</v>
      </c>
      <c r="D852" t="s">
        <v>47</v>
      </c>
      <c r="E852" t="s">
        <v>71</v>
      </c>
      <c r="F852" t="s">
        <v>29</v>
      </c>
      <c r="G852" t="s">
        <v>20</v>
      </c>
      <c r="H852" t="s">
        <v>87</v>
      </c>
      <c r="I852">
        <v>5</v>
      </c>
      <c r="J852">
        <v>0.05</v>
      </c>
      <c r="K852">
        <v>37.700000000000003</v>
      </c>
      <c r="L852">
        <v>6.75</v>
      </c>
      <c r="M852" t="s">
        <v>2476</v>
      </c>
      <c r="N852" t="s">
        <v>2474</v>
      </c>
      <c r="O852" t="s">
        <v>2459</v>
      </c>
      <c r="P852">
        <v>4.5</v>
      </c>
      <c r="Q852">
        <v>8.2899999999999991</v>
      </c>
      <c r="R852">
        <v>22.5</v>
      </c>
      <c r="S852">
        <v>8.4500000000000028</v>
      </c>
      <c r="T852">
        <v>0.22413793103448282</v>
      </c>
      <c r="U852" s="1">
        <v>45505</v>
      </c>
      <c r="V852" t="s">
        <v>2498</v>
      </c>
      <c r="W852">
        <v>2024</v>
      </c>
    </row>
    <row r="853" spans="1:23" x14ac:dyDescent="0.25">
      <c r="A853" t="s">
        <v>900</v>
      </c>
      <c r="B853" s="1">
        <v>45397</v>
      </c>
      <c r="C853" s="1">
        <v>45400</v>
      </c>
      <c r="D853" t="s">
        <v>13</v>
      </c>
      <c r="E853" t="s">
        <v>19</v>
      </c>
      <c r="F853" t="s">
        <v>15</v>
      </c>
      <c r="G853" t="s">
        <v>26</v>
      </c>
      <c r="H853" t="s">
        <v>87</v>
      </c>
      <c r="I853">
        <v>3</v>
      </c>
      <c r="J853">
        <v>0</v>
      </c>
      <c r="K853">
        <v>23.74</v>
      </c>
      <c r="L853">
        <v>3.51</v>
      </c>
      <c r="M853" t="s">
        <v>2476</v>
      </c>
      <c r="N853" t="s">
        <v>2474</v>
      </c>
      <c r="O853" t="s">
        <v>2459</v>
      </c>
      <c r="P853">
        <v>4.5</v>
      </c>
      <c r="Q853">
        <v>8.2899999999999991</v>
      </c>
      <c r="R853">
        <v>13.5</v>
      </c>
      <c r="S853">
        <v>6.7299999999999986</v>
      </c>
      <c r="T853">
        <v>0.2834877843302443</v>
      </c>
      <c r="U853" s="1">
        <v>45383</v>
      </c>
      <c r="V853" t="s">
        <v>2499</v>
      </c>
      <c r="W853">
        <v>2024</v>
      </c>
    </row>
    <row r="854" spans="1:23" x14ac:dyDescent="0.25">
      <c r="A854" t="s">
        <v>901</v>
      </c>
      <c r="B854" s="1">
        <v>45891</v>
      </c>
      <c r="C854" s="1">
        <v>45893</v>
      </c>
      <c r="D854" t="s">
        <v>23</v>
      </c>
      <c r="E854" t="s">
        <v>43</v>
      </c>
      <c r="F854" t="s">
        <v>15</v>
      </c>
      <c r="G854" t="s">
        <v>20</v>
      </c>
      <c r="H854" t="s">
        <v>37</v>
      </c>
      <c r="I854">
        <v>4</v>
      </c>
      <c r="J854">
        <v>0.25</v>
      </c>
      <c r="K854">
        <v>298.95999999999998</v>
      </c>
      <c r="L854">
        <v>13.7</v>
      </c>
      <c r="M854" t="s">
        <v>2464</v>
      </c>
      <c r="N854" t="s">
        <v>2458</v>
      </c>
      <c r="O854" t="s">
        <v>2465</v>
      </c>
      <c r="P854">
        <v>63.6</v>
      </c>
      <c r="Q854">
        <v>107.94</v>
      </c>
      <c r="R854">
        <v>254.4</v>
      </c>
      <c r="S854">
        <v>30.859999999999975</v>
      </c>
      <c r="T854">
        <v>0.10322451164035315</v>
      </c>
      <c r="U854" s="1">
        <v>45870</v>
      </c>
      <c r="V854" t="s">
        <v>2501</v>
      </c>
      <c r="W854">
        <v>2025</v>
      </c>
    </row>
    <row r="855" spans="1:23" x14ac:dyDescent="0.25">
      <c r="A855" t="s">
        <v>902</v>
      </c>
      <c r="B855" s="1">
        <v>45582</v>
      </c>
      <c r="C855" s="1">
        <v>45586</v>
      </c>
      <c r="D855" t="s">
        <v>23</v>
      </c>
      <c r="E855" t="s">
        <v>59</v>
      </c>
      <c r="F855" t="s">
        <v>15</v>
      </c>
      <c r="G855" t="s">
        <v>20</v>
      </c>
      <c r="H855" t="s">
        <v>34</v>
      </c>
      <c r="I855">
        <v>3</v>
      </c>
      <c r="J855">
        <v>0</v>
      </c>
      <c r="K855">
        <v>732.75</v>
      </c>
      <c r="L855">
        <v>6.84</v>
      </c>
      <c r="M855" t="s">
        <v>2460</v>
      </c>
      <c r="N855" t="s">
        <v>2458</v>
      </c>
      <c r="O855" t="s">
        <v>2461</v>
      </c>
      <c r="P855">
        <v>119.02</v>
      </c>
      <c r="Q855">
        <v>205.39</v>
      </c>
      <c r="R855">
        <v>357.06</v>
      </c>
      <c r="S855">
        <v>368.85</v>
      </c>
      <c r="T855">
        <v>0.50337768679631523</v>
      </c>
      <c r="U855" s="1">
        <v>45566</v>
      </c>
      <c r="V855" t="s">
        <v>2499</v>
      </c>
      <c r="W855">
        <v>2024</v>
      </c>
    </row>
    <row r="856" spans="1:23" x14ac:dyDescent="0.25">
      <c r="A856" t="s">
        <v>903</v>
      </c>
      <c r="B856" s="1">
        <v>45778</v>
      </c>
      <c r="C856" s="1">
        <v>45784</v>
      </c>
      <c r="D856" t="s">
        <v>32</v>
      </c>
      <c r="E856" t="s">
        <v>62</v>
      </c>
      <c r="F856" t="s">
        <v>29</v>
      </c>
      <c r="G856" t="s">
        <v>20</v>
      </c>
      <c r="H856" t="s">
        <v>87</v>
      </c>
      <c r="I856">
        <v>8</v>
      </c>
      <c r="J856">
        <v>0</v>
      </c>
      <c r="K856">
        <v>68.44</v>
      </c>
      <c r="L856">
        <v>4.8600000000000003</v>
      </c>
      <c r="M856" t="s">
        <v>2476</v>
      </c>
      <c r="N856" t="s">
        <v>2474</v>
      </c>
      <c r="O856" t="s">
        <v>2459</v>
      </c>
      <c r="P856">
        <v>4.5</v>
      </c>
      <c r="Q856">
        <v>8.2899999999999991</v>
      </c>
      <c r="R856">
        <v>36</v>
      </c>
      <c r="S856">
        <v>27.58</v>
      </c>
      <c r="T856">
        <v>0.40298071303331384</v>
      </c>
      <c r="U856" s="1">
        <v>45778</v>
      </c>
      <c r="V856" t="s">
        <v>2499</v>
      </c>
      <c r="W856">
        <v>2025</v>
      </c>
    </row>
    <row r="857" spans="1:23" x14ac:dyDescent="0.25">
      <c r="A857" t="s">
        <v>904</v>
      </c>
      <c r="B857" s="1">
        <v>45590</v>
      </c>
      <c r="C857" s="1">
        <v>45592</v>
      </c>
      <c r="D857" t="s">
        <v>47</v>
      </c>
      <c r="E857" t="s">
        <v>48</v>
      </c>
      <c r="F857" t="s">
        <v>15</v>
      </c>
      <c r="G857" t="s">
        <v>26</v>
      </c>
      <c r="H857" t="s">
        <v>87</v>
      </c>
      <c r="I857">
        <v>8</v>
      </c>
      <c r="J857">
        <v>0.2</v>
      </c>
      <c r="K857">
        <v>64.069999999999993</v>
      </c>
      <c r="L857">
        <v>8.1</v>
      </c>
      <c r="M857" t="s">
        <v>2476</v>
      </c>
      <c r="N857" t="s">
        <v>2474</v>
      </c>
      <c r="O857" t="s">
        <v>2459</v>
      </c>
      <c r="P857">
        <v>4.5</v>
      </c>
      <c r="Q857">
        <v>8.2899999999999991</v>
      </c>
      <c r="R857">
        <v>36</v>
      </c>
      <c r="S857">
        <v>19.969999999999992</v>
      </c>
      <c r="T857">
        <v>0.31169033869205548</v>
      </c>
      <c r="U857" s="1">
        <v>45566</v>
      </c>
      <c r="V857" t="s">
        <v>2500</v>
      </c>
      <c r="W857">
        <v>2024</v>
      </c>
    </row>
    <row r="858" spans="1:23" x14ac:dyDescent="0.25">
      <c r="A858" t="s">
        <v>905</v>
      </c>
      <c r="B858" s="1">
        <v>45664</v>
      </c>
      <c r="C858" s="1">
        <v>45669</v>
      </c>
      <c r="D858" t="s">
        <v>32</v>
      </c>
      <c r="E858" t="s">
        <v>45</v>
      </c>
      <c r="F858" t="s">
        <v>15</v>
      </c>
      <c r="G858" t="s">
        <v>16</v>
      </c>
      <c r="H858" t="s">
        <v>27</v>
      </c>
      <c r="I858">
        <v>23</v>
      </c>
      <c r="J858">
        <v>0.05</v>
      </c>
      <c r="K858">
        <v>510.04</v>
      </c>
      <c r="L858">
        <v>8.91</v>
      </c>
      <c r="M858" t="s">
        <v>2478</v>
      </c>
      <c r="N858" t="s">
        <v>2474</v>
      </c>
      <c r="O858" t="s">
        <v>2463</v>
      </c>
      <c r="P858">
        <v>16.760000000000002</v>
      </c>
      <c r="Q858">
        <v>27.71</v>
      </c>
      <c r="R858">
        <v>385.48</v>
      </c>
      <c r="S858">
        <v>115.65</v>
      </c>
      <c r="T858">
        <v>0.22674692181005413</v>
      </c>
      <c r="U858" s="1">
        <v>45658</v>
      </c>
      <c r="V858" t="s">
        <v>2498</v>
      </c>
      <c r="W858">
        <v>2025</v>
      </c>
    </row>
    <row r="859" spans="1:23" x14ac:dyDescent="0.25">
      <c r="A859" t="s">
        <v>906</v>
      </c>
      <c r="B859" s="1">
        <v>45863</v>
      </c>
      <c r="C859" s="1">
        <v>45865</v>
      </c>
      <c r="D859" t="s">
        <v>47</v>
      </c>
      <c r="E859" t="s">
        <v>48</v>
      </c>
      <c r="F859" t="s">
        <v>25</v>
      </c>
      <c r="G859" t="s">
        <v>16</v>
      </c>
      <c r="H859" t="s">
        <v>30</v>
      </c>
      <c r="I859">
        <v>3</v>
      </c>
      <c r="J859">
        <v>0.05</v>
      </c>
      <c r="K859">
        <v>15.03</v>
      </c>
      <c r="L859">
        <v>3.51</v>
      </c>
      <c r="M859" t="s">
        <v>2473</v>
      </c>
      <c r="N859" t="s">
        <v>2474</v>
      </c>
      <c r="O859" t="s">
        <v>2463</v>
      </c>
      <c r="P859">
        <v>3.62</v>
      </c>
      <c r="Q859">
        <v>6.03</v>
      </c>
      <c r="R859">
        <v>10.86</v>
      </c>
      <c r="S859">
        <v>0.66000000000000014</v>
      </c>
      <c r="T859">
        <v>4.3912175648702603E-2</v>
      </c>
      <c r="U859" s="1">
        <v>45839</v>
      </c>
      <c r="V859" t="s">
        <v>2498</v>
      </c>
      <c r="W859">
        <v>2025</v>
      </c>
    </row>
    <row r="860" spans="1:23" x14ac:dyDescent="0.25">
      <c r="A860" t="s">
        <v>907</v>
      </c>
      <c r="B860" s="1">
        <v>45586</v>
      </c>
      <c r="C860" s="1">
        <v>45592</v>
      </c>
      <c r="D860" t="s">
        <v>13</v>
      </c>
      <c r="E860" t="s">
        <v>14</v>
      </c>
      <c r="F860" t="s">
        <v>25</v>
      </c>
      <c r="G860" t="s">
        <v>26</v>
      </c>
      <c r="H860" t="s">
        <v>63</v>
      </c>
      <c r="I860">
        <v>10</v>
      </c>
      <c r="J860">
        <v>0.05</v>
      </c>
      <c r="K860">
        <v>131</v>
      </c>
      <c r="L860">
        <v>9</v>
      </c>
      <c r="M860" t="s">
        <v>2477</v>
      </c>
      <c r="N860" t="s">
        <v>2474</v>
      </c>
      <c r="O860" t="s">
        <v>2468</v>
      </c>
      <c r="P860">
        <v>6.33</v>
      </c>
      <c r="Q860">
        <v>12.16</v>
      </c>
      <c r="R860">
        <v>63.3</v>
      </c>
      <c r="S860">
        <v>58.7</v>
      </c>
      <c r="T860">
        <v>0.44809160305343515</v>
      </c>
      <c r="U860" s="1">
        <v>45566</v>
      </c>
      <c r="V860" t="s">
        <v>2498</v>
      </c>
      <c r="W860">
        <v>2024</v>
      </c>
    </row>
    <row r="861" spans="1:23" x14ac:dyDescent="0.25">
      <c r="A861" t="s">
        <v>908</v>
      </c>
      <c r="B861" s="1">
        <v>45531</v>
      </c>
      <c r="C861" s="1">
        <v>45533</v>
      </c>
      <c r="D861" t="s">
        <v>32</v>
      </c>
      <c r="E861" t="s">
        <v>45</v>
      </c>
      <c r="F861" t="s">
        <v>29</v>
      </c>
      <c r="G861" t="s">
        <v>16</v>
      </c>
      <c r="H861" t="s">
        <v>87</v>
      </c>
      <c r="I861">
        <v>9</v>
      </c>
      <c r="J861">
        <v>0.1</v>
      </c>
      <c r="K861">
        <v>66.010000000000005</v>
      </c>
      <c r="L861">
        <v>8.5500000000000007</v>
      </c>
      <c r="M861" t="s">
        <v>2476</v>
      </c>
      <c r="N861" t="s">
        <v>2474</v>
      </c>
      <c r="O861" t="s">
        <v>2459</v>
      </c>
      <c r="P861">
        <v>4.5</v>
      </c>
      <c r="Q861">
        <v>8.2899999999999991</v>
      </c>
      <c r="R861">
        <v>40.5</v>
      </c>
      <c r="S861">
        <v>16.960000000000004</v>
      </c>
      <c r="T861">
        <v>0.25693076806544468</v>
      </c>
      <c r="U861" s="1">
        <v>45505</v>
      </c>
      <c r="V861" t="s">
        <v>2498</v>
      </c>
      <c r="W861">
        <v>2024</v>
      </c>
    </row>
    <row r="862" spans="1:23" x14ac:dyDescent="0.25">
      <c r="A862" t="s">
        <v>909</v>
      </c>
      <c r="B862" s="1">
        <v>45712</v>
      </c>
      <c r="C862" s="1">
        <v>45714</v>
      </c>
      <c r="D862" t="s">
        <v>32</v>
      </c>
      <c r="E862" t="s">
        <v>33</v>
      </c>
      <c r="F862" t="s">
        <v>29</v>
      </c>
      <c r="G862" t="s">
        <v>16</v>
      </c>
      <c r="H862" t="s">
        <v>41</v>
      </c>
      <c r="I862">
        <v>7</v>
      </c>
      <c r="J862">
        <v>0.1</v>
      </c>
      <c r="K862">
        <v>33.29</v>
      </c>
      <c r="L862">
        <v>4.59</v>
      </c>
      <c r="M862" t="s">
        <v>2479</v>
      </c>
      <c r="N862" t="s">
        <v>2474</v>
      </c>
      <c r="O862" t="s">
        <v>2459</v>
      </c>
      <c r="P862">
        <v>3.3</v>
      </c>
      <c r="Q862">
        <v>6.13</v>
      </c>
      <c r="R862">
        <v>23.099999999999998</v>
      </c>
      <c r="S862">
        <v>5.6000000000000014</v>
      </c>
      <c r="T862">
        <v>0.16821868428957651</v>
      </c>
      <c r="U862" s="1">
        <v>45689</v>
      </c>
      <c r="V862" t="s">
        <v>2498</v>
      </c>
      <c r="W862">
        <v>2025</v>
      </c>
    </row>
    <row r="863" spans="1:23" x14ac:dyDescent="0.25">
      <c r="A863" t="s">
        <v>910</v>
      </c>
      <c r="B863" s="1">
        <v>45417</v>
      </c>
      <c r="C863" s="1">
        <v>45423</v>
      </c>
      <c r="D863" t="s">
        <v>13</v>
      </c>
      <c r="E863" t="s">
        <v>36</v>
      </c>
      <c r="F863" t="s">
        <v>25</v>
      </c>
      <c r="G863" t="s">
        <v>16</v>
      </c>
      <c r="H863" t="s">
        <v>41</v>
      </c>
      <c r="I863">
        <v>13</v>
      </c>
      <c r="J863">
        <v>0</v>
      </c>
      <c r="K863">
        <v>81.23</v>
      </c>
      <c r="L863">
        <v>6.21</v>
      </c>
      <c r="M863" t="s">
        <v>2479</v>
      </c>
      <c r="N863" t="s">
        <v>2474</v>
      </c>
      <c r="O863" t="s">
        <v>2459</v>
      </c>
      <c r="P863">
        <v>3.3</v>
      </c>
      <c r="Q863">
        <v>6.13</v>
      </c>
      <c r="R863">
        <v>42.9</v>
      </c>
      <c r="S863">
        <v>32.120000000000005</v>
      </c>
      <c r="T863">
        <v>0.3954204111781362</v>
      </c>
      <c r="U863" s="1">
        <v>45413</v>
      </c>
      <c r="V863" t="s">
        <v>2499</v>
      </c>
      <c r="W863">
        <v>2024</v>
      </c>
    </row>
    <row r="864" spans="1:23" x14ac:dyDescent="0.25">
      <c r="A864" t="s">
        <v>911</v>
      </c>
      <c r="B864" s="1">
        <v>45664</v>
      </c>
      <c r="C864" s="1">
        <v>45670</v>
      </c>
      <c r="D864" t="s">
        <v>32</v>
      </c>
      <c r="E864" t="s">
        <v>45</v>
      </c>
      <c r="F864" t="s">
        <v>15</v>
      </c>
      <c r="G864" t="s">
        <v>26</v>
      </c>
      <c r="H864" t="s">
        <v>41</v>
      </c>
      <c r="I864">
        <v>7</v>
      </c>
      <c r="J864">
        <v>0</v>
      </c>
      <c r="K864">
        <v>38.29</v>
      </c>
      <c r="L864">
        <v>4.59</v>
      </c>
      <c r="M864" t="s">
        <v>2479</v>
      </c>
      <c r="N864" t="s">
        <v>2474</v>
      </c>
      <c r="O864" t="s">
        <v>2459</v>
      </c>
      <c r="P864">
        <v>3.3</v>
      </c>
      <c r="Q864">
        <v>6.13</v>
      </c>
      <c r="R864">
        <v>23.099999999999998</v>
      </c>
      <c r="S864">
        <v>10.600000000000001</v>
      </c>
      <c r="T864">
        <v>0.27683468268477412</v>
      </c>
      <c r="U864" s="1">
        <v>45658</v>
      </c>
      <c r="V864" t="s">
        <v>2499</v>
      </c>
      <c r="W864">
        <v>2025</v>
      </c>
    </row>
    <row r="865" spans="1:23" x14ac:dyDescent="0.25">
      <c r="A865" t="s">
        <v>912</v>
      </c>
      <c r="B865" s="1">
        <v>45524</v>
      </c>
      <c r="C865" s="1">
        <v>45527</v>
      </c>
      <c r="D865" t="s">
        <v>23</v>
      </c>
      <c r="E865" t="s">
        <v>24</v>
      </c>
      <c r="F865" t="s">
        <v>29</v>
      </c>
      <c r="G865" t="s">
        <v>16</v>
      </c>
      <c r="H865" t="s">
        <v>41</v>
      </c>
      <c r="I865">
        <v>8</v>
      </c>
      <c r="J865">
        <v>0</v>
      </c>
      <c r="K865">
        <v>44.89</v>
      </c>
      <c r="L865">
        <v>8.1</v>
      </c>
      <c r="M865" t="s">
        <v>2479</v>
      </c>
      <c r="N865" t="s">
        <v>2474</v>
      </c>
      <c r="O865" t="s">
        <v>2459</v>
      </c>
      <c r="P865">
        <v>3.3</v>
      </c>
      <c r="Q865">
        <v>6.13</v>
      </c>
      <c r="R865">
        <v>26.4</v>
      </c>
      <c r="S865">
        <v>10.390000000000002</v>
      </c>
      <c r="T865">
        <v>0.23145466696368908</v>
      </c>
      <c r="U865" s="1">
        <v>45505</v>
      </c>
      <c r="V865" t="s">
        <v>2499</v>
      </c>
      <c r="W865">
        <v>2024</v>
      </c>
    </row>
    <row r="866" spans="1:23" x14ac:dyDescent="0.25">
      <c r="A866" t="s">
        <v>913</v>
      </c>
      <c r="B866" s="1">
        <v>45751</v>
      </c>
      <c r="C866" s="1">
        <v>45756</v>
      </c>
      <c r="D866" t="s">
        <v>23</v>
      </c>
      <c r="E866" t="s">
        <v>59</v>
      </c>
      <c r="F866" t="s">
        <v>29</v>
      </c>
      <c r="G866" t="s">
        <v>26</v>
      </c>
      <c r="H866" t="s">
        <v>34</v>
      </c>
      <c r="I866">
        <v>2</v>
      </c>
      <c r="J866">
        <v>0</v>
      </c>
      <c r="K866">
        <v>405.6</v>
      </c>
      <c r="L866">
        <v>5.46</v>
      </c>
      <c r="M866" t="s">
        <v>2460</v>
      </c>
      <c r="N866" t="s">
        <v>2458</v>
      </c>
      <c r="O866" t="s">
        <v>2461</v>
      </c>
      <c r="P866">
        <v>119.02</v>
      </c>
      <c r="Q866">
        <v>205.39</v>
      </c>
      <c r="R866">
        <v>238.04</v>
      </c>
      <c r="S866">
        <v>162.10000000000002</v>
      </c>
      <c r="T866">
        <v>0.39965483234714005</v>
      </c>
      <c r="U866" s="1">
        <v>45748</v>
      </c>
      <c r="V866" t="s">
        <v>2499</v>
      </c>
      <c r="W866">
        <v>2025</v>
      </c>
    </row>
    <row r="867" spans="1:23" x14ac:dyDescent="0.25">
      <c r="A867" t="s">
        <v>914</v>
      </c>
      <c r="B867" s="1">
        <v>45609</v>
      </c>
      <c r="C867" s="1">
        <v>45615</v>
      </c>
      <c r="D867" t="s">
        <v>13</v>
      </c>
      <c r="E867" t="s">
        <v>14</v>
      </c>
      <c r="F867" t="s">
        <v>15</v>
      </c>
      <c r="G867" t="s">
        <v>26</v>
      </c>
      <c r="H867" t="s">
        <v>68</v>
      </c>
      <c r="I867">
        <v>1</v>
      </c>
      <c r="J867">
        <v>0.2</v>
      </c>
      <c r="K867">
        <v>53.54</v>
      </c>
      <c r="L867">
        <v>3.45</v>
      </c>
      <c r="M867" t="s">
        <v>2466</v>
      </c>
      <c r="N867" t="s">
        <v>2467</v>
      </c>
      <c r="O867" t="s">
        <v>2468</v>
      </c>
      <c r="P867">
        <v>25.33</v>
      </c>
      <c r="Q867">
        <v>51.56</v>
      </c>
      <c r="R867">
        <v>25.33</v>
      </c>
      <c r="S867">
        <v>24.76</v>
      </c>
      <c r="T867">
        <v>0.46245797534553607</v>
      </c>
      <c r="U867" s="1">
        <v>45597</v>
      </c>
      <c r="V867" t="s">
        <v>2500</v>
      </c>
      <c r="W867">
        <v>2024</v>
      </c>
    </row>
    <row r="868" spans="1:23" x14ac:dyDescent="0.25">
      <c r="A868" t="s">
        <v>915</v>
      </c>
      <c r="B868" s="1">
        <v>45435</v>
      </c>
      <c r="C868" s="1">
        <v>45436</v>
      </c>
      <c r="D868" t="s">
        <v>13</v>
      </c>
      <c r="E868" t="s">
        <v>36</v>
      </c>
      <c r="F868" t="s">
        <v>29</v>
      </c>
      <c r="G868" t="s">
        <v>26</v>
      </c>
      <c r="H868" t="s">
        <v>65</v>
      </c>
      <c r="I868">
        <v>2</v>
      </c>
      <c r="J868">
        <v>0</v>
      </c>
      <c r="K868">
        <v>584.29999999999995</v>
      </c>
      <c r="L868">
        <v>5.46</v>
      </c>
      <c r="M868" t="s">
        <v>2457</v>
      </c>
      <c r="N868" t="s">
        <v>2458</v>
      </c>
      <c r="O868" t="s">
        <v>2459</v>
      </c>
      <c r="P868">
        <v>173.56</v>
      </c>
      <c r="Q868">
        <v>286.14999999999998</v>
      </c>
      <c r="R868">
        <v>347.12</v>
      </c>
      <c r="S868">
        <v>231.71999999999994</v>
      </c>
      <c r="T868">
        <v>0.39657710080438124</v>
      </c>
      <c r="U868" s="1">
        <v>45413</v>
      </c>
      <c r="V868" t="s">
        <v>2499</v>
      </c>
      <c r="W868">
        <v>2024</v>
      </c>
    </row>
    <row r="869" spans="1:23" x14ac:dyDescent="0.25">
      <c r="A869" t="s">
        <v>916</v>
      </c>
      <c r="B869" s="1">
        <v>45986</v>
      </c>
      <c r="C869" s="1">
        <v>45991</v>
      </c>
      <c r="D869" t="s">
        <v>23</v>
      </c>
      <c r="E869" t="s">
        <v>59</v>
      </c>
      <c r="F869" t="s">
        <v>25</v>
      </c>
      <c r="G869" t="s">
        <v>20</v>
      </c>
      <c r="H869" t="s">
        <v>21</v>
      </c>
      <c r="I869">
        <v>4</v>
      </c>
      <c r="J869">
        <v>0</v>
      </c>
      <c r="K869">
        <v>592.16999999999996</v>
      </c>
      <c r="L869">
        <v>8.2200000000000006</v>
      </c>
      <c r="M869" t="s">
        <v>2462</v>
      </c>
      <c r="N869" t="s">
        <v>2458</v>
      </c>
      <c r="O869" t="s">
        <v>2463</v>
      </c>
      <c r="P869">
        <v>71.489999999999995</v>
      </c>
      <c r="Q869">
        <v>112.88</v>
      </c>
      <c r="R869">
        <v>285.95999999999998</v>
      </c>
      <c r="S869">
        <v>297.98999999999995</v>
      </c>
      <c r="T869">
        <v>0.50321698161001061</v>
      </c>
      <c r="U869" s="1">
        <v>45962</v>
      </c>
      <c r="V869" t="s">
        <v>2499</v>
      </c>
      <c r="W869">
        <v>2025</v>
      </c>
    </row>
    <row r="870" spans="1:23" x14ac:dyDescent="0.25">
      <c r="A870" t="s">
        <v>917</v>
      </c>
      <c r="B870" s="1">
        <v>45351</v>
      </c>
      <c r="C870" s="1">
        <v>45352</v>
      </c>
      <c r="D870" t="s">
        <v>32</v>
      </c>
      <c r="E870" t="s">
        <v>62</v>
      </c>
      <c r="F870" t="s">
        <v>29</v>
      </c>
      <c r="G870" t="s">
        <v>26</v>
      </c>
      <c r="H870" t="s">
        <v>87</v>
      </c>
      <c r="I870">
        <v>13</v>
      </c>
      <c r="J870">
        <v>0</v>
      </c>
      <c r="K870">
        <v>95.93</v>
      </c>
      <c r="L870">
        <v>6.21</v>
      </c>
      <c r="M870" t="s">
        <v>2476</v>
      </c>
      <c r="N870" t="s">
        <v>2474</v>
      </c>
      <c r="O870" t="s">
        <v>2459</v>
      </c>
      <c r="P870">
        <v>4.5</v>
      </c>
      <c r="Q870">
        <v>8.2899999999999991</v>
      </c>
      <c r="R870">
        <v>58.5</v>
      </c>
      <c r="S870">
        <v>31.220000000000006</v>
      </c>
      <c r="T870">
        <v>0.32544563744396959</v>
      </c>
      <c r="U870" s="1">
        <v>45323</v>
      </c>
      <c r="V870" t="s">
        <v>2499</v>
      </c>
      <c r="W870">
        <v>2024</v>
      </c>
    </row>
    <row r="871" spans="1:23" x14ac:dyDescent="0.25">
      <c r="A871" t="s">
        <v>918</v>
      </c>
      <c r="B871" s="1">
        <v>45470</v>
      </c>
      <c r="C871" s="1">
        <v>45473</v>
      </c>
      <c r="D871" t="s">
        <v>47</v>
      </c>
      <c r="E871" t="s">
        <v>71</v>
      </c>
      <c r="F871" t="s">
        <v>25</v>
      </c>
      <c r="G871" t="s">
        <v>26</v>
      </c>
      <c r="H871" t="s">
        <v>37</v>
      </c>
      <c r="I871">
        <v>2</v>
      </c>
      <c r="J871">
        <v>0</v>
      </c>
      <c r="K871">
        <v>224.17</v>
      </c>
      <c r="L871">
        <v>9.1</v>
      </c>
      <c r="M871" t="s">
        <v>2464</v>
      </c>
      <c r="N871" t="s">
        <v>2458</v>
      </c>
      <c r="O871" t="s">
        <v>2465</v>
      </c>
      <c r="P871">
        <v>63.6</v>
      </c>
      <c r="Q871">
        <v>107.94</v>
      </c>
      <c r="R871">
        <v>127.2</v>
      </c>
      <c r="S871">
        <v>87.86999999999999</v>
      </c>
      <c r="T871">
        <v>0.39197930142302717</v>
      </c>
      <c r="U871" s="1">
        <v>45444</v>
      </c>
      <c r="V871" t="s">
        <v>2499</v>
      </c>
      <c r="W871">
        <v>2024</v>
      </c>
    </row>
    <row r="872" spans="1:23" x14ac:dyDescent="0.25">
      <c r="A872" t="s">
        <v>919</v>
      </c>
      <c r="B872" s="1">
        <v>45559</v>
      </c>
      <c r="C872" s="1">
        <v>45563</v>
      </c>
      <c r="D872" t="s">
        <v>13</v>
      </c>
      <c r="E872" t="s">
        <v>19</v>
      </c>
      <c r="F872" t="s">
        <v>25</v>
      </c>
      <c r="G872" t="s">
        <v>26</v>
      </c>
      <c r="H872" t="s">
        <v>65</v>
      </c>
      <c r="I872">
        <v>4</v>
      </c>
      <c r="J872">
        <v>0</v>
      </c>
      <c r="K872">
        <v>1285.58</v>
      </c>
      <c r="L872">
        <v>13.7</v>
      </c>
      <c r="M872" t="s">
        <v>2457</v>
      </c>
      <c r="N872" t="s">
        <v>2458</v>
      </c>
      <c r="O872" t="s">
        <v>2459</v>
      </c>
      <c r="P872">
        <v>173.56</v>
      </c>
      <c r="Q872">
        <v>286.14999999999998</v>
      </c>
      <c r="R872">
        <v>694.24</v>
      </c>
      <c r="S872">
        <v>577.63999999999987</v>
      </c>
      <c r="T872">
        <v>0.44932248479285608</v>
      </c>
      <c r="U872" s="1">
        <v>45536</v>
      </c>
      <c r="V872" t="s">
        <v>2499</v>
      </c>
      <c r="W872">
        <v>2024</v>
      </c>
    </row>
    <row r="873" spans="1:23" x14ac:dyDescent="0.25">
      <c r="A873" t="s">
        <v>920</v>
      </c>
      <c r="B873" s="1">
        <v>45476</v>
      </c>
      <c r="C873" s="1">
        <v>45477</v>
      </c>
      <c r="D873" t="s">
        <v>47</v>
      </c>
      <c r="E873" t="s">
        <v>48</v>
      </c>
      <c r="F873" t="s">
        <v>29</v>
      </c>
      <c r="G873" t="s">
        <v>20</v>
      </c>
      <c r="H873" t="s">
        <v>30</v>
      </c>
      <c r="I873">
        <v>5</v>
      </c>
      <c r="J873">
        <v>0</v>
      </c>
      <c r="K873">
        <v>28.46</v>
      </c>
      <c r="L873">
        <v>4.05</v>
      </c>
      <c r="M873" t="s">
        <v>2473</v>
      </c>
      <c r="N873" t="s">
        <v>2474</v>
      </c>
      <c r="O873" t="s">
        <v>2463</v>
      </c>
      <c r="P873">
        <v>3.62</v>
      </c>
      <c r="Q873">
        <v>6.03</v>
      </c>
      <c r="R873">
        <v>18.100000000000001</v>
      </c>
      <c r="S873">
        <v>6.31</v>
      </c>
      <c r="T873">
        <v>0.22171468728039351</v>
      </c>
      <c r="U873" s="1">
        <v>45474</v>
      </c>
      <c r="V873" t="s">
        <v>2499</v>
      </c>
      <c r="W873">
        <v>2024</v>
      </c>
    </row>
    <row r="874" spans="1:23" x14ac:dyDescent="0.25">
      <c r="A874" t="s">
        <v>921</v>
      </c>
      <c r="B874" s="1">
        <v>45823</v>
      </c>
      <c r="C874" s="1">
        <v>45826</v>
      </c>
      <c r="D874" t="s">
        <v>23</v>
      </c>
      <c r="E874" t="s">
        <v>59</v>
      </c>
      <c r="F874" t="s">
        <v>15</v>
      </c>
      <c r="G874" t="s">
        <v>16</v>
      </c>
      <c r="H874" t="s">
        <v>41</v>
      </c>
      <c r="I874">
        <v>11</v>
      </c>
      <c r="J874">
        <v>0.1</v>
      </c>
      <c r="K874">
        <v>62.45</v>
      </c>
      <c r="L874">
        <v>5.67</v>
      </c>
      <c r="M874" t="s">
        <v>2479</v>
      </c>
      <c r="N874" t="s">
        <v>2474</v>
      </c>
      <c r="O874" t="s">
        <v>2459</v>
      </c>
      <c r="P874">
        <v>3.3</v>
      </c>
      <c r="Q874">
        <v>6.13</v>
      </c>
      <c r="R874">
        <v>36.299999999999997</v>
      </c>
      <c r="S874">
        <v>20.480000000000004</v>
      </c>
      <c r="T874">
        <v>0.32794235388310655</v>
      </c>
      <c r="U874" s="1">
        <v>45809</v>
      </c>
      <c r="V874" t="s">
        <v>2498</v>
      </c>
      <c r="W874">
        <v>2025</v>
      </c>
    </row>
    <row r="875" spans="1:23" x14ac:dyDescent="0.25">
      <c r="A875" t="s">
        <v>922</v>
      </c>
      <c r="B875" s="1">
        <v>45568</v>
      </c>
      <c r="C875" s="1">
        <v>45569</v>
      </c>
      <c r="D875" t="s">
        <v>47</v>
      </c>
      <c r="E875" t="s">
        <v>48</v>
      </c>
      <c r="F875" t="s">
        <v>29</v>
      </c>
      <c r="G875" t="s">
        <v>16</v>
      </c>
      <c r="H875" t="s">
        <v>34</v>
      </c>
      <c r="I875">
        <v>2</v>
      </c>
      <c r="J875">
        <v>0.25</v>
      </c>
      <c r="K875">
        <v>342.52</v>
      </c>
      <c r="L875">
        <v>9.1</v>
      </c>
      <c r="M875" t="s">
        <v>2460</v>
      </c>
      <c r="N875" t="s">
        <v>2458</v>
      </c>
      <c r="O875" t="s">
        <v>2461</v>
      </c>
      <c r="P875">
        <v>119.02</v>
      </c>
      <c r="Q875">
        <v>205.39</v>
      </c>
      <c r="R875">
        <v>238.04</v>
      </c>
      <c r="S875">
        <v>95.38</v>
      </c>
      <c r="T875">
        <v>0.2784654910662151</v>
      </c>
      <c r="U875" s="1">
        <v>45566</v>
      </c>
      <c r="V875" t="s">
        <v>2501</v>
      </c>
      <c r="W875">
        <v>2024</v>
      </c>
    </row>
    <row r="876" spans="1:23" x14ac:dyDescent="0.25">
      <c r="A876" t="s">
        <v>923</v>
      </c>
      <c r="B876" s="1">
        <v>45774</v>
      </c>
      <c r="C876" s="1">
        <v>45778</v>
      </c>
      <c r="D876" t="s">
        <v>23</v>
      </c>
      <c r="E876" t="s">
        <v>43</v>
      </c>
      <c r="F876" t="s">
        <v>25</v>
      </c>
      <c r="G876" t="s">
        <v>20</v>
      </c>
      <c r="H876" t="s">
        <v>51</v>
      </c>
      <c r="I876">
        <v>4</v>
      </c>
      <c r="J876">
        <v>0</v>
      </c>
      <c r="K876">
        <v>56.31</v>
      </c>
      <c r="L876">
        <v>6.3</v>
      </c>
      <c r="M876" t="s">
        <v>2475</v>
      </c>
      <c r="N876" t="s">
        <v>2474</v>
      </c>
      <c r="O876" t="s">
        <v>2463</v>
      </c>
      <c r="P876">
        <v>7.93</v>
      </c>
      <c r="Q876">
        <v>14.78</v>
      </c>
      <c r="R876">
        <v>31.72</v>
      </c>
      <c r="S876">
        <v>18.290000000000003</v>
      </c>
      <c r="T876">
        <v>0.32480909252353052</v>
      </c>
      <c r="U876" s="1">
        <v>45748</v>
      </c>
      <c r="V876" t="s">
        <v>2499</v>
      </c>
      <c r="W876">
        <v>2025</v>
      </c>
    </row>
    <row r="877" spans="1:23" x14ac:dyDescent="0.25">
      <c r="A877" t="s">
        <v>924</v>
      </c>
      <c r="B877" s="1">
        <v>45297</v>
      </c>
      <c r="C877" s="1">
        <v>45298</v>
      </c>
      <c r="D877" t="s">
        <v>47</v>
      </c>
      <c r="E877" t="s">
        <v>71</v>
      </c>
      <c r="F877" t="s">
        <v>29</v>
      </c>
      <c r="G877" t="s">
        <v>16</v>
      </c>
      <c r="H877" t="s">
        <v>60</v>
      </c>
      <c r="I877">
        <v>4</v>
      </c>
      <c r="J877">
        <v>0</v>
      </c>
      <c r="K877">
        <v>412.87</v>
      </c>
      <c r="L877">
        <v>9.5</v>
      </c>
      <c r="M877" t="s">
        <v>2469</v>
      </c>
      <c r="N877" t="s">
        <v>2467</v>
      </c>
      <c r="O877" t="s">
        <v>2468</v>
      </c>
      <c r="P877">
        <v>54.95</v>
      </c>
      <c r="Q877">
        <v>112.56</v>
      </c>
      <c r="R877">
        <v>219.8</v>
      </c>
      <c r="S877">
        <v>183.57</v>
      </c>
      <c r="T877">
        <v>0.44461937171506766</v>
      </c>
      <c r="U877" s="1">
        <v>45292</v>
      </c>
      <c r="V877" t="s">
        <v>2499</v>
      </c>
      <c r="W877">
        <v>2024</v>
      </c>
    </row>
    <row r="878" spans="1:23" x14ac:dyDescent="0.25">
      <c r="A878" t="s">
        <v>925</v>
      </c>
      <c r="B878" s="1">
        <v>45586</v>
      </c>
      <c r="C878" s="1">
        <v>45587</v>
      </c>
      <c r="D878" t="s">
        <v>13</v>
      </c>
      <c r="E878" t="s">
        <v>36</v>
      </c>
      <c r="F878" t="s">
        <v>15</v>
      </c>
      <c r="G878" t="s">
        <v>20</v>
      </c>
      <c r="H878" t="s">
        <v>60</v>
      </c>
      <c r="I878">
        <v>4</v>
      </c>
      <c r="J878">
        <v>0</v>
      </c>
      <c r="K878">
        <v>534.05999999999995</v>
      </c>
      <c r="L878">
        <v>5.7</v>
      </c>
      <c r="M878" t="s">
        <v>2469</v>
      </c>
      <c r="N878" t="s">
        <v>2467</v>
      </c>
      <c r="O878" t="s">
        <v>2468</v>
      </c>
      <c r="P878">
        <v>54.95</v>
      </c>
      <c r="Q878">
        <v>112.56</v>
      </c>
      <c r="R878">
        <v>219.8</v>
      </c>
      <c r="S878">
        <v>308.55999999999995</v>
      </c>
      <c r="T878">
        <v>0.57776279818746956</v>
      </c>
      <c r="U878" s="1">
        <v>45566</v>
      </c>
      <c r="V878" t="s">
        <v>2499</v>
      </c>
      <c r="W878">
        <v>2024</v>
      </c>
    </row>
    <row r="879" spans="1:23" x14ac:dyDescent="0.25">
      <c r="A879" t="s">
        <v>926</v>
      </c>
      <c r="B879" s="1">
        <v>45643</v>
      </c>
      <c r="C879" s="1">
        <v>45649</v>
      </c>
      <c r="D879" t="s">
        <v>47</v>
      </c>
      <c r="E879" t="s">
        <v>50</v>
      </c>
      <c r="F879" t="s">
        <v>25</v>
      </c>
      <c r="G879" t="s">
        <v>26</v>
      </c>
      <c r="H879" t="s">
        <v>37</v>
      </c>
      <c r="I879">
        <v>4</v>
      </c>
      <c r="J879">
        <v>0.2</v>
      </c>
      <c r="K879">
        <v>467.04</v>
      </c>
      <c r="L879">
        <v>8.2200000000000006</v>
      </c>
      <c r="M879" t="s">
        <v>2464</v>
      </c>
      <c r="N879" t="s">
        <v>2458</v>
      </c>
      <c r="O879" t="s">
        <v>2465</v>
      </c>
      <c r="P879">
        <v>63.6</v>
      </c>
      <c r="Q879">
        <v>107.94</v>
      </c>
      <c r="R879">
        <v>254.4</v>
      </c>
      <c r="S879">
        <v>204.42000000000002</v>
      </c>
      <c r="T879">
        <v>0.4376927029804728</v>
      </c>
      <c r="U879" s="1">
        <v>45627</v>
      </c>
      <c r="V879" t="s">
        <v>2500</v>
      </c>
      <c r="W879">
        <v>2024</v>
      </c>
    </row>
    <row r="880" spans="1:23" x14ac:dyDescent="0.25">
      <c r="A880" t="s">
        <v>927</v>
      </c>
      <c r="B880" s="1">
        <v>45513</v>
      </c>
      <c r="C880" s="1">
        <v>45516</v>
      </c>
      <c r="D880" t="s">
        <v>13</v>
      </c>
      <c r="E880" t="s">
        <v>14</v>
      </c>
      <c r="F880" t="s">
        <v>25</v>
      </c>
      <c r="G880" t="s">
        <v>16</v>
      </c>
      <c r="H880" t="s">
        <v>65</v>
      </c>
      <c r="I880">
        <v>3</v>
      </c>
      <c r="J880">
        <v>0.05</v>
      </c>
      <c r="K880">
        <v>771.08</v>
      </c>
      <c r="L880">
        <v>11.4</v>
      </c>
      <c r="M880" t="s">
        <v>2457</v>
      </c>
      <c r="N880" t="s">
        <v>2458</v>
      </c>
      <c r="O880" t="s">
        <v>2459</v>
      </c>
      <c r="P880">
        <v>173.56</v>
      </c>
      <c r="Q880">
        <v>286.14999999999998</v>
      </c>
      <c r="R880">
        <v>520.68000000000006</v>
      </c>
      <c r="S880">
        <v>238.99999999999997</v>
      </c>
      <c r="T880">
        <v>0.30995486849613524</v>
      </c>
      <c r="U880" s="1">
        <v>45505</v>
      </c>
      <c r="V880" t="s">
        <v>2498</v>
      </c>
      <c r="W880">
        <v>2024</v>
      </c>
    </row>
    <row r="881" spans="1:23" x14ac:dyDescent="0.25">
      <c r="A881" t="s">
        <v>928</v>
      </c>
      <c r="B881" s="1">
        <v>45887</v>
      </c>
      <c r="C881" s="1">
        <v>45892</v>
      </c>
      <c r="D881" t="s">
        <v>23</v>
      </c>
      <c r="E881" t="s">
        <v>59</v>
      </c>
      <c r="F881" t="s">
        <v>29</v>
      </c>
      <c r="G881" t="s">
        <v>20</v>
      </c>
      <c r="H881" t="s">
        <v>53</v>
      </c>
      <c r="I881">
        <v>5</v>
      </c>
      <c r="J881">
        <v>0</v>
      </c>
      <c r="K881">
        <v>278.72000000000003</v>
      </c>
      <c r="L881">
        <v>6.45</v>
      </c>
      <c r="M881" t="s">
        <v>2470</v>
      </c>
      <c r="N881" t="s">
        <v>2467</v>
      </c>
      <c r="O881" t="s">
        <v>2459</v>
      </c>
      <c r="P881">
        <v>31.34</v>
      </c>
      <c r="Q881">
        <v>56.49</v>
      </c>
      <c r="R881">
        <v>156.69999999999999</v>
      </c>
      <c r="S881">
        <v>115.57000000000004</v>
      </c>
      <c r="T881">
        <v>0.4146455223880598</v>
      </c>
      <c r="U881" s="1">
        <v>45870</v>
      </c>
      <c r="V881" t="s">
        <v>2499</v>
      </c>
      <c r="W881">
        <v>2025</v>
      </c>
    </row>
    <row r="882" spans="1:23" x14ac:dyDescent="0.25">
      <c r="A882" t="s">
        <v>929</v>
      </c>
      <c r="B882" s="1">
        <v>45586</v>
      </c>
      <c r="C882" s="1">
        <v>45588</v>
      </c>
      <c r="D882" t="s">
        <v>47</v>
      </c>
      <c r="E882" t="s">
        <v>50</v>
      </c>
      <c r="F882" t="s">
        <v>29</v>
      </c>
      <c r="G882" t="s">
        <v>26</v>
      </c>
      <c r="H882" t="s">
        <v>63</v>
      </c>
      <c r="I882">
        <v>11</v>
      </c>
      <c r="J882">
        <v>0.05</v>
      </c>
      <c r="K882">
        <v>146.04</v>
      </c>
      <c r="L882">
        <v>9.4499999999999993</v>
      </c>
      <c r="M882" t="s">
        <v>2477</v>
      </c>
      <c r="N882" t="s">
        <v>2474</v>
      </c>
      <c r="O882" t="s">
        <v>2468</v>
      </c>
      <c r="P882">
        <v>6.33</v>
      </c>
      <c r="Q882">
        <v>12.16</v>
      </c>
      <c r="R882">
        <v>69.63</v>
      </c>
      <c r="S882">
        <v>66.959999999999994</v>
      </c>
      <c r="T882">
        <v>0.45850451930977815</v>
      </c>
      <c r="U882" s="1">
        <v>45566</v>
      </c>
      <c r="V882" t="s">
        <v>2498</v>
      </c>
      <c r="W882">
        <v>2024</v>
      </c>
    </row>
    <row r="883" spans="1:23" x14ac:dyDescent="0.25">
      <c r="A883" t="s">
        <v>930</v>
      </c>
      <c r="B883" s="1">
        <v>45864</v>
      </c>
      <c r="C883" s="1">
        <v>45865</v>
      </c>
      <c r="D883" t="s">
        <v>13</v>
      </c>
      <c r="E883" t="s">
        <v>14</v>
      </c>
      <c r="F883" t="s">
        <v>25</v>
      </c>
      <c r="G883" t="s">
        <v>20</v>
      </c>
      <c r="H883" t="s">
        <v>30</v>
      </c>
      <c r="I883">
        <v>7</v>
      </c>
      <c r="J883">
        <v>0</v>
      </c>
      <c r="K883">
        <v>39.83</v>
      </c>
      <c r="L883">
        <v>4.59</v>
      </c>
      <c r="M883" t="s">
        <v>2473</v>
      </c>
      <c r="N883" t="s">
        <v>2474</v>
      </c>
      <c r="O883" t="s">
        <v>2463</v>
      </c>
      <c r="P883">
        <v>3.62</v>
      </c>
      <c r="Q883">
        <v>6.03</v>
      </c>
      <c r="R883">
        <v>25.34</v>
      </c>
      <c r="S883">
        <v>9.8999999999999986</v>
      </c>
      <c r="T883">
        <v>0.24855636454933464</v>
      </c>
      <c r="U883" s="1">
        <v>45839</v>
      </c>
      <c r="V883" t="s">
        <v>2499</v>
      </c>
      <c r="W883">
        <v>2025</v>
      </c>
    </row>
    <row r="884" spans="1:23" x14ac:dyDescent="0.25">
      <c r="A884" t="s">
        <v>931</v>
      </c>
      <c r="B884" s="1">
        <v>45506</v>
      </c>
      <c r="C884" s="1">
        <v>45510</v>
      </c>
      <c r="D884" t="s">
        <v>32</v>
      </c>
      <c r="E884" t="s">
        <v>33</v>
      </c>
      <c r="F884" t="s">
        <v>15</v>
      </c>
      <c r="G884" t="s">
        <v>26</v>
      </c>
      <c r="H884" t="s">
        <v>30</v>
      </c>
      <c r="I884">
        <v>11</v>
      </c>
      <c r="J884">
        <v>0.2</v>
      </c>
      <c r="K884">
        <v>50.77</v>
      </c>
      <c r="L884">
        <v>9.4499999999999993</v>
      </c>
      <c r="M884" t="s">
        <v>2473</v>
      </c>
      <c r="N884" t="s">
        <v>2474</v>
      </c>
      <c r="O884" t="s">
        <v>2463</v>
      </c>
      <c r="P884">
        <v>3.62</v>
      </c>
      <c r="Q884">
        <v>6.03</v>
      </c>
      <c r="R884">
        <v>39.82</v>
      </c>
      <c r="S884">
        <v>1.5000000000000036</v>
      </c>
      <c r="T884">
        <v>2.9545006893835012E-2</v>
      </c>
      <c r="U884" s="1">
        <v>45505</v>
      </c>
      <c r="V884" t="s">
        <v>2500</v>
      </c>
      <c r="W884">
        <v>2024</v>
      </c>
    </row>
    <row r="885" spans="1:23" x14ac:dyDescent="0.25">
      <c r="A885" t="s">
        <v>932</v>
      </c>
      <c r="B885" s="1">
        <v>45881</v>
      </c>
      <c r="C885" s="1">
        <v>45886</v>
      </c>
      <c r="D885" t="s">
        <v>23</v>
      </c>
      <c r="E885" t="s">
        <v>24</v>
      </c>
      <c r="F885" t="s">
        <v>25</v>
      </c>
      <c r="G885" t="s">
        <v>26</v>
      </c>
      <c r="H885" t="s">
        <v>87</v>
      </c>
      <c r="I885">
        <v>5</v>
      </c>
      <c r="J885">
        <v>0</v>
      </c>
      <c r="K885">
        <v>37.659999999999997</v>
      </c>
      <c r="L885">
        <v>6.75</v>
      </c>
      <c r="M885" t="s">
        <v>2476</v>
      </c>
      <c r="N885" t="s">
        <v>2474</v>
      </c>
      <c r="O885" t="s">
        <v>2459</v>
      </c>
      <c r="P885">
        <v>4.5</v>
      </c>
      <c r="Q885">
        <v>8.2899999999999991</v>
      </c>
      <c r="R885">
        <v>22.5</v>
      </c>
      <c r="S885">
        <v>8.4099999999999966</v>
      </c>
      <c r="T885">
        <v>0.2233138608603292</v>
      </c>
      <c r="U885" s="1">
        <v>45870</v>
      </c>
      <c r="V885" t="s">
        <v>2499</v>
      </c>
      <c r="W885">
        <v>2025</v>
      </c>
    </row>
    <row r="886" spans="1:23" x14ac:dyDescent="0.25">
      <c r="A886" t="s">
        <v>933</v>
      </c>
      <c r="B886" s="1">
        <v>46008</v>
      </c>
      <c r="C886" s="1">
        <v>46013</v>
      </c>
      <c r="D886" t="s">
        <v>32</v>
      </c>
      <c r="E886" t="s">
        <v>62</v>
      </c>
      <c r="F886" t="s">
        <v>29</v>
      </c>
      <c r="G886" t="s">
        <v>20</v>
      </c>
      <c r="H886" t="s">
        <v>39</v>
      </c>
      <c r="I886">
        <v>2</v>
      </c>
      <c r="J886">
        <v>0</v>
      </c>
      <c r="K886">
        <v>541.87</v>
      </c>
      <c r="L886">
        <v>7</v>
      </c>
      <c r="M886" t="s">
        <v>2471</v>
      </c>
      <c r="N886" t="s">
        <v>2467</v>
      </c>
      <c r="O886" t="s">
        <v>2461</v>
      </c>
      <c r="P886">
        <v>112.09</v>
      </c>
      <c r="Q886">
        <v>192.47</v>
      </c>
      <c r="R886">
        <v>224.18</v>
      </c>
      <c r="S886">
        <v>310.69</v>
      </c>
      <c r="T886">
        <v>0.57336630557144697</v>
      </c>
      <c r="U886" s="1">
        <v>45992</v>
      </c>
      <c r="V886" t="s">
        <v>2499</v>
      </c>
      <c r="W886">
        <v>2025</v>
      </c>
    </row>
    <row r="887" spans="1:23" x14ac:dyDescent="0.25">
      <c r="A887" t="s">
        <v>934</v>
      </c>
      <c r="B887" s="1">
        <v>45569</v>
      </c>
      <c r="C887" s="1">
        <v>45575</v>
      </c>
      <c r="D887" t="s">
        <v>23</v>
      </c>
      <c r="E887" t="s">
        <v>43</v>
      </c>
      <c r="F887" t="s">
        <v>15</v>
      </c>
      <c r="G887" t="s">
        <v>20</v>
      </c>
      <c r="H887" t="s">
        <v>51</v>
      </c>
      <c r="I887">
        <v>14</v>
      </c>
      <c r="J887">
        <v>0.1</v>
      </c>
      <c r="K887">
        <v>227.31</v>
      </c>
      <c r="L887">
        <v>10.8</v>
      </c>
      <c r="M887" t="s">
        <v>2475</v>
      </c>
      <c r="N887" t="s">
        <v>2474</v>
      </c>
      <c r="O887" t="s">
        <v>2463</v>
      </c>
      <c r="P887">
        <v>7.93</v>
      </c>
      <c r="Q887">
        <v>14.78</v>
      </c>
      <c r="R887">
        <v>111.02</v>
      </c>
      <c r="S887">
        <v>105.49000000000001</v>
      </c>
      <c r="T887">
        <v>0.46407989089789276</v>
      </c>
      <c r="U887" s="1">
        <v>45566</v>
      </c>
      <c r="V887" t="s">
        <v>2498</v>
      </c>
      <c r="W887">
        <v>2024</v>
      </c>
    </row>
    <row r="888" spans="1:23" x14ac:dyDescent="0.25">
      <c r="A888" t="s">
        <v>935</v>
      </c>
      <c r="B888" s="1">
        <v>45324</v>
      </c>
      <c r="C888" s="1">
        <v>45327</v>
      </c>
      <c r="D888" t="s">
        <v>47</v>
      </c>
      <c r="E888" t="s">
        <v>48</v>
      </c>
      <c r="F888" t="s">
        <v>29</v>
      </c>
      <c r="G888" t="s">
        <v>20</v>
      </c>
      <c r="H888" t="s">
        <v>37</v>
      </c>
      <c r="I888">
        <v>1</v>
      </c>
      <c r="J888">
        <v>0.25</v>
      </c>
      <c r="K888">
        <v>72.83</v>
      </c>
      <c r="L888">
        <v>6.8</v>
      </c>
      <c r="M888" t="s">
        <v>2464</v>
      </c>
      <c r="N888" t="s">
        <v>2458</v>
      </c>
      <c r="O888" t="s">
        <v>2465</v>
      </c>
      <c r="P888">
        <v>63.6</v>
      </c>
      <c r="Q888">
        <v>107.94</v>
      </c>
      <c r="R888">
        <v>63.6</v>
      </c>
      <c r="S888">
        <v>2.4299999999999971</v>
      </c>
      <c r="T888">
        <v>3.336537141287927E-2</v>
      </c>
      <c r="U888" s="1">
        <v>45323</v>
      </c>
      <c r="V888" t="s">
        <v>2501</v>
      </c>
      <c r="W888">
        <v>2024</v>
      </c>
    </row>
    <row r="889" spans="1:23" x14ac:dyDescent="0.25">
      <c r="A889" t="s">
        <v>936</v>
      </c>
      <c r="B889" s="1">
        <v>45962</v>
      </c>
      <c r="C889" s="1">
        <v>45966</v>
      </c>
      <c r="D889" t="s">
        <v>13</v>
      </c>
      <c r="E889" t="s">
        <v>14</v>
      </c>
      <c r="F889" t="s">
        <v>15</v>
      </c>
      <c r="G889" t="s">
        <v>20</v>
      </c>
      <c r="H889" t="s">
        <v>65</v>
      </c>
      <c r="I889">
        <v>2</v>
      </c>
      <c r="J889">
        <v>0.05</v>
      </c>
      <c r="K889">
        <v>744.04</v>
      </c>
      <c r="L889">
        <v>9.1</v>
      </c>
      <c r="M889" t="s">
        <v>2457</v>
      </c>
      <c r="N889" t="s">
        <v>2458</v>
      </c>
      <c r="O889" t="s">
        <v>2459</v>
      </c>
      <c r="P889">
        <v>173.56</v>
      </c>
      <c r="Q889">
        <v>286.14999999999998</v>
      </c>
      <c r="R889">
        <v>347.12</v>
      </c>
      <c r="S889">
        <v>387.81999999999994</v>
      </c>
      <c r="T889">
        <v>0.52123541745067459</v>
      </c>
      <c r="U889" s="1">
        <v>45962</v>
      </c>
      <c r="V889" t="s">
        <v>2498</v>
      </c>
      <c r="W889">
        <v>2025</v>
      </c>
    </row>
    <row r="890" spans="1:23" x14ac:dyDescent="0.25">
      <c r="A890" t="s">
        <v>937</v>
      </c>
      <c r="B890" s="1">
        <v>45533</v>
      </c>
      <c r="C890" s="1">
        <v>45538</v>
      </c>
      <c r="D890" t="s">
        <v>13</v>
      </c>
      <c r="E890" t="s">
        <v>36</v>
      </c>
      <c r="F890" t="s">
        <v>15</v>
      </c>
      <c r="G890" t="s">
        <v>26</v>
      </c>
      <c r="H890" t="s">
        <v>87</v>
      </c>
      <c r="I890">
        <v>3</v>
      </c>
      <c r="J890">
        <v>0.25</v>
      </c>
      <c r="K890">
        <v>17.18</v>
      </c>
      <c r="L890">
        <v>3.51</v>
      </c>
      <c r="M890" t="s">
        <v>2476</v>
      </c>
      <c r="N890" t="s">
        <v>2474</v>
      </c>
      <c r="O890" t="s">
        <v>2459</v>
      </c>
      <c r="P890">
        <v>4.5</v>
      </c>
      <c r="Q890">
        <v>8.2899999999999991</v>
      </c>
      <c r="R890">
        <v>13.5</v>
      </c>
      <c r="S890">
        <v>0.16999999999999993</v>
      </c>
      <c r="T890">
        <v>9.895227008149007E-3</v>
      </c>
      <c r="U890" s="1">
        <v>45505</v>
      </c>
      <c r="V890" t="s">
        <v>2501</v>
      </c>
      <c r="W890">
        <v>2024</v>
      </c>
    </row>
    <row r="891" spans="1:23" x14ac:dyDescent="0.25">
      <c r="A891" t="s">
        <v>938</v>
      </c>
      <c r="B891" s="1">
        <v>45773</v>
      </c>
      <c r="C891" s="1">
        <v>45775</v>
      </c>
      <c r="D891" t="s">
        <v>13</v>
      </c>
      <c r="E891" t="s">
        <v>19</v>
      </c>
      <c r="F891" t="s">
        <v>25</v>
      </c>
      <c r="G891" t="s">
        <v>26</v>
      </c>
      <c r="H891" t="s">
        <v>41</v>
      </c>
      <c r="I891">
        <v>20</v>
      </c>
      <c r="J891">
        <v>0</v>
      </c>
      <c r="K891">
        <v>123.74</v>
      </c>
      <c r="L891">
        <v>8.1</v>
      </c>
      <c r="M891" t="s">
        <v>2479</v>
      </c>
      <c r="N891" t="s">
        <v>2474</v>
      </c>
      <c r="O891" t="s">
        <v>2459</v>
      </c>
      <c r="P891">
        <v>3.3</v>
      </c>
      <c r="Q891">
        <v>6.13</v>
      </c>
      <c r="R891">
        <v>66</v>
      </c>
      <c r="S891">
        <v>49.639999999999993</v>
      </c>
      <c r="T891">
        <v>0.40116373040245673</v>
      </c>
      <c r="U891" s="1">
        <v>45748</v>
      </c>
      <c r="V891" t="s">
        <v>2499</v>
      </c>
      <c r="W891">
        <v>2025</v>
      </c>
    </row>
    <row r="892" spans="1:23" x14ac:dyDescent="0.25">
      <c r="A892" t="s">
        <v>939</v>
      </c>
      <c r="B892" s="1">
        <v>45562</v>
      </c>
      <c r="C892" s="1">
        <v>45567</v>
      </c>
      <c r="D892" t="s">
        <v>23</v>
      </c>
      <c r="E892" t="s">
        <v>43</v>
      </c>
      <c r="F892" t="s">
        <v>29</v>
      </c>
      <c r="G892" t="s">
        <v>20</v>
      </c>
      <c r="H892" t="s">
        <v>51</v>
      </c>
      <c r="I892">
        <v>5</v>
      </c>
      <c r="J892">
        <v>0.05</v>
      </c>
      <c r="K892">
        <v>79.89</v>
      </c>
      <c r="L892">
        <v>6.75</v>
      </c>
      <c r="M892" t="s">
        <v>2475</v>
      </c>
      <c r="N892" t="s">
        <v>2474</v>
      </c>
      <c r="O892" t="s">
        <v>2463</v>
      </c>
      <c r="P892">
        <v>7.93</v>
      </c>
      <c r="Q892">
        <v>14.78</v>
      </c>
      <c r="R892">
        <v>39.65</v>
      </c>
      <c r="S892">
        <v>33.49</v>
      </c>
      <c r="T892">
        <v>0.41920140192765054</v>
      </c>
      <c r="U892" s="1">
        <v>45536</v>
      </c>
      <c r="V892" t="s">
        <v>2498</v>
      </c>
      <c r="W892">
        <v>2024</v>
      </c>
    </row>
    <row r="893" spans="1:23" x14ac:dyDescent="0.25">
      <c r="A893" t="s">
        <v>940</v>
      </c>
      <c r="B893" s="1">
        <v>45931</v>
      </c>
      <c r="C893" s="1">
        <v>45934</v>
      </c>
      <c r="D893" t="s">
        <v>23</v>
      </c>
      <c r="E893" t="s">
        <v>24</v>
      </c>
      <c r="F893" t="s">
        <v>15</v>
      </c>
      <c r="G893" t="s">
        <v>16</v>
      </c>
      <c r="H893" t="s">
        <v>63</v>
      </c>
      <c r="I893">
        <v>3</v>
      </c>
      <c r="J893">
        <v>0.1</v>
      </c>
      <c r="K893">
        <v>36.83</v>
      </c>
      <c r="L893">
        <v>5.85</v>
      </c>
      <c r="M893" t="s">
        <v>2477</v>
      </c>
      <c r="N893" t="s">
        <v>2474</v>
      </c>
      <c r="O893" t="s">
        <v>2468</v>
      </c>
      <c r="P893">
        <v>6.33</v>
      </c>
      <c r="Q893">
        <v>12.16</v>
      </c>
      <c r="R893">
        <v>18.990000000000002</v>
      </c>
      <c r="S893">
        <v>11.989999999999997</v>
      </c>
      <c r="T893">
        <v>0.32554982351344003</v>
      </c>
      <c r="U893" s="1">
        <v>45931</v>
      </c>
      <c r="V893" t="s">
        <v>2498</v>
      </c>
      <c r="W893">
        <v>2025</v>
      </c>
    </row>
    <row r="894" spans="1:23" x14ac:dyDescent="0.25">
      <c r="A894" t="s">
        <v>941</v>
      </c>
      <c r="B894" s="1">
        <v>45700</v>
      </c>
      <c r="C894" s="1">
        <v>45705</v>
      </c>
      <c r="D894" t="s">
        <v>47</v>
      </c>
      <c r="E894" t="s">
        <v>71</v>
      </c>
      <c r="F894" t="s">
        <v>15</v>
      </c>
      <c r="G894" t="s">
        <v>16</v>
      </c>
      <c r="H894" t="s">
        <v>30</v>
      </c>
      <c r="I894">
        <v>13</v>
      </c>
      <c r="J894">
        <v>0</v>
      </c>
      <c r="K894">
        <v>67.66</v>
      </c>
      <c r="L894">
        <v>6.21</v>
      </c>
      <c r="M894" t="s">
        <v>2473</v>
      </c>
      <c r="N894" t="s">
        <v>2474</v>
      </c>
      <c r="O894" t="s">
        <v>2463</v>
      </c>
      <c r="P894">
        <v>3.62</v>
      </c>
      <c r="Q894">
        <v>6.03</v>
      </c>
      <c r="R894">
        <v>47.06</v>
      </c>
      <c r="S894">
        <v>14.389999999999993</v>
      </c>
      <c r="T894">
        <v>0.21268105232042558</v>
      </c>
      <c r="U894" s="1">
        <v>45689</v>
      </c>
      <c r="V894" t="s">
        <v>2499</v>
      </c>
      <c r="W894">
        <v>2025</v>
      </c>
    </row>
    <row r="895" spans="1:23" x14ac:dyDescent="0.25">
      <c r="A895" t="s">
        <v>942</v>
      </c>
      <c r="B895" s="1">
        <v>45349</v>
      </c>
      <c r="C895" s="1">
        <v>45355</v>
      </c>
      <c r="D895" t="s">
        <v>32</v>
      </c>
      <c r="E895" t="s">
        <v>33</v>
      </c>
      <c r="F895" t="s">
        <v>15</v>
      </c>
      <c r="G895" t="s">
        <v>16</v>
      </c>
      <c r="H895" t="s">
        <v>34</v>
      </c>
      <c r="I895">
        <v>4</v>
      </c>
      <c r="J895">
        <v>0</v>
      </c>
      <c r="K895">
        <v>709.23</v>
      </c>
      <c r="L895">
        <v>8.2200000000000006</v>
      </c>
      <c r="M895" t="s">
        <v>2460</v>
      </c>
      <c r="N895" t="s">
        <v>2458</v>
      </c>
      <c r="O895" t="s">
        <v>2461</v>
      </c>
      <c r="P895">
        <v>119.02</v>
      </c>
      <c r="Q895">
        <v>205.39</v>
      </c>
      <c r="R895">
        <v>476.08</v>
      </c>
      <c r="S895">
        <v>224.93000000000004</v>
      </c>
      <c r="T895">
        <v>0.31714676480126336</v>
      </c>
      <c r="U895" s="1">
        <v>45323</v>
      </c>
      <c r="V895" t="s">
        <v>2499</v>
      </c>
      <c r="W895">
        <v>2024</v>
      </c>
    </row>
    <row r="896" spans="1:23" x14ac:dyDescent="0.25">
      <c r="A896" t="s">
        <v>943</v>
      </c>
      <c r="B896" s="1">
        <v>45675</v>
      </c>
      <c r="C896" s="1">
        <v>45677</v>
      </c>
      <c r="D896" t="s">
        <v>32</v>
      </c>
      <c r="E896" t="s">
        <v>33</v>
      </c>
      <c r="F896" t="s">
        <v>15</v>
      </c>
      <c r="G896" t="s">
        <v>26</v>
      </c>
      <c r="H896" t="s">
        <v>27</v>
      </c>
      <c r="I896">
        <v>4</v>
      </c>
      <c r="J896">
        <v>0</v>
      </c>
      <c r="K896">
        <v>91.87</v>
      </c>
      <c r="L896">
        <v>3.78</v>
      </c>
      <c r="M896" t="s">
        <v>2478</v>
      </c>
      <c r="N896" t="s">
        <v>2474</v>
      </c>
      <c r="O896" t="s">
        <v>2463</v>
      </c>
      <c r="P896">
        <v>16.760000000000002</v>
      </c>
      <c r="Q896">
        <v>27.71</v>
      </c>
      <c r="R896">
        <v>67.040000000000006</v>
      </c>
      <c r="S896">
        <v>21.049999999999997</v>
      </c>
      <c r="T896">
        <v>0.22912811581582668</v>
      </c>
      <c r="U896" s="1">
        <v>45658</v>
      </c>
      <c r="V896" t="s">
        <v>2499</v>
      </c>
      <c r="W896">
        <v>2025</v>
      </c>
    </row>
    <row r="897" spans="1:23" x14ac:dyDescent="0.25">
      <c r="A897" t="s">
        <v>944</v>
      </c>
      <c r="B897" s="1">
        <v>45518</v>
      </c>
      <c r="C897" s="1">
        <v>45519</v>
      </c>
      <c r="D897" t="s">
        <v>32</v>
      </c>
      <c r="E897" t="s">
        <v>45</v>
      </c>
      <c r="F897" t="s">
        <v>25</v>
      </c>
      <c r="G897" t="s">
        <v>20</v>
      </c>
      <c r="H897" t="s">
        <v>41</v>
      </c>
      <c r="I897">
        <v>6</v>
      </c>
      <c r="J897">
        <v>0</v>
      </c>
      <c r="K897">
        <v>33.64</v>
      </c>
      <c r="L897">
        <v>4.32</v>
      </c>
      <c r="M897" t="s">
        <v>2479</v>
      </c>
      <c r="N897" t="s">
        <v>2474</v>
      </c>
      <c r="O897" t="s">
        <v>2459</v>
      </c>
      <c r="P897">
        <v>3.3</v>
      </c>
      <c r="Q897">
        <v>6.13</v>
      </c>
      <c r="R897">
        <v>19.799999999999997</v>
      </c>
      <c r="S897">
        <v>9.5200000000000031</v>
      </c>
      <c r="T897">
        <v>0.2829964328180738</v>
      </c>
      <c r="U897" s="1">
        <v>45505</v>
      </c>
      <c r="V897" t="s">
        <v>2499</v>
      </c>
      <c r="W897">
        <v>2024</v>
      </c>
    </row>
    <row r="898" spans="1:23" x14ac:dyDescent="0.25">
      <c r="A898" t="s">
        <v>945</v>
      </c>
      <c r="B898" s="1">
        <v>45458</v>
      </c>
      <c r="C898" s="1">
        <v>45463</v>
      </c>
      <c r="D898" t="s">
        <v>47</v>
      </c>
      <c r="E898" t="s">
        <v>48</v>
      </c>
      <c r="F898" t="s">
        <v>29</v>
      </c>
      <c r="G898" t="s">
        <v>26</v>
      </c>
      <c r="H898" t="s">
        <v>41</v>
      </c>
      <c r="I898">
        <v>5</v>
      </c>
      <c r="J898">
        <v>0.15</v>
      </c>
      <c r="K898">
        <v>27.74</v>
      </c>
      <c r="L898">
        <v>4.05</v>
      </c>
      <c r="M898" t="s">
        <v>2479</v>
      </c>
      <c r="N898" t="s">
        <v>2474</v>
      </c>
      <c r="O898" t="s">
        <v>2459</v>
      </c>
      <c r="P898">
        <v>3.3</v>
      </c>
      <c r="Q898">
        <v>6.13</v>
      </c>
      <c r="R898">
        <v>16.5</v>
      </c>
      <c r="S898">
        <v>7.1899999999999986</v>
      </c>
      <c r="T898">
        <v>0.25919250180245129</v>
      </c>
      <c r="U898" s="1">
        <v>45444</v>
      </c>
      <c r="V898" t="s">
        <v>2500</v>
      </c>
      <c r="W898">
        <v>2024</v>
      </c>
    </row>
    <row r="899" spans="1:23" x14ac:dyDescent="0.25">
      <c r="A899" t="s">
        <v>946</v>
      </c>
      <c r="B899" s="1">
        <v>45427</v>
      </c>
      <c r="C899" s="1">
        <v>45429</v>
      </c>
      <c r="D899" t="s">
        <v>47</v>
      </c>
      <c r="E899" t="s">
        <v>71</v>
      </c>
      <c r="F899" t="s">
        <v>15</v>
      </c>
      <c r="G899" t="s">
        <v>26</v>
      </c>
      <c r="H899" t="s">
        <v>30</v>
      </c>
      <c r="I899">
        <v>9</v>
      </c>
      <c r="J899">
        <v>0</v>
      </c>
      <c r="K899">
        <v>52.05</v>
      </c>
      <c r="L899">
        <v>8.5500000000000007</v>
      </c>
      <c r="M899" t="s">
        <v>2473</v>
      </c>
      <c r="N899" t="s">
        <v>2474</v>
      </c>
      <c r="O899" t="s">
        <v>2463</v>
      </c>
      <c r="P899">
        <v>3.62</v>
      </c>
      <c r="Q899">
        <v>6.03</v>
      </c>
      <c r="R899">
        <v>32.58</v>
      </c>
      <c r="S899">
        <v>10.919999999999998</v>
      </c>
      <c r="T899">
        <v>0.20979827089337175</v>
      </c>
      <c r="U899" s="1">
        <v>45413</v>
      </c>
      <c r="V899" t="s">
        <v>2499</v>
      </c>
      <c r="W899">
        <v>2024</v>
      </c>
    </row>
    <row r="900" spans="1:23" x14ac:dyDescent="0.25">
      <c r="A900" t="s">
        <v>947</v>
      </c>
      <c r="B900" s="1">
        <v>45900</v>
      </c>
      <c r="C900" s="1">
        <v>45905</v>
      </c>
      <c r="D900" t="s">
        <v>13</v>
      </c>
      <c r="E900" t="s">
        <v>14</v>
      </c>
      <c r="F900" t="s">
        <v>29</v>
      </c>
      <c r="G900" t="s">
        <v>20</v>
      </c>
      <c r="H900" t="s">
        <v>30</v>
      </c>
      <c r="I900">
        <v>7</v>
      </c>
      <c r="J900">
        <v>0</v>
      </c>
      <c r="K900">
        <v>38.9</v>
      </c>
      <c r="L900">
        <v>4.59</v>
      </c>
      <c r="M900" t="s">
        <v>2473</v>
      </c>
      <c r="N900" t="s">
        <v>2474</v>
      </c>
      <c r="O900" t="s">
        <v>2463</v>
      </c>
      <c r="P900">
        <v>3.62</v>
      </c>
      <c r="Q900">
        <v>6.03</v>
      </c>
      <c r="R900">
        <v>25.34</v>
      </c>
      <c r="S900">
        <v>8.9699999999999989</v>
      </c>
      <c r="T900">
        <v>0.2305912596401028</v>
      </c>
      <c r="U900" s="1">
        <v>45870</v>
      </c>
      <c r="V900" t="s">
        <v>2499</v>
      </c>
      <c r="W900">
        <v>2025</v>
      </c>
    </row>
    <row r="901" spans="1:23" x14ac:dyDescent="0.25">
      <c r="A901" t="s">
        <v>948</v>
      </c>
      <c r="B901" s="1">
        <v>45707</v>
      </c>
      <c r="C901" s="1">
        <v>45713</v>
      </c>
      <c r="D901" t="s">
        <v>47</v>
      </c>
      <c r="E901" t="s">
        <v>71</v>
      </c>
      <c r="F901" t="s">
        <v>15</v>
      </c>
      <c r="G901" t="s">
        <v>20</v>
      </c>
      <c r="H901" t="s">
        <v>21</v>
      </c>
      <c r="I901">
        <v>2</v>
      </c>
      <c r="J901">
        <v>0.05</v>
      </c>
      <c r="K901">
        <v>196.53</v>
      </c>
      <c r="L901">
        <v>9.1</v>
      </c>
      <c r="M901" t="s">
        <v>2462</v>
      </c>
      <c r="N901" t="s">
        <v>2458</v>
      </c>
      <c r="O901" t="s">
        <v>2463</v>
      </c>
      <c r="P901">
        <v>71.489999999999995</v>
      </c>
      <c r="Q901">
        <v>112.88</v>
      </c>
      <c r="R901">
        <v>142.97999999999999</v>
      </c>
      <c r="S901">
        <v>44.45000000000001</v>
      </c>
      <c r="T901">
        <v>0.22617412099933856</v>
      </c>
      <c r="U901" s="1">
        <v>45689</v>
      </c>
      <c r="V901" t="s">
        <v>2498</v>
      </c>
      <c r="W901">
        <v>2025</v>
      </c>
    </row>
    <row r="902" spans="1:23" x14ac:dyDescent="0.25">
      <c r="A902" t="s">
        <v>949</v>
      </c>
      <c r="B902" s="1">
        <v>45523</v>
      </c>
      <c r="C902" s="1">
        <v>45526</v>
      </c>
      <c r="D902" t="s">
        <v>32</v>
      </c>
      <c r="E902" t="s">
        <v>45</v>
      </c>
      <c r="F902" t="s">
        <v>25</v>
      </c>
      <c r="G902" t="s">
        <v>26</v>
      </c>
      <c r="H902" t="s">
        <v>60</v>
      </c>
      <c r="I902">
        <v>2</v>
      </c>
      <c r="J902">
        <v>0.05</v>
      </c>
      <c r="K902">
        <v>198.6</v>
      </c>
      <c r="L902">
        <v>4.2</v>
      </c>
      <c r="M902" t="s">
        <v>2469</v>
      </c>
      <c r="N902" t="s">
        <v>2467</v>
      </c>
      <c r="O902" t="s">
        <v>2468</v>
      </c>
      <c r="P902">
        <v>54.95</v>
      </c>
      <c r="Q902">
        <v>112.56</v>
      </c>
      <c r="R902">
        <v>109.9</v>
      </c>
      <c r="S902">
        <v>84.499999999999986</v>
      </c>
      <c r="T902">
        <v>0.42547834843907345</v>
      </c>
      <c r="U902" s="1">
        <v>45505</v>
      </c>
      <c r="V902" t="s">
        <v>2498</v>
      </c>
      <c r="W902">
        <v>2024</v>
      </c>
    </row>
    <row r="903" spans="1:23" x14ac:dyDescent="0.25">
      <c r="A903" t="s">
        <v>950</v>
      </c>
      <c r="B903" s="1">
        <v>45755</v>
      </c>
      <c r="C903" s="1">
        <v>45761</v>
      </c>
      <c r="D903" t="s">
        <v>47</v>
      </c>
      <c r="E903" t="s">
        <v>48</v>
      </c>
      <c r="F903" t="s">
        <v>29</v>
      </c>
      <c r="G903" t="s">
        <v>20</v>
      </c>
      <c r="H903" t="s">
        <v>30</v>
      </c>
      <c r="I903">
        <v>7</v>
      </c>
      <c r="J903">
        <v>0</v>
      </c>
      <c r="K903">
        <v>41.48</v>
      </c>
      <c r="L903">
        <v>4.59</v>
      </c>
      <c r="M903" t="s">
        <v>2473</v>
      </c>
      <c r="N903" t="s">
        <v>2474</v>
      </c>
      <c r="O903" t="s">
        <v>2463</v>
      </c>
      <c r="P903">
        <v>3.62</v>
      </c>
      <c r="Q903">
        <v>6.03</v>
      </c>
      <c r="R903">
        <v>25.34</v>
      </c>
      <c r="S903">
        <v>11.549999999999997</v>
      </c>
      <c r="T903">
        <v>0.27844744455159109</v>
      </c>
      <c r="U903" s="1">
        <v>45748</v>
      </c>
      <c r="V903" t="s">
        <v>2499</v>
      </c>
      <c r="W903">
        <v>2025</v>
      </c>
    </row>
    <row r="904" spans="1:23" x14ac:dyDescent="0.25">
      <c r="A904" t="s">
        <v>951</v>
      </c>
      <c r="B904" s="1">
        <v>45329</v>
      </c>
      <c r="C904" s="1">
        <v>45331</v>
      </c>
      <c r="D904" t="s">
        <v>47</v>
      </c>
      <c r="E904" t="s">
        <v>71</v>
      </c>
      <c r="F904" t="s">
        <v>29</v>
      </c>
      <c r="G904" t="s">
        <v>16</v>
      </c>
      <c r="H904" t="s">
        <v>27</v>
      </c>
      <c r="I904">
        <v>4</v>
      </c>
      <c r="J904">
        <v>0</v>
      </c>
      <c r="K904">
        <v>101.67</v>
      </c>
      <c r="L904">
        <v>3.78</v>
      </c>
      <c r="M904" t="s">
        <v>2478</v>
      </c>
      <c r="N904" t="s">
        <v>2474</v>
      </c>
      <c r="O904" t="s">
        <v>2463</v>
      </c>
      <c r="P904">
        <v>16.760000000000002</v>
      </c>
      <c r="Q904">
        <v>27.71</v>
      </c>
      <c r="R904">
        <v>67.040000000000006</v>
      </c>
      <c r="S904">
        <v>30.849999999999994</v>
      </c>
      <c r="T904">
        <v>0.3034326743385462</v>
      </c>
      <c r="U904" s="1">
        <v>45323</v>
      </c>
      <c r="V904" t="s">
        <v>2499</v>
      </c>
      <c r="W904">
        <v>2024</v>
      </c>
    </row>
    <row r="905" spans="1:23" x14ac:dyDescent="0.25">
      <c r="A905" t="s">
        <v>952</v>
      </c>
      <c r="B905" s="1">
        <v>45443</v>
      </c>
      <c r="C905" s="1">
        <v>45445</v>
      </c>
      <c r="D905" t="s">
        <v>32</v>
      </c>
      <c r="E905" t="s">
        <v>45</v>
      </c>
      <c r="F905" t="s">
        <v>15</v>
      </c>
      <c r="G905" t="s">
        <v>26</v>
      </c>
      <c r="H905" t="s">
        <v>34</v>
      </c>
      <c r="I905">
        <v>3</v>
      </c>
      <c r="J905">
        <v>0.05</v>
      </c>
      <c r="K905">
        <v>569.28</v>
      </c>
      <c r="L905">
        <v>6.84</v>
      </c>
      <c r="M905" t="s">
        <v>2460</v>
      </c>
      <c r="N905" t="s">
        <v>2458</v>
      </c>
      <c r="O905" t="s">
        <v>2461</v>
      </c>
      <c r="P905">
        <v>119.02</v>
      </c>
      <c r="Q905">
        <v>205.39</v>
      </c>
      <c r="R905">
        <v>357.06</v>
      </c>
      <c r="S905">
        <v>205.37999999999997</v>
      </c>
      <c r="T905">
        <v>0.36077150084317028</v>
      </c>
      <c r="U905" s="1">
        <v>45413</v>
      </c>
      <c r="V905" t="s">
        <v>2498</v>
      </c>
      <c r="W905">
        <v>2024</v>
      </c>
    </row>
    <row r="906" spans="1:23" x14ac:dyDescent="0.25">
      <c r="A906" t="s">
        <v>953</v>
      </c>
      <c r="B906" s="1">
        <v>45425</v>
      </c>
      <c r="C906" s="1">
        <v>45429</v>
      </c>
      <c r="D906" t="s">
        <v>32</v>
      </c>
      <c r="E906" t="s">
        <v>62</v>
      </c>
      <c r="F906" t="s">
        <v>15</v>
      </c>
      <c r="G906" t="s">
        <v>20</v>
      </c>
      <c r="H906" t="s">
        <v>68</v>
      </c>
      <c r="I906">
        <v>2</v>
      </c>
      <c r="J906">
        <v>0.1</v>
      </c>
      <c r="K906">
        <v>94.91</v>
      </c>
      <c r="L906">
        <v>4.2</v>
      </c>
      <c r="M906" t="s">
        <v>2466</v>
      </c>
      <c r="N906" t="s">
        <v>2467</v>
      </c>
      <c r="O906" t="s">
        <v>2468</v>
      </c>
      <c r="P906">
        <v>25.33</v>
      </c>
      <c r="Q906">
        <v>51.56</v>
      </c>
      <c r="R906">
        <v>50.66</v>
      </c>
      <c r="S906">
        <v>40.049999999999997</v>
      </c>
      <c r="T906">
        <v>0.42197871667895898</v>
      </c>
      <c r="U906" s="1">
        <v>45413</v>
      </c>
      <c r="V906" t="s">
        <v>2498</v>
      </c>
      <c r="W906">
        <v>2024</v>
      </c>
    </row>
    <row r="907" spans="1:23" x14ac:dyDescent="0.25">
      <c r="A907" t="s">
        <v>954</v>
      </c>
      <c r="B907" s="1">
        <v>45352</v>
      </c>
      <c r="C907" s="1">
        <v>45358</v>
      </c>
      <c r="D907" t="s">
        <v>47</v>
      </c>
      <c r="E907" t="s">
        <v>50</v>
      </c>
      <c r="F907" t="s">
        <v>29</v>
      </c>
      <c r="G907" t="s">
        <v>20</v>
      </c>
      <c r="H907" t="s">
        <v>17</v>
      </c>
      <c r="I907">
        <v>4</v>
      </c>
      <c r="J907">
        <v>0.15</v>
      </c>
      <c r="K907">
        <v>423.34</v>
      </c>
      <c r="L907">
        <v>9.5</v>
      </c>
      <c r="M907" t="s">
        <v>2472</v>
      </c>
      <c r="N907" t="s">
        <v>2467</v>
      </c>
      <c r="O907" t="s">
        <v>2468</v>
      </c>
      <c r="P907">
        <v>63.69</v>
      </c>
      <c r="Q907">
        <v>125.5</v>
      </c>
      <c r="R907">
        <v>254.76</v>
      </c>
      <c r="S907">
        <v>159.07999999999998</v>
      </c>
      <c r="T907">
        <v>0.37577360986441155</v>
      </c>
      <c r="U907" s="1">
        <v>45352</v>
      </c>
      <c r="V907" t="s">
        <v>2500</v>
      </c>
      <c r="W907">
        <v>2024</v>
      </c>
    </row>
    <row r="908" spans="1:23" x14ac:dyDescent="0.25">
      <c r="A908" t="s">
        <v>955</v>
      </c>
      <c r="B908" s="1">
        <v>45901</v>
      </c>
      <c r="C908" s="1">
        <v>45905</v>
      </c>
      <c r="D908" t="s">
        <v>47</v>
      </c>
      <c r="E908" t="s">
        <v>48</v>
      </c>
      <c r="F908" t="s">
        <v>25</v>
      </c>
      <c r="G908" t="s">
        <v>26</v>
      </c>
      <c r="H908" t="s">
        <v>37</v>
      </c>
      <c r="I908">
        <v>3</v>
      </c>
      <c r="J908">
        <v>0</v>
      </c>
      <c r="K908">
        <v>345.82</v>
      </c>
      <c r="L908">
        <v>6.84</v>
      </c>
      <c r="M908" t="s">
        <v>2464</v>
      </c>
      <c r="N908" t="s">
        <v>2458</v>
      </c>
      <c r="O908" t="s">
        <v>2465</v>
      </c>
      <c r="P908">
        <v>63.6</v>
      </c>
      <c r="Q908">
        <v>107.94</v>
      </c>
      <c r="R908">
        <v>190.8</v>
      </c>
      <c r="S908">
        <v>148.17999999999998</v>
      </c>
      <c r="T908">
        <v>0.42848880920710192</v>
      </c>
      <c r="U908" s="1">
        <v>45901</v>
      </c>
      <c r="V908" t="s">
        <v>2499</v>
      </c>
      <c r="W908">
        <v>2025</v>
      </c>
    </row>
    <row r="909" spans="1:23" x14ac:dyDescent="0.25">
      <c r="A909" t="s">
        <v>956</v>
      </c>
      <c r="B909" s="1">
        <v>45952</v>
      </c>
      <c r="C909" s="1">
        <v>45955</v>
      </c>
      <c r="D909" t="s">
        <v>32</v>
      </c>
      <c r="E909" t="s">
        <v>62</v>
      </c>
      <c r="F909" t="s">
        <v>15</v>
      </c>
      <c r="G909" t="s">
        <v>20</v>
      </c>
      <c r="H909" t="s">
        <v>30</v>
      </c>
      <c r="I909">
        <v>12</v>
      </c>
      <c r="J909">
        <v>0</v>
      </c>
      <c r="K909">
        <v>82.91</v>
      </c>
      <c r="L909">
        <v>5.94</v>
      </c>
      <c r="M909" t="s">
        <v>2473</v>
      </c>
      <c r="N909" t="s">
        <v>2474</v>
      </c>
      <c r="O909" t="s">
        <v>2463</v>
      </c>
      <c r="P909">
        <v>3.62</v>
      </c>
      <c r="Q909">
        <v>6.03</v>
      </c>
      <c r="R909">
        <v>43.44</v>
      </c>
      <c r="S909">
        <v>33.53</v>
      </c>
      <c r="T909">
        <v>0.40441442528042459</v>
      </c>
      <c r="U909" s="1">
        <v>45931</v>
      </c>
      <c r="V909" t="s">
        <v>2499</v>
      </c>
      <c r="W909">
        <v>2025</v>
      </c>
    </row>
    <row r="910" spans="1:23" x14ac:dyDescent="0.25">
      <c r="A910" t="s">
        <v>957</v>
      </c>
      <c r="B910" s="1">
        <v>45613</v>
      </c>
      <c r="C910" s="1">
        <v>45614</v>
      </c>
      <c r="D910" t="s">
        <v>47</v>
      </c>
      <c r="E910" t="s">
        <v>50</v>
      </c>
      <c r="F910" t="s">
        <v>29</v>
      </c>
      <c r="G910" t="s">
        <v>20</v>
      </c>
      <c r="H910" t="s">
        <v>68</v>
      </c>
      <c r="I910">
        <v>4</v>
      </c>
      <c r="J910">
        <v>0</v>
      </c>
      <c r="K910">
        <v>289.35000000000002</v>
      </c>
      <c r="L910">
        <v>9.5</v>
      </c>
      <c r="M910" t="s">
        <v>2466</v>
      </c>
      <c r="N910" t="s">
        <v>2467</v>
      </c>
      <c r="O910" t="s">
        <v>2468</v>
      </c>
      <c r="P910">
        <v>25.33</v>
      </c>
      <c r="Q910">
        <v>51.56</v>
      </c>
      <c r="R910">
        <v>101.32</v>
      </c>
      <c r="S910">
        <v>178.53000000000003</v>
      </c>
      <c r="T910">
        <v>0.61700362882322457</v>
      </c>
      <c r="U910" s="1">
        <v>45597</v>
      </c>
      <c r="V910" t="s">
        <v>2499</v>
      </c>
      <c r="W910">
        <v>2024</v>
      </c>
    </row>
    <row r="911" spans="1:23" x14ac:dyDescent="0.25">
      <c r="A911" t="s">
        <v>958</v>
      </c>
      <c r="B911" s="1">
        <v>45348</v>
      </c>
      <c r="C911" s="1">
        <v>45354</v>
      </c>
      <c r="D911" t="s">
        <v>47</v>
      </c>
      <c r="E911" t="s">
        <v>71</v>
      </c>
      <c r="F911" t="s">
        <v>15</v>
      </c>
      <c r="G911" t="s">
        <v>20</v>
      </c>
      <c r="H911" t="s">
        <v>17</v>
      </c>
      <c r="I911">
        <v>2</v>
      </c>
      <c r="J911">
        <v>0</v>
      </c>
      <c r="K911">
        <v>215.6</v>
      </c>
      <c r="L911">
        <v>4.2</v>
      </c>
      <c r="M911" t="s">
        <v>2472</v>
      </c>
      <c r="N911" t="s">
        <v>2467</v>
      </c>
      <c r="O911" t="s">
        <v>2468</v>
      </c>
      <c r="P911">
        <v>63.69</v>
      </c>
      <c r="Q911">
        <v>125.5</v>
      </c>
      <c r="R911">
        <v>127.38</v>
      </c>
      <c r="S911">
        <v>84.02</v>
      </c>
      <c r="T911">
        <v>0.38970315398886829</v>
      </c>
      <c r="U911" s="1">
        <v>45323</v>
      </c>
      <c r="V911" t="s">
        <v>2499</v>
      </c>
      <c r="W911">
        <v>2024</v>
      </c>
    </row>
    <row r="912" spans="1:23" x14ac:dyDescent="0.25">
      <c r="A912" t="s">
        <v>959</v>
      </c>
      <c r="B912" s="1">
        <v>45849</v>
      </c>
      <c r="C912" s="1">
        <v>45855</v>
      </c>
      <c r="D912" t="s">
        <v>23</v>
      </c>
      <c r="E912" t="s">
        <v>43</v>
      </c>
      <c r="F912" t="s">
        <v>29</v>
      </c>
      <c r="G912" t="s">
        <v>26</v>
      </c>
      <c r="H912" t="s">
        <v>37</v>
      </c>
      <c r="I912">
        <v>3</v>
      </c>
      <c r="J912">
        <v>0.05</v>
      </c>
      <c r="K912">
        <v>284.76</v>
      </c>
      <c r="L912">
        <v>11.4</v>
      </c>
      <c r="M912" t="s">
        <v>2464</v>
      </c>
      <c r="N912" t="s">
        <v>2458</v>
      </c>
      <c r="O912" t="s">
        <v>2465</v>
      </c>
      <c r="P912">
        <v>63.6</v>
      </c>
      <c r="Q912">
        <v>107.94</v>
      </c>
      <c r="R912">
        <v>190.8</v>
      </c>
      <c r="S912">
        <v>82.559999999999974</v>
      </c>
      <c r="T912">
        <v>0.28992836072482081</v>
      </c>
      <c r="U912" s="1">
        <v>45839</v>
      </c>
      <c r="V912" t="s">
        <v>2498</v>
      </c>
      <c r="W912">
        <v>2025</v>
      </c>
    </row>
    <row r="913" spans="1:23" x14ac:dyDescent="0.25">
      <c r="A913" t="s">
        <v>960</v>
      </c>
      <c r="B913" s="1">
        <v>45860</v>
      </c>
      <c r="C913" s="1">
        <v>45865</v>
      </c>
      <c r="D913" t="s">
        <v>23</v>
      </c>
      <c r="E913" t="s">
        <v>43</v>
      </c>
      <c r="F913" t="s">
        <v>15</v>
      </c>
      <c r="G913" t="s">
        <v>26</v>
      </c>
      <c r="H913" t="s">
        <v>51</v>
      </c>
      <c r="I913">
        <v>5</v>
      </c>
      <c r="J913">
        <v>0.2</v>
      </c>
      <c r="K913">
        <v>57.15</v>
      </c>
      <c r="L913">
        <v>4.05</v>
      </c>
      <c r="M913" t="s">
        <v>2475</v>
      </c>
      <c r="N913" t="s">
        <v>2474</v>
      </c>
      <c r="O913" t="s">
        <v>2463</v>
      </c>
      <c r="P913">
        <v>7.93</v>
      </c>
      <c r="Q913">
        <v>14.78</v>
      </c>
      <c r="R913">
        <v>39.65</v>
      </c>
      <c r="S913">
        <v>13.45</v>
      </c>
      <c r="T913">
        <v>0.23534558180227472</v>
      </c>
      <c r="U913" s="1">
        <v>45839</v>
      </c>
      <c r="V913" t="s">
        <v>2500</v>
      </c>
      <c r="W913">
        <v>2025</v>
      </c>
    </row>
    <row r="914" spans="1:23" x14ac:dyDescent="0.25">
      <c r="A914" t="s">
        <v>961</v>
      </c>
      <c r="B914" s="1">
        <v>45860</v>
      </c>
      <c r="C914" s="1">
        <v>45862</v>
      </c>
      <c r="D914" t="s">
        <v>13</v>
      </c>
      <c r="E914" t="s">
        <v>19</v>
      </c>
      <c r="F914" t="s">
        <v>25</v>
      </c>
      <c r="G914" t="s">
        <v>20</v>
      </c>
      <c r="H914" t="s">
        <v>63</v>
      </c>
      <c r="I914">
        <v>8</v>
      </c>
      <c r="J914">
        <v>0</v>
      </c>
      <c r="K914">
        <v>90.6</v>
      </c>
      <c r="L914">
        <v>8.1</v>
      </c>
      <c r="M914" t="s">
        <v>2477</v>
      </c>
      <c r="N914" t="s">
        <v>2474</v>
      </c>
      <c r="O914" t="s">
        <v>2468</v>
      </c>
      <c r="P914">
        <v>6.33</v>
      </c>
      <c r="Q914">
        <v>12.16</v>
      </c>
      <c r="R914">
        <v>50.64</v>
      </c>
      <c r="S914">
        <v>31.859999999999992</v>
      </c>
      <c r="T914">
        <v>0.35165562913907278</v>
      </c>
      <c r="U914" s="1">
        <v>45839</v>
      </c>
      <c r="V914" t="s">
        <v>2499</v>
      </c>
      <c r="W914">
        <v>2025</v>
      </c>
    </row>
    <row r="915" spans="1:23" x14ac:dyDescent="0.25">
      <c r="A915" t="s">
        <v>962</v>
      </c>
      <c r="B915" s="1">
        <v>45579</v>
      </c>
      <c r="C915" s="1">
        <v>45585</v>
      </c>
      <c r="D915" t="s">
        <v>23</v>
      </c>
      <c r="E915" t="s">
        <v>59</v>
      </c>
      <c r="F915" t="s">
        <v>25</v>
      </c>
      <c r="G915" t="s">
        <v>20</v>
      </c>
      <c r="H915" t="s">
        <v>34</v>
      </c>
      <c r="I915">
        <v>3</v>
      </c>
      <c r="J915">
        <v>0</v>
      </c>
      <c r="K915">
        <v>736.26</v>
      </c>
      <c r="L915">
        <v>6.84</v>
      </c>
      <c r="M915" t="s">
        <v>2460</v>
      </c>
      <c r="N915" t="s">
        <v>2458</v>
      </c>
      <c r="O915" t="s">
        <v>2461</v>
      </c>
      <c r="P915">
        <v>119.02</v>
      </c>
      <c r="Q915">
        <v>205.39</v>
      </c>
      <c r="R915">
        <v>357.06</v>
      </c>
      <c r="S915">
        <v>372.36</v>
      </c>
      <c r="T915">
        <v>0.50574525303561246</v>
      </c>
      <c r="U915" s="1">
        <v>45566</v>
      </c>
      <c r="V915" t="s">
        <v>2499</v>
      </c>
      <c r="W915">
        <v>2024</v>
      </c>
    </row>
    <row r="916" spans="1:23" x14ac:dyDescent="0.25">
      <c r="A916" t="s">
        <v>963</v>
      </c>
      <c r="B916" s="1">
        <v>45303</v>
      </c>
      <c r="C916" s="1">
        <v>45306</v>
      </c>
      <c r="D916" t="s">
        <v>23</v>
      </c>
      <c r="E916" t="s">
        <v>24</v>
      </c>
      <c r="F916" t="s">
        <v>29</v>
      </c>
      <c r="G916" t="s">
        <v>20</v>
      </c>
      <c r="H916" t="s">
        <v>30</v>
      </c>
      <c r="I916">
        <v>5</v>
      </c>
      <c r="J916">
        <v>0.25</v>
      </c>
      <c r="K916">
        <v>21.06</v>
      </c>
      <c r="L916">
        <v>6.75</v>
      </c>
      <c r="M916" t="s">
        <v>2473</v>
      </c>
      <c r="N916" t="s">
        <v>2474</v>
      </c>
      <c r="O916" t="s">
        <v>2463</v>
      </c>
      <c r="P916">
        <v>3.62</v>
      </c>
      <c r="Q916">
        <v>6.03</v>
      </c>
      <c r="R916">
        <v>18.100000000000001</v>
      </c>
      <c r="S916">
        <v>-3.7900000000000027</v>
      </c>
      <c r="T916">
        <v>-0.17996201329534678</v>
      </c>
      <c r="U916" s="1">
        <v>45292</v>
      </c>
      <c r="V916" t="s">
        <v>2501</v>
      </c>
      <c r="W916">
        <v>2024</v>
      </c>
    </row>
    <row r="917" spans="1:23" x14ac:dyDescent="0.25">
      <c r="A917" t="s">
        <v>964</v>
      </c>
      <c r="B917" s="1">
        <v>45818</v>
      </c>
      <c r="C917" s="1">
        <v>45820</v>
      </c>
      <c r="D917" t="s">
        <v>32</v>
      </c>
      <c r="E917" t="s">
        <v>62</v>
      </c>
      <c r="F917" t="s">
        <v>25</v>
      </c>
      <c r="G917" t="s">
        <v>26</v>
      </c>
      <c r="H917" t="s">
        <v>39</v>
      </c>
      <c r="I917">
        <v>3</v>
      </c>
      <c r="J917">
        <v>0.1</v>
      </c>
      <c r="K917">
        <v>557.72</v>
      </c>
      <c r="L917">
        <v>4.95</v>
      </c>
      <c r="M917" t="s">
        <v>2471</v>
      </c>
      <c r="N917" t="s">
        <v>2467</v>
      </c>
      <c r="O917" t="s">
        <v>2461</v>
      </c>
      <c r="P917">
        <v>112.09</v>
      </c>
      <c r="Q917">
        <v>192.47</v>
      </c>
      <c r="R917">
        <v>336.27</v>
      </c>
      <c r="S917">
        <v>216.50000000000006</v>
      </c>
      <c r="T917">
        <v>0.38818762102847315</v>
      </c>
      <c r="U917" s="1">
        <v>45809</v>
      </c>
      <c r="V917" t="s">
        <v>2498</v>
      </c>
      <c r="W917">
        <v>2025</v>
      </c>
    </row>
    <row r="918" spans="1:23" x14ac:dyDescent="0.25">
      <c r="A918" t="s">
        <v>965</v>
      </c>
      <c r="B918" s="1">
        <v>45712</v>
      </c>
      <c r="C918" s="1">
        <v>45716</v>
      </c>
      <c r="D918" t="s">
        <v>23</v>
      </c>
      <c r="E918" t="s">
        <v>59</v>
      </c>
      <c r="F918" t="s">
        <v>15</v>
      </c>
      <c r="G918" t="s">
        <v>26</v>
      </c>
      <c r="H918" t="s">
        <v>51</v>
      </c>
      <c r="I918">
        <v>4</v>
      </c>
      <c r="J918">
        <v>0.15</v>
      </c>
      <c r="K918">
        <v>44.16</v>
      </c>
      <c r="L918">
        <v>6.3</v>
      </c>
      <c r="M918" t="s">
        <v>2475</v>
      </c>
      <c r="N918" t="s">
        <v>2474</v>
      </c>
      <c r="O918" t="s">
        <v>2463</v>
      </c>
      <c r="P918">
        <v>7.93</v>
      </c>
      <c r="Q918">
        <v>14.78</v>
      </c>
      <c r="R918">
        <v>31.72</v>
      </c>
      <c r="S918">
        <v>6.1399999999999979</v>
      </c>
      <c r="T918">
        <v>0.13903985507246372</v>
      </c>
      <c r="U918" s="1">
        <v>45689</v>
      </c>
      <c r="V918" t="s">
        <v>2500</v>
      </c>
      <c r="W918">
        <v>2025</v>
      </c>
    </row>
    <row r="919" spans="1:23" x14ac:dyDescent="0.25">
      <c r="A919" t="s">
        <v>966</v>
      </c>
      <c r="B919" s="1">
        <v>45788</v>
      </c>
      <c r="C919" s="1">
        <v>45793</v>
      </c>
      <c r="D919" t="s">
        <v>23</v>
      </c>
      <c r="E919" t="s">
        <v>59</v>
      </c>
      <c r="F919" t="s">
        <v>15</v>
      </c>
      <c r="G919" t="s">
        <v>20</v>
      </c>
      <c r="H919" t="s">
        <v>41</v>
      </c>
      <c r="I919">
        <v>11</v>
      </c>
      <c r="J919">
        <v>0.15</v>
      </c>
      <c r="K919">
        <v>56.58</v>
      </c>
      <c r="L919">
        <v>5.67</v>
      </c>
      <c r="M919" t="s">
        <v>2479</v>
      </c>
      <c r="N919" t="s">
        <v>2474</v>
      </c>
      <c r="O919" t="s">
        <v>2459</v>
      </c>
      <c r="P919">
        <v>3.3</v>
      </c>
      <c r="Q919">
        <v>6.13</v>
      </c>
      <c r="R919">
        <v>36.299999999999997</v>
      </c>
      <c r="S919">
        <v>14.610000000000001</v>
      </c>
      <c r="T919">
        <v>0.2582184517497349</v>
      </c>
      <c r="U919" s="1">
        <v>45778</v>
      </c>
      <c r="V919" t="s">
        <v>2500</v>
      </c>
      <c r="W919">
        <v>2025</v>
      </c>
    </row>
    <row r="920" spans="1:23" x14ac:dyDescent="0.25">
      <c r="A920" t="s">
        <v>967</v>
      </c>
      <c r="B920" s="1">
        <v>45711</v>
      </c>
      <c r="C920" s="1">
        <v>45716</v>
      </c>
      <c r="D920" t="s">
        <v>23</v>
      </c>
      <c r="E920" t="s">
        <v>43</v>
      </c>
      <c r="F920" t="s">
        <v>25</v>
      </c>
      <c r="G920" t="s">
        <v>20</v>
      </c>
      <c r="H920" t="s">
        <v>37</v>
      </c>
      <c r="I920">
        <v>3</v>
      </c>
      <c r="J920">
        <v>0.25</v>
      </c>
      <c r="K920">
        <v>220.52</v>
      </c>
      <c r="L920">
        <v>11.4</v>
      </c>
      <c r="M920" t="s">
        <v>2464</v>
      </c>
      <c r="N920" t="s">
        <v>2458</v>
      </c>
      <c r="O920" t="s">
        <v>2465</v>
      </c>
      <c r="P920">
        <v>63.6</v>
      </c>
      <c r="Q920">
        <v>107.94</v>
      </c>
      <c r="R920">
        <v>190.8</v>
      </c>
      <c r="S920">
        <v>18.32</v>
      </c>
      <c r="T920">
        <v>8.307636495555959E-2</v>
      </c>
      <c r="U920" s="1">
        <v>45689</v>
      </c>
      <c r="V920" t="s">
        <v>2501</v>
      </c>
      <c r="W920">
        <v>2025</v>
      </c>
    </row>
    <row r="921" spans="1:23" x14ac:dyDescent="0.25">
      <c r="A921" t="s">
        <v>968</v>
      </c>
      <c r="B921" s="1">
        <v>45473</v>
      </c>
      <c r="C921" s="1">
        <v>45477</v>
      </c>
      <c r="D921" t="s">
        <v>47</v>
      </c>
      <c r="E921" t="s">
        <v>48</v>
      </c>
      <c r="F921" t="s">
        <v>29</v>
      </c>
      <c r="G921" t="s">
        <v>26</v>
      </c>
      <c r="H921" t="s">
        <v>30</v>
      </c>
      <c r="I921">
        <v>12</v>
      </c>
      <c r="J921">
        <v>0.05</v>
      </c>
      <c r="K921">
        <v>70.540000000000006</v>
      </c>
      <c r="L921">
        <v>9.9</v>
      </c>
      <c r="M921" t="s">
        <v>2473</v>
      </c>
      <c r="N921" t="s">
        <v>2474</v>
      </c>
      <c r="O921" t="s">
        <v>2463</v>
      </c>
      <c r="P921">
        <v>3.62</v>
      </c>
      <c r="Q921">
        <v>6.03</v>
      </c>
      <c r="R921">
        <v>43.44</v>
      </c>
      <c r="S921">
        <v>17.20000000000001</v>
      </c>
      <c r="T921">
        <v>0.24383328607882065</v>
      </c>
      <c r="U921" s="1">
        <v>45444</v>
      </c>
      <c r="V921" t="s">
        <v>2498</v>
      </c>
      <c r="W921">
        <v>2024</v>
      </c>
    </row>
    <row r="922" spans="1:23" x14ac:dyDescent="0.25">
      <c r="A922" t="s">
        <v>969</v>
      </c>
      <c r="B922" s="1">
        <v>46005</v>
      </c>
      <c r="C922" s="1">
        <v>46006</v>
      </c>
      <c r="D922" t="s">
        <v>23</v>
      </c>
      <c r="E922" t="s">
        <v>24</v>
      </c>
      <c r="F922" t="s">
        <v>25</v>
      </c>
      <c r="G922" t="s">
        <v>26</v>
      </c>
      <c r="H922" t="s">
        <v>63</v>
      </c>
      <c r="I922">
        <v>14</v>
      </c>
      <c r="J922">
        <v>0</v>
      </c>
      <c r="K922">
        <v>229.05</v>
      </c>
      <c r="L922">
        <v>10.8</v>
      </c>
      <c r="M922" t="s">
        <v>2477</v>
      </c>
      <c r="N922" t="s">
        <v>2474</v>
      </c>
      <c r="O922" t="s">
        <v>2468</v>
      </c>
      <c r="P922">
        <v>6.33</v>
      </c>
      <c r="Q922">
        <v>12.16</v>
      </c>
      <c r="R922">
        <v>88.62</v>
      </c>
      <c r="S922">
        <v>129.63</v>
      </c>
      <c r="T922">
        <v>0.56594629993451206</v>
      </c>
      <c r="U922" s="1">
        <v>45992</v>
      </c>
      <c r="V922" t="s">
        <v>2499</v>
      </c>
      <c r="W922">
        <v>2025</v>
      </c>
    </row>
    <row r="923" spans="1:23" x14ac:dyDescent="0.25">
      <c r="A923" t="s">
        <v>970</v>
      </c>
      <c r="B923" s="1">
        <v>45637</v>
      </c>
      <c r="C923" s="1">
        <v>45641</v>
      </c>
      <c r="D923" t="s">
        <v>47</v>
      </c>
      <c r="E923" t="s">
        <v>71</v>
      </c>
      <c r="F923" t="s">
        <v>29</v>
      </c>
      <c r="G923" t="s">
        <v>26</v>
      </c>
      <c r="H923" t="s">
        <v>63</v>
      </c>
      <c r="I923">
        <v>4</v>
      </c>
      <c r="J923">
        <v>0.25</v>
      </c>
      <c r="K923">
        <v>53.54</v>
      </c>
      <c r="L923">
        <v>3.78</v>
      </c>
      <c r="M923" t="s">
        <v>2477</v>
      </c>
      <c r="N923" t="s">
        <v>2474</v>
      </c>
      <c r="O923" t="s">
        <v>2468</v>
      </c>
      <c r="P923">
        <v>6.33</v>
      </c>
      <c r="Q923">
        <v>12.16</v>
      </c>
      <c r="R923">
        <v>25.32</v>
      </c>
      <c r="S923">
        <v>24.439999999999998</v>
      </c>
      <c r="T923">
        <v>0.45648113559955172</v>
      </c>
      <c r="U923" s="1">
        <v>45627</v>
      </c>
      <c r="V923" t="s">
        <v>2501</v>
      </c>
      <c r="W923">
        <v>2024</v>
      </c>
    </row>
    <row r="924" spans="1:23" x14ac:dyDescent="0.25">
      <c r="A924" t="s">
        <v>971</v>
      </c>
      <c r="B924" s="1">
        <v>45316</v>
      </c>
      <c r="C924" s="1">
        <v>45321</v>
      </c>
      <c r="D924" t="s">
        <v>13</v>
      </c>
      <c r="E924" t="s">
        <v>36</v>
      </c>
      <c r="F924" t="s">
        <v>29</v>
      </c>
      <c r="G924" t="s">
        <v>26</v>
      </c>
      <c r="H924" t="s">
        <v>53</v>
      </c>
      <c r="I924">
        <v>2</v>
      </c>
      <c r="J924">
        <v>0</v>
      </c>
      <c r="K924">
        <v>97.67</v>
      </c>
      <c r="L924">
        <v>7</v>
      </c>
      <c r="M924" t="s">
        <v>2470</v>
      </c>
      <c r="N924" t="s">
        <v>2467</v>
      </c>
      <c r="O924" t="s">
        <v>2459</v>
      </c>
      <c r="P924">
        <v>31.34</v>
      </c>
      <c r="Q924">
        <v>56.49</v>
      </c>
      <c r="R924">
        <v>62.68</v>
      </c>
      <c r="S924">
        <v>27.990000000000002</v>
      </c>
      <c r="T924">
        <v>0.28657724992321082</v>
      </c>
      <c r="U924" s="1">
        <v>45292</v>
      </c>
      <c r="V924" t="s">
        <v>2499</v>
      </c>
      <c r="W924">
        <v>2024</v>
      </c>
    </row>
    <row r="925" spans="1:23" x14ac:dyDescent="0.25">
      <c r="A925" t="s">
        <v>972</v>
      </c>
      <c r="B925" s="1">
        <v>45579</v>
      </c>
      <c r="C925" s="1">
        <v>45580</v>
      </c>
      <c r="D925" t="s">
        <v>23</v>
      </c>
      <c r="E925" t="s">
        <v>43</v>
      </c>
      <c r="F925" t="s">
        <v>29</v>
      </c>
      <c r="G925" t="s">
        <v>20</v>
      </c>
      <c r="H925" t="s">
        <v>53</v>
      </c>
      <c r="I925">
        <v>1</v>
      </c>
      <c r="J925">
        <v>0</v>
      </c>
      <c r="K925">
        <v>62.73</v>
      </c>
      <c r="L925">
        <v>3.45</v>
      </c>
      <c r="M925" t="s">
        <v>2470</v>
      </c>
      <c r="N925" t="s">
        <v>2467</v>
      </c>
      <c r="O925" t="s">
        <v>2459</v>
      </c>
      <c r="P925">
        <v>31.34</v>
      </c>
      <c r="Q925">
        <v>56.49</v>
      </c>
      <c r="R925">
        <v>31.34</v>
      </c>
      <c r="S925">
        <v>27.939999999999998</v>
      </c>
      <c r="T925">
        <v>0.44540092459748126</v>
      </c>
      <c r="U925" s="1">
        <v>45566</v>
      </c>
      <c r="V925" t="s">
        <v>2499</v>
      </c>
      <c r="W925">
        <v>2024</v>
      </c>
    </row>
    <row r="926" spans="1:23" x14ac:dyDescent="0.25">
      <c r="A926" t="s">
        <v>973</v>
      </c>
      <c r="B926" s="1">
        <v>45944</v>
      </c>
      <c r="C926" s="1">
        <v>45945</v>
      </c>
      <c r="D926" t="s">
        <v>23</v>
      </c>
      <c r="E926" t="s">
        <v>59</v>
      </c>
      <c r="F926" t="s">
        <v>25</v>
      </c>
      <c r="G926" t="s">
        <v>20</v>
      </c>
      <c r="H926" t="s">
        <v>27</v>
      </c>
      <c r="I926">
        <v>10</v>
      </c>
      <c r="J926">
        <v>0.2</v>
      </c>
      <c r="K926">
        <v>260.36</v>
      </c>
      <c r="L926">
        <v>5.4</v>
      </c>
      <c r="M926" t="s">
        <v>2478</v>
      </c>
      <c r="N926" t="s">
        <v>2474</v>
      </c>
      <c r="O926" t="s">
        <v>2463</v>
      </c>
      <c r="P926">
        <v>16.760000000000002</v>
      </c>
      <c r="Q926">
        <v>27.71</v>
      </c>
      <c r="R926">
        <v>167.60000000000002</v>
      </c>
      <c r="S926">
        <v>87.359999999999985</v>
      </c>
      <c r="T926">
        <v>0.33553541250576119</v>
      </c>
      <c r="U926" s="1">
        <v>45931</v>
      </c>
      <c r="V926" t="s">
        <v>2500</v>
      </c>
      <c r="W926">
        <v>2025</v>
      </c>
    </row>
    <row r="927" spans="1:23" x14ac:dyDescent="0.25">
      <c r="A927" t="s">
        <v>974</v>
      </c>
      <c r="B927" s="1">
        <v>45441</v>
      </c>
      <c r="C927" s="1">
        <v>45445</v>
      </c>
      <c r="D927" t="s">
        <v>13</v>
      </c>
      <c r="E927" t="s">
        <v>14</v>
      </c>
      <c r="F927" t="s">
        <v>25</v>
      </c>
      <c r="G927" t="s">
        <v>16</v>
      </c>
      <c r="H927" t="s">
        <v>34</v>
      </c>
      <c r="I927">
        <v>2</v>
      </c>
      <c r="J927">
        <v>0</v>
      </c>
      <c r="K927">
        <v>394.63</v>
      </c>
      <c r="L927">
        <v>5.46</v>
      </c>
      <c r="M927" t="s">
        <v>2460</v>
      </c>
      <c r="N927" t="s">
        <v>2458</v>
      </c>
      <c r="O927" t="s">
        <v>2461</v>
      </c>
      <c r="P927">
        <v>119.02</v>
      </c>
      <c r="Q927">
        <v>205.39</v>
      </c>
      <c r="R927">
        <v>238.04</v>
      </c>
      <c r="S927">
        <v>151.13</v>
      </c>
      <c r="T927">
        <v>0.38296632288472748</v>
      </c>
      <c r="U927" s="1">
        <v>45413</v>
      </c>
      <c r="V927" t="s">
        <v>2499</v>
      </c>
      <c r="W927">
        <v>2024</v>
      </c>
    </row>
    <row r="928" spans="1:23" x14ac:dyDescent="0.25">
      <c r="A928" t="s">
        <v>975</v>
      </c>
      <c r="B928" s="1">
        <v>45713</v>
      </c>
      <c r="C928" s="1">
        <v>45717</v>
      </c>
      <c r="D928" t="s">
        <v>32</v>
      </c>
      <c r="E928" t="s">
        <v>33</v>
      </c>
      <c r="F928" t="s">
        <v>29</v>
      </c>
      <c r="G928" t="s">
        <v>20</v>
      </c>
      <c r="H928" t="s">
        <v>37</v>
      </c>
      <c r="I928">
        <v>2</v>
      </c>
      <c r="J928">
        <v>0.25</v>
      </c>
      <c r="K928">
        <v>142.35</v>
      </c>
      <c r="L928">
        <v>9.1</v>
      </c>
      <c r="M928" t="s">
        <v>2464</v>
      </c>
      <c r="N928" t="s">
        <v>2458</v>
      </c>
      <c r="O928" t="s">
        <v>2465</v>
      </c>
      <c r="P928">
        <v>63.6</v>
      </c>
      <c r="Q928">
        <v>107.94</v>
      </c>
      <c r="R928">
        <v>127.2</v>
      </c>
      <c r="S928">
        <v>6.0499999999999918</v>
      </c>
      <c r="T928">
        <v>4.2500878117316419E-2</v>
      </c>
      <c r="U928" s="1">
        <v>45689</v>
      </c>
      <c r="V928" t="s">
        <v>2501</v>
      </c>
      <c r="W928">
        <v>2025</v>
      </c>
    </row>
    <row r="929" spans="1:23" x14ac:dyDescent="0.25">
      <c r="A929" t="s">
        <v>976</v>
      </c>
      <c r="B929" s="1">
        <v>45599</v>
      </c>
      <c r="C929" s="1">
        <v>45600</v>
      </c>
      <c r="D929" t="s">
        <v>23</v>
      </c>
      <c r="E929" t="s">
        <v>24</v>
      </c>
      <c r="F929" t="s">
        <v>15</v>
      </c>
      <c r="G929" t="s">
        <v>20</v>
      </c>
      <c r="H929" t="s">
        <v>21</v>
      </c>
      <c r="I929">
        <v>4</v>
      </c>
      <c r="J929">
        <v>0</v>
      </c>
      <c r="K929">
        <v>627.15</v>
      </c>
      <c r="L929">
        <v>13.7</v>
      </c>
      <c r="M929" t="s">
        <v>2462</v>
      </c>
      <c r="N929" t="s">
        <v>2458</v>
      </c>
      <c r="O929" t="s">
        <v>2463</v>
      </c>
      <c r="P929">
        <v>71.489999999999995</v>
      </c>
      <c r="Q929">
        <v>112.88</v>
      </c>
      <c r="R929">
        <v>285.95999999999998</v>
      </c>
      <c r="S929">
        <v>327.49</v>
      </c>
      <c r="T929">
        <v>0.52218767440006386</v>
      </c>
      <c r="U929" s="1">
        <v>45597</v>
      </c>
      <c r="V929" t="s">
        <v>2499</v>
      </c>
      <c r="W929">
        <v>2024</v>
      </c>
    </row>
    <row r="930" spans="1:23" x14ac:dyDescent="0.25">
      <c r="A930" t="s">
        <v>977</v>
      </c>
      <c r="B930" s="1">
        <v>45936</v>
      </c>
      <c r="C930" s="1">
        <v>45938</v>
      </c>
      <c r="D930" t="s">
        <v>13</v>
      </c>
      <c r="E930" t="s">
        <v>36</v>
      </c>
      <c r="F930" t="s">
        <v>15</v>
      </c>
      <c r="G930" t="s">
        <v>26</v>
      </c>
      <c r="H930" t="s">
        <v>27</v>
      </c>
      <c r="I930">
        <v>3</v>
      </c>
      <c r="J930">
        <v>0</v>
      </c>
      <c r="K930">
        <v>100.04</v>
      </c>
      <c r="L930">
        <v>3.51</v>
      </c>
      <c r="M930" t="s">
        <v>2478</v>
      </c>
      <c r="N930" t="s">
        <v>2474</v>
      </c>
      <c r="O930" t="s">
        <v>2463</v>
      </c>
      <c r="P930">
        <v>16.760000000000002</v>
      </c>
      <c r="Q930">
        <v>27.71</v>
      </c>
      <c r="R930">
        <v>50.28</v>
      </c>
      <c r="S930">
        <v>46.250000000000007</v>
      </c>
      <c r="T930">
        <v>0.46231507397041188</v>
      </c>
      <c r="U930" s="1">
        <v>45931</v>
      </c>
      <c r="V930" t="s">
        <v>2499</v>
      </c>
      <c r="W930">
        <v>2025</v>
      </c>
    </row>
    <row r="931" spans="1:23" x14ac:dyDescent="0.25">
      <c r="A931" t="s">
        <v>978</v>
      </c>
      <c r="B931" s="1">
        <v>45938</v>
      </c>
      <c r="C931" s="1">
        <v>45939</v>
      </c>
      <c r="D931" t="s">
        <v>32</v>
      </c>
      <c r="E931" t="s">
        <v>33</v>
      </c>
      <c r="F931" t="s">
        <v>15</v>
      </c>
      <c r="G931" t="s">
        <v>20</v>
      </c>
      <c r="H931" t="s">
        <v>60</v>
      </c>
      <c r="I931">
        <v>4</v>
      </c>
      <c r="J931">
        <v>0.15</v>
      </c>
      <c r="K931">
        <v>433.71</v>
      </c>
      <c r="L931">
        <v>5.7</v>
      </c>
      <c r="M931" t="s">
        <v>2469</v>
      </c>
      <c r="N931" t="s">
        <v>2467</v>
      </c>
      <c r="O931" t="s">
        <v>2468</v>
      </c>
      <c r="P931">
        <v>54.95</v>
      </c>
      <c r="Q931">
        <v>112.56</v>
      </c>
      <c r="R931">
        <v>219.8</v>
      </c>
      <c r="S931">
        <v>208.20999999999998</v>
      </c>
      <c r="T931">
        <v>0.48006732609347258</v>
      </c>
      <c r="U931" s="1">
        <v>45931</v>
      </c>
      <c r="V931" t="s">
        <v>2500</v>
      </c>
      <c r="W931">
        <v>2025</v>
      </c>
    </row>
    <row r="932" spans="1:23" x14ac:dyDescent="0.25">
      <c r="A932" t="s">
        <v>979</v>
      </c>
      <c r="B932" s="1">
        <v>45671</v>
      </c>
      <c r="C932" s="1">
        <v>45676</v>
      </c>
      <c r="D932" t="s">
        <v>32</v>
      </c>
      <c r="E932" t="s">
        <v>33</v>
      </c>
      <c r="F932" t="s">
        <v>15</v>
      </c>
      <c r="G932" t="s">
        <v>26</v>
      </c>
      <c r="H932" t="s">
        <v>17</v>
      </c>
      <c r="I932">
        <v>4</v>
      </c>
      <c r="J932">
        <v>0.1</v>
      </c>
      <c r="K932">
        <v>382.14</v>
      </c>
      <c r="L932">
        <v>9.5</v>
      </c>
      <c r="M932" t="s">
        <v>2472</v>
      </c>
      <c r="N932" t="s">
        <v>2467</v>
      </c>
      <c r="O932" t="s">
        <v>2468</v>
      </c>
      <c r="P932">
        <v>63.69</v>
      </c>
      <c r="Q932">
        <v>125.5</v>
      </c>
      <c r="R932">
        <v>254.76</v>
      </c>
      <c r="S932">
        <v>117.88</v>
      </c>
      <c r="T932">
        <v>0.30847333438007013</v>
      </c>
      <c r="U932" s="1">
        <v>45658</v>
      </c>
      <c r="V932" t="s">
        <v>2498</v>
      </c>
      <c r="W932">
        <v>2025</v>
      </c>
    </row>
    <row r="933" spans="1:23" x14ac:dyDescent="0.25">
      <c r="A933" t="s">
        <v>980</v>
      </c>
      <c r="B933" s="1">
        <v>45342</v>
      </c>
      <c r="C933" s="1">
        <v>45345</v>
      </c>
      <c r="D933" t="s">
        <v>23</v>
      </c>
      <c r="E933" t="s">
        <v>59</v>
      </c>
      <c r="F933" t="s">
        <v>15</v>
      </c>
      <c r="G933" t="s">
        <v>26</v>
      </c>
      <c r="H933" t="s">
        <v>60</v>
      </c>
      <c r="I933">
        <v>2</v>
      </c>
      <c r="J933">
        <v>0</v>
      </c>
      <c r="K933">
        <v>209.91</v>
      </c>
      <c r="L933">
        <v>7</v>
      </c>
      <c r="M933" t="s">
        <v>2469</v>
      </c>
      <c r="N933" t="s">
        <v>2467</v>
      </c>
      <c r="O933" t="s">
        <v>2468</v>
      </c>
      <c r="P933">
        <v>54.95</v>
      </c>
      <c r="Q933">
        <v>112.56</v>
      </c>
      <c r="R933">
        <v>109.9</v>
      </c>
      <c r="S933">
        <v>93.009999999999991</v>
      </c>
      <c r="T933">
        <v>0.4430946596160259</v>
      </c>
      <c r="U933" s="1">
        <v>45323</v>
      </c>
      <c r="V933" t="s">
        <v>2499</v>
      </c>
      <c r="W933">
        <v>2024</v>
      </c>
    </row>
    <row r="934" spans="1:23" x14ac:dyDescent="0.25">
      <c r="A934" t="s">
        <v>981</v>
      </c>
      <c r="B934" s="1">
        <v>45625</v>
      </c>
      <c r="C934" s="1">
        <v>45628</v>
      </c>
      <c r="D934" t="s">
        <v>23</v>
      </c>
      <c r="E934" t="s">
        <v>59</v>
      </c>
      <c r="F934" t="s">
        <v>29</v>
      </c>
      <c r="G934" t="s">
        <v>16</v>
      </c>
      <c r="H934" t="s">
        <v>60</v>
      </c>
      <c r="I934">
        <v>4</v>
      </c>
      <c r="J934">
        <v>0.2</v>
      </c>
      <c r="K934">
        <v>459.99</v>
      </c>
      <c r="L934">
        <v>5.7</v>
      </c>
      <c r="M934" t="s">
        <v>2469</v>
      </c>
      <c r="N934" t="s">
        <v>2467</v>
      </c>
      <c r="O934" t="s">
        <v>2468</v>
      </c>
      <c r="P934">
        <v>54.95</v>
      </c>
      <c r="Q934">
        <v>112.56</v>
      </c>
      <c r="R934">
        <v>219.8</v>
      </c>
      <c r="S934">
        <v>234.49</v>
      </c>
      <c r="T934">
        <v>0.50977195156416444</v>
      </c>
      <c r="U934" s="1">
        <v>45597</v>
      </c>
      <c r="V934" t="s">
        <v>2500</v>
      </c>
      <c r="W934">
        <v>2024</v>
      </c>
    </row>
    <row r="935" spans="1:23" x14ac:dyDescent="0.25">
      <c r="A935" t="s">
        <v>982</v>
      </c>
      <c r="B935" s="1">
        <v>45425</v>
      </c>
      <c r="C935" s="1">
        <v>45430</v>
      </c>
      <c r="D935" t="s">
        <v>32</v>
      </c>
      <c r="E935" t="s">
        <v>62</v>
      </c>
      <c r="F935" t="s">
        <v>29</v>
      </c>
      <c r="G935" t="s">
        <v>16</v>
      </c>
      <c r="H935" t="s">
        <v>65</v>
      </c>
      <c r="I935">
        <v>4</v>
      </c>
      <c r="J935">
        <v>0.05</v>
      </c>
      <c r="K935">
        <v>1081.71</v>
      </c>
      <c r="L935">
        <v>8.2200000000000006</v>
      </c>
      <c r="M935" t="s">
        <v>2457</v>
      </c>
      <c r="N935" t="s">
        <v>2458</v>
      </c>
      <c r="O935" t="s">
        <v>2459</v>
      </c>
      <c r="P935">
        <v>173.56</v>
      </c>
      <c r="Q935">
        <v>286.14999999999998</v>
      </c>
      <c r="R935">
        <v>694.24</v>
      </c>
      <c r="S935">
        <v>379.25</v>
      </c>
      <c r="T935">
        <v>0.35060228711946823</v>
      </c>
      <c r="U935" s="1">
        <v>45413</v>
      </c>
      <c r="V935" t="s">
        <v>2498</v>
      </c>
      <c r="W935">
        <v>2024</v>
      </c>
    </row>
    <row r="936" spans="1:23" x14ac:dyDescent="0.25">
      <c r="A936" t="s">
        <v>983</v>
      </c>
      <c r="B936" s="1">
        <v>45962</v>
      </c>
      <c r="C936" s="1">
        <v>45965</v>
      </c>
      <c r="D936" t="s">
        <v>13</v>
      </c>
      <c r="E936" t="s">
        <v>14</v>
      </c>
      <c r="F936" t="s">
        <v>29</v>
      </c>
      <c r="G936" t="s">
        <v>16</v>
      </c>
      <c r="H936" t="s">
        <v>34</v>
      </c>
      <c r="I936">
        <v>2</v>
      </c>
      <c r="J936">
        <v>0.05</v>
      </c>
      <c r="K936">
        <v>518.54999999999995</v>
      </c>
      <c r="L936">
        <v>9.1</v>
      </c>
      <c r="M936" t="s">
        <v>2460</v>
      </c>
      <c r="N936" t="s">
        <v>2458</v>
      </c>
      <c r="O936" t="s">
        <v>2461</v>
      </c>
      <c r="P936">
        <v>119.02</v>
      </c>
      <c r="Q936">
        <v>205.39</v>
      </c>
      <c r="R936">
        <v>238.04</v>
      </c>
      <c r="S936">
        <v>271.40999999999997</v>
      </c>
      <c r="T936">
        <v>0.52340179346253979</v>
      </c>
      <c r="U936" s="1">
        <v>45962</v>
      </c>
      <c r="V936" t="s">
        <v>2498</v>
      </c>
      <c r="W936">
        <v>2025</v>
      </c>
    </row>
    <row r="937" spans="1:23" x14ac:dyDescent="0.25">
      <c r="A937" t="s">
        <v>984</v>
      </c>
      <c r="B937" s="1">
        <v>45394</v>
      </c>
      <c r="C937" s="1">
        <v>45397</v>
      </c>
      <c r="D937" t="s">
        <v>23</v>
      </c>
      <c r="E937" t="s">
        <v>59</v>
      </c>
      <c r="F937" t="s">
        <v>25</v>
      </c>
      <c r="G937" t="s">
        <v>20</v>
      </c>
      <c r="H937" t="s">
        <v>68</v>
      </c>
      <c r="I937">
        <v>2</v>
      </c>
      <c r="J937">
        <v>0</v>
      </c>
      <c r="K937">
        <v>102.2</v>
      </c>
      <c r="L937">
        <v>4.2</v>
      </c>
      <c r="M937" t="s">
        <v>2466</v>
      </c>
      <c r="N937" t="s">
        <v>2467</v>
      </c>
      <c r="O937" t="s">
        <v>2468</v>
      </c>
      <c r="P937">
        <v>25.33</v>
      </c>
      <c r="Q937">
        <v>51.56</v>
      </c>
      <c r="R937">
        <v>50.66</v>
      </c>
      <c r="S937">
        <v>47.34</v>
      </c>
      <c r="T937">
        <v>0.46320939334637967</v>
      </c>
      <c r="U937" s="1">
        <v>45383</v>
      </c>
      <c r="V937" t="s">
        <v>2499</v>
      </c>
      <c r="W937">
        <v>2024</v>
      </c>
    </row>
    <row r="938" spans="1:23" x14ac:dyDescent="0.25">
      <c r="A938" t="s">
        <v>985</v>
      </c>
      <c r="B938" s="1">
        <v>46008</v>
      </c>
      <c r="C938" s="1">
        <v>46014</v>
      </c>
      <c r="D938" t="s">
        <v>47</v>
      </c>
      <c r="E938" t="s">
        <v>50</v>
      </c>
      <c r="F938" t="s">
        <v>29</v>
      </c>
      <c r="G938" t="s">
        <v>16</v>
      </c>
      <c r="H938" t="s">
        <v>17</v>
      </c>
      <c r="I938">
        <v>7</v>
      </c>
      <c r="J938">
        <v>0</v>
      </c>
      <c r="K938">
        <v>1238.3399999999999</v>
      </c>
      <c r="L938">
        <v>13.25</v>
      </c>
      <c r="M938" t="s">
        <v>2472</v>
      </c>
      <c r="N938" t="s">
        <v>2467</v>
      </c>
      <c r="O938" t="s">
        <v>2468</v>
      </c>
      <c r="P938">
        <v>63.69</v>
      </c>
      <c r="Q938">
        <v>125.5</v>
      </c>
      <c r="R938">
        <v>445.83</v>
      </c>
      <c r="S938">
        <v>779.26</v>
      </c>
      <c r="T938">
        <v>0.62927790429122865</v>
      </c>
      <c r="U938" s="1">
        <v>45992</v>
      </c>
      <c r="V938" t="s">
        <v>2499</v>
      </c>
      <c r="W938">
        <v>2025</v>
      </c>
    </row>
    <row r="939" spans="1:23" x14ac:dyDescent="0.25">
      <c r="A939" t="s">
        <v>986</v>
      </c>
      <c r="B939" s="1">
        <v>45297</v>
      </c>
      <c r="C939" s="1">
        <v>45299</v>
      </c>
      <c r="D939" t="s">
        <v>23</v>
      </c>
      <c r="E939" t="s">
        <v>59</v>
      </c>
      <c r="F939" t="s">
        <v>15</v>
      </c>
      <c r="G939" t="s">
        <v>26</v>
      </c>
      <c r="H939" t="s">
        <v>37</v>
      </c>
      <c r="I939">
        <v>4</v>
      </c>
      <c r="J939">
        <v>0</v>
      </c>
      <c r="K939">
        <v>381.77</v>
      </c>
      <c r="L939">
        <v>13.7</v>
      </c>
      <c r="M939" t="s">
        <v>2464</v>
      </c>
      <c r="N939" t="s">
        <v>2458</v>
      </c>
      <c r="O939" t="s">
        <v>2465</v>
      </c>
      <c r="P939">
        <v>63.6</v>
      </c>
      <c r="Q939">
        <v>107.94</v>
      </c>
      <c r="R939">
        <v>254.4</v>
      </c>
      <c r="S939">
        <v>113.66999999999997</v>
      </c>
      <c r="T939">
        <v>0.29774471540456288</v>
      </c>
      <c r="U939" s="1">
        <v>45292</v>
      </c>
      <c r="V939" t="s">
        <v>2499</v>
      </c>
      <c r="W939">
        <v>2024</v>
      </c>
    </row>
    <row r="940" spans="1:23" x14ac:dyDescent="0.25">
      <c r="A940" t="s">
        <v>987</v>
      </c>
      <c r="B940" s="1">
        <v>45336</v>
      </c>
      <c r="C940" s="1">
        <v>45340</v>
      </c>
      <c r="D940" t="s">
        <v>47</v>
      </c>
      <c r="E940" t="s">
        <v>50</v>
      </c>
      <c r="F940" t="s">
        <v>29</v>
      </c>
      <c r="G940" t="s">
        <v>26</v>
      </c>
      <c r="H940" t="s">
        <v>87</v>
      </c>
      <c r="I940">
        <v>12</v>
      </c>
      <c r="J940">
        <v>0</v>
      </c>
      <c r="K940">
        <v>92.86</v>
      </c>
      <c r="L940">
        <v>5.94</v>
      </c>
      <c r="M940" t="s">
        <v>2476</v>
      </c>
      <c r="N940" t="s">
        <v>2474</v>
      </c>
      <c r="O940" t="s">
        <v>2459</v>
      </c>
      <c r="P940">
        <v>4.5</v>
      </c>
      <c r="Q940">
        <v>8.2899999999999991</v>
      </c>
      <c r="R940">
        <v>54</v>
      </c>
      <c r="S940">
        <v>32.92</v>
      </c>
      <c r="T940">
        <v>0.3545121688563429</v>
      </c>
      <c r="U940" s="1">
        <v>45323</v>
      </c>
      <c r="V940" t="s">
        <v>2499</v>
      </c>
      <c r="W940">
        <v>2024</v>
      </c>
    </row>
    <row r="941" spans="1:23" x14ac:dyDescent="0.25">
      <c r="A941" t="s">
        <v>988</v>
      </c>
      <c r="B941" s="1">
        <v>45552</v>
      </c>
      <c r="C941" s="1">
        <v>45556</v>
      </c>
      <c r="D941" t="s">
        <v>47</v>
      </c>
      <c r="E941" t="s">
        <v>71</v>
      </c>
      <c r="F941" t="s">
        <v>15</v>
      </c>
      <c r="G941" t="s">
        <v>26</v>
      </c>
      <c r="H941" t="s">
        <v>30</v>
      </c>
      <c r="I941">
        <v>13</v>
      </c>
      <c r="J941">
        <v>0</v>
      </c>
      <c r="K941">
        <v>83.06</v>
      </c>
      <c r="L941">
        <v>6.21</v>
      </c>
      <c r="M941" t="s">
        <v>2473</v>
      </c>
      <c r="N941" t="s">
        <v>2474</v>
      </c>
      <c r="O941" t="s">
        <v>2463</v>
      </c>
      <c r="P941">
        <v>3.62</v>
      </c>
      <c r="Q941">
        <v>6.03</v>
      </c>
      <c r="R941">
        <v>47.06</v>
      </c>
      <c r="S941">
        <v>29.79</v>
      </c>
      <c r="T941">
        <v>0.35865639296893809</v>
      </c>
      <c r="U941" s="1">
        <v>45536</v>
      </c>
      <c r="V941" t="s">
        <v>2499</v>
      </c>
      <c r="W941">
        <v>2024</v>
      </c>
    </row>
    <row r="942" spans="1:23" x14ac:dyDescent="0.25">
      <c r="A942" t="s">
        <v>989</v>
      </c>
      <c r="B942" s="1">
        <v>45593</v>
      </c>
      <c r="C942" s="1">
        <v>45597</v>
      </c>
      <c r="D942" t="s">
        <v>23</v>
      </c>
      <c r="E942" t="s">
        <v>24</v>
      </c>
      <c r="F942" t="s">
        <v>15</v>
      </c>
      <c r="G942" t="s">
        <v>16</v>
      </c>
      <c r="H942" t="s">
        <v>39</v>
      </c>
      <c r="I942">
        <v>4</v>
      </c>
      <c r="J942">
        <v>0</v>
      </c>
      <c r="K942">
        <v>896.93</v>
      </c>
      <c r="L942">
        <v>9.5</v>
      </c>
      <c r="M942" t="s">
        <v>2471</v>
      </c>
      <c r="N942" t="s">
        <v>2467</v>
      </c>
      <c r="O942" t="s">
        <v>2461</v>
      </c>
      <c r="P942">
        <v>112.09</v>
      </c>
      <c r="Q942">
        <v>192.47</v>
      </c>
      <c r="R942">
        <v>448.36</v>
      </c>
      <c r="S942">
        <v>439.06999999999994</v>
      </c>
      <c r="T942">
        <v>0.48952538102193033</v>
      </c>
      <c r="U942" s="1">
        <v>45566</v>
      </c>
      <c r="V942" t="s">
        <v>2499</v>
      </c>
      <c r="W942">
        <v>2024</v>
      </c>
    </row>
    <row r="943" spans="1:23" x14ac:dyDescent="0.25">
      <c r="A943" t="s">
        <v>990</v>
      </c>
      <c r="B943" s="1">
        <v>45438</v>
      </c>
      <c r="C943" s="1">
        <v>45443</v>
      </c>
      <c r="D943" t="s">
        <v>23</v>
      </c>
      <c r="E943" t="s">
        <v>43</v>
      </c>
      <c r="F943" t="s">
        <v>25</v>
      </c>
      <c r="G943" t="s">
        <v>16</v>
      </c>
      <c r="H943" t="s">
        <v>21</v>
      </c>
      <c r="I943">
        <v>4</v>
      </c>
      <c r="J943">
        <v>0.2</v>
      </c>
      <c r="K943">
        <v>364.7</v>
      </c>
      <c r="L943">
        <v>8.2200000000000006</v>
      </c>
      <c r="M943" t="s">
        <v>2462</v>
      </c>
      <c r="N943" t="s">
        <v>2458</v>
      </c>
      <c r="O943" t="s">
        <v>2463</v>
      </c>
      <c r="P943">
        <v>71.489999999999995</v>
      </c>
      <c r="Q943">
        <v>112.88</v>
      </c>
      <c r="R943">
        <v>285.95999999999998</v>
      </c>
      <c r="S943">
        <v>70.52000000000001</v>
      </c>
      <c r="T943">
        <v>0.19336440910337266</v>
      </c>
      <c r="U943" s="1">
        <v>45413</v>
      </c>
      <c r="V943" t="s">
        <v>2500</v>
      </c>
      <c r="W943">
        <v>2024</v>
      </c>
    </row>
    <row r="944" spans="1:23" x14ac:dyDescent="0.25">
      <c r="A944" t="s">
        <v>991</v>
      </c>
      <c r="B944" s="1">
        <v>45964</v>
      </c>
      <c r="C944" s="1">
        <v>45966</v>
      </c>
      <c r="D944" t="s">
        <v>13</v>
      </c>
      <c r="E944" t="s">
        <v>19</v>
      </c>
      <c r="F944" t="s">
        <v>15</v>
      </c>
      <c r="G944" t="s">
        <v>16</v>
      </c>
      <c r="H944" t="s">
        <v>51</v>
      </c>
      <c r="I944">
        <v>12</v>
      </c>
      <c r="J944">
        <v>0</v>
      </c>
      <c r="K944">
        <v>243.28</v>
      </c>
      <c r="L944">
        <v>5.94</v>
      </c>
      <c r="M944" t="s">
        <v>2475</v>
      </c>
      <c r="N944" t="s">
        <v>2474</v>
      </c>
      <c r="O944" t="s">
        <v>2463</v>
      </c>
      <c r="P944">
        <v>7.93</v>
      </c>
      <c r="Q944">
        <v>14.78</v>
      </c>
      <c r="R944">
        <v>95.16</v>
      </c>
      <c r="S944">
        <v>142.18</v>
      </c>
      <c r="T944">
        <v>0.58442946399210793</v>
      </c>
      <c r="U944" s="1">
        <v>45962</v>
      </c>
      <c r="V944" t="s">
        <v>2499</v>
      </c>
      <c r="W944">
        <v>2025</v>
      </c>
    </row>
    <row r="945" spans="1:23" x14ac:dyDescent="0.25">
      <c r="A945" t="s">
        <v>992</v>
      </c>
      <c r="B945" s="1">
        <v>45656</v>
      </c>
      <c r="C945" s="1">
        <v>45659</v>
      </c>
      <c r="D945" t="s">
        <v>47</v>
      </c>
      <c r="E945" t="s">
        <v>50</v>
      </c>
      <c r="F945" t="s">
        <v>25</v>
      </c>
      <c r="G945" t="s">
        <v>26</v>
      </c>
      <c r="H945" t="s">
        <v>37</v>
      </c>
      <c r="I945">
        <v>2</v>
      </c>
      <c r="J945">
        <v>0</v>
      </c>
      <c r="K945">
        <v>313.54000000000002</v>
      </c>
      <c r="L945">
        <v>5.46</v>
      </c>
      <c r="M945" t="s">
        <v>2464</v>
      </c>
      <c r="N945" t="s">
        <v>2458</v>
      </c>
      <c r="O945" t="s">
        <v>2465</v>
      </c>
      <c r="P945">
        <v>63.6</v>
      </c>
      <c r="Q945">
        <v>107.94</v>
      </c>
      <c r="R945">
        <v>127.2</v>
      </c>
      <c r="S945">
        <v>180.88000000000002</v>
      </c>
      <c r="T945">
        <v>0.57689608981310203</v>
      </c>
      <c r="U945" s="1">
        <v>45627</v>
      </c>
      <c r="V945" t="s">
        <v>2499</v>
      </c>
      <c r="W945">
        <v>2024</v>
      </c>
    </row>
    <row r="946" spans="1:23" x14ac:dyDescent="0.25">
      <c r="A946" t="s">
        <v>993</v>
      </c>
      <c r="B946" s="1">
        <v>45877</v>
      </c>
      <c r="C946" s="1">
        <v>45879</v>
      </c>
      <c r="D946" t="s">
        <v>13</v>
      </c>
      <c r="E946" t="s">
        <v>19</v>
      </c>
      <c r="F946" t="s">
        <v>15</v>
      </c>
      <c r="G946" t="s">
        <v>26</v>
      </c>
      <c r="H946" t="s">
        <v>17</v>
      </c>
      <c r="I946">
        <v>7</v>
      </c>
      <c r="J946">
        <v>0</v>
      </c>
      <c r="K946">
        <v>829.69</v>
      </c>
      <c r="L946">
        <v>7.95</v>
      </c>
      <c r="M946" t="s">
        <v>2472</v>
      </c>
      <c r="N946" t="s">
        <v>2467</v>
      </c>
      <c r="O946" t="s">
        <v>2468</v>
      </c>
      <c r="P946">
        <v>63.69</v>
      </c>
      <c r="Q946">
        <v>125.5</v>
      </c>
      <c r="R946">
        <v>445.83</v>
      </c>
      <c r="S946">
        <v>375.91000000000008</v>
      </c>
      <c r="T946">
        <v>0.45307283443213736</v>
      </c>
      <c r="U946" s="1">
        <v>45870</v>
      </c>
      <c r="V946" t="s">
        <v>2499</v>
      </c>
      <c r="W946">
        <v>2025</v>
      </c>
    </row>
    <row r="947" spans="1:23" x14ac:dyDescent="0.25">
      <c r="A947" t="s">
        <v>994</v>
      </c>
      <c r="B947" s="1">
        <v>45437</v>
      </c>
      <c r="C947" s="1">
        <v>45440</v>
      </c>
      <c r="D947" t="s">
        <v>13</v>
      </c>
      <c r="E947" t="s">
        <v>14</v>
      </c>
      <c r="F947" t="s">
        <v>29</v>
      </c>
      <c r="G947" t="s">
        <v>16</v>
      </c>
      <c r="H947" t="s">
        <v>34</v>
      </c>
      <c r="I947">
        <v>2</v>
      </c>
      <c r="J947">
        <v>0.2</v>
      </c>
      <c r="K947">
        <v>320.39</v>
      </c>
      <c r="L947">
        <v>5.46</v>
      </c>
      <c r="M947" t="s">
        <v>2460</v>
      </c>
      <c r="N947" t="s">
        <v>2458</v>
      </c>
      <c r="O947" t="s">
        <v>2461</v>
      </c>
      <c r="P947">
        <v>119.02</v>
      </c>
      <c r="Q947">
        <v>205.39</v>
      </c>
      <c r="R947">
        <v>238.04</v>
      </c>
      <c r="S947">
        <v>76.89</v>
      </c>
      <c r="T947">
        <v>0.23998876369424765</v>
      </c>
      <c r="U947" s="1">
        <v>45413</v>
      </c>
      <c r="V947" t="s">
        <v>2500</v>
      </c>
      <c r="W947">
        <v>2024</v>
      </c>
    </row>
    <row r="948" spans="1:23" x14ac:dyDescent="0.25">
      <c r="A948" t="s">
        <v>995</v>
      </c>
      <c r="B948" s="1">
        <v>45556</v>
      </c>
      <c r="C948" s="1">
        <v>45562</v>
      </c>
      <c r="D948" t="s">
        <v>23</v>
      </c>
      <c r="E948" t="s">
        <v>59</v>
      </c>
      <c r="F948" t="s">
        <v>15</v>
      </c>
      <c r="G948" t="s">
        <v>26</v>
      </c>
      <c r="H948" t="s">
        <v>27</v>
      </c>
      <c r="I948">
        <v>5</v>
      </c>
      <c r="J948">
        <v>0</v>
      </c>
      <c r="K948">
        <v>152.15</v>
      </c>
      <c r="L948">
        <v>4.05</v>
      </c>
      <c r="M948" t="s">
        <v>2478</v>
      </c>
      <c r="N948" t="s">
        <v>2474</v>
      </c>
      <c r="O948" t="s">
        <v>2463</v>
      </c>
      <c r="P948">
        <v>16.760000000000002</v>
      </c>
      <c r="Q948">
        <v>27.71</v>
      </c>
      <c r="R948">
        <v>83.800000000000011</v>
      </c>
      <c r="S948">
        <v>64.3</v>
      </c>
      <c r="T948">
        <v>0.42260926717055536</v>
      </c>
      <c r="U948" s="1">
        <v>45536</v>
      </c>
      <c r="V948" t="s">
        <v>2499</v>
      </c>
      <c r="W948">
        <v>2024</v>
      </c>
    </row>
    <row r="949" spans="1:23" x14ac:dyDescent="0.25">
      <c r="A949" t="s">
        <v>996</v>
      </c>
      <c r="B949" s="1">
        <v>46011</v>
      </c>
      <c r="C949" s="1">
        <v>46012</v>
      </c>
      <c r="D949" t="s">
        <v>23</v>
      </c>
      <c r="E949" t="s">
        <v>43</v>
      </c>
      <c r="F949" t="s">
        <v>15</v>
      </c>
      <c r="G949" t="s">
        <v>16</v>
      </c>
      <c r="H949" t="s">
        <v>51</v>
      </c>
      <c r="I949">
        <v>11</v>
      </c>
      <c r="J949">
        <v>0</v>
      </c>
      <c r="K949">
        <v>238.37</v>
      </c>
      <c r="L949">
        <v>5.67</v>
      </c>
      <c r="M949" t="s">
        <v>2475</v>
      </c>
      <c r="N949" t="s">
        <v>2474</v>
      </c>
      <c r="O949" t="s">
        <v>2463</v>
      </c>
      <c r="P949">
        <v>7.93</v>
      </c>
      <c r="Q949">
        <v>14.78</v>
      </c>
      <c r="R949">
        <v>87.22999999999999</v>
      </c>
      <c r="S949">
        <v>145.47000000000003</v>
      </c>
      <c r="T949">
        <v>0.61026974870998874</v>
      </c>
      <c r="U949" s="1">
        <v>45992</v>
      </c>
      <c r="V949" t="s">
        <v>2499</v>
      </c>
      <c r="W949">
        <v>2025</v>
      </c>
    </row>
    <row r="950" spans="1:23" x14ac:dyDescent="0.25">
      <c r="A950" t="s">
        <v>997</v>
      </c>
      <c r="B950" s="1">
        <v>45959</v>
      </c>
      <c r="C950" s="1">
        <v>45964</v>
      </c>
      <c r="D950" t="s">
        <v>32</v>
      </c>
      <c r="E950" t="s">
        <v>45</v>
      </c>
      <c r="F950" t="s">
        <v>15</v>
      </c>
      <c r="G950" t="s">
        <v>20</v>
      </c>
      <c r="H950" t="s">
        <v>63</v>
      </c>
      <c r="I950">
        <v>5</v>
      </c>
      <c r="J950">
        <v>0</v>
      </c>
      <c r="K950">
        <v>69.94</v>
      </c>
      <c r="L950">
        <v>6.75</v>
      </c>
      <c r="M950" t="s">
        <v>2477</v>
      </c>
      <c r="N950" t="s">
        <v>2474</v>
      </c>
      <c r="O950" t="s">
        <v>2468</v>
      </c>
      <c r="P950">
        <v>6.33</v>
      </c>
      <c r="Q950">
        <v>12.16</v>
      </c>
      <c r="R950">
        <v>31.65</v>
      </c>
      <c r="S950">
        <v>31.54</v>
      </c>
      <c r="T950">
        <v>0.45095796396911642</v>
      </c>
      <c r="U950" s="1">
        <v>45931</v>
      </c>
      <c r="V950" t="s">
        <v>2499</v>
      </c>
      <c r="W950">
        <v>2025</v>
      </c>
    </row>
    <row r="951" spans="1:23" x14ac:dyDescent="0.25">
      <c r="A951" t="s">
        <v>998</v>
      </c>
      <c r="B951" s="1">
        <v>45376</v>
      </c>
      <c r="C951" s="1">
        <v>45382</v>
      </c>
      <c r="D951" t="s">
        <v>47</v>
      </c>
      <c r="E951" t="s">
        <v>48</v>
      </c>
      <c r="F951" t="s">
        <v>29</v>
      </c>
      <c r="G951" t="s">
        <v>16</v>
      </c>
      <c r="H951" t="s">
        <v>37</v>
      </c>
      <c r="I951">
        <v>1</v>
      </c>
      <c r="J951">
        <v>0</v>
      </c>
      <c r="K951">
        <v>101.59</v>
      </c>
      <c r="L951">
        <v>6.8</v>
      </c>
      <c r="M951" t="s">
        <v>2464</v>
      </c>
      <c r="N951" t="s">
        <v>2458</v>
      </c>
      <c r="O951" t="s">
        <v>2465</v>
      </c>
      <c r="P951">
        <v>63.6</v>
      </c>
      <c r="Q951">
        <v>107.94</v>
      </c>
      <c r="R951">
        <v>63.6</v>
      </c>
      <c r="S951">
        <v>31.19</v>
      </c>
      <c r="T951">
        <v>0.30701840732355545</v>
      </c>
      <c r="U951" s="1">
        <v>45352</v>
      </c>
      <c r="V951" t="s">
        <v>2499</v>
      </c>
      <c r="W951">
        <v>2024</v>
      </c>
    </row>
    <row r="952" spans="1:23" x14ac:dyDescent="0.25">
      <c r="A952" t="s">
        <v>999</v>
      </c>
      <c r="B952" s="1">
        <v>45827</v>
      </c>
      <c r="C952" s="1">
        <v>45830</v>
      </c>
      <c r="D952" t="s">
        <v>23</v>
      </c>
      <c r="E952" t="s">
        <v>24</v>
      </c>
      <c r="F952" t="s">
        <v>15</v>
      </c>
      <c r="G952" t="s">
        <v>26</v>
      </c>
      <c r="H952" t="s">
        <v>17</v>
      </c>
      <c r="I952">
        <v>4</v>
      </c>
      <c r="J952">
        <v>0</v>
      </c>
      <c r="K952">
        <v>537.66</v>
      </c>
      <c r="L952">
        <v>5.7</v>
      </c>
      <c r="M952" t="s">
        <v>2472</v>
      </c>
      <c r="N952" t="s">
        <v>2467</v>
      </c>
      <c r="O952" t="s">
        <v>2468</v>
      </c>
      <c r="P952">
        <v>63.69</v>
      </c>
      <c r="Q952">
        <v>125.5</v>
      </c>
      <c r="R952">
        <v>254.76</v>
      </c>
      <c r="S952">
        <v>277.2</v>
      </c>
      <c r="T952">
        <v>0.51556745898895218</v>
      </c>
      <c r="U952" s="1">
        <v>45809</v>
      </c>
      <c r="V952" t="s">
        <v>2499</v>
      </c>
      <c r="W952">
        <v>2025</v>
      </c>
    </row>
    <row r="953" spans="1:23" x14ac:dyDescent="0.25">
      <c r="A953" t="s">
        <v>1000</v>
      </c>
      <c r="B953" s="1">
        <v>45621</v>
      </c>
      <c r="C953" s="1">
        <v>45627</v>
      </c>
      <c r="D953" t="s">
        <v>47</v>
      </c>
      <c r="E953" t="s">
        <v>50</v>
      </c>
      <c r="F953" t="s">
        <v>29</v>
      </c>
      <c r="G953" t="s">
        <v>16</v>
      </c>
      <c r="H953" t="s">
        <v>37</v>
      </c>
      <c r="I953">
        <v>3</v>
      </c>
      <c r="J953">
        <v>0</v>
      </c>
      <c r="K953">
        <v>437.03</v>
      </c>
      <c r="L953">
        <v>11.4</v>
      </c>
      <c r="M953" t="s">
        <v>2464</v>
      </c>
      <c r="N953" t="s">
        <v>2458</v>
      </c>
      <c r="O953" t="s">
        <v>2465</v>
      </c>
      <c r="P953">
        <v>63.6</v>
      </c>
      <c r="Q953">
        <v>107.94</v>
      </c>
      <c r="R953">
        <v>190.8</v>
      </c>
      <c r="S953">
        <v>234.82999999999996</v>
      </c>
      <c r="T953">
        <v>0.5373315333043498</v>
      </c>
      <c r="U953" s="1">
        <v>45597</v>
      </c>
      <c r="V953" t="s">
        <v>2499</v>
      </c>
      <c r="W953">
        <v>2024</v>
      </c>
    </row>
    <row r="954" spans="1:23" x14ac:dyDescent="0.25">
      <c r="A954" t="s">
        <v>1001</v>
      </c>
      <c r="B954" s="1">
        <v>45763</v>
      </c>
      <c r="C954" s="1">
        <v>45767</v>
      </c>
      <c r="D954" t="s">
        <v>47</v>
      </c>
      <c r="E954" t="s">
        <v>50</v>
      </c>
      <c r="F954" t="s">
        <v>15</v>
      </c>
      <c r="G954" t="s">
        <v>20</v>
      </c>
      <c r="H954" t="s">
        <v>34</v>
      </c>
      <c r="I954">
        <v>7</v>
      </c>
      <c r="J954">
        <v>0</v>
      </c>
      <c r="K954">
        <v>1379.56</v>
      </c>
      <c r="L954">
        <v>12.36</v>
      </c>
      <c r="M954" t="s">
        <v>2460</v>
      </c>
      <c r="N954" t="s">
        <v>2458</v>
      </c>
      <c r="O954" t="s">
        <v>2461</v>
      </c>
      <c r="P954">
        <v>119.02</v>
      </c>
      <c r="Q954">
        <v>205.39</v>
      </c>
      <c r="R954">
        <v>833.14</v>
      </c>
      <c r="S954">
        <v>534.05999999999995</v>
      </c>
      <c r="T954">
        <v>0.38712343065905069</v>
      </c>
      <c r="U954" s="1">
        <v>45748</v>
      </c>
      <c r="V954" t="s">
        <v>2499</v>
      </c>
      <c r="W954">
        <v>2025</v>
      </c>
    </row>
    <row r="955" spans="1:23" x14ac:dyDescent="0.25">
      <c r="A955" t="s">
        <v>1002</v>
      </c>
      <c r="B955" s="1">
        <v>45731</v>
      </c>
      <c r="C955" s="1">
        <v>45732</v>
      </c>
      <c r="D955" t="s">
        <v>23</v>
      </c>
      <c r="E955" t="s">
        <v>43</v>
      </c>
      <c r="F955" t="s">
        <v>15</v>
      </c>
      <c r="G955" t="s">
        <v>16</v>
      </c>
      <c r="H955" t="s">
        <v>63</v>
      </c>
      <c r="I955">
        <v>11</v>
      </c>
      <c r="J955">
        <v>0.2</v>
      </c>
      <c r="K955">
        <v>102.55</v>
      </c>
      <c r="L955">
        <v>5.67</v>
      </c>
      <c r="M955" t="s">
        <v>2477</v>
      </c>
      <c r="N955" t="s">
        <v>2474</v>
      </c>
      <c r="O955" t="s">
        <v>2468</v>
      </c>
      <c r="P955">
        <v>6.33</v>
      </c>
      <c r="Q955">
        <v>12.16</v>
      </c>
      <c r="R955">
        <v>69.63</v>
      </c>
      <c r="S955">
        <v>27.25</v>
      </c>
      <c r="T955">
        <v>0.26572403705509506</v>
      </c>
      <c r="U955" s="1">
        <v>45717</v>
      </c>
      <c r="V955" t="s">
        <v>2500</v>
      </c>
      <c r="W955">
        <v>2025</v>
      </c>
    </row>
    <row r="956" spans="1:23" x14ac:dyDescent="0.25">
      <c r="A956" t="s">
        <v>1003</v>
      </c>
      <c r="B956" s="1">
        <v>45799</v>
      </c>
      <c r="C956" s="1">
        <v>45801</v>
      </c>
      <c r="D956" t="s">
        <v>13</v>
      </c>
      <c r="E956" t="s">
        <v>14</v>
      </c>
      <c r="F956" t="s">
        <v>25</v>
      </c>
      <c r="G956" t="s">
        <v>20</v>
      </c>
      <c r="H956" t="s">
        <v>63</v>
      </c>
      <c r="I956">
        <v>8</v>
      </c>
      <c r="J956">
        <v>0.2</v>
      </c>
      <c r="K956">
        <v>82.9</v>
      </c>
      <c r="L956">
        <v>8.1</v>
      </c>
      <c r="M956" t="s">
        <v>2477</v>
      </c>
      <c r="N956" t="s">
        <v>2474</v>
      </c>
      <c r="O956" t="s">
        <v>2468</v>
      </c>
      <c r="P956">
        <v>6.33</v>
      </c>
      <c r="Q956">
        <v>12.16</v>
      </c>
      <c r="R956">
        <v>50.64</v>
      </c>
      <c r="S956">
        <v>24.160000000000004</v>
      </c>
      <c r="T956">
        <v>0.29143546441495782</v>
      </c>
      <c r="U956" s="1">
        <v>45778</v>
      </c>
      <c r="V956" t="s">
        <v>2500</v>
      </c>
      <c r="W956">
        <v>2025</v>
      </c>
    </row>
    <row r="957" spans="1:23" x14ac:dyDescent="0.25">
      <c r="A957" t="s">
        <v>1004</v>
      </c>
      <c r="B957" s="1">
        <v>45648</v>
      </c>
      <c r="C957" s="1">
        <v>45652</v>
      </c>
      <c r="D957" t="s">
        <v>47</v>
      </c>
      <c r="E957" t="s">
        <v>50</v>
      </c>
      <c r="F957" t="s">
        <v>25</v>
      </c>
      <c r="G957" t="s">
        <v>20</v>
      </c>
      <c r="H957" t="s">
        <v>51</v>
      </c>
      <c r="I957">
        <v>9</v>
      </c>
      <c r="J957">
        <v>0</v>
      </c>
      <c r="K957">
        <v>193.93</v>
      </c>
      <c r="L957">
        <v>5.13</v>
      </c>
      <c r="M957" t="s">
        <v>2475</v>
      </c>
      <c r="N957" t="s">
        <v>2474</v>
      </c>
      <c r="O957" t="s">
        <v>2463</v>
      </c>
      <c r="P957">
        <v>7.93</v>
      </c>
      <c r="Q957">
        <v>14.78</v>
      </c>
      <c r="R957">
        <v>71.37</v>
      </c>
      <c r="S957">
        <v>117.43</v>
      </c>
      <c r="T957">
        <v>0.6055277677512505</v>
      </c>
      <c r="U957" s="1">
        <v>45627</v>
      </c>
      <c r="V957" t="s">
        <v>2499</v>
      </c>
      <c r="W957">
        <v>2024</v>
      </c>
    </row>
    <row r="958" spans="1:23" x14ac:dyDescent="0.25">
      <c r="A958" t="s">
        <v>1005</v>
      </c>
      <c r="B958" s="1">
        <v>45746</v>
      </c>
      <c r="C958" s="1">
        <v>45750</v>
      </c>
      <c r="D958" t="s">
        <v>23</v>
      </c>
      <c r="E958" t="s">
        <v>24</v>
      </c>
      <c r="F958" t="s">
        <v>15</v>
      </c>
      <c r="G958" t="s">
        <v>26</v>
      </c>
      <c r="H958" t="s">
        <v>21</v>
      </c>
      <c r="I958">
        <v>3</v>
      </c>
      <c r="J958">
        <v>0.15</v>
      </c>
      <c r="K958">
        <v>265.08</v>
      </c>
      <c r="L958">
        <v>6.84</v>
      </c>
      <c r="M958" t="s">
        <v>2462</v>
      </c>
      <c r="N958" t="s">
        <v>2458</v>
      </c>
      <c r="O958" t="s">
        <v>2463</v>
      </c>
      <c r="P958">
        <v>71.489999999999995</v>
      </c>
      <c r="Q958">
        <v>112.88</v>
      </c>
      <c r="R958">
        <v>214.46999999999997</v>
      </c>
      <c r="S958">
        <v>43.77000000000001</v>
      </c>
      <c r="T958">
        <v>0.16511996378451793</v>
      </c>
      <c r="U958" s="1">
        <v>45717</v>
      </c>
      <c r="V958" t="s">
        <v>2500</v>
      </c>
      <c r="W958">
        <v>2025</v>
      </c>
    </row>
    <row r="959" spans="1:23" x14ac:dyDescent="0.25">
      <c r="A959" t="s">
        <v>1006</v>
      </c>
      <c r="B959" s="1">
        <v>45553</v>
      </c>
      <c r="C959" s="1">
        <v>45555</v>
      </c>
      <c r="D959" t="s">
        <v>47</v>
      </c>
      <c r="E959" t="s">
        <v>71</v>
      </c>
      <c r="F959" t="s">
        <v>25</v>
      </c>
      <c r="G959" t="s">
        <v>20</v>
      </c>
      <c r="H959" t="s">
        <v>27</v>
      </c>
      <c r="I959">
        <v>3</v>
      </c>
      <c r="J959">
        <v>0.2</v>
      </c>
      <c r="K959">
        <v>72.67</v>
      </c>
      <c r="L959">
        <v>5.85</v>
      </c>
      <c r="M959" t="s">
        <v>2478</v>
      </c>
      <c r="N959" t="s">
        <v>2474</v>
      </c>
      <c r="O959" t="s">
        <v>2463</v>
      </c>
      <c r="P959">
        <v>16.760000000000002</v>
      </c>
      <c r="Q959">
        <v>27.71</v>
      </c>
      <c r="R959">
        <v>50.28</v>
      </c>
      <c r="S959">
        <v>16.54</v>
      </c>
      <c r="T959">
        <v>0.22760423833769092</v>
      </c>
      <c r="U959" s="1">
        <v>45536</v>
      </c>
      <c r="V959" t="s">
        <v>2500</v>
      </c>
      <c r="W959">
        <v>2024</v>
      </c>
    </row>
    <row r="960" spans="1:23" x14ac:dyDescent="0.25">
      <c r="A960" t="s">
        <v>1007</v>
      </c>
      <c r="B960" s="1">
        <v>45959</v>
      </c>
      <c r="C960" s="1">
        <v>45965</v>
      </c>
      <c r="D960" t="s">
        <v>23</v>
      </c>
      <c r="E960" t="s">
        <v>59</v>
      </c>
      <c r="F960" t="s">
        <v>25</v>
      </c>
      <c r="G960" t="s">
        <v>20</v>
      </c>
      <c r="H960" t="s">
        <v>65</v>
      </c>
      <c r="I960">
        <v>2</v>
      </c>
      <c r="J960">
        <v>0</v>
      </c>
      <c r="K960">
        <v>678.67</v>
      </c>
      <c r="L960">
        <v>5.46</v>
      </c>
      <c r="M960" t="s">
        <v>2457</v>
      </c>
      <c r="N960" t="s">
        <v>2458</v>
      </c>
      <c r="O960" t="s">
        <v>2459</v>
      </c>
      <c r="P960">
        <v>173.56</v>
      </c>
      <c r="Q960">
        <v>286.14999999999998</v>
      </c>
      <c r="R960">
        <v>347.12</v>
      </c>
      <c r="S960">
        <v>326.08999999999997</v>
      </c>
      <c r="T960">
        <v>0.48048388760369548</v>
      </c>
      <c r="U960" s="1">
        <v>45931</v>
      </c>
      <c r="V960" t="s">
        <v>2499</v>
      </c>
      <c r="W960">
        <v>2025</v>
      </c>
    </row>
    <row r="961" spans="1:23" x14ac:dyDescent="0.25">
      <c r="A961" t="s">
        <v>1008</v>
      </c>
      <c r="B961" s="1">
        <v>45433</v>
      </c>
      <c r="C961" s="1">
        <v>45434</v>
      </c>
      <c r="D961" t="s">
        <v>32</v>
      </c>
      <c r="E961" t="s">
        <v>62</v>
      </c>
      <c r="F961" t="s">
        <v>25</v>
      </c>
      <c r="G961" t="s">
        <v>26</v>
      </c>
      <c r="H961" t="s">
        <v>65</v>
      </c>
      <c r="I961">
        <v>3</v>
      </c>
      <c r="J961">
        <v>0</v>
      </c>
      <c r="K961">
        <v>905.64</v>
      </c>
      <c r="L961">
        <v>11.4</v>
      </c>
      <c r="M961" t="s">
        <v>2457</v>
      </c>
      <c r="N961" t="s">
        <v>2458</v>
      </c>
      <c r="O961" t="s">
        <v>2459</v>
      </c>
      <c r="P961">
        <v>173.56</v>
      </c>
      <c r="Q961">
        <v>286.14999999999998</v>
      </c>
      <c r="R961">
        <v>520.68000000000006</v>
      </c>
      <c r="S961">
        <v>373.55999999999995</v>
      </c>
      <c r="T961">
        <v>0.41248178084006887</v>
      </c>
      <c r="U961" s="1">
        <v>45413</v>
      </c>
      <c r="V961" t="s">
        <v>2499</v>
      </c>
      <c r="W961">
        <v>2024</v>
      </c>
    </row>
    <row r="962" spans="1:23" x14ac:dyDescent="0.25">
      <c r="A962" t="s">
        <v>1009</v>
      </c>
      <c r="B962" s="1">
        <v>45521</v>
      </c>
      <c r="C962" s="1">
        <v>45523</v>
      </c>
      <c r="D962" t="s">
        <v>13</v>
      </c>
      <c r="E962" t="s">
        <v>14</v>
      </c>
      <c r="F962" t="s">
        <v>15</v>
      </c>
      <c r="G962" t="s">
        <v>20</v>
      </c>
      <c r="H962" t="s">
        <v>60</v>
      </c>
      <c r="I962">
        <v>1</v>
      </c>
      <c r="J962">
        <v>0</v>
      </c>
      <c r="K962">
        <v>104.13</v>
      </c>
      <c r="L962">
        <v>3.45</v>
      </c>
      <c r="M962" t="s">
        <v>2469</v>
      </c>
      <c r="N962" t="s">
        <v>2467</v>
      </c>
      <c r="O962" t="s">
        <v>2468</v>
      </c>
      <c r="P962">
        <v>54.95</v>
      </c>
      <c r="Q962">
        <v>112.56</v>
      </c>
      <c r="R962">
        <v>54.95</v>
      </c>
      <c r="S962">
        <v>45.72999999999999</v>
      </c>
      <c r="T962">
        <v>0.4391625852300009</v>
      </c>
      <c r="U962" s="1">
        <v>45505</v>
      </c>
      <c r="V962" t="s">
        <v>2499</v>
      </c>
      <c r="W962">
        <v>2024</v>
      </c>
    </row>
    <row r="963" spans="1:23" x14ac:dyDescent="0.25">
      <c r="A963" t="s">
        <v>1010</v>
      </c>
      <c r="B963" s="1">
        <v>45969</v>
      </c>
      <c r="C963" s="1">
        <v>45972</v>
      </c>
      <c r="D963" t="s">
        <v>47</v>
      </c>
      <c r="E963" t="s">
        <v>50</v>
      </c>
      <c r="F963" t="s">
        <v>25</v>
      </c>
      <c r="G963" t="s">
        <v>26</v>
      </c>
      <c r="H963" t="s">
        <v>41</v>
      </c>
      <c r="I963">
        <v>10</v>
      </c>
      <c r="J963">
        <v>0</v>
      </c>
      <c r="K963">
        <v>85.27</v>
      </c>
      <c r="L963">
        <v>5.4</v>
      </c>
      <c r="M963" t="s">
        <v>2479</v>
      </c>
      <c r="N963" t="s">
        <v>2474</v>
      </c>
      <c r="O963" t="s">
        <v>2459</v>
      </c>
      <c r="P963">
        <v>3.3</v>
      </c>
      <c r="Q963">
        <v>6.13</v>
      </c>
      <c r="R963">
        <v>33</v>
      </c>
      <c r="S963">
        <v>46.87</v>
      </c>
      <c r="T963">
        <v>0.54966576756186236</v>
      </c>
      <c r="U963" s="1">
        <v>45962</v>
      </c>
      <c r="V963" t="s">
        <v>2499</v>
      </c>
      <c r="W963">
        <v>2025</v>
      </c>
    </row>
    <row r="964" spans="1:23" x14ac:dyDescent="0.25">
      <c r="A964" t="s">
        <v>1011</v>
      </c>
      <c r="B964" s="1">
        <v>45882</v>
      </c>
      <c r="C964" s="1">
        <v>45883</v>
      </c>
      <c r="D964" t="s">
        <v>23</v>
      </c>
      <c r="E964" t="s">
        <v>24</v>
      </c>
      <c r="F964" t="s">
        <v>15</v>
      </c>
      <c r="G964" t="s">
        <v>20</v>
      </c>
      <c r="H964" t="s">
        <v>68</v>
      </c>
      <c r="I964">
        <v>2</v>
      </c>
      <c r="J964">
        <v>0</v>
      </c>
      <c r="K964">
        <v>100.2</v>
      </c>
      <c r="L964">
        <v>7</v>
      </c>
      <c r="M964" t="s">
        <v>2466</v>
      </c>
      <c r="N964" t="s">
        <v>2467</v>
      </c>
      <c r="O964" t="s">
        <v>2468</v>
      </c>
      <c r="P964">
        <v>25.33</v>
      </c>
      <c r="Q964">
        <v>51.56</v>
      </c>
      <c r="R964">
        <v>50.66</v>
      </c>
      <c r="S964">
        <v>42.540000000000006</v>
      </c>
      <c r="T964">
        <v>0.42455089820359287</v>
      </c>
      <c r="U964" s="1">
        <v>45870</v>
      </c>
      <c r="V964" t="s">
        <v>2499</v>
      </c>
      <c r="W964">
        <v>2025</v>
      </c>
    </row>
    <row r="965" spans="1:23" x14ac:dyDescent="0.25">
      <c r="A965" t="s">
        <v>1012</v>
      </c>
      <c r="B965" s="1">
        <v>45508</v>
      </c>
      <c r="C965" s="1">
        <v>45510</v>
      </c>
      <c r="D965" t="s">
        <v>23</v>
      </c>
      <c r="E965" t="s">
        <v>43</v>
      </c>
      <c r="F965" t="s">
        <v>25</v>
      </c>
      <c r="G965" t="s">
        <v>20</v>
      </c>
      <c r="H965" t="s">
        <v>21</v>
      </c>
      <c r="I965">
        <v>4</v>
      </c>
      <c r="J965">
        <v>0</v>
      </c>
      <c r="K965">
        <v>425.3</v>
      </c>
      <c r="L965">
        <v>13.7</v>
      </c>
      <c r="M965" t="s">
        <v>2462</v>
      </c>
      <c r="N965" t="s">
        <v>2458</v>
      </c>
      <c r="O965" t="s">
        <v>2463</v>
      </c>
      <c r="P965">
        <v>71.489999999999995</v>
      </c>
      <c r="Q965">
        <v>112.88</v>
      </c>
      <c r="R965">
        <v>285.95999999999998</v>
      </c>
      <c r="S965">
        <v>125.64000000000003</v>
      </c>
      <c r="T965">
        <v>0.29541500117564079</v>
      </c>
      <c r="U965" s="1">
        <v>45505</v>
      </c>
      <c r="V965" t="s">
        <v>2499</v>
      </c>
      <c r="W965">
        <v>2024</v>
      </c>
    </row>
    <row r="966" spans="1:23" x14ac:dyDescent="0.25">
      <c r="A966" t="s">
        <v>1013</v>
      </c>
      <c r="B966" s="1">
        <v>45991</v>
      </c>
      <c r="C966" s="1">
        <v>45996</v>
      </c>
      <c r="D966" t="s">
        <v>13</v>
      </c>
      <c r="E966" t="s">
        <v>19</v>
      </c>
      <c r="F966" t="s">
        <v>15</v>
      </c>
      <c r="G966" t="s">
        <v>26</v>
      </c>
      <c r="H966" t="s">
        <v>68</v>
      </c>
      <c r="I966">
        <v>1</v>
      </c>
      <c r="J966">
        <v>0.15</v>
      </c>
      <c r="K966">
        <v>59.82</v>
      </c>
      <c r="L966">
        <v>3.45</v>
      </c>
      <c r="M966" t="s">
        <v>2466</v>
      </c>
      <c r="N966" t="s">
        <v>2467</v>
      </c>
      <c r="O966" t="s">
        <v>2468</v>
      </c>
      <c r="P966">
        <v>25.33</v>
      </c>
      <c r="Q966">
        <v>51.56</v>
      </c>
      <c r="R966">
        <v>25.33</v>
      </c>
      <c r="S966">
        <v>31.040000000000003</v>
      </c>
      <c r="T966">
        <v>0.51889000334336344</v>
      </c>
      <c r="U966" s="1">
        <v>45962</v>
      </c>
      <c r="V966" t="s">
        <v>2500</v>
      </c>
      <c r="W966">
        <v>2025</v>
      </c>
    </row>
    <row r="967" spans="1:23" x14ac:dyDescent="0.25">
      <c r="A967" t="s">
        <v>1014</v>
      </c>
      <c r="B967" s="1">
        <v>45562</v>
      </c>
      <c r="C967" s="1">
        <v>45568</v>
      </c>
      <c r="D967" t="s">
        <v>32</v>
      </c>
      <c r="E967" t="s">
        <v>33</v>
      </c>
      <c r="F967" t="s">
        <v>25</v>
      </c>
      <c r="G967" t="s">
        <v>20</v>
      </c>
      <c r="H967" t="s">
        <v>68</v>
      </c>
      <c r="I967">
        <v>3</v>
      </c>
      <c r="J967">
        <v>0.15</v>
      </c>
      <c r="K967">
        <v>136.68</v>
      </c>
      <c r="L967">
        <v>4.95</v>
      </c>
      <c r="M967" t="s">
        <v>2466</v>
      </c>
      <c r="N967" t="s">
        <v>2467</v>
      </c>
      <c r="O967" t="s">
        <v>2468</v>
      </c>
      <c r="P967">
        <v>25.33</v>
      </c>
      <c r="Q967">
        <v>51.56</v>
      </c>
      <c r="R967">
        <v>75.989999999999995</v>
      </c>
      <c r="S967">
        <v>55.740000000000009</v>
      </c>
      <c r="T967">
        <v>0.40781387181738371</v>
      </c>
      <c r="U967" s="1">
        <v>45536</v>
      </c>
      <c r="V967" t="s">
        <v>2500</v>
      </c>
      <c r="W967">
        <v>2024</v>
      </c>
    </row>
    <row r="968" spans="1:23" x14ac:dyDescent="0.25">
      <c r="A968" t="s">
        <v>1015</v>
      </c>
      <c r="B968" s="1">
        <v>45832</v>
      </c>
      <c r="C968" s="1">
        <v>45833</v>
      </c>
      <c r="D968" t="s">
        <v>47</v>
      </c>
      <c r="E968" t="s">
        <v>50</v>
      </c>
      <c r="F968" t="s">
        <v>15</v>
      </c>
      <c r="G968" t="s">
        <v>20</v>
      </c>
      <c r="H968" t="s">
        <v>21</v>
      </c>
      <c r="I968">
        <v>3</v>
      </c>
      <c r="J968">
        <v>0</v>
      </c>
      <c r="K968">
        <v>363.75</v>
      </c>
      <c r="L968">
        <v>11.4</v>
      </c>
      <c r="M968" t="s">
        <v>2462</v>
      </c>
      <c r="N968" t="s">
        <v>2458</v>
      </c>
      <c r="O968" t="s">
        <v>2463</v>
      </c>
      <c r="P968">
        <v>71.489999999999995</v>
      </c>
      <c r="Q968">
        <v>112.88</v>
      </c>
      <c r="R968">
        <v>214.46999999999997</v>
      </c>
      <c r="S968">
        <v>137.88000000000002</v>
      </c>
      <c r="T968">
        <v>0.37905154639175265</v>
      </c>
      <c r="U968" s="1">
        <v>45809</v>
      </c>
      <c r="V968" t="s">
        <v>2499</v>
      </c>
      <c r="W968">
        <v>2025</v>
      </c>
    </row>
    <row r="969" spans="1:23" x14ac:dyDescent="0.25">
      <c r="A969" t="s">
        <v>1016</v>
      </c>
      <c r="B969" s="1">
        <v>45522</v>
      </c>
      <c r="C969" s="1">
        <v>45525</v>
      </c>
      <c r="D969" t="s">
        <v>13</v>
      </c>
      <c r="E969" t="s">
        <v>14</v>
      </c>
      <c r="F969" t="s">
        <v>29</v>
      </c>
      <c r="G969" t="s">
        <v>20</v>
      </c>
      <c r="H969" t="s">
        <v>51</v>
      </c>
      <c r="I969">
        <v>3</v>
      </c>
      <c r="J969">
        <v>0</v>
      </c>
      <c r="K969">
        <v>43.92</v>
      </c>
      <c r="L969">
        <v>5.85</v>
      </c>
      <c r="M969" t="s">
        <v>2475</v>
      </c>
      <c r="N969" t="s">
        <v>2474</v>
      </c>
      <c r="O969" t="s">
        <v>2463</v>
      </c>
      <c r="P969">
        <v>7.93</v>
      </c>
      <c r="Q969">
        <v>14.78</v>
      </c>
      <c r="R969">
        <v>23.79</v>
      </c>
      <c r="S969">
        <v>14.280000000000003</v>
      </c>
      <c r="T969">
        <v>0.32513661202185795</v>
      </c>
      <c r="U969" s="1">
        <v>45505</v>
      </c>
      <c r="V969" t="s">
        <v>2499</v>
      </c>
      <c r="W969">
        <v>2024</v>
      </c>
    </row>
    <row r="970" spans="1:23" x14ac:dyDescent="0.25">
      <c r="A970" t="s">
        <v>1017</v>
      </c>
      <c r="B970" s="1">
        <v>45569</v>
      </c>
      <c r="C970" s="1">
        <v>45570</v>
      </c>
      <c r="D970" t="s">
        <v>13</v>
      </c>
      <c r="E970" t="s">
        <v>14</v>
      </c>
      <c r="F970" t="s">
        <v>15</v>
      </c>
      <c r="G970" t="s">
        <v>20</v>
      </c>
      <c r="H970" t="s">
        <v>34</v>
      </c>
      <c r="I970">
        <v>2</v>
      </c>
      <c r="J970">
        <v>0</v>
      </c>
      <c r="K970">
        <v>486.85</v>
      </c>
      <c r="L970">
        <v>9.1</v>
      </c>
      <c r="M970" t="s">
        <v>2460</v>
      </c>
      <c r="N970" t="s">
        <v>2458</v>
      </c>
      <c r="O970" t="s">
        <v>2461</v>
      </c>
      <c r="P970">
        <v>119.02</v>
      </c>
      <c r="Q970">
        <v>205.39</v>
      </c>
      <c r="R970">
        <v>238.04</v>
      </c>
      <c r="S970">
        <v>239.71000000000004</v>
      </c>
      <c r="T970">
        <v>0.49236931293006064</v>
      </c>
      <c r="U970" s="1">
        <v>45566</v>
      </c>
      <c r="V970" t="s">
        <v>2499</v>
      </c>
      <c r="W970">
        <v>2024</v>
      </c>
    </row>
    <row r="971" spans="1:23" x14ac:dyDescent="0.25">
      <c r="A971" t="s">
        <v>1018</v>
      </c>
      <c r="B971" s="1">
        <v>45652</v>
      </c>
      <c r="C971" s="1">
        <v>45656</v>
      </c>
      <c r="D971" t="s">
        <v>23</v>
      </c>
      <c r="E971" t="s">
        <v>43</v>
      </c>
      <c r="F971" t="s">
        <v>15</v>
      </c>
      <c r="G971" t="s">
        <v>16</v>
      </c>
      <c r="H971" t="s">
        <v>21</v>
      </c>
      <c r="I971">
        <v>4</v>
      </c>
      <c r="J971">
        <v>0</v>
      </c>
      <c r="K971">
        <v>639.38</v>
      </c>
      <c r="L971">
        <v>8.2200000000000006</v>
      </c>
      <c r="M971" t="s">
        <v>2462</v>
      </c>
      <c r="N971" t="s">
        <v>2458</v>
      </c>
      <c r="O971" t="s">
        <v>2463</v>
      </c>
      <c r="P971">
        <v>71.489999999999995</v>
      </c>
      <c r="Q971">
        <v>112.88</v>
      </c>
      <c r="R971">
        <v>285.95999999999998</v>
      </c>
      <c r="S971">
        <v>345.2</v>
      </c>
      <c r="T971">
        <v>0.53989802621289373</v>
      </c>
      <c r="U971" s="1">
        <v>45627</v>
      </c>
      <c r="V971" t="s">
        <v>2499</v>
      </c>
      <c r="W971">
        <v>2024</v>
      </c>
    </row>
    <row r="972" spans="1:23" x14ac:dyDescent="0.25">
      <c r="A972" t="s">
        <v>1019</v>
      </c>
      <c r="B972" s="1">
        <v>45459</v>
      </c>
      <c r="C972" s="1">
        <v>45461</v>
      </c>
      <c r="D972" t="s">
        <v>32</v>
      </c>
      <c r="E972" t="s">
        <v>33</v>
      </c>
      <c r="F972" t="s">
        <v>25</v>
      </c>
      <c r="G972" t="s">
        <v>16</v>
      </c>
      <c r="H972" t="s">
        <v>30</v>
      </c>
      <c r="I972">
        <v>8</v>
      </c>
      <c r="J972">
        <v>0</v>
      </c>
      <c r="K972">
        <v>50.07</v>
      </c>
      <c r="L972">
        <v>4.8600000000000003</v>
      </c>
      <c r="M972" t="s">
        <v>2473</v>
      </c>
      <c r="N972" t="s">
        <v>2474</v>
      </c>
      <c r="O972" t="s">
        <v>2463</v>
      </c>
      <c r="P972">
        <v>3.62</v>
      </c>
      <c r="Q972">
        <v>6.03</v>
      </c>
      <c r="R972">
        <v>28.96</v>
      </c>
      <c r="S972">
        <v>16.25</v>
      </c>
      <c r="T972">
        <v>0.32454563610944676</v>
      </c>
      <c r="U972" s="1">
        <v>45444</v>
      </c>
      <c r="V972" t="s">
        <v>2499</v>
      </c>
      <c r="W972">
        <v>2024</v>
      </c>
    </row>
    <row r="973" spans="1:23" x14ac:dyDescent="0.25">
      <c r="A973" t="s">
        <v>1020</v>
      </c>
      <c r="B973" s="1">
        <v>45675</v>
      </c>
      <c r="C973" s="1">
        <v>45678</v>
      </c>
      <c r="D973" t="s">
        <v>32</v>
      </c>
      <c r="E973" t="s">
        <v>45</v>
      </c>
      <c r="F973" t="s">
        <v>29</v>
      </c>
      <c r="G973" t="s">
        <v>16</v>
      </c>
      <c r="H973" t="s">
        <v>87</v>
      </c>
      <c r="I973">
        <v>9</v>
      </c>
      <c r="J973">
        <v>0</v>
      </c>
      <c r="K973">
        <v>68</v>
      </c>
      <c r="L973">
        <v>8.5500000000000007</v>
      </c>
      <c r="M973" t="s">
        <v>2476</v>
      </c>
      <c r="N973" t="s">
        <v>2474</v>
      </c>
      <c r="O973" t="s">
        <v>2459</v>
      </c>
      <c r="P973">
        <v>4.5</v>
      </c>
      <c r="Q973">
        <v>8.2899999999999991</v>
      </c>
      <c r="R973">
        <v>40.5</v>
      </c>
      <c r="S973">
        <v>18.95</v>
      </c>
      <c r="T973">
        <v>0.2786764705882353</v>
      </c>
      <c r="U973" s="1">
        <v>45658</v>
      </c>
      <c r="V973" t="s">
        <v>2499</v>
      </c>
      <c r="W973">
        <v>2025</v>
      </c>
    </row>
    <row r="974" spans="1:23" x14ac:dyDescent="0.25">
      <c r="A974" t="s">
        <v>1021</v>
      </c>
      <c r="B974" s="1">
        <v>45977</v>
      </c>
      <c r="C974" s="1">
        <v>45983</v>
      </c>
      <c r="D974" t="s">
        <v>13</v>
      </c>
      <c r="E974" t="s">
        <v>36</v>
      </c>
      <c r="F974" t="s">
        <v>15</v>
      </c>
      <c r="G974" t="s">
        <v>26</v>
      </c>
      <c r="H974" t="s">
        <v>39</v>
      </c>
      <c r="I974">
        <v>4</v>
      </c>
      <c r="J974">
        <v>0</v>
      </c>
      <c r="K974">
        <v>1038.8499999999999</v>
      </c>
      <c r="L974">
        <v>5.7</v>
      </c>
      <c r="M974" t="s">
        <v>2471</v>
      </c>
      <c r="N974" t="s">
        <v>2467</v>
      </c>
      <c r="O974" t="s">
        <v>2461</v>
      </c>
      <c r="P974">
        <v>112.09</v>
      </c>
      <c r="Q974">
        <v>192.47</v>
      </c>
      <c r="R974">
        <v>448.36</v>
      </c>
      <c r="S974">
        <v>584.78999999999985</v>
      </c>
      <c r="T974">
        <v>0.56292053713240597</v>
      </c>
      <c r="U974" s="1">
        <v>45962</v>
      </c>
      <c r="V974" t="s">
        <v>2499</v>
      </c>
      <c r="W974">
        <v>2025</v>
      </c>
    </row>
    <row r="975" spans="1:23" x14ac:dyDescent="0.25">
      <c r="A975" t="s">
        <v>1022</v>
      </c>
      <c r="B975" s="1">
        <v>45551</v>
      </c>
      <c r="C975" s="1">
        <v>45557</v>
      </c>
      <c r="D975" t="s">
        <v>32</v>
      </c>
      <c r="E975" t="s">
        <v>45</v>
      </c>
      <c r="F975" t="s">
        <v>25</v>
      </c>
      <c r="G975" t="s">
        <v>26</v>
      </c>
      <c r="H975" t="s">
        <v>53</v>
      </c>
      <c r="I975">
        <v>2</v>
      </c>
      <c r="J975">
        <v>0.2</v>
      </c>
      <c r="K975">
        <v>96.02</v>
      </c>
      <c r="L975">
        <v>4.2</v>
      </c>
      <c r="M975" t="s">
        <v>2470</v>
      </c>
      <c r="N975" t="s">
        <v>2467</v>
      </c>
      <c r="O975" t="s">
        <v>2459</v>
      </c>
      <c r="P975">
        <v>31.34</v>
      </c>
      <c r="Q975">
        <v>56.49</v>
      </c>
      <c r="R975">
        <v>62.68</v>
      </c>
      <c r="S975">
        <v>29.139999999999997</v>
      </c>
      <c r="T975">
        <v>0.30347844199125179</v>
      </c>
      <c r="U975" s="1">
        <v>45536</v>
      </c>
      <c r="V975" t="s">
        <v>2500</v>
      </c>
      <c r="W975">
        <v>2024</v>
      </c>
    </row>
    <row r="976" spans="1:23" x14ac:dyDescent="0.25">
      <c r="A976" t="s">
        <v>1023</v>
      </c>
      <c r="B976" s="1">
        <v>45871</v>
      </c>
      <c r="C976" s="1">
        <v>45875</v>
      </c>
      <c r="D976" t="s">
        <v>23</v>
      </c>
      <c r="E976" t="s">
        <v>43</v>
      </c>
      <c r="F976" t="s">
        <v>29</v>
      </c>
      <c r="G976" t="s">
        <v>26</v>
      </c>
      <c r="H976" t="s">
        <v>21</v>
      </c>
      <c r="I976">
        <v>4</v>
      </c>
      <c r="J976">
        <v>0.25</v>
      </c>
      <c r="K976">
        <v>330.53</v>
      </c>
      <c r="L976">
        <v>13.7</v>
      </c>
      <c r="M976" t="s">
        <v>2462</v>
      </c>
      <c r="N976" t="s">
        <v>2458</v>
      </c>
      <c r="O976" t="s">
        <v>2463</v>
      </c>
      <c r="P976">
        <v>71.489999999999995</v>
      </c>
      <c r="Q976">
        <v>112.88</v>
      </c>
      <c r="R976">
        <v>285.95999999999998</v>
      </c>
      <c r="S976">
        <v>30.869999999999994</v>
      </c>
      <c r="T976">
        <v>9.3395455783136169E-2</v>
      </c>
      <c r="U976" s="1">
        <v>45870</v>
      </c>
      <c r="V976" t="s">
        <v>2501</v>
      </c>
      <c r="W976">
        <v>2025</v>
      </c>
    </row>
    <row r="977" spans="1:23" x14ac:dyDescent="0.25">
      <c r="A977" t="s">
        <v>1024</v>
      </c>
      <c r="B977" s="1">
        <v>45717</v>
      </c>
      <c r="C977" s="1">
        <v>45721</v>
      </c>
      <c r="D977" t="s">
        <v>47</v>
      </c>
      <c r="E977" t="s">
        <v>50</v>
      </c>
      <c r="F977" t="s">
        <v>29</v>
      </c>
      <c r="G977" t="s">
        <v>16</v>
      </c>
      <c r="H977" t="s">
        <v>27</v>
      </c>
      <c r="I977">
        <v>10</v>
      </c>
      <c r="J977">
        <v>0</v>
      </c>
      <c r="K977">
        <v>249.91</v>
      </c>
      <c r="L977">
        <v>9</v>
      </c>
      <c r="M977" t="s">
        <v>2478</v>
      </c>
      <c r="N977" t="s">
        <v>2474</v>
      </c>
      <c r="O977" t="s">
        <v>2463</v>
      </c>
      <c r="P977">
        <v>16.760000000000002</v>
      </c>
      <c r="Q977">
        <v>27.71</v>
      </c>
      <c r="R977">
        <v>167.60000000000002</v>
      </c>
      <c r="S977">
        <v>73.309999999999974</v>
      </c>
      <c r="T977">
        <v>0.29334560441759022</v>
      </c>
      <c r="U977" s="1">
        <v>45717</v>
      </c>
      <c r="V977" t="s">
        <v>2499</v>
      </c>
      <c r="W977">
        <v>2025</v>
      </c>
    </row>
    <row r="978" spans="1:23" x14ac:dyDescent="0.25">
      <c r="A978" t="s">
        <v>1025</v>
      </c>
      <c r="B978" s="1">
        <v>45362</v>
      </c>
      <c r="C978" s="1">
        <v>45367</v>
      </c>
      <c r="D978" t="s">
        <v>47</v>
      </c>
      <c r="E978" t="s">
        <v>48</v>
      </c>
      <c r="F978" t="s">
        <v>15</v>
      </c>
      <c r="G978" t="s">
        <v>16</v>
      </c>
      <c r="H978" t="s">
        <v>60</v>
      </c>
      <c r="I978">
        <v>4</v>
      </c>
      <c r="J978">
        <v>0</v>
      </c>
      <c r="K978">
        <v>431.52</v>
      </c>
      <c r="L978">
        <v>9.5</v>
      </c>
      <c r="M978" t="s">
        <v>2469</v>
      </c>
      <c r="N978" t="s">
        <v>2467</v>
      </c>
      <c r="O978" t="s">
        <v>2468</v>
      </c>
      <c r="P978">
        <v>54.95</v>
      </c>
      <c r="Q978">
        <v>112.56</v>
      </c>
      <c r="R978">
        <v>219.8</v>
      </c>
      <c r="S978">
        <v>202.21999999999997</v>
      </c>
      <c r="T978">
        <v>0.46862254356692618</v>
      </c>
      <c r="U978" s="1">
        <v>45352</v>
      </c>
      <c r="V978" t="s">
        <v>2499</v>
      </c>
      <c r="W978">
        <v>2024</v>
      </c>
    </row>
    <row r="979" spans="1:23" x14ac:dyDescent="0.25">
      <c r="A979" t="s">
        <v>1026</v>
      </c>
      <c r="B979" s="1">
        <v>45400</v>
      </c>
      <c r="C979" s="1">
        <v>45403</v>
      </c>
      <c r="D979" t="s">
        <v>23</v>
      </c>
      <c r="E979" t="s">
        <v>43</v>
      </c>
      <c r="F979" t="s">
        <v>15</v>
      </c>
      <c r="G979" t="s">
        <v>16</v>
      </c>
      <c r="H979" t="s">
        <v>87</v>
      </c>
      <c r="I979">
        <v>5</v>
      </c>
      <c r="J979">
        <v>0</v>
      </c>
      <c r="K979">
        <v>41.51</v>
      </c>
      <c r="L979">
        <v>4.05</v>
      </c>
      <c r="M979" t="s">
        <v>2476</v>
      </c>
      <c r="N979" t="s">
        <v>2474</v>
      </c>
      <c r="O979" t="s">
        <v>2459</v>
      </c>
      <c r="P979">
        <v>4.5</v>
      </c>
      <c r="Q979">
        <v>8.2899999999999991</v>
      </c>
      <c r="R979">
        <v>22.5</v>
      </c>
      <c r="S979">
        <v>14.959999999999997</v>
      </c>
      <c r="T979">
        <v>0.36039508552156102</v>
      </c>
      <c r="U979" s="1">
        <v>45383</v>
      </c>
      <c r="V979" t="s">
        <v>2499</v>
      </c>
      <c r="W979">
        <v>2024</v>
      </c>
    </row>
    <row r="980" spans="1:23" x14ac:dyDescent="0.25">
      <c r="A980" t="s">
        <v>1027</v>
      </c>
      <c r="B980" s="1">
        <v>45777</v>
      </c>
      <c r="C980" s="1">
        <v>45781</v>
      </c>
      <c r="D980" t="s">
        <v>47</v>
      </c>
      <c r="E980" t="s">
        <v>50</v>
      </c>
      <c r="F980" t="s">
        <v>15</v>
      </c>
      <c r="G980" t="s">
        <v>16</v>
      </c>
      <c r="H980" t="s">
        <v>60</v>
      </c>
      <c r="I980">
        <v>3</v>
      </c>
      <c r="J980">
        <v>0.15</v>
      </c>
      <c r="K980">
        <v>293.45</v>
      </c>
      <c r="L980">
        <v>4.95</v>
      </c>
      <c r="M980" t="s">
        <v>2469</v>
      </c>
      <c r="N980" t="s">
        <v>2467</v>
      </c>
      <c r="O980" t="s">
        <v>2468</v>
      </c>
      <c r="P980">
        <v>54.95</v>
      </c>
      <c r="Q980">
        <v>112.56</v>
      </c>
      <c r="R980">
        <v>164.85000000000002</v>
      </c>
      <c r="S980">
        <v>123.64999999999996</v>
      </c>
      <c r="T980">
        <v>0.42136650195944786</v>
      </c>
      <c r="U980" s="1">
        <v>45748</v>
      </c>
      <c r="V980" t="s">
        <v>2500</v>
      </c>
      <c r="W980">
        <v>2025</v>
      </c>
    </row>
    <row r="981" spans="1:23" x14ac:dyDescent="0.25">
      <c r="A981" t="s">
        <v>1028</v>
      </c>
      <c r="B981" s="1">
        <v>45356</v>
      </c>
      <c r="C981" s="1">
        <v>45358</v>
      </c>
      <c r="D981" t="s">
        <v>47</v>
      </c>
      <c r="E981" t="s">
        <v>71</v>
      </c>
      <c r="F981" t="s">
        <v>25</v>
      </c>
      <c r="G981" t="s">
        <v>16</v>
      </c>
      <c r="H981" t="s">
        <v>65</v>
      </c>
      <c r="I981">
        <v>4</v>
      </c>
      <c r="J981">
        <v>0.05</v>
      </c>
      <c r="K981">
        <v>1054.1600000000001</v>
      </c>
      <c r="L981">
        <v>13.7</v>
      </c>
      <c r="M981" t="s">
        <v>2457</v>
      </c>
      <c r="N981" t="s">
        <v>2458</v>
      </c>
      <c r="O981" t="s">
        <v>2459</v>
      </c>
      <c r="P981">
        <v>173.56</v>
      </c>
      <c r="Q981">
        <v>286.14999999999998</v>
      </c>
      <c r="R981">
        <v>694.24</v>
      </c>
      <c r="S981">
        <v>346.22000000000008</v>
      </c>
      <c r="T981">
        <v>0.32843211656674515</v>
      </c>
      <c r="U981" s="1">
        <v>45352</v>
      </c>
      <c r="V981" t="s">
        <v>2498</v>
      </c>
      <c r="W981">
        <v>2024</v>
      </c>
    </row>
    <row r="982" spans="1:23" x14ac:dyDescent="0.25">
      <c r="A982" t="s">
        <v>1029</v>
      </c>
      <c r="B982" s="1">
        <v>45342</v>
      </c>
      <c r="C982" s="1">
        <v>45344</v>
      </c>
      <c r="D982" t="s">
        <v>47</v>
      </c>
      <c r="E982" t="s">
        <v>71</v>
      </c>
      <c r="F982" t="s">
        <v>25</v>
      </c>
      <c r="G982" t="s">
        <v>26</v>
      </c>
      <c r="H982" t="s">
        <v>30</v>
      </c>
      <c r="I982">
        <v>12</v>
      </c>
      <c r="J982">
        <v>0</v>
      </c>
      <c r="K982">
        <v>62.24</v>
      </c>
      <c r="L982">
        <v>5.94</v>
      </c>
      <c r="M982" t="s">
        <v>2473</v>
      </c>
      <c r="N982" t="s">
        <v>2474</v>
      </c>
      <c r="O982" t="s">
        <v>2463</v>
      </c>
      <c r="P982">
        <v>3.62</v>
      </c>
      <c r="Q982">
        <v>6.03</v>
      </c>
      <c r="R982">
        <v>43.44</v>
      </c>
      <c r="S982">
        <v>12.860000000000003</v>
      </c>
      <c r="T982">
        <v>0.2066195372750643</v>
      </c>
      <c r="U982" s="1">
        <v>45323</v>
      </c>
      <c r="V982" t="s">
        <v>2499</v>
      </c>
      <c r="W982">
        <v>2024</v>
      </c>
    </row>
    <row r="983" spans="1:23" x14ac:dyDescent="0.25">
      <c r="A983" t="s">
        <v>1030</v>
      </c>
      <c r="B983" s="1">
        <v>45415</v>
      </c>
      <c r="C983" s="1">
        <v>45419</v>
      </c>
      <c r="D983" t="s">
        <v>23</v>
      </c>
      <c r="E983" t="s">
        <v>24</v>
      </c>
      <c r="F983" t="s">
        <v>15</v>
      </c>
      <c r="G983" t="s">
        <v>26</v>
      </c>
      <c r="H983" t="s">
        <v>37</v>
      </c>
      <c r="I983">
        <v>1</v>
      </c>
      <c r="J983">
        <v>0.2</v>
      </c>
      <c r="K983">
        <v>87.27</v>
      </c>
      <c r="L983">
        <v>4.08</v>
      </c>
      <c r="M983" t="s">
        <v>2464</v>
      </c>
      <c r="N983" t="s">
        <v>2458</v>
      </c>
      <c r="O983" t="s">
        <v>2465</v>
      </c>
      <c r="P983">
        <v>63.6</v>
      </c>
      <c r="Q983">
        <v>107.94</v>
      </c>
      <c r="R983">
        <v>63.6</v>
      </c>
      <c r="S983">
        <v>19.589999999999996</v>
      </c>
      <c r="T983">
        <v>0.22447576486765208</v>
      </c>
      <c r="U983" s="1">
        <v>45413</v>
      </c>
      <c r="V983" t="s">
        <v>2500</v>
      </c>
      <c r="W983">
        <v>2024</v>
      </c>
    </row>
    <row r="984" spans="1:23" x14ac:dyDescent="0.25">
      <c r="A984" t="s">
        <v>1031</v>
      </c>
      <c r="B984" s="1">
        <v>45883</v>
      </c>
      <c r="C984" s="1">
        <v>45885</v>
      </c>
      <c r="D984" t="s">
        <v>32</v>
      </c>
      <c r="E984" t="s">
        <v>62</v>
      </c>
      <c r="F984" t="s">
        <v>25</v>
      </c>
      <c r="G984" t="s">
        <v>20</v>
      </c>
      <c r="H984" t="s">
        <v>39</v>
      </c>
      <c r="I984">
        <v>1</v>
      </c>
      <c r="J984">
        <v>0.1</v>
      </c>
      <c r="K984">
        <v>155.52000000000001</v>
      </c>
      <c r="L984">
        <v>3.45</v>
      </c>
      <c r="M984" t="s">
        <v>2471</v>
      </c>
      <c r="N984" t="s">
        <v>2467</v>
      </c>
      <c r="O984" t="s">
        <v>2461</v>
      </c>
      <c r="P984">
        <v>112.09</v>
      </c>
      <c r="Q984">
        <v>192.47</v>
      </c>
      <c r="R984">
        <v>112.09</v>
      </c>
      <c r="S984">
        <v>39.980000000000004</v>
      </c>
      <c r="T984">
        <v>0.2570730452674897</v>
      </c>
      <c r="U984" s="1">
        <v>45870</v>
      </c>
      <c r="V984" t="s">
        <v>2498</v>
      </c>
      <c r="W984">
        <v>2025</v>
      </c>
    </row>
    <row r="985" spans="1:23" x14ac:dyDescent="0.25">
      <c r="A985" t="s">
        <v>1032</v>
      </c>
      <c r="B985" s="1">
        <v>45954</v>
      </c>
      <c r="C985" s="1">
        <v>45956</v>
      </c>
      <c r="D985" t="s">
        <v>23</v>
      </c>
      <c r="E985" t="s">
        <v>59</v>
      </c>
      <c r="F985" t="s">
        <v>29</v>
      </c>
      <c r="G985" t="s">
        <v>20</v>
      </c>
      <c r="H985" t="s">
        <v>51</v>
      </c>
      <c r="I985">
        <v>14</v>
      </c>
      <c r="J985">
        <v>0.15</v>
      </c>
      <c r="K985">
        <v>214.76</v>
      </c>
      <c r="L985">
        <v>6.48</v>
      </c>
      <c r="M985" t="s">
        <v>2475</v>
      </c>
      <c r="N985" t="s">
        <v>2474</v>
      </c>
      <c r="O985" t="s">
        <v>2463</v>
      </c>
      <c r="P985">
        <v>7.93</v>
      </c>
      <c r="Q985">
        <v>14.78</v>
      </c>
      <c r="R985">
        <v>111.02</v>
      </c>
      <c r="S985">
        <v>97.259999999999991</v>
      </c>
      <c r="T985">
        <v>0.4528776308437325</v>
      </c>
      <c r="U985" s="1">
        <v>45931</v>
      </c>
      <c r="V985" t="s">
        <v>2500</v>
      </c>
      <c r="W985">
        <v>2025</v>
      </c>
    </row>
    <row r="986" spans="1:23" x14ac:dyDescent="0.25">
      <c r="A986" t="s">
        <v>1033</v>
      </c>
      <c r="B986" s="1">
        <v>45752</v>
      </c>
      <c r="C986" s="1">
        <v>45753</v>
      </c>
      <c r="D986" t="s">
        <v>32</v>
      </c>
      <c r="E986" t="s">
        <v>45</v>
      </c>
      <c r="F986" t="s">
        <v>29</v>
      </c>
      <c r="G986" t="s">
        <v>16</v>
      </c>
      <c r="H986" t="s">
        <v>65</v>
      </c>
      <c r="I986">
        <v>5</v>
      </c>
      <c r="J986">
        <v>0</v>
      </c>
      <c r="K986">
        <v>1473.1</v>
      </c>
      <c r="L986">
        <v>16</v>
      </c>
      <c r="M986" t="s">
        <v>2457</v>
      </c>
      <c r="N986" t="s">
        <v>2458</v>
      </c>
      <c r="O986" t="s">
        <v>2459</v>
      </c>
      <c r="P986">
        <v>173.56</v>
      </c>
      <c r="Q986">
        <v>286.14999999999998</v>
      </c>
      <c r="R986">
        <v>867.8</v>
      </c>
      <c r="S986">
        <v>589.29999999999995</v>
      </c>
      <c r="T986">
        <v>0.40004073043242144</v>
      </c>
      <c r="U986" s="1">
        <v>45748</v>
      </c>
      <c r="V986" t="s">
        <v>2499</v>
      </c>
      <c r="W986">
        <v>2025</v>
      </c>
    </row>
    <row r="987" spans="1:23" x14ac:dyDescent="0.25">
      <c r="A987" t="s">
        <v>1034</v>
      </c>
      <c r="B987" s="1">
        <v>45311</v>
      </c>
      <c r="C987" s="1">
        <v>45313</v>
      </c>
      <c r="D987" t="s">
        <v>47</v>
      </c>
      <c r="E987" t="s">
        <v>50</v>
      </c>
      <c r="F987" t="s">
        <v>15</v>
      </c>
      <c r="G987" t="s">
        <v>16</v>
      </c>
      <c r="H987" t="s">
        <v>39</v>
      </c>
      <c r="I987">
        <v>2</v>
      </c>
      <c r="J987">
        <v>0</v>
      </c>
      <c r="K987">
        <v>339.89</v>
      </c>
      <c r="L987">
        <v>7</v>
      </c>
      <c r="M987" t="s">
        <v>2471</v>
      </c>
      <c r="N987" t="s">
        <v>2467</v>
      </c>
      <c r="O987" t="s">
        <v>2461</v>
      </c>
      <c r="P987">
        <v>112.09</v>
      </c>
      <c r="Q987">
        <v>192.47</v>
      </c>
      <c r="R987">
        <v>224.18</v>
      </c>
      <c r="S987">
        <v>108.70999999999998</v>
      </c>
      <c r="T987">
        <v>0.31983877136720701</v>
      </c>
      <c r="U987" s="1">
        <v>45292</v>
      </c>
      <c r="V987" t="s">
        <v>2499</v>
      </c>
      <c r="W987">
        <v>2024</v>
      </c>
    </row>
    <row r="988" spans="1:23" x14ac:dyDescent="0.25">
      <c r="A988" t="s">
        <v>1035</v>
      </c>
      <c r="B988" s="1">
        <v>45565</v>
      </c>
      <c r="C988" s="1">
        <v>45569</v>
      </c>
      <c r="D988" t="s">
        <v>23</v>
      </c>
      <c r="E988" t="s">
        <v>43</v>
      </c>
      <c r="F988" t="s">
        <v>15</v>
      </c>
      <c r="G988" t="s">
        <v>20</v>
      </c>
      <c r="H988" t="s">
        <v>51</v>
      </c>
      <c r="I988">
        <v>22</v>
      </c>
      <c r="J988">
        <v>0.2</v>
      </c>
      <c r="K988">
        <v>282.86</v>
      </c>
      <c r="L988">
        <v>8.64</v>
      </c>
      <c r="M988" t="s">
        <v>2475</v>
      </c>
      <c r="N988" t="s">
        <v>2474</v>
      </c>
      <c r="O988" t="s">
        <v>2463</v>
      </c>
      <c r="P988">
        <v>7.93</v>
      </c>
      <c r="Q988">
        <v>14.78</v>
      </c>
      <c r="R988">
        <v>174.45999999999998</v>
      </c>
      <c r="S988">
        <v>99.760000000000034</v>
      </c>
      <c r="T988">
        <v>0.35268330622923011</v>
      </c>
      <c r="U988" s="1">
        <v>45536</v>
      </c>
      <c r="V988" t="s">
        <v>2500</v>
      </c>
      <c r="W988">
        <v>2024</v>
      </c>
    </row>
    <row r="989" spans="1:23" x14ac:dyDescent="0.25">
      <c r="A989" t="s">
        <v>1036</v>
      </c>
      <c r="B989" s="1">
        <v>45435</v>
      </c>
      <c r="C989" s="1">
        <v>45437</v>
      </c>
      <c r="D989" t="s">
        <v>23</v>
      </c>
      <c r="E989" t="s">
        <v>24</v>
      </c>
      <c r="F989" t="s">
        <v>29</v>
      </c>
      <c r="G989" t="s">
        <v>20</v>
      </c>
      <c r="H989" t="s">
        <v>30</v>
      </c>
      <c r="I989">
        <v>5</v>
      </c>
      <c r="J989">
        <v>0</v>
      </c>
      <c r="K989">
        <v>28.96</v>
      </c>
      <c r="L989">
        <v>4.05</v>
      </c>
      <c r="M989" t="s">
        <v>2473</v>
      </c>
      <c r="N989" t="s">
        <v>2474</v>
      </c>
      <c r="O989" t="s">
        <v>2463</v>
      </c>
      <c r="P989">
        <v>3.62</v>
      </c>
      <c r="Q989">
        <v>6.03</v>
      </c>
      <c r="R989">
        <v>18.100000000000001</v>
      </c>
      <c r="S989">
        <v>6.81</v>
      </c>
      <c r="T989">
        <v>0.23515193370165743</v>
      </c>
      <c r="U989" s="1">
        <v>45413</v>
      </c>
      <c r="V989" t="s">
        <v>2499</v>
      </c>
      <c r="W989">
        <v>2024</v>
      </c>
    </row>
    <row r="990" spans="1:23" x14ac:dyDescent="0.25">
      <c r="A990" t="s">
        <v>1037</v>
      </c>
      <c r="B990" s="1">
        <v>45506</v>
      </c>
      <c r="C990" s="1">
        <v>45510</v>
      </c>
      <c r="D990" t="s">
        <v>32</v>
      </c>
      <c r="E990" t="s">
        <v>45</v>
      </c>
      <c r="F990" t="s">
        <v>15</v>
      </c>
      <c r="G990" t="s">
        <v>16</v>
      </c>
      <c r="H990" t="s">
        <v>87</v>
      </c>
      <c r="I990">
        <v>12</v>
      </c>
      <c r="J990">
        <v>0</v>
      </c>
      <c r="K990">
        <v>95.02</v>
      </c>
      <c r="L990">
        <v>5.94</v>
      </c>
      <c r="M990" t="s">
        <v>2476</v>
      </c>
      <c r="N990" t="s">
        <v>2474</v>
      </c>
      <c r="O990" t="s">
        <v>2459</v>
      </c>
      <c r="P990">
        <v>4.5</v>
      </c>
      <c r="Q990">
        <v>8.2899999999999991</v>
      </c>
      <c r="R990">
        <v>54</v>
      </c>
      <c r="S990">
        <v>35.08</v>
      </c>
      <c r="T990">
        <v>0.36918543464533782</v>
      </c>
      <c r="U990" s="1">
        <v>45505</v>
      </c>
      <c r="V990" t="s">
        <v>2499</v>
      </c>
      <c r="W990">
        <v>2024</v>
      </c>
    </row>
    <row r="991" spans="1:23" x14ac:dyDescent="0.25">
      <c r="A991" t="s">
        <v>1038</v>
      </c>
      <c r="B991" s="1">
        <v>45966</v>
      </c>
      <c r="C991" s="1">
        <v>45970</v>
      </c>
      <c r="D991" t="s">
        <v>13</v>
      </c>
      <c r="E991" t="s">
        <v>36</v>
      </c>
      <c r="F991" t="s">
        <v>29</v>
      </c>
      <c r="G991" t="s">
        <v>16</v>
      </c>
      <c r="H991" t="s">
        <v>60</v>
      </c>
      <c r="I991">
        <v>1</v>
      </c>
      <c r="J991">
        <v>0.1</v>
      </c>
      <c r="K991">
        <v>142.58000000000001</v>
      </c>
      <c r="L991">
        <v>5.75</v>
      </c>
      <c r="M991" t="s">
        <v>2469</v>
      </c>
      <c r="N991" t="s">
        <v>2467</v>
      </c>
      <c r="O991" t="s">
        <v>2468</v>
      </c>
      <c r="P991">
        <v>54.95</v>
      </c>
      <c r="Q991">
        <v>112.56</v>
      </c>
      <c r="R991">
        <v>54.95</v>
      </c>
      <c r="S991">
        <v>81.88000000000001</v>
      </c>
      <c r="T991">
        <v>0.57427409173797173</v>
      </c>
      <c r="U991" s="1">
        <v>45962</v>
      </c>
      <c r="V991" t="s">
        <v>2498</v>
      </c>
      <c r="W991">
        <v>2025</v>
      </c>
    </row>
    <row r="992" spans="1:23" x14ac:dyDescent="0.25">
      <c r="A992" t="s">
        <v>1039</v>
      </c>
      <c r="B992" s="1">
        <v>45682</v>
      </c>
      <c r="C992" s="1">
        <v>45684</v>
      </c>
      <c r="D992" t="s">
        <v>32</v>
      </c>
      <c r="E992" t="s">
        <v>45</v>
      </c>
      <c r="F992" t="s">
        <v>25</v>
      </c>
      <c r="G992" t="s">
        <v>16</v>
      </c>
      <c r="H992" t="s">
        <v>87</v>
      </c>
      <c r="I992">
        <v>3</v>
      </c>
      <c r="J992">
        <v>0.2</v>
      </c>
      <c r="K992">
        <v>17.62</v>
      </c>
      <c r="L992">
        <v>5.85</v>
      </c>
      <c r="M992" t="s">
        <v>2476</v>
      </c>
      <c r="N992" t="s">
        <v>2474</v>
      </c>
      <c r="O992" t="s">
        <v>2459</v>
      </c>
      <c r="P992">
        <v>4.5</v>
      </c>
      <c r="Q992">
        <v>8.2899999999999991</v>
      </c>
      <c r="R992">
        <v>13.5</v>
      </c>
      <c r="S992">
        <v>-1.7299999999999986</v>
      </c>
      <c r="T992">
        <v>-9.8183881952326815E-2</v>
      </c>
      <c r="U992" s="1">
        <v>45658</v>
      </c>
      <c r="V992" t="s">
        <v>2500</v>
      </c>
      <c r="W992">
        <v>2025</v>
      </c>
    </row>
    <row r="993" spans="1:23" x14ac:dyDescent="0.25">
      <c r="A993" t="s">
        <v>1040</v>
      </c>
      <c r="B993" s="1">
        <v>45352</v>
      </c>
      <c r="C993" s="1">
        <v>45357</v>
      </c>
      <c r="D993" t="s">
        <v>32</v>
      </c>
      <c r="E993" t="s">
        <v>45</v>
      </c>
      <c r="F993" t="s">
        <v>15</v>
      </c>
      <c r="G993" t="s">
        <v>26</v>
      </c>
      <c r="H993" t="s">
        <v>68</v>
      </c>
      <c r="I993">
        <v>2</v>
      </c>
      <c r="J993">
        <v>0</v>
      </c>
      <c r="K993">
        <v>98.89</v>
      </c>
      <c r="L993">
        <v>4.2</v>
      </c>
      <c r="M993" t="s">
        <v>2466</v>
      </c>
      <c r="N993" t="s">
        <v>2467</v>
      </c>
      <c r="O993" t="s">
        <v>2468</v>
      </c>
      <c r="P993">
        <v>25.33</v>
      </c>
      <c r="Q993">
        <v>51.56</v>
      </c>
      <c r="R993">
        <v>50.66</v>
      </c>
      <c r="S993">
        <v>44.03</v>
      </c>
      <c r="T993">
        <v>0.44524218829001921</v>
      </c>
      <c r="U993" s="1">
        <v>45352</v>
      </c>
      <c r="V993" t="s">
        <v>2499</v>
      </c>
      <c r="W993">
        <v>2024</v>
      </c>
    </row>
    <row r="994" spans="1:23" x14ac:dyDescent="0.25">
      <c r="A994" t="s">
        <v>1041</v>
      </c>
      <c r="B994" s="1">
        <v>45987</v>
      </c>
      <c r="C994" s="1">
        <v>45992</v>
      </c>
      <c r="D994" t="s">
        <v>23</v>
      </c>
      <c r="E994" t="s">
        <v>24</v>
      </c>
      <c r="F994" t="s">
        <v>29</v>
      </c>
      <c r="G994" t="s">
        <v>26</v>
      </c>
      <c r="H994" t="s">
        <v>34</v>
      </c>
      <c r="I994">
        <v>3</v>
      </c>
      <c r="J994">
        <v>0.15</v>
      </c>
      <c r="K994">
        <v>714.68</v>
      </c>
      <c r="L994">
        <v>11.4</v>
      </c>
      <c r="M994" t="s">
        <v>2460</v>
      </c>
      <c r="N994" t="s">
        <v>2458</v>
      </c>
      <c r="O994" t="s">
        <v>2461</v>
      </c>
      <c r="P994">
        <v>119.02</v>
      </c>
      <c r="Q994">
        <v>205.39</v>
      </c>
      <c r="R994">
        <v>357.06</v>
      </c>
      <c r="S994">
        <v>346.21999999999997</v>
      </c>
      <c r="T994">
        <v>0.48444058879498514</v>
      </c>
      <c r="U994" s="1">
        <v>45962</v>
      </c>
      <c r="V994" t="s">
        <v>2500</v>
      </c>
      <c r="W994">
        <v>2025</v>
      </c>
    </row>
    <row r="995" spans="1:23" x14ac:dyDescent="0.25">
      <c r="A995" t="s">
        <v>1042</v>
      </c>
      <c r="B995" s="1">
        <v>45711</v>
      </c>
      <c r="C995" s="1">
        <v>45713</v>
      </c>
      <c r="D995" t="s">
        <v>32</v>
      </c>
      <c r="E995" t="s">
        <v>62</v>
      </c>
      <c r="F995" t="s">
        <v>29</v>
      </c>
      <c r="G995" t="s">
        <v>20</v>
      </c>
      <c r="H995" t="s">
        <v>17</v>
      </c>
      <c r="I995">
        <v>2</v>
      </c>
      <c r="J995">
        <v>0</v>
      </c>
      <c r="K995">
        <v>214.86</v>
      </c>
      <c r="L995">
        <v>4.2</v>
      </c>
      <c r="M995" t="s">
        <v>2472</v>
      </c>
      <c r="N995" t="s">
        <v>2467</v>
      </c>
      <c r="O995" t="s">
        <v>2468</v>
      </c>
      <c r="P995">
        <v>63.69</v>
      </c>
      <c r="Q995">
        <v>125.5</v>
      </c>
      <c r="R995">
        <v>127.38</v>
      </c>
      <c r="S995">
        <v>83.280000000000015</v>
      </c>
      <c r="T995">
        <v>0.38760122870706509</v>
      </c>
      <c r="U995" s="1">
        <v>45689</v>
      </c>
      <c r="V995" t="s">
        <v>2499</v>
      </c>
      <c r="W995">
        <v>2025</v>
      </c>
    </row>
    <row r="996" spans="1:23" x14ac:dyDescent="0.25">
      <c r="A996" t="s">
        <v>1043</v>
      </c>
      <c r="B996" s="1">
        <v>45917</v>
      </c>
      <c r="C996" s="1">
        <v>45920</v>
      </c>
      <c r="D996" t="s">
        <v>47</v>
      </c>
      <c r="E996" t="s">
        <v>71</v>
      </c>
      <c r="F996" t="s">
        <v>15</v>
      </c>
      <c r="G996" t="s">
        <v>20</v>
      </c>
      <c r="H996" t="s">
        <v>87</v>
      </c>
      <c r="I996">
        <v>6</v>
      </c>
      <c r="J996">
        <v>0.1</v>
      </c>
      <c r="K996">
        <v>48.49</v>
      </c>
      <c r="L996">
        <v>4.32</v>
      </c>
      <c r="M996" t="s">
        <v>2476</v>
      </c>
      <c r="N996" t="s">
        <v>2474</v>
      </c>
      <c r="O996" t="s">
        <v>2459</v>
      </c>
      <c r="P996">
        <v>4.5</v>
      </c>
      <c r="Q996">
        <v>8.2899999999999991</v>
      </c>
      <c r="R996">
        <v>27</v>
      </c>
      <c r="S996">
        <v>17.170000000000002</v>
      </c>
      <c r="T996">
        <v>0.35409362755207263</v>
      </c>
      <c r="U996" s="1">
        <v>45901</v>
      </c>
      <c r="V996" t="s">
        <v>2498</v>
      </c>
      <c r="W996">
        <v>2025</v>
      </c>
    </row>
    <row r="997" spans="1:23" x14ac:dyDescent="0.25">
      <c r="A997" t="s">
        <v>1044</v>
      </c>
      <c r="B997" s="1">
        <v>45816</v>
      </c>
      <c r="C997" s="1">
        <v>45822</v>
      </c>
      <c r="D997" t="s">
        <v>32</v>
      </c>
      <c r="E997" t="s">
        <v>62</v>
      </c>
      <c r="F997" t="s">
        <v>29</v>
      </c>
      <c r="G997" t="s">
        <v>26</v>
      </c>
      <c r="H997" t="s">
        <v>87</v>
      </c>
      <c r="I997">
        <v>12</v>
      </c>
      <c r="J997">
        <v>0.15</v>
      </c>
      <c r="K997">
        <v>87.83</v>
      </c>
      <c r="L997">
        <v>5.94</v>
      </c>
      <c r="M997" t="s">
        <v>2476</v>
      </c>
      <c r="N997" t="s">
        <v>2474</v>
      </c>
      <c r="O997" t="s">
        <v>2459</v>
      </c>
      <c r="P997">
        <v>4.5</v>
      </c>
      <c r="Q997">
        <v>8.2899999999999991</v>
      </c>
      <c r="R997">
        <v>54</v>
      </c>
      <c r="S997">
        <v>27.889999999999997</v>
      </c>
      <c r="T997">
        <v>0.31754525788454968</v>
      </c>
      <c r="U997" s="1">
        <v>45809</v>
      </c>
      <c r="V997" t="s">
        <v>2500</v>
      </c>
      <c r="W997">
        <v>2025</v>
      </c>
    </row>
    <row r="998" spans="1:23" x14ac:dyDescent="0.25">
      <c r="A998" t="s">
        <v>1045</v>
      </c>
      <c r="B998" s="1">
        <v>45389</v>
      </c>
      <c r="C998" s="1">
        <v>45391</v>
      </c>
      <c r="D998" t="s">
        <v>32</v>
      </c>
      <c r="E998" t="s">
        <v>45</v>
      </c>
      <c r="F998" t="s">
        <v>29</v>
      </c>
      <c r="G998" t="s">
        <v>26</v>
      </c>
      <c r="H998" t="s">
        <v>21</v>
      </c>
      <c r="I998">
        <v>2</v>
      </c>
      <c r="J998">
        <v>0.15</v>
      </c>
      <c r="K998">
        <v>192.07</v>
      </c>
      <c r="L998">
        <v>5.46</v>
      </c>
      <c r="M998" t="s">
        <v>2462</v>
      </c>
      <c r="N998" t="s">
        <v>2458</v>
      </c>
      <c r="O998" t="s">
        <v>2463</v>
      </c>
      <c r="P998">
        <v>71.489999999999995</v>
      </c>
      <c r="Q998">
        <v>112.88</v>
      </c>
      <c r="R998">
        <v>142.97999999999999</v>
      </c>
      <c r="S998">
        <v>43.63</v>
      </c>
      <c r="T998">
        <v>0.22715676576248245</v>
      </c>
      <c r="U998" s="1">
        <v>45383</v>
      </c>
      <c r="V998" t="s">
        <v>2500</v>
      </c>
      <c r="W998">
        <v>2024</v>
      </c>
    </row>
    <row r="999" spans="1:23" x14ac:dyDescent="0.25">
      <c r="A999" t="s">
        <v>1046</v>
      </c>
      <c r="B999" s="1">
        <v>45847</v>
      </c>
      <c r="C999" s="1">
        <v>45850</v>
      </c>
      <c r="D999" t="s">
        <v>47</v>
      </c>
      <c r="E999" t="s">
        <v>71</v>
      </c>
      <c r="F999" t="s">
        <v>25</v>
      </c>
      <c r="G999" t="s">
        <v>26</v>
      </c>
      <c r="H999" t="s">
        <v>63</v>
      </c>
      <c r="I999">
        <v>8</v>
      </c>
      <c r="J999">
        <v>0</v>
      </c>
      <c r="K999">
        <v>90.58</v>
      </c>
      <c r="L999">
        <v>4.8600000000000003</v>
      </c>
      <c r="M999" t="s">
        <v>2477</v>
      </c>
      <c r="N999" t="s">
        <v>2474</v>
      </c>
      <c r="O999" t="s">
        <v>2468</v>
      </c>
      <c r="P999">
        <v>6.33</v>
      </c>
      <c r="Q999">
        <v>12.16</v>
      </c>
      <c r="R999">
        <v>50.64</v>
      </c>
      <c r="S999">
        <v>35.08</v>
      </c>
      <c r="T999">
        <v>0.38728196069772575</v>
      </c>
      <c r="U999" s="1">
        <v>45839</v>
      </c>
      <c r="V999" t="s">
        <v>2499</v>
      </c>
      <c r="W999">
        <v>2025</v>
      </c>
    </row>
    <row r="1000" spans="1:23" x14ac:dyDescent="0.25">
      <c r="A1000" t="s">
        <v>1047</v>
      </c>
      <c r="B1000" s="1">
        <v>45487</v>
      </c>
      <c r="C1000" s="1">
        <v>45491</v>
      </c>
      <c r="D1000" t="s">
        <v>23</v>
      </c>
      <c r="E1000" t="s">
        <v>43</v>
      </c>
      <c r="F1000" t="s">
        <v>25</v>
      </c>
      <c r="G1000" t="s">
        <v>20</v>
      </c>
      <c r="H1000" t="s">
        <v>65</v>
      </c>
      <c r="I1000">
        <v>1</v>
      </c>
      <c r="J1000">
        <v>0</v>
      </c>
      <c r="K1000">
        <v>261.88</v>
      </c>
      <c r="L1000">
        <v>6.8</v>
      </c>
      <c r="M1000" t="s">
        <v>2457</v>
      </c>
      <c r="N1000" t="s">
        <v>2458</v>
      </c>
      <c r="O1000" t="s">
        <v>2459</v>
      </c>
      <c r="P1000">
        <v>173.56</v>
      </c>
      <c r="Q1000">
        <v>286.14999999999998</v>
      </c>
      <c r="R1000">
        <v>173.56</v>
      </c>
      <c r="S1000">
        <v>81.52</v>
      </c>
      <c r="T1000">
        <v>0.31128761264701388</v>
      </c>
      <c r="U1000" s="1">
        <v>45474</v>
      </c>
      <c r="V1000" t="s">
        <v>2499</v>
      </c>
      <c r="W1000">
        <v>2024</v>
      </c>
    </row>
    <row r="1001" spans="1:23" x14ac:dyDescent="0.25">
      <c r="A1001" t="s">
        <v>1048</v>
      </c>
      <c r="B1001" s="1">
        <v>45358</v>
      </c>
      <c r="C1001" s="1">
        <v>45362</v>
      </c>
      <c r="D1001" t="s">
        <v>13</v>
      </c>
      <c r="E1001" t="s">
        <v>14</v>
      </c>
      <c r="F1001" t="s">
        <v>25</v>
      </c>
      <c r="G1001" t="s">
        <v>26</v>
      </c>
      <c r="H1001" t="s">
        <v>68</v>
      </c>
      <c r="I1001">
        <v>4</v>
      </c>
      <c r="J1001">
        <v>0.05</v>
      </c>
      <c r="K1001">
        <v>188.14</v>
      </c>
      <c r="L1001">
        <v>5.7</v>
      </c>
      <c r="M1001" t="s">
        <v>2466</v>
      </c>
      <c r="N1001" t="s">
        <v>2467</v>
      </c>
      <c r="O1001" t="s">
        <v>2468</v>
      </c>
      <c r="P1001">
        <v>25.33</v>
      </c>
      <c r="Q1001">
        <v>51.56</v>
      </c>
      <c r="R1001">
        <v>101.32</v>
      </c>
      <c r="S1001">
        <v>81.11999999999999</v>
      </c>
      <c r="T1001">
        <v>0.43116827894121396</v>
      </c>
      <c r="U1001" s="1">
        <v>45352</v>
      </c>
      <c r="V1001" t="s">
        <v>2498</v>
      </c>
      <c r="W1001">
        <v>2024</v>
      </c>
    </row>
    <row r="1002" spans="1:23" x14ac:dyDescent="0.25">
      <c r="A1002" t="s">
        <v>1049</v>
      </c>
      <c r="B1002" s="1">
        <v>45926</v>
      </c>
      <c r="C1002" s="1">
        <v>45928</v>
      </c>
      <c r="D1002" t="s">
        <v>13</v>
      </c>
      <c r="E1002" t="s">
        <v>36</v>
      </c>
      <c r="F1002" t="s">
        <v>25</v>
      </c>
      <c r="G1002" t="s">
        <v>20</v>
      </c>
      <c r="H1002" t="s">
        <v>34</v>
      </c>
      <c r="I1002">
        <v>1</v>
      </c>
      <c r="J1002">
        <v>0.1</v>
      </c>
      <c r="K1002">
        <v>193.97</v>
      </c>
      <c r="L1002">
        <v>6.8</v>
      </c>
      <c r="M1002" t="s">
        <v>2460</v>
      </c>
      <c r="N1002" t="s">
        <v>2458</v>
      </c>
      <c r="O1002" t="s">
        <v>2461</v>
      </c>
      <c r="P1002">
        <v>119.02</v>
      </c>
      <c r="Q1002">
        <v>205.39</v>
      </c>
      <c r="R1002">
        <v>119.02</v>
      </c>
      <c r="S1002">
        <v>68.150000000000006</v>
      </c>
      <c r="T1002">
        <v>0.35134299118420376</v>
      </c>
      <c r="U1002" s="1">
        <v>45901</v>
      </c>
      <c r="V1002" t="s">
        <v>2498</v>
      </c>
      <c r="W1002">
        <v>2025</v>
      </c>
    </row>
    <row r="1003" spans="1:23" x14ac:dyDescent="0.25">
      <c r="A1003" t="s">
        <v>1050</v>
      </c>
      <c r="B1003" s="1">
        <v>45677</v>
      </c>
      <c r="C1003" s="1">
        <v>45683</v>
      </c>
      <c r="D1003" t="s">
        <v>23</v>
      </c>
      <c r="E1003" t="s">
        <v>43</v>
      </c>
      <c r="F1003" t="s">
        <v>25</v>
      </c>
      <c r="G1003" t="s">
        <v>26</v>
      </c>
      <c r="H1003" t="s">
        <v>60</v>
      </c>
      <c r="I1003">
        <v>1</v>
      </c>
      <c r="J1003">
        <v>0</v>
      </c>
      <c r="K1003">
        <v>102.95</v>
      </c>
      <c r="L1003">
        <v>5.75</v>
      </c>
      <c r="M1003" t="s">
        <v>2469</v>
      </c>
      <c r="N1003" t="s">
        <v>2467</v>
      </c>
      <c r="O1003" t="s">
        <v>2468</v>
      </c>
      <c r="P1003">
        <v>54.95</v>
      </c>
      <c r="Q1003">
        <v>112.56</v>
      </c>
      <c r="R1003">
        <v>54.95</v>
      </c>
      <c r="S1003">
        <v>42.25</v>
      </c>
      <c r="T1003">
        <v>0.41039339485186982</v>
      </c>
      <c r="U1003" s="1">
        <v>45658</v>
      </c>
      <c r="V1003" t="s">
        <v>2499</v>
      </c>
      <c r="W1003">
        <v>2025</v>
      </c>
    </row>
    <row r="1004" spans="1:23" x14ac:dyDescent="0.25">
      <c r="A1004" t="s">
        <v>1051</v>
      </c>
      <c r="B1004" s="1">
        <v>45995</v>
      </c>
      <c r="C1004" s="1">
        <v>45996</v>
      </c>
      <c r="D1004" t="s">
        <v>32</v>
      </c>
      <c r="E1004" t="s">
        <v>45</v>
      </c>
      <c r="F1004" t="s">
        <v>29</v>
      </c>
      <c r="G1004" t="s">
        <v>20</v>
      </c>
      <c r="H1004" t="s">
        <v>53</v>
      </c>
      <c r="I1004">
        <v>1</v>
      </c>
      <c r="J1004">
        <v>0</v>
      </c>
      <c r="K1004">
        <v>80.83</v>
      </c>
      <c r="L1004">
        <v>3.45</v>
      </c>
      <c r="M1004" t="s">
        <v>2470</v>
      </c>
      <c r="N1004" t="s">
        <v>2467</v>
      </c>
      <c r="O1004" t="s">
        <v>2459</v>
      </c>
      <c r="P1004">
        <v>31.34</v>
      </c>
      <c r="Q1004">
        <v>56.49</v>
      </c>
      <c r="R1004">
        <v>31.34</v>
      </c>
      <c r="S1004">
        <v>46.039999999999992</v>
      </c>
      <c r="T1004">
        <v>0.56959049857726085</v>
      </c>
      <c r="U1004" s="1">
        <v>45992</v>
      </c>
      <c r="V1004" t="s">
        <v>2499</v>
      </c>
      <c r="W1004">
        <v>2025</v>
      </c>
    </row>
    <row r="1005" spans="1:23" x14ac:dyDescent="0.25">
      <c r="A1005" t="s">
        <v>1052</v>
      </c>
      <c r="B1005" s="1">
        <v>45584</v>
      </c>
      <c r="C1005" s="1">
        <v>45589</v>
      </c>
      <c r="D1005" t="s">
        <v>23</v>
      </c>
      <c r="E1005" t="s">
        <v>24</v>
      </c>
      <c r="F1005" t="s">
        <v>25</v>
      </c>
      <c r="G1005" t="s">
        <v>20</v>
      </c>
      <c r="H1005" t="s">
        <v>51</v>
      </c>
      <c r="I1005">
        <v>3</v>
      </c>
      <c r="J1005">
        <v>0</v>
      </c>
      <c r="K1005">
        <v>54.11</v>
      </c>
      <c r="L1005">
        <v>5.85</v>
      </c>
      <c r="M1005" t="s">
        <v>2475</v>
      </c>
      <c r="N1005" t="s">
        <v>2474</v>
      </c>
      <c r="O1005" t="s">
        <v>2463</v>
      </c>
      <c r="P1005">
        <v>7.93</v>
      </c>
      <c r="Q1005">
        <v>14.78</v>
      </c>
      <c r="R1005">
        <v>23.79</v>
      </c>
      <c r="S1005">
        <v>24.47</v>
      </c>
      <c r="T1005">
        <v>0.45222694511180928</v>
      </c>
      <c r="U1005" s="1">
        <v>45566</v>
      </c>
      <c r="V1005" t="s">
        <v>2499</v>
      </c>
      <c r="W1005">
        <v>2024</v>
      </c>
    </row>
    <row r="1006" spans="1:23" x14ac:dyDescent="0.25">
      <c r="A1006" t="s">
        <v>1053</v>
      </c>
      <c r="B1006" s="1">
        <v>45799</v>
      </c>
      <c r="C1006" s="1">
        <v>45800</v>
      </c>
      <c r="D1006" t="s">
        <v>23</v>
      </c>
      <c r="E1006" t="s">
        <v>59</v>
      </c>
      <c r="F1006" t="s">
        <v>25</v>
      </c>
      <c r="G1006" t="s">
        <v>20</v>
      </c>
      <c r="H1006" t="s">
        <v>51</v>
      </c>
      <c r="I1006">
        <v>10</v>
      </c>
      <c r="J1006">
        <v>0.25</v>
      </c>
      <c r="K1006">
        <v>108.16</v>
      </c>
      <c r="L1006">
        <v>5.4</v>
      </c>
      <c r="M1006" t="s">
        <v>2475</v>
      </c>
      <c r="N1006" t="s">
        <v>2474</v>
      </c>
      <c r="O1006" t="s">
        <v>2463</v>
      </c>
      <c r="P1006">
        <v>7.93</v>
      </c>
      <c r="Q1006">
        <v>14.78</v>
      </c>
      <c r="R1006">
        <v>79.3</v>
      </c>
      <c r="S1006">
        <v>23.46</v>
      </c>
      <c r="T1006">
        <v>0.2169008875739645</v>
      </c>
      <c r="U1006" s="1">
        <v>45778</v>
      </c>
      <c r="V1006" t="s">
        <v>2501</v>
      </c>
      <c r="W1006">
        <v>2025</v>
      </c>
    </row>
    <row r="1007" spans="1:23" x14ac:dyDescent="0.25">
      <c r="A1007" t="s">
        <v>1054</v>
      </c>
      <c r="B1007" s="1">
        <v>46013</v>
      </c>
      <c r="C1007" s="1">
        <v>46014</v>
      </c>
      <c r="D1007" t="s">
        <v>23</v>
      </c>
      <c r="E1007" t="s">
        <v>24</v>
      </c>
      <c r="F1007" t="s">
        <v>25</v>
      </c>
      <c r="G1007" t="s">
        <v>26</v>
      </c>
      <c r="H1007" t="s">
        <v>30</v>
      </c>
      <c r="I1007">
        <v>13</v>
      </c>
      <c r="J1007">
        <v>0</v>
      </c>
      <c r="K1007">
        <v>111.14</v>
      </c>
      <c r="L1007">
        <v>6.21</v>
      </c>
      <c r="M1007" t="s">
        <v>2473</v>
      </c>
      <c r="N1007" t="s">
        <v>2474</v>
      </c>
      <c r="O1007" t="s">
        <v>2463</v>
      </c>
      <c r="P1007">
        <v>3.62</v>
      </c>
      <c r="Q1007">
        <v>6.03</v>
      </c>
      <c r="R1007">
        <v>47.06</v>
      </c>
      <c r="S1007">
        <v>57.87</v>
      </c>
      <c r="T1007">
        <v>0.52069461939895623</v>
      </c>
      <c r="U1007" s="1">
        <v>45992</v>
      </c>
      <c r="V1007" t="s">
        <v>2499</v>
      </c>
      <c r="W1007">
        <v>2025</v>
      </c>
    </row>
    <row r="1008" spans="1:23" x14ac:dyDescent="0.25">
      <c r="A1008" t="s">
        <v>1055</v>
      </c>
      <c r="B1008" s="1">
        <v>45775</v>
      </c>
      <c r="C1008" s="1">
        <v>45781</v>
      </c>
      <c r="D1008" t="s">
        <v>23</v>
      </c>
      <c r="E1008" t="s">
        <v>59</v>
      </c>
      <c r="F1008" t="s">
        <v>25</v>
      </c>
      <c r="G1008" t="s">
        <v>20</v>
      </c>
      <c r="H1008" t="s">
        <v>41</v>
      </c>
      <c r="I1008">
        <v>11</v>
      </c>
      <c r="J1008">
        <v>0</v>
      </c>
      <c r="K1008">
        <v>66.38</v>
      </c>
      <c r="L1008">
        <v>5.67</v>
      </c>
      <c r="M1008" t="s">
        <v>2479</v>
      </c>
      <c r="N1008" t="s">
        <v>2474</v>
      </c>
      <c r="O1008" t="s">
        <v>2459</v>
      </c>
      <c r="P1008">
        <v>3.3</v>
      </c>
      <c r="Q1008">
        <v>6.13</v>
      </c>
      <c r="R1008">
        <v>36.299999999999997</v>
      </c>
      <c r="S1008">
        <v>24.409999999999997</v>
      </c>
      <c r="T1008">
        <v>0.36773124435070803</v>
      </c>
      <c r="U1008" s="1">
        <v>45748</v>
      </c>
      <c r="V1008" t="s">
        <v>2499</v>
      </c>
      <c r="W1008">
        <v>2025</v>
      </c>
    </row>
    <row r="1009" spans="1:23" x14ac:dyDescent="0.25">
      <c r="A1009" t="s">
        <v>1056</v>
      </c>
      <c r="B1009" s="1">
        <v>45840</v>
      </c>
      <c r="C1009" s="1">
        <v>45841</v>
      </c>
      <c r="D1009" t="s">
        <v>13</v>
      </c>
      <c r="E1009" t="s">
        <v>36</v>
      </c>
      <c r="F1009" t="s">
        <v>25</v>
      </c>
      <c r="G1009" t="s">
        <v>20</v>
      </c>
      <c r="H1009" t="s">
        <v>27</v>
      </c>
      <c r="I1009">
        <v>6</v>
      </c>
      <c r="J1009">
        <v>0</v>
      </c>
      <c r="K1009">
        <v>145.97999999999999</v>
      </c>
      <c r="L1009">
        <v>7.2</v>
      </c>
      <c r="M1009" t="s">
        <v>2478</v>
      </c>
      <c r="N1009" t="s">
        <v>2474</v>
      </c>
      <c r="O1009" t="s">
        <v>2463</v>
      </c>
      <c r="P1009">
        <v>16.760000000000002</v>
      </c>
      <c r="Q1009">
        <v>27.71</v>
      </c>
      <c r="R1009">
        <v>100.56</v>
      </c>
      <c r="S1009">
        <v>38.219999999999985</v>
      </c>
      <c r="T1009">
        <v>0.26181668721742696</v>
      </c>
      <c r="U1009" s="1">
        <v>45839</v>
      </c>
      <c r="V1009" t="s">
        <v>2499</v>
      </c>
      <c r="W1009">
        <v>2025</v>
      </c>
    </row>
    <row r="1010" spans="1:23" x14ac:dyDescent="0.25">
      <c r="A1010" t="s">
        <v>1057</v>
      </c>
      <c r="B1010" s="1">
        <v>45889</v>
      </c>
      <c r="C1010" s="1">
        <v>45891</v>
      </c>
      <c r="D1010" t="s">
        <v>32</v>
      </c>
      <c r="E1010" t="s">
        <v>33</v>
      </c>
      <c r="F1010" t="s">
        <v>15</v>
      </c>
      <c r="G1010" t="s">
        <v>26</v>
      </c>
      <c r="H1010" t="s">
        <v>34</v>
      </c>
      <c r="I1010">
        <v>4</v>
      </c>
      <c r="J1010">
        <v>0.1</v>
      </c>
      <c r="K1010">
        <v>727.99</v>
      </c>
      <c r="L1010">
        <v>8.2200000000000006</v>
      </c>
      <c r="M1010" t="s">
        <v>2460</v>
      </c>
      <c r="N1010" t="s">
        <v>2458</v>
      </c>
      <c r="O1010" t="s">
        <v>2461</v>
      </c>
      <c r="P1010">
        <v>119.02</v>
      </c>
      <c r="Q1010">
        <v>205.39</v>
      </c>
      <c r="R1010">
        <v>476.08</v>
      </c>
      <c r="S1010">
        <v>243.69000000000003</v>
      </c>
      <c r="T1010">
        <v>0.33474360911550988</v>
      </c>
      <c r="U1010" s="1">
        <v>45870</v>
      </c>
      <c r="V1010" t="s">
        <v>2498</v>
      </c>
      <c r="W1010">
        <v>2025</v>
      </c>
    </row>
    <row r="1011" spans="1:23" x14ac:dyDescent="0.25">
      <c r="A1011" t="s">
        <v>1058</v>
      </c>
      <c r="B1011" s="1">
        <v>45694</v>
      </c>
      <c r="C1011" s="1">
        <v>45700</v>
      </c>
      <c r="D1011" t="s">
        <v>13</v>
      </c>
      <c r="E1011" t="s">
        <v>19</v>
      </c>
      <c r="F1011" t="s">
        <v>15</v>
      </c>
      <c r="G1011" t="s">
        <v>16</v>
      </c>
      <c r="H1011" t="s">
        <v>39</v>
      </c>
      <c r="I1011">
        <v>1</v>
      </c>
      <c r="J1011">
        <v>0</v>
      </c>
      <c r="K1011">
        <v>166.77</v>
      </c>
      <c r="L1011">
        <v>3.45</v>
      </c>
      <c r="M1011" t="s">
        <v>2471</v>
      </c>
      <c r="N1011" t="s">
        <v>2467</v>
      </c>
      <c r="O1011" t="s">
        <v>2461</v>
      </c>
      <c r="P1011">
        <v>112.09</v>
      </c>
      <c r="Q1011">
        <v>192.47</v>
      </c>
      <c r="R1011">
        <v>112.09</v>
      </c>
      <c r="S1011">
        <v>51.230000000000004</v>
      </c>
      <c r="T1011">
        <v>0.30718954248366015</v>
      </c>
      <c r="U1011" s="1">
        <v>45689</v>
      </c>
      <c r="V1011" t="s">
        <v>2499</v>
      </c>
      <c r="W1011">
        <v>2025</v>
      </c>
    </row>
    <row r="1012" spans="1:23" x14ac:dyDescent="0.25">
      <c r="A1012" t="s">
        <v>1059</v>
      </c>
      <c r="B1012" s="1">
        <v>45549</v>
      </c>
      <c r="C1012" s="1">
        <v>45551</v>
      </c>
      <c r="D1012" t="s">
        <v>47</v>
      </c>
      <c r="E1012" t="s">
        <v>50</v>
      </c>
      <c r="F1012" t="s">
        <v>29</v>
      </c>
      <c r="G1012" t="s">
        <v>26</v>
      </c>
      <c r="H1012" t="s">
        <v>37</v>
      </c>
      <c r="I1012">
        <v>3</v>
      </c>
      <c r="J1012">
        <v>0.2</v>
      </c>
      <c r="K1012">
        <v>291.31</v>
      </c>
      <c r="L1012">
        <v>6.84</v>
      </c>
      <c r="M1012" t="s">
        <v>2464</v>
      </c>
      <c r="N1012" t="s">
        <v>2458</v>
      </c>
      <c r="O1012" t="s">
        <v>2465</v>
      </c>
      <c r="P1012">
        <v>63.6</v>
      </c>
      <c r="Q1012">
        <v>107.94</v>
      </c>
      <c r="R1012">
        <v>190.8</v>
      </c>
      <c r="S1012">
        <v>93.669999999999987</v>
      </c>
      <c r="T1012">
        <v>0.32154749236208846</v>
      </c>
      <c r="U1012" s="1">
        <v>45536</v>
      </c>
      <c r="V1012" t="s">
        <v>2500</v>
      </c>
      <c r="W1012">
        <v>2024</v>
      </c>
    </row>
    <row r="1013" spans="1:23" x14ac:dyDescent="0.25">
      <c r="A1013" t="s">
        <v>1060</v>
      </c>
      <c r="B1013" s="1">
        <v>45350</v>
      </c>
      <c r="C1013" s="1">
        <v>45354</v>
      </c>
      <c r="D1013" t="s">
        <v>13</v>
      </c>
      <c r="E1013" t="s">
        <v>14</v>
      </c>
      <c r="F1013" t="s">
        <v>25</v>
      </c>
      <c r="G1013" t="s">
        <v>26</v>
      </c>
      <c r="H1013" t="s">
        <v>27</v>
      </c>
      <c r="I1013">
        <v>3</v>
      </c>
      <c r="J1013">
        <v>0.2</v>
      </c>
      <c r="K1013">
        <v>56.95</v>
      </c>
      <c r="L1013">
        <v>3.51</v>
      </c>
      <c r="M1013" t="s">
        <v>2478</v>
      </c>
      <c r="N1013" t="s">
        <v>2474</v>
      </c>
      <c r="O1013" t="s">
        <v>2463</v>
      </c>
      <c r="P1013">
        <v>16.760000000000002</v>
      </c>
      <c r="Q1013">
        <v>27.71</v>
      </c>
      <c r="R1013">
        <v>50.28</v>
      </c>
      <c r="S1013">
        <v>3.1600000000000019</v>
      </c>
      <c r="T1013">
        <v>5.5487269534679577E-2</v>
      </c>
      <c r="U1013" s="1">
        <v>45323</v>
      </c>
      <c r="V1013" t="s">
        <v>2500</v>
      </c>
      <c r="W1013">
        <v>2024</v>
      </c>
    </row>
    <row r="1014" spans="1:23" x14ac:dyDescent="0.25">
      <c r="A1014" t="s">
        <v>1061</v>
      </c>
      <c r="B1014" s="1">
        <v>45585</v>
      </c>
      <c r="C1014" s="1">
        <v>45588</v>
      </c>
      <c r="D1014" t="s">
        <v>13</v>
      </c>
      <c r="E1014" t="s">
        <v>19</v>
      </c>
      <c r="F1014" t="s">
        <v>29</v>
      </c>
      <c r="G1014" t="s">
        <v>16</v>
      </c>
      <c r="H1014" t="s">
        <v>65</v>
      </c>
      <c r="I1014">
        <v>2</v>
      </c>
      <c r="J1014">
        <v>0.05</v>
      </c>
      <c r="K1014">
        <v>634.96</v>
      </c>
      <c r="L1014">
        <v>9.1</v>
      </c>
      <c r="M1014" t="s">
        <v>2457</v>
      </c>
      <c r="N1014" t="s">
        <v>2458</v>
      </c>
      <c r="O1014" t="s">
        <v>2459</v>
      </c>
      <c r="P1014">
        <v>173.56</v>
      </c>
      <c r="Q1014">
        <v>286.14999999999998</v>
      </c>
      <c r="R1014">
        <v>347.12</v>
      </c>
      <c r="S1014">
        <v>278.74</v>
      </c>
      <c r="T1014">
        <v>0.43898828272647095</v>
      </c>
      <c r="U1014" s="1">
        <v>45566</v>
      </c>
      <c r="V1014" t="s">
        <v>2498</v>
      </c>
      <c r="W1014">
        <v>2024</v>
      </c>
    </row>
    <row r="1015" spans="1:23" x14ac:dyDescent="0.25">
      <c r="A1015" t="s">
        <v>1062</v>
      </c>
      <c r="B1015" s="1">
        <v>45639</v>
      </c>
      <c r="C1015" s="1">
        <v>45641</v>
      </c>
      <c r="D1015" t="s">
        <v>47</v>
      </c>
      <c r="E1015" t="s">
        <v>71</v>
      </c>
      <c r="F1015" t="s">
        <v>25</v>
      </c>
      <c r="G1015" t="s">
        <v>16</v>
      </c>
      <c r="H1015" t="s">
        <v>39</v>
      </c>
      <c r="I1015">
        <v>4</v>
      </c>
      <c r="J1015">
        <v>0</v>
      </c>
      <c r="K1015">
        <v>1094.69</v>
      </c>
      <c r="L1015">
        <v>5.7</v>
      </c>
      <c r="M1015" t="s">
        <v>2471</v>
      </c>
      <c r="N1015" t="s">
        <v>2467</v>
      </c>
      <c r="O1015" t="s">
        <v>2461</v>
      </c>
      <c r="P1015">
        <v>112.09</v>
      </c>
      <c r="Q1015">
        <v>192.47</v>
      </c>
      <c r="R1015">
        <v>448.36</v>
      </c>
      <c r="S1015">
        <v>640.63</v>
      </c>
      <c r="T1015">
        <v>0.58521590587289551</v>
      </c>
      <c r="U1015" s="1">
        <v>45627</v>
      </c>
      <c r="V1015" t="s">
        <v>2499</v>
      </c>
      <c r="W1015">
        <v>2024</v>
      </c>
    </row>
    <row r="1016" spans="1:23" x14ac:dyDescent="0.25">
      <c r="A1016" t="s">
        <v>1063</v>
      </c>
      <c r="B1016" s="1">
        <v>45292</v>
      </c>
      <c r="C1016" s="1">
        <v>45295</v>
      </c>
      <c r="D1016" t="s">
        <v>13</v>
      </c>
      <c r="E1016" t="s">
        <v>19</v>
      </c>
      <c r="F1016" t="s">
        <v>25</v>
      </c>
      <c r="G1016" t="s">
        <v>16</v>
      </c>
      <c r="H1016" t="s">
        <v>87</v>
      </c>
      <c r="I1016">
        <v>5</v>
      </c>
      <c r="J1016">
        <v>0.25</v>
      </c>
      <c r="K1016">
        <v>26.29</v>
      </c>
      <c r="L1016">
        <v>4.05</v>
      </c>
      <c r="M1016" t="s">
        <v>2476</v>
      </c>
      <c r="N1016" t="s">
        <v>2474</v>
      </c>
      <c r="O1016" t="s">
        <v>2459</v>
      </c>
      <c r="P1016">
        <v>4.5</v>
      </c>
      <c r="Q1016">
        <v>8.2899999999999991</v>
      </c>
      <c r="R1016">
        <v>22.5</v>
      </c>
      <c r="S1016">
        <v>-0.26000000000000068</v>
      </c>
      <c r="T1016">
        <v>-9.8896918980601253E-3</v>
      </c>
      <c r="U1016" s="1">
        <v>45292</v>
      </c>
      <c r="V1016" t="s">
        <v>2501</v>
      </c>
      <c r="W1016">
        <v>2024</v>
      </c>
    </row>
    <row r="1017" spans="1:23" x14ac:dyDescent="0.25">
      <c r="A1017" t="s">
        <v>1064</v>
      </c>
      <c r="B1017" s="1">
        <v>46001</v>
      </c>
      <c r="C1017" s="1">
        <v>46004</v>
      </c>
      <c r="D1017" t="s">
        <v>47</v>
      </c>
      <c r="E1017" t="s">
        <v>71</v>
      </c>
      <c r="F1017" t="s">
        <v>25</v>
      </c>
      <c r="G1017" t="s">
        <v>16</v>
      </c>
      <c r="H1017" t="s">
        <v>60</v>
      </c>
      <c r="I1017">
        <v>3</v>
      </c>
      <c r="J1017">
        <v>0</v>
      </c>
      <c r="K1017">
        <v>458.93</v>
      </c>
      <c r="L1017">
        <v>8.25</v>
      </c>
      <c r="M1017" t="s">
        <v>2469</v>
      </c>
      <c r="N1017" t="s">
        <v>2467</v>
      </c>
      <c r="O1017" t="s">
        <v>2468</v>
      </c>
      <c r="P1017">
        <v>54.95</v>
      </c>
      <c r="Q1017">
        <v>112.56</v>
      </c>
      <c r="R1017">
        <v>164.85000000000002</v>
      </c>
      <c r="S1017">
        <v>285.83</v>
      </c>
      <c r="T1017">
        <v>0.6228182947290436</v>
      </c>
      <c r="U1017" s="1">
        <v>45992</v>
      </c>
      <c r="V1017" t="s">
        <v>2499</v>
      </c>
      <c r="W1017">
        <v>2025</v>
      </c>
    </row>
    <row r="1018" spans="1:23" x14ac:dyDescent="0.25">
      <c r="A1018" t="s">
        <v>1065</v>
      </c>
      <c r="B1018" s="1">
        <v>45690</v>
      </c>
      <c r="C1018" s="1">
        <v>45694</v>
      </c>
      <c r="D1018" t="s">
        <v>23</v>
      </c>
      <c r="E1018" t="s">
        <v>24</v>
      </c>
      <c r="F1018" t="s">
        <v>25</v>
      </c>
      <c r="G1018" t="s">
        <v>16</v>
      </c>
      <c r="H1018" t="s">
        <v>63</v>
      </c>
      <c r="I1018">
        <v>14</v>
      </c>
      <c r="J1018">
        <v>0.05</v>
      </c>
      <c r="K1018">
        <v>139.07</v>
      </c>
      <c r="L1018">
        <v>6.48</v>
      </c>
      <c r="M1018" t="s">
        <v>2477</v>
      </c>
      <c r="N1018" t="s">
        <v>2474</v>
      </c>
      <c r="O1018" t="s">
        <v>2468</v>
      </c>
      <c r="P1018">
        <v>6.33</v>
      </c>
      <c r="Q1018">
        <v>12.16</v>
      </c>
      <c r="R1018">
        <v>88.62</v>
      </c>
      <c r="S1018">
        <v>43.969999999999985</v>
      </c>
      <c r="T1018">
        <v>0.31617171208743788</v>
      </c>
      <c r="U1018" s="1">
        <v>45689</v>
      </c>
      <c r="V1018" t="s">
        <v>2498</v>
      </c>
      <c r="W1018">
        <v>2025</v>
      </c>
    </row>
    <row r="1019" spans="1:23" x14ac:dyDescent="0.25">
      <c r="A1019" t="s">
        <v>1066</v>
      </c>
      <c r="B1019" s="1">
        <v>45885</v>
      </c>
      <c r="C1019" s="1">
        <v>45890</v>
      </c>
      <c r="D1019" t="s">
        <v>13</v>
      </c>
      <c r="E1019" t="s">
        <v>36</v>
      </c>
      <c r="F1019" t="s">
        <v>15</v>
      </c>
      <c r="G1019" t="s">
        <v>16</v>
      </c>
      <c r="H1019" t="s">
        <v>37</v>
      </c>
      <c r="I1019">
        <v>3</v>
      </c>
      <c r="J1019">
        <v>0.15</v>
      </c>
      <c r="K1019">
        <v>272.87</v>
      </c>
      <c r="L1019">
        <v>6.84</v>
      </c>
      <c r="M1019" t="s">
        <v>2464</v>
      </c>
      <c r="N1019" t="s">
        <v>2458</v>
      </c>
      <c r="O1019" t="s">
        <v>2465</v>
      </c>
      <c r="P1019">
        <v>63.6</v>
      </c>
      <c r="Q1019">
        <v>107.94</v>
      </c>
      <c r="R1019">
        <v>190.8</v>
      </c>
      <c r="S1019">
        <v>75.22999999999999</v>
      </c>
      <c r="T1019">
        <v>0.27569905083006557</v>
      </c>
      <c r="U1019" s="1">
        <v>45870</v>
      </c>
      <c r="V1019" t="s">
        <v>2500</v>
      </c>
      <c r="W1019">
        <v>2025</v>
      </c>
    </row>
    <row r="1020" spans="1:23" x14ac:dyDescent="0.25">
      <c r="A1020" t="s">
        <v>1067</v>
      </c>
      <c r="B1020" s="1">
        <v>45459</v>
      </c>
      <c r="C1020" s="1">
        <v>45464</v>
      </c>
      <c r="D1020" t="s">
        <v>47</v>
      </c>
      <c r="E1020" t="s">
        <v>71</v>
      </c>
      <c r="F1020" t="s">
        <v>15</v>
      </c>
      <c r="G1020" t="s">
        <v>16</v>
      </c>
      <c r="H1020" t="s">
        <v>37</v>
      </c>
      <c r="I1020">
        <v>3</v>
      </c>
      <c r="J1020">
        <v>0</v>
      </c>
      <c r="K1020">
        <v>353.03</v>
      </c>
      <c r="L1020">
        <v>11.4</v>
      </c>
      <c r="M1020" t="s">
        <v>2464</v>
      </c>
      <c r="N1020" t="s">
        <v>2458</v>
      </c>
      <c r="O1020" t="s">
        <v>2465</v>
      </c>
      <c r="P1020">
        <v>63.6</v>
      </c>
      <c r="Q1020">
        <v>107.94</v>
      </c>
      <c r="R1020">
        <v>190.8</v>
      </c>
      <c r="S1020">
        <v>150.82999999999996</v>
      </c>
      <c r="T1020">
        <v>0.42724414355720469</v>
      </c>
      <c r="U1020" s="1">
        <v>45444</v>
      </c>
      <c r="V1020" t="s">
        <v>2499</v>
      </c>
      <c r="W1020">
        <v>2024</v>
      </c>
    </row>
    <row r="1021" spans="1:23" x14ac:dyDescent="0.25">
      <c r="A1021" t="s">
        <v>1068</v>
      </c>
      <c r="B1021" s="1">
        <v>45474</v>
      </c>
      <c r="C1021" s="1">
        <v>45475</v>
      </c>
      <c r="D1021" t="s">
        <v>47</v>
      </c>
      <c r="E1021" t="s">
        <v>50</v>
      </c>
      <c r="F1021" t="s">
        <v>25</v>
      </c>
      <c r="G1021" t="s">
        <v>26</v>
      </c>
      <c r="H1021" t="s">
        <v>68</v>
      </c>
      <c r="I1021">
        <v>2</v>
      </c>
      <c r="J1021">
        <v>0.05</v>
      </c>
      <c r="K1021">
        <v>89.01</v>
      </c>
      <c r="L1021">
        <v>4.2</v>
      </c>
      <c r="M1021" t="s">
        <v>2466</v>
      </c>
      <c r="N1021" t="s">
        <v>2467</v>
      </c>
      <c r="O1021" t="s">
        <v>2468</v>
      </c>
      <c r="P1021">
        <v>25.33</v>
      </c>
      <c r="Q1021">
        <v>51.56</v>
      </c>
      <c r="R1021">
        <v>50.66</v>
      </c>
      <c r="S1021">
        <v>34.150000000000006</v>
      </c>
      <c r="T1021">
        <v>0.38366475676890244</v>
      </c>
      <c r="U1021" s="1">
        <v>45474</v>
      </c>
      <c r="V1021" t="s">
        <v>2498</v>
      </c>
      <c r="W1021">
        <v>2024</v>
      </c>
    </row>
    <row r="1022" spans="1:23" x14ac:dyDescent="0.25">
      <c r="A1022" t="s">
        <v>1069</v>
      </c>
      <c r="B1022" s="1">
        <v>45436</v>
      </c>
      <c r="C1022" s="1">
        <v>45439</v>
      </c>
      <c r="D1022" t="s">
        <v>47</v>
      </c>
      <c r="E1022" t="s">
        <v>71</v>
      </c>
      <c r="F1022" t="s">
        <v>15</v>
      </c>
      <c r="G1022" t="s">
        <v>26</v>
      </c>
      <c r="H1022" t="s">
        <v>17</v>
      </c>
      <c r="I1022">
        <v>2</v>
      </c>
      <c r="J1022">
        <v>0</v>
      </c>
      <c r="K1022">
        <v>265.79000000000002</v>
      </c>
      <c r="L1022">
        <v>7</v>
      </c>
      <c r="M1022" t="s">
        <v>2472</v>
      </c>
      <c r="N1022" t="s">
        <v>2467</v>
      </c>
      <c r="O1022" t="s">
        <v>2468</v>
      </c>
      <c r="P1022">
        <v>63.69</v>
      </c>
      <c r="Q1022">
        <v>125.5</v>
      </c>
      <c r="R1022">
        <v>127.38</v>
      </c>
      <c r="S1022">
        <v>131.41000000000003</v>
      </c>
      <c r="T1022">
        <v>0.49441288235072806</v>
      </c>
      <c r="U1022" s="1">
        <v>45413</v>
      </c>
      <c r="V1022" t="s">
        <v>2499</v>
      </c>
      <c r="W1022">
        <v>2024</v>
      </c>
    </row>
    <row r="1023" spans="1:23" x14ac:dyDescent="0.25">
      <c r="A1023" t="s">
        <v>1070</v>
      </c>
      <c r="B1023" s="1">
        <v>45848</v>
      </c>
      <c r="C1023" s="1">
        <v>45853</v>
      </c>
      <c r="D1023" t="s">
        <v>13</v>
      </c>
      <c r="E1023" t="s">
        <v>36</v>
      </c>
      <c r="F1023" t="s">
        <v>29</v>
      </c>
      <c r="G1023" t="s">
        <v>26</v>
      </c>
      <c r="H1023" t="s">
        <v>65</v>
      </c>
      <c r="I1023">
        <v>1</v>
      </c>
      <c r="J1023">
        <v>0</v>
      </c>
      <c r="K1023">
        <v>278.07</v>
      </c>
      <c r="L1023">
        <v>4.08</v>
      </c>
      <c r="M1023" t="s">
        <v>2457</v>
      </c>
      <c r="N1023" t="s">
        <v>2458</v>
      </c>
      <c r="O1023" t="s">
        <v>2459</v>
      </c>
      <c r="P1023">
        <v>173.56</v>
      </c>
      <c r="Q1023">
        <v>286.14999999999998</v>
      </c>
      <c r="R1023">
        <v>173.56</v>
      </c>
      <c r="S1023">
        <v>100.42999999999999</v>
      </c>
      <c r="T1023">
        <v>0.36116805121012691</v>
      </c>
      <c r="U1023" s="1">
        <v>45839</v>
      </c>
      <c r="V1023" t="s">
        <v>2499</v>
      </c>
      <c r="W1023">
        <v>2025</v>
      </c>
    </row>
    <row r="1024" spans="1:23" x14ac:dyDescent="0.25">
      <c r="A1024" t="s">
        <v>1071</v>
      </c>
      <c r="B1024" s="1">
        <v>45437</v>
      </c>
      <c r="C1024" s="1">
        <v>45438</v>
      </c>
      <c r="D1024" t="s">
        <v>47</v>
      </c>
      <c r="E1024" t="s">
        <v>71</v>
      </c>
      <c r="F1024" t="s">
        <v>25</v>
      </c>
      <c r="G1024" t="s">
        <v>20</v>
      </c>
      <c r="H1024" t="s">
        <v>30</v>
      </c>
      <c r="I1024">
        <v>16</v>
      </c>
      <c r="J1024">
        <v>0.1</v>
      </c>
      <c r="K1024">
        <v>84.52</v>
      </c>
      <c r="L1024">
        <v>7.02</v>
      </c>
      <c r="M1024" t="s">
        <v>2473</v>
      </c>
      <c r="N1024" t="s">
        <v>2474</v>
      </c>
      <c r="O1024" t="s">
        <v>2463</v>
      </c>
      <c r="P1024">
        <v>3.62</v>
      </c>
      <c r="Q1024">
        <v>6.03</v>
      </c>
      <c r="R1024">
        <v>57.92</v>
      </c>
      <c r="S1024">
        <v>19.579999999999995</v>
      </c>
      <c r="T1024">
        <v>0.23166114529105533</v>
      </c>
      <c r="U1024" s="1">
        <v>45413</v>
      </c>
      <c r="V1024" t="s">
        <v>2498</v>
      </c>
      <c r="W1024">
        <v>2024</v>
      </c>
    </row>
    <row r="1025" spans="1:23" x14ac:dyDescent="0.25">
      <c r="A1025" t="s">
        <v>1072</v>
      </c>
      <c r="B1025" s="1">
        <v>45995</v>
      </c>
      <c r="C1025" s="1">
        <v>45999</v>
      </c>
      <c r="D1025" t="s">
        <v>47</v>
      </c>
      <c r="E1025" t="s">
        <v>50</v>
      </c>
      <c r="F1025" t="s">
        <v>29</v>
      </c>
      <c r="G1025" t="s">
        <v>16</v>
      </c>
      <c r="H1025" t="s">
        <v>21</v>
      </c>
      <c r="I1025">
        <v>4</v>
      </c>
      <c r="J1025">
        <v>0</v>
      </c>
      <c r="K1025">
        <v>681.75</v>
      </c>
      <c r="L1025">
        <v>8.2200000000000006</v>
      </c>
      <c r="M1025" t="s">
        <v>2462</v>
      </c>
      <c r="N1025" t="s">
        <v>2458</v>
      </c>
      <c r="O1025" t="s">
        <v>2463</v>
      </c>
      <c r="P1025">
        <v>71.489999999999995</v>
      </c>
      <c r="Q1025">
        <v>112.88</v>
      </c>
      <c r="R1025">
        <v>285.95999999999998</v>
      </c>
      <c r="S1025">
        <v>387.57</v>
      </c>
      <c r="T1025">
        <v>0.56849284928492849</v>
      </c>
      <c r="U1025" s="1">
        <v>45992</v>
      </c>
      <c r="V1025" t="s">
        <v>2499</v>
      </c>
      <c r="W1025">
        <v>2025</v>
      </c>
    </row>
    <row r="1026" spans="1:23" x14ac:dyDescent="0.25">
      <c r="A1026" t="s">
        <v>1073</v>
      </c>
      <c r="B1026" s="1">
        <v>45394</v>
      </c>
      <c r="C1026" s="1">
        <v>45398</v>
      </c>
      <c r="D1026" t="s">
        <v>13</v>
      </c>
      <c r="E1026" t="s">
        <v>19</v>
      </c>
      <c r="F1026" t="s">
        <v>29</v>
      </c>
      <c r="G1026" t="s">
        <v>16</v>
      </c>
      <c r="H1026" t="s">
        <v>87</v>
      </c>
      <c r="I1026">
        <v>5</v>
      </c>
      <c r="J1026">
        <v>0</v>
      </c>
      <c r="K1026">
        <v>39.270000000000003</v>
      </c>
      <c r="L1026">
        <v>4.05</v>
      </c>
      <c r="M1026" t="s">
        <v>2476</v>
      </c>
      <c r="N1026" t="s">
        <v>2474</v>
      </c>
      <c r="O1026" t="s">
        <v>2459</v>
      </c>
      <c r="P1026">
        <v>4.5</v>
      </c>
      <c r="Q1026">
        <v>8.2899999999999991</v>
      </c>
      <c r="R1026">
        <v>22.5</v>
      </c>
      <c r="S1026">
        <v>12.720000000000002</v>
      </c>
      <c r="T1026">
        <v>0.32391138273491216</v>
      </c>
      <c r="U1026" s="1">
        <v>45383</v>
      </c>
      <c r="V1026" t="s">
        <v>2499</v>
      </c>
      <c r="W1026">
        <v>2024</v>
      </c>
    </row>
    <row r="1027" spans="1:23" x14ac:dyDescent="0.25">
      <c r="A1027" t="s">
        <v>1074</v>
      </c>
      <c r="B1027" s="1">
        <v>45878</v>
      </c>
      <c r="C1027" s="1">
        <v>45882</v>
      </c>
      <c r="D1027" t="s">
        <v>13</v>
      </c>
      <c r="E1027" t="s">
        <v>19</v>
      </c>
      <c r="F1027" t="s">
        <v>25</v>
      </c>
      <c r="G1027" t="s">
        <v>20</v>
      </c>
      <c r="H1027" t="s">
        <v>30</v>
      </c>
      <c r="I1027">
        <v>7</v>
      </c>
      <c r="J1027">
        <v>0</v>
      </c>
      <c r="K1027">
        <v>39.17</v>
      </c>
      <c r="L1027">
        <v>4.59</v>
      </c>
      <c r="M1027" t="s">
        <v>2473</v>
      </c>
      <c r="N1027" t="s">
        <v>2474</v>
      </c>
      <c r="O1027" t="s">
        <v>2463</v>
      </c>
      <c r="P1027">
        <v>3.62</v>
      </c>
      <c r="Q1027">
        <v>6.03</v>
      </c>
      <c r="R1027">
        <v>25.34</v>
      </c>
      <c r="S1027">
        <v>9.240000000000002</v>
      </c>
      <c r="T1027">
        <v>0.23589481746234367</v>
      </c>
      <c r="U1027" s="1">
        <v>45870</v>
      </c>
      <c r="V1027" t="s">
        <v>2499</v>
      </c>
      <c r="W1027">
        <v>2025</v>
      </c>
    </row>
    <row r="1028" spans="1:23" x14ac:dyDescent="0.25">
      <c r="A1028" t="s">
        <v>1075</v>
      </c>
      <c r="B1028" s="1">
        <v>45444</v>
      </c>
      <c r="C1028" s="1">
        <v>45445</v>
      </c>
      <c r="D1028" t="s">
        <v>13</v>
      </c>
      <c r="E1028" t="s">
        <v>14</v>
      </c>
      <c r="F1028" t="s">
        <v>29</v>
      </c>
      <c r="G1028" t="s">
        <v>20</v>
      </c>
      <c r="H1028" t="s">
        <v>65</v>
      </c>
      <c r="I1028">
        <v>7</v>
      </c>
      <c r="J1028">
        <v>0.05</v>
      </c>
      <c r="K1028">
        <v>2025.62</v>
      </c>
      <c r="L1028">
        <v>12.36</v>
      </c>
      <c r="M1028" t="s">
        <v>2457</v>
      </c>
      <c r="N1028" t="s">
        <v>2458</v>
      </c>
      <c r="O1028" t="s">
        <v>2459</v>
      </c>
      <c r="P1028">
        <v>173.56</v>
      </c>
      <c r="Q1028">
        <v>286.14999999999998</v>
      </c>
      <c r="R1028">
        <v>1214.92</v>
      </c>
      <c r="S1028">
        <v>798.3399999999998</v>
      </c>
      <c r="T1028">
        <v>0.39412130606925277</v>
      </c>
      <c r="U1028" s="1">
        <v>45444</v>
      </c>
      <c r="V1028" t="s">
        <v>2498</v>
      </c>
      <c r="W1028">
        <v>2024</v>
      </c>
    </row>
    <row r="1029" spans="1:23" x14ac:dyDescent="0.25">
      <c r="A1029" t="s">
        <v>1076</v>
      </c>
      <c r="B1029" s="1">
        <v>45442</v>
      </c>
      <c r="C1029" s="1">
        <v>45443</v>
      </c>
      <c r="D1029" t="s">
        <v>47</v>
      </c>
      <c r="E1029" t="s">
        <v>71</v>
      </c>
      <c r="F1029" t="s">
        <v>29</v>
      </c>
      <c r="G1029" t="s">
        <v>26</v>
      </c>
      <c r="H1029" t="s">
        <v>87</v>
      </c>
      <c r="I1029">
        <v>5</v>
      </c>
      <c r="J1029">
        <v>0</v>
      </c>
      <c r="K1029">
        <v>40.590000000000003</v>
      </c>
      <c r="L1029">
        <v>4.05</v>
      </c>
      <c r="M1029" t="s">
        <v>2476</v>
      </c>
      <c r="N1029" t="s">
        <v>2474</v>
      </c>
      <c r="O1029" t="s">
        <v>2459</v>
      </c>
      <c r="P1029">
        <v>4.5</v>
      </c>
      <c r="Q1029">
        <v>8.2899999999999991</v>
      </c>
      <c r="R1029">
        <v>22.5</v>
      </c>
      <c r="S1029">
        <v>14.040000000000003</v>
      </c>
      <c r="T1029">
        <v>0.34589800443458985</v>
      </c>
      <c r="U1029" s="1">
        <v>45413</v>
      </c>
      <c r="V1029" t="s">
        <v>2499</v>
      </c>
      <c r="W1029">
        <v>2024</v>
      </c>
    </row>
    <row r="1030" spans="1:23" x14ac:dyDescent="0.25">
      <c r="A1030" t="s">
        <v>1077</v>
      </c>
      <c r="B1030" s="1">
        <v>45854</v>
      </c>
      <c r="C1030" s="1">
        <v>45860</v>
      </c>
      <c r="D1030" t="s">
        <v>47</v>
      </c>
      <c r="E1030" t="s">
        <v>71</v>
      </c>
      <c r="F1030" t="s">
        <v>15</v>
      </c>
      <c r="G1030" t="s">
        <v>20</v>
      </c>
      <c r="H1030" t="s">
        <v>34</v>
      </c>
      <c r="I1030">
        <v>1</v>
      </c>
      <c r="J1030">
        <v>0</v>
      </c>
      <c r="K1030">
        <v>180.4</v>
      </c>
      <c r="L1030">
        <v>4.08</v>
      </c>
      <c r="M1030" t="s">
        <v>2460</v>
      </c>
      <c r="N1030" t="s">
        <v>2458</v>
      </c>
      <c r="O1030" t="s">
        <v>2461</v>
      </c>
      <c r="P1030">
        <v>119.02</v>
      </c>
      <c r="Q1030">
        <v>205.39</v>
      </c>
      <c r="R1030">
        <v>119.02</v>
      </c>
      <c r="S1030">
        <v>57.300000000000011</v>
      </c>
      <c r="T1030">
        <v>0.3176274944567628</v>
      </c>
      <c r="U1030" s="1">
        <v>45839</v>
      </c>
      <c r="V1030" t="s">
        <v>2499</v>
      </c>
      <c r="W1030">
        <v>2025</v>
      </c>
    </row>
    <row r="1031" spans="1:23" x14ac:dyDescent="0.25">
      <c r="A1031" t="s">
        <v>1078</v>
      </c>
      <c r="B1031" s="1">
        <v>45550</v>
      </c>
      <c r="C1031" s="1">
        <v>45552</v>
      </c>
      <c r="D1031" t="s">
        <v>23</v>
      </c>
      <c r="E1031" t="s">
        <v>43</v>
      </c>
      <c r="F1031" t="s">
        <v>29</v>
      </c>
      <c r="G1031" t="s">
        <v>20</v>
      </c>
      <c r="H1031" t="s">
        <v>63</v>
      </c>
      <c r="I1031">
        <v>6</v>
      </c>
      <c r="J1031">
        <v>0</v>
      </c>
      <c r="K1031">
        <v>77.5</v>
      </c>
      <c r="L1031">
        <v>4.32</v>
      </c>
      <c r="M1031" t="s">
        <v>2477</v>
      </c>
      <c r="N1031" t="s">
        <v>2474</v>
      </c>
      <c r="O1031" t="s">
        <v>2468</v>
      </c>
      <c r="P1031">
        <v>6.33</v>
      </c>
      <c r="Q1031">
        <v>12.16</v>
      </c>
      <c r="R1031">
        <v>37.980000000000004</v>
      </c>
      <c r="S1031">
        <v>35.199999999999996</v>
      </c>
      <c r="T1031">
        <v>0.45419354838709675</v>
      </c>
      <c r="U1031" s="1">
        <v>45536</v>
      </c>
      <c r="V1031" t="s">
        <v>2499</v>
      </c>
      <c r="W1031">
        <v>2024</v>
      </c>
    </row>
    <row r="1032" spans="1:23" x14ac:dyDescent="0.25">
      <c r="A1032" t="s">
        <v>1079</v>
      </c>
      <c r="B1032" s="1">
        <v>46002</v>
      </c>
      <c r="C1032" s="1">
        <v>46005</v>
      </c>
      <c r="D1032" t="s">
        <v>47</v>
      </c>
      <c r="E1032" t="s">
        <v>50</v>
      </c>
      <c r="F1032" t="s">
        <v>29</v>
      </c>
      <c r="G1032" t="s">
        <v>20</v>
      </c>
      <c r="H1032" t="s">
        <v>39</v>
      </c>
      <c r="I1032">
        <v>2</v>
      </c>
      <c r="J1032">
        <v>0</v>
      </c>
      <c r="K1032">
        <v>558.23</v>
      </c>
      <c r="L1032">
        <v>7</v>
      </c>
      <c r="M1032" t="s">
        <v>2471</v>
      </c>
      <c r="N1032" t="s">
        <v>2467</v>
      </c>
      <c r="O1032" t="s">
        <v>2461</v>
      </c>
      <c r="P1032">
        <v>112.09</v>
      </c>
      <c r="Q1032">
        <v>192.47</v>
      </c>
      <c r="R1032">
        <v>224.18</v>
      </c>
      <c r="S1032">
        <v>327.05</v>
      </c>
      <c r="T1032">
        <v>0.58586962363183637</v>
      </c>
      <c r="U1032" s="1">
        <v>45992</v>
      </c>
      <c r="V1032" t="s">
        <v>2499</v>
      </c>
      <c r="W1032">
        <v>2025</v>
      </c>
    </row>
    <row r="1033" spans="1:23" x14ac:dyDescent="0.25">
      <c r="A1033" t="s">
        <v>1080</v>
      </c>
      <c r="B1033" s="1">
        <v>45538</v>
      </c>
      <c r="C1033" s="1">
        <v>45542</v>
      </c>
      <c r="D1033" t="s">
        <v>32</v>
      </c>
      <c r="E1033" t="s">
        <v>33</v>
      </c>
      <c r="F1033" t="s">
        <v>15</v>
      </c>
      <c r="G1033" t="s">
        <v>26</v>
      </c>
      <c r="H1033" t="s">
        <v>53</v>
      </c>
      <c r="I1033">
        <v>3</v>
      </c>
      <c r="J1033">
        <v>0.1</v>
      </c>
      <c r="K1033">
        <v>160.1</v>
      </c>
      <c r="L1033">
        <v>4.95</v>
      </c>
      <c r="M1033" t="s">
        <v>2470</v>
      </c>
      <c r="N1033" t="s">
        <v>2467</v>
      </c>
      <c r="O1033" t="s">
        <v>2459</v>
      </c>
      <c r="P1033">
        <v>31.34</v>
      </c>
      <c r="Q1033">
        <v>56.49</v>
      </c>
      <c r="R1033">
        <v>94.02</v>
      </c>
      <c r="S1033">
        <v>61.129999999999995</v>
      </c>
      <c r="T1033">
        <v>0.38182386008744534</v>
      </c>
      <c r="U1033" s="1">
        <v>45536</v>
      </c>
      <c r="V1033" t="s">
        <v>2498</v>
      </c>
      <c r="W1033">
        <v>2024</v>
      </c>
    </row>
    <row r="1034" spans="1:23" x14ac:dyDescent="0.25">
      <c r="A1034" t="s">
        <v>1081</v>
      </c>
      <c r="B1034" s="1">
        <v>45716</v>
      </c>
      <c r="C1034" s="1">
        <v>45719</v>
      </c>
      <c r="D1034" t="s">
        <v>32</v>
      </c>
      <c r="E1034" t="s">
        <v>62</v>
      </c>
      <c r="F1034" t="s">
        <v>25</v>
      </c>
      <c r="G1034" t="s">
        <v>26</v>
      </c>
      <c r="H1034" t="s">
        <v>65</v>
      </c>
      <c r="I1034">
        <v>4</v>
      </c>
      <c r="J1034">
        <v>0</v>
      </c>
      <c r="K1034">
        <v>1033.1199999999999</v>
      </c>
      <c r="L1034">
        <v>8.2200000000000006</v>
      </c>
      <c r="M1034" t="s">
        <v>2457</v>
      </c>
      <c r="N1034" t="s">
        <v>2458</v>
      </c>
      <c r="O1034" t="s">
        <v>2459</v>
      </c>
      <c r="P1034">
        <v>173.56</v>
      </c>
      <c r="Q1034">
        <v>286.14999999999998</v>
      </c>
      <c r="R1034">
        <v>694.24</v>
      </c>
      <c r="S1034">
        <v>330.65999999999985</v>
      </c>
      <c r="T1034">
        <v>0.32005962521294706</v>
      </c>
      <c r="U1034" s="1">
        <v>45689</v>
      </c>
      <c r="V1034" t="s">
        <v>2499</v>
      </c>
      <c r="W1034">
        <v>2025</v>
      </c>
    </row>
    <row r="1035" spans="1:23" x14ac:dyDescent="0.25">
      <c r="A1035" t="s">
        <v>1082</v>
      </c>
      <c r="B1035" s="1">
        <v>45894</v>
      </c>
      <c r="C1035" s="1">
        <v>45896</v>
      </c>
      <c r="D1035" t="s">
        <v>23</v>
      </c>
      <c r="E1035" t="s">
        <v>24</v>
      </c>
      <c r="F1035" t="s">
        <v>29</v>
      </c>
      <c r="G1035" t="s">
        <v>26</v>
      </c>
      <c r="H1035" t="s">
        <v>30</v>
      </c>
      <c r="I1035">
        <v>4</v>
      </c>
      <c r="J1035">
        <v>0</v>
      </c>
      <c r="K1035">
        <v>24.08</v>
      </c>
      <c r="L1035">
        <v>6.3</v>
      </c>
      <c r="M1035" t="s">
        <v>2473</v>
      </c>
      <c r="N1035" t="s">
        <v>2474</v>
      </c>
      <c r="O1035" t="s">
        <v>2463</v>
      </c>
      <c r="P1035">
        <v>3.62</v>
      </c>
      <c r="Q1035">
        <v>6.03</v>
      </c>
      <c r="R1035">
        <v>14.48</v>
      </c>
      <c r="S1035">
        <v>3.299999999999998</v>
      </c>
      <c r="T1035">
        <v>0.13704318936877069</v>
      </c>
      <c r="U1035" s="1">
        <v>45870</v>
      </c>
      <c r="V1035" t="s">
        <v>2499</v>
      </c>
      <c r="W1035">
        <v>2025</v>
      </c>
    </row>
    <row r="1036" spans="1:23" x14ac:dyDescent="0.25">
      <c r="A1036" t="s">
        <v>1083</v>
      </c>
      <c r="B1036" s="1">
        <v>45494</v>
      </c>
      <c r="C1036" s="1">
        <v>45499</v>
      </c>
      <c r="D1036" t="s">
        <v>23</v>
      </c>
      <c r="E1036" t="s">
        <v>43</v>
      </c>
      <c r="F1036" t="s">
        <v>29</v>
      </c>
      <c r="G1036" t="s">
        <v>16</v>
      </c>
      <c r="H1036" t="s">
        <v>51</v>
      </c>
      <c r="I1036">
        <v>7</v>
      </c>
      <c r="J1036">
        <v>0.1</v>
      </c>
      <c r="K1036">
        <v>81.08</v>
      </c>
      <c r="L1036">
        <v>4.59</v>
      </c>
      <c r="M1036" t="s">
        <v>2475</v>
      </c>
      <c r="N1036" t="s">
        <v>2474</v>
      </c>
      <c r="O1036" t="s">
        <v>2463</v>
      </c>
      <c r="P1036">
        <v>7.93</v>
      </c>
      <c r="Q1036">
        <v>14.78</v>
      </c>
      <c r="R1036">
        <v>55.51</v>
      </c>
      <c r="S1036">
        <v>20.98</v>
      </c>
      <c r="T1036">
        <v>0.258756783423779</v>
      </c>
      <c r="U1036" s="1">
        <v>45474</v>
      </c>
      <c r="V1036" t="s">
        <v>2498</v>
      </c>
      <c r="W1036">
        <v>2024</v>
      </c>
    </row>
    <row r="1037" spans="1:23" x14ac:dyDescent="0.25">
      <c r="A1037" t="s">
        <v>1084</v>
      </c>
      <c r="B1037" s="1">
        <v>45606</v>
      </c>
      <c r="C1037" s="1">
        <v>45612</v>
      </c>
      <c r="D1037" t="s">
        <v>32</v>
      </c>
      <c r="E1037" t="s">
        <v>33</v>
      </c>
      <c r="F1037" t="s">
        <v>25</v>
      </c>
      <c r="G1037" t="s">
        <v>26</v>
      </c>
      <c r="H1037" t="s">
        <v>21</v>
      </c>
      <c r="I1037">
        <v>4</v>
      </c>
      <c r="J1037">
        <v>0.15</v>
      </c>
      <c r="K1037">
        <v>509.08</v>
      </c>
      <c r="L1037">
        <v>13.7</v>
      </c>
      <c r="M1037" t="s">
        <v>2462</v>
      </c>
      <c r="N1037" t="s">
        <v>2458</v>
      </c>
      <c r="O1037" t="s">
        <v>2463</v>
      </c>
      <c r="P1037">
        <v>71.489999999999995</v>
      </c>
      <c r="Q1037">
        <v>112.88</v>
      </c>
      <c r="R1037">
        <v>285.95999999999998</v>
      </c>
      <c r="S1037">
        <v>209.42000000000002</v>
      </c>
      <c r="T1037">
        <v>0.41136952934705751</v>
      </c>
      <c r="U1037" s="1">
        <v>45597</v>
      </c>
      <c r="V1037" t="s">
        <v>2500</v>
      </c>
      <c r="W1037">
        <v>2024</v>
      </c>
    </row>
    <row r="1038" spans="1:23" x14ac:dyDescent="0.25">
      <c r="A1038" t="s">
        <v>1085</v>
      </c>
      <c r="B1038" s="1">
        <v>45431</v>
      </c>
      <c r="C1038" s="1">
        <v>45437</v>
      </c>
      <c r="D1038" t="s">
        <v>47</v>
      </c>
      <c r="E1038" t="s">
        <v>71</v>
      </c>
      <c r="F1038" t="s">
        <v>29</v>
      </c>
      <c r="G1038" t="s">
        <v>20</v>
      </c>
      <c r="H1038" t="s">
        <v>41</v>
      </c>
      <c r="I1038">
        <v>7</v>
      </c>
      <c r="J1038">
        <v>0</v>
      </c>
      <c r="K1038">
        <v>42.03</v>
      </c>
      <c r="L1038">
        <v>4.59</v>
      </c>
      <c r="M1038" t="s">
        <v>2479</v>
      </c>
      <c r="N1038" t="s">
        <v>2474</v>
      </c>
      <c r="O1038" t="s">
        <v>2459</v>
      </c>
      <c r="P1038">
        <v>3.3</v>
      </c>
      <c r="Q1038">
        <v>6.13</v>
      </c>
      <c r="R1038">
        <v>23.099999999999998</v>
      </c>
      <c r="S1038">
        <v>14.340000000000003</v>
      </c>
      <c r="T1038">
        <v>0.3411848679514633</v>
      </c>
      <c r="U1038" s="1">
        <v>45413</v>
      </c>
      <c r="V1038" t="s">
        <v>2499</v>
      </c>
      <c r="W1038">
        <v>2024</v>
      </c>
    </row>
    <row r="1039" spans="1:23" x14ac:dyDescent="0.25">
      <c r="A1039" t="s">
        <v>1086</v>
      </c>
      <c r="B1039" s="1">
        <v>45463</v>
      </c>
      <c r="C1039" s="1">
        <v>45468</v>
      </c>
      <c r="D1039" t="s">
        <v>47</v>
      </c>
      <c r="E1039" t="s">
        <v>71</v>
      </c>
      <c r="F1039" t="s">
        <v>29</v>
      </c>
      <c r="G1039" t="s">
        <v>26</v>
      </c>
      <c r="H1039" t="s">
        <v>39</v>
      </c>
      <c r="I1039">
        <v>1</v>
      </c>
      <c r="J1039">
        <v>0</v>
      </c>
      <c r="K1039">
        <v>203.88</v>
      </c>
      <c r="L1039">
        <v>3.45</v>
      </c>
      <c r="M1039" t="s">
        <v>2471</v>
      </c>
      <c r="N1039" t="s">
        <v>2467</v>
      </c>
      <c r="O1039" t="s">
        <v>2461</v>
      </c>
      <c r="P1039">
        <v>112.09</v>
      </c>
      <c r="Q1039">
        <v>192.47</v>
      </c>
      <c r="R1039">
        <v>112.09</v>
      </c>
      <c r="S1039">
        <v>88.339999999999989</v>
      </c>
      <c r="T1039">
        <v>0.43329409456543061</v>
      </c>
      <c r="U1039" s="1">
        <v>45444</v>
      </c>
      <c r="V1039" t="s">
        <v>2499</v>
      </c>
      <c r="W1039">
        <v>2024</v>
      </c>
    </row>
    <row r="1040" spans="1:23" x14ac:dyDescent="0.25">
      <c r="A1040" t="s">
        <v>1087</v>
      </c>
      <c r="B1040" s="1">
        <v>45366</v>
      </c>
      <c r="C1040" s="1">
        <v>45370</v>
      </c>
      <c r="D1040" t="s">
        <v>32</v>
      </c>
      <c r="E1040" t="s">
        <v>33</v>
      </c>
      <c r="F1040" t="s">
        <v>15</v>
      </c>
      <c r="G1040" t="s">
        <v>26</v>
      </c>
      <c r="H1040" t="s">
        <v>30</v>
      </c>
      <c r="I1040">
        <v>14</v>
      </c>
      <c r="J1040">
        <v>0.05</v>
      </c>
      <c r="K1040">
        <v>77.75</v>
      </c>
      <c r="L1040">
        <v>6.48</v>
      </c>
      <c r="M1040" t="s">
        <v>2473</v>
      </c>
      <c r="N1040" t="s">
        <v>2474</v>
      </c>
      <c r="O1040" t="s">
        <v>2463</v>
      </c>
      <c r="P1040">
        <v>3.62</v>
      </c>
      <c r="Q1040">
        <v>6.03</v>
      </c>
      <c r="R1040">
        <v>50.68</v>
      </c>
      <c r="S1040">
        <v>20.59</v>
      </c>
      <c r="T1040">
        <v>0.26482315112540195</v>
      </c>
      <c r="U1040" s="1">
        <v>45352</v>
      </c>
      <c r="V1040" t="s">
        <v>2498</v>
      </c>
      <c r="W1040">
        <v>2024</v>
      </c>
    </row>
    <row r="1041" spans="1:23" x14ac:dyDescent="0.25">
      <c r="A1041" t="s">
        <v>1088</v>
      </c>
      <c r="B1041" s="1">
        <v>45594</v>
      </c>
      <c r="C1041" s="1">
        <v>45600</v>
      </c>
      <c r="D1041" t="s">
        <v>23</v>
      </c>
      <c r="E1041" t="s">
        <v>24</v>
      </c>
      <c r="F1041" t="s">
        <v>25</v>
      </c>
      <c r="G1041" t="s">
        <v>26</v>
      </c>
      <c r="H1041" t="s">
        <v>34</v>
      </c>
      <c r="I1041">
        <v>4</v>
      </c>
      <c r="J1041">
        <v>0.05</v>
      </c>
      <c r="K1041">
        <v>853.67</v>
      </c>
      <c r="L1041">
        <v>8.2200000000000006</v>
      </c>
      <c r="M1041" t="s">
        <v>2460</v>
      </c>
      <c r="N1041" t="s">
        <v>2458</v>
      </c>
      <c r="O1041" t="s">
        <v>2461</v>
      </c>
      <c r="P1041">
        <v>119.02</v>
      </c>
      <c r="Q1041">
        <v>205.39</v>
      </c>
      <c r="R1041">
        <v>476.08</v>
      </c>
      <c r="S1041">
        <v>369.36999999999995</v>
      </c>
      <c r="T1041">
        <v>0.43268476109035103</v>
      </c>
      <c r="U1041" s="1">
        <v>45566</v>
      </c>
      <c r="V1041" t="s">
        <v>2498</v>
      </c>
      <c r="W1041">
        <v>2024</v>
      </c>
    </row>
    <row r="1042" spans="1:23" x14ac:dyDescent="0.25">
      <c r="A1042" t="s">
        <v>1089</v>
      </c>
      <c r="B1042" s="1">
        <v>45927</v>
      </c>
      <c r="C1042" s="1">
        <v>45933</v>
      </c>
      <c r="D1042" t="s">
        <v>32</v>
      </c>
      <c r="E1042" t="s">
        <v>33</v>
      </c>
      <c r="F1042" t="s">
        <v>15</v>
      </c>
      <c r="G1042" t="s">
        <v>20</v>
      </c>
      <c r="H1042" t="s">
        <v>27</v>
      </c>
      <c r="I1042">
        <v>5</v>
      </c>
      <c r="J1042">
        <v>0</v>
      </c>
      <c r="K1042">
        <v>148.13999999999999</v>
      </c>
      <c r="L1042">
        <v>6.75</v>
      </c>
      <c r="M1042" t="s">
        <v>2478</v>
      </c>
      <c r="N1042" t="s">
        <v>2474</v>
      </c>
      <c r="O1042" t="s">
        <v>2463</v>
      </c>
      <c r="P1042">
        <v>16.760000000000002</v>
      </c>
      <c r="Q1042">
        <v>27.71</v>
      </c>
      <c r="R1042">
        <v>83.800000000000011</v>
      </c>
      <c r="S1042">
        <v>57.589999999999975</v>
      </c>
      <c r="T1042">
        <v>0.38875388146348033</v>
      </c>
      <c r="U1042" s="1">
        <v>45901</v>
      </c>
      <c r="V1042" t="s">
        <v>2499</v>
      </c>
      <c r="W1042">
        <v>2025</v>
      </c>
    </row>
    <row r="1043" spans="1:23" x14ac:dyDescent="0.25">
      <c r="A1043" t="s">
        <v>1090</v>
      </c>
      <c r="B1043" s="1">
        <v>45385</v>
      </c>
      <c r="C1043" s="1">
        <v>45388</v>
      </c>
      <c r="D1043" t="s">
        <v>13</v>
      </c>
      <c r="E1043" t="s">
        <v>36</v>
      </c>
      <c r="F1043" t="s">
        <v>15</v>
      </c>
      <c r="G1043" t="s">
        <v>26</v>
      </c>
      <c r="H1043" t="s">
        <v>65</v>
      </c>
      <c r="I1043">
        <v>1</v>
      </c>
      <c r="J1043">
        <v>0</v>
      </c>
      <c r="K1043">
        <v>285.63</v>
      </c>
      <c r="L1043">
        <v>4.08</v>
      </c>
      <c r="M1043" t="s">
        <v>2457</v>
      </c>
      <c r="N1043" t="s">
        <v>2458</v>
      </c>
      <c r="O1043" t="s">
        <v>2459</v>
      </c>
      <c r="P1043">
        <v>173.56</v>
      </c>
      <c r="Q1043">
        <v>286.14999999999998</v>
      </c>
      <c r="R1043">
        <v>173.56</v>
      </c>
      <c r="S1043">
        <v>107.99</v>
      </c>
      <c r="T1043">
        <v>0.37807653257711021</v>
      </c>
      <c r="U1043" s="1">
        <v>45383</v>
      </c>
      <c r="V1043" t="s">
        <v>2499</v>
      </c>
      <c r="W1043">
        <v>2024</v>
      </c>
    </row>
    <row r="1044" spans="1:23" x14ac:dyDescent="0.25">
      <c r="A1044" t="s">
        <v>1091</v>
      </c>
      <c r="B1044" s="1">
        <v>45727</v>
      </c>
      <c r="C1044" s="1">
        <v>45731</v>
      </c>
      <c r="D1044" t="s">
        <v>13</v>
      </c>
      <c r="E1044" t="s">
        <v>14</v>
      </c>
      <c r="F1044" t="s">
        <v>25</v>
      </c>
      <c r="G1044" t="s">
        <v>26</v>
      </c>
      <c r="H1044" t="s">
        <v>17</v>
      </c>
      <c r="I1044">
        <v>1</v>
      </c>
      <c r="J1044">
        <v>0.05</v>
      </c>
      <c r="K1044">
        <v>115.9</v>
      </c>
      <c r="L1044">
        <v>3.45</v>
      </c>
      <c r="M1044" t="s">
        <v>2472</v>
      </c>
      <c r="N1044" t="s">
        <v>2467</v>
      </c>
      <c r="O1044" t="s">
        <v>2468</v>
      </c>
      <c r="P1044">
        <v>63.69</v>
      </c>
      <c r="Q1044">
        <v>125.5</v>
      </c>
      <c r="R1044">
        <v>63.69</v>
      </c>
      <c r="S1044">
        <v>48.760000000000005</v>
      </c>
      <c r="T1044">
        <v>0.42070750647109578</v>
      </c>
      <c r="U1044" s="1">
        <v>45717</v>
      </c>
      <c r="V1044" t="s">
        <v>2498</v>
      </c>
      <c r="W1044">
        <v>2025</v>
      </c>
    </row>
    <row r="1045" spans="1:23" x14ac:dyDescent="0.25">
      <c r="A1045" t="s">
        <v>1092</v>
      </c>
      <c r="B1045" s="1">
        <v>45565</v>
      </c>
      <c r="C1045" s="1">
        <v>45570</v>
      </c>
      <c r="D1045" t="s">
        <v>13</v>
      </c>
      <c r="E1045" t="s">
        <v>14</v>
      </c>
      <c r="F1045" t="s">
        <v>25</v>
      </c>
      <c r="G1045" t="s">
        <v>26</v>
      </c>
      <c r="H1045" t="s">
        <v>27</v>
      </c>
      <c r="I1045">
        <v>6</v>
      </c>
      <c r="J1045">
        <v>0.1</v>
      </c>
      <c r="K1045">
        <v>157.62</v>
      </c>
      <c r="L1045">
        <v>4.32</v>
      </c>
      <c r="M1045" t="s">
        <v>2478</v>
      </c>
      <c r="N1045" t="s">
        <v>2474</v>
      </c>
      <c r="O1045" t="s">
        <v>2463</v>
      </c>
      <c r="P1045">
        <v>16.760000000000002</v>
      </c>
      <c r="Q1045">
        <v>27.71</v>
      </c>
      <c r="R1045">
        <v>100.56</v>
      </c>
      <c r="S1045">
        <v>52.74</v>
      </c>
      <c r="T1045">
        <v>0.33460220784164446</v>
      </c>
      <c r="U1045" s="1">
        <v>45536</v>
      </c>
      <c r="V1045" t="s">
        <v>2498</v>
      </c>
      <c r="W1045">
        <v>2024</v>
      </c>
    </row>
    <row r="1046" spans="1:23" x14ac:dyDescent="0.25">
      <c r="A1046" t="s">
        <v>1093</v>
      </c>
      <c r="B1046" s="1">
        <v>45635</v>
      </c>
      <c r="C1046" s="1">
        <v>45639</v>
      </c>
      <c r="D1046" t="s">
        <v>13</v>
      </c>
      <c r="E1046" t="s">
        <v>14</v>
      </c>
      <c r="F1046" t="s">
        <v>25</v>
      </c>
      <c r="G1046" t="s">
        <v>26</v>
      </c>
      <c r="H1046" t="s">
        <v>41</v>
      </c>
      <c r="I1046">
        <v>9</v>
      </c>
      <c r="J1046">
        <v>0</v>
      </c>
      <c r="K1046">
        <v>82.07</v>
      </c>
      <c r="L1046">
        <v>5.13</v>
      </c>
      <c r="M1046" t="s">
        <v>2479</v>
      </c>
      <c r="N1046" t="s">
        <v>2474</v>
      </c>
      <c r="O1046" t="s">
        <v>2459</v>
      </c>
      <c r="P1046">
        <v>3.3</v>
      </c>
      <c r="Q1046">
        <v>6.13</v>
      </c>
      <c r="R1046">
        <v>29.7</v>
      </c>
      <c r="S1046">
        <v>47.239999999999988</v>
      </c>
      <c r="T1046">
        <v>0.57560618983794309</v>
      </c>
      <c r="U1046" s="1">
        <v>45627</v>
      </c>
      <c r="V1046" t="s">
        <v>2499</v>
      </c>
      <c r="W1046">
        <v>2024</v>
      </c>
    </row>
    <row r="1047" spans="1:23" x14ac:dyDescent="0.25">
      <c r="A1047" t="s">
        <v>1094</v>
      </c>
      <c r="B1047" s="1">
        <v>45480</v>
      </c>
      <c r="C1047" s="1">
        <v>45486</v>
      </c>
      <c r="D1047" t="s">
        <v>23</v>
      </c>
      <c r="E1047" t="s">
        <v>59</v>
      </c>
      <c r="F1047" t="s">
        <v>15</v>
      </c>
      <c r="G1047" t="s">
        <v>26</v>
      </c>
      <c r="H1047" t="s">
        <v>39</v>
      </c>
      <c r="I1047">
        <v>1</v>
      </c>
      <c r="J1047">
        <v>0</v>
      </c>
      <c r="K1047">
        <v>170.48</v>
      </c>
      <c r="L1047">
        <v>5.75</v>
      </c>
      <c r="M1047" t="s">
        <v>2471</v>
      </c>
      <c r="N1047" t="s">
        <v>2467</v>
      </c>
      <c r="O1047" t="s">
        <v>2461</v>
      </c>
      <c r="P1047">
        <v>112.09</v>
      </c>
      <c r="Q1047">
        <v>192.47</v>
      </c>
      <c r="R1047">
        <v>112.09</v>
      </c>
      <c r="S1047">
        <v>52.639999999999986</v>
      </c>
      <c r="T1047">
        <v>0.30877522290004689</v>
      </c>
      <c r="U1047" s="1">
        <v>45474</v>
      </c>
      <c r="V1047" t="s">
        <v>2499</v>
      </c>
      <c r="W1047">
        <v>2024</v>
      </c>
    </row>
    <row r="1048" spans="1:23" x14ac:dyDescent="0.25">
      <c r="A1048" t="s">
        <v>1095</v>
      </c>
      <c r="B1048" s="1">
        <v>45590</v>
      </c>
      <c r="C1048" s="1">
        <v>45591</v>
      </c>
      <c r="D1048" t="s">
        <v>13</v>
      </c>
      <c r="E1048" t="s">
        <v>36</v>
      </c>
      <c r="F1048" t="s">
        <v>29</v>
      </c>
      <c r="G1048" t="s">
        <v>16</v>
      </c>
      <c r="H1048" t="s">
        <v>60</v>
      </c>
      <c r="I1048">
        <v>3</v>
      </c>
      <c r="J1048">
        <v>0</v>
      </c>
      <c r="K1048">
        <v>372.36</v>
      </c>
      <c r="L1048">
        <v>4.95</v>
      </c>
      <c r="M1048" t="s">
        <v>2469</v>
      </c>
      <c r="N1048" t="s">
        <v>2467</v>
      </c>
      <c r="O1048" t="s">
        <v>2468</v>
      </c>
      <c r="P1048">
        <v>54.95</v>
      </c>
      <c r="Q1048">
        <v>112.56</v>
      </c>
      <c r="R1048">
        <v>164.85000000000002</v>
      </c>
      <c r="S1048">
        <v>202.56</v>
      </c>
      <c r="T1048">
        <v>0.54398968739929099</v>
      </c>
      <c r="U1048" s="1">
        <v>45566</v>
      </c>
      <c r="V1048" t="s">
        <v>2499</v>
      </c>
      <c r="W1048">
        <v>2024</v>
      </c>
    </row>
    <row r="1049" spans="1:23" x14ac:dyDescent="0.25">
      <c r="A1049" t="s">
        <v>1096</v>
      </c>
      <c r="B1049" s="1">
        <v>45791</v>
      </c>
      <c r="C1049" s="1">
        <v>45794</v>
      </c>
      <c r="D1049" t="s">
        <v>32</v>
      </c>
      <c r="E1049" t="s">
        <v>33</v>
      </c>
      <c r="F1049" t="s">
        <v>25</v>
      </c>
      <c r="G1049" t="s">
        <v>16</v>
      </c>
      <c r="H1049" t="s">
        <v>30</v>
      </c>
      <c r="I1049">
        <v>12</v>
      </c>
      <c r="J1049">
        <v>0</v>
      </c>
      <c r="K1049">
        <v>77.290000000000006</v>
      </c>
      <c r="L1049">
        <v>9.9</v>
      </c>
      <c r="M1049" t="s">
        <v>2473</v>
      </c>
      <c r="N1049" t="s">
        <v>2474</v>
      </c>
      <c r="O1049" t="s">
        <v>2463</v>
      </c>
      <c r="P1049">
        <v>3.62</v>
      </c>
      <c r="Q1049">
        <v>6.03</v>
      </c>
      <c r="R1049">
        <v>43.44</v>
      </c>
      <c r="S1049">
        <v>23.95000000000001</v>
      </c>
      <c r="T1049">
        <v>0.30987191098460354</v>
      </c>
      <c r="U1049" s="1">
        <v>45778</v>
      </c>
      <c r="V1049" t="s">
        <v>2499</v>
      </c>
      <c r="W1049">
        <v>2025</v>
      </c>
    </row>
    <row r="1050" spans="1:23" x14ac:dyDescent="0.25">
      <c r="A1050" t="s">
        <v>1097</v>
      </c>
      <c r="B1050" s="1">
        <v>45492</v>
      </c>
      <c r="C1050" s="1">
        <v>45498</v>
      </c>
      <c r="D1050" t="s">
        <v>47</v>
      </c>
      <c r="E1050" t="s">
        <v>71</v>
      </c>
      <c r="F1050" t="s">
        <v>29</v>
      </c>
      <c r="G1050" t="s">
        <v>16</v>
      </c>
      <c r="H1050" t="s">
        <v>53</v>
      </c>
      <c r="I1050">
        <v>3</v>
      </c>
      <c r="J1050">
        <v>0</v>
      </c>
      <c r="K1050">
        <v>148.21</v>
      </c>
      <c r="L1050">
        <v>4.95</v>
      </c>
      <c r="M1050" t="s">
        <v>2470</v>
      </c>
      <c r="N1050" t="s">
        <v>2467</v>
      </c>
      <c r="O1050" t="s">
        <v>2459</v>
      </c>
      <c r="P1050">
        <v>31.34</v>
      </c>
      <c r="Q1050">
        <v>56.49</v>
      </c>
      <c r="R1050">
        <v>94.02</v>
      </c>
      <c r="S1050">
        <v>49.240000000000009</v>
      </c>
      <c r="T1050">
        <v>0.33223129343499092</v>
      </c>
      <c r="U1050" s="1">
        <v>45474</v>
      </c>
      <c r="V1050" t="s">
        <v>2499</v>
      </c>
      <c r="W1050">
        <v>2024</v>
      </c>
    </row>
    <row r="1051" spans="1:23" x14ac:dyDescent="0.25">
      <c r="A1051" t="s">
        <v>1098</v>
      </c>
      <c r="B1051" s="1">
        <v>45710</v>
      </c>
      <c r="C1051" s="1">
        <v>45712</v>
      </c>
      <c r="D1051" t="s">
        <v>47</v>
      </c>
      <c r="E1051" t="s">
        <v>50</v>
      </c>
      <c r="F1051" t="s">
        <v>15</v>
      </c>
      <c r="G1051" t="s">
        <v>20</v>
      </c>
      <c r="H1051" t="s">
        <v>30</v>
      </c>
      <c r="I1051">
        <v>3</v>
      </c>
      <c r="J1051">
        <v>0</v>
      </c>
      <c r="K1051">
        <v>15.72</v>
      </c>
      <c r="L1051">
        <v>5.85</v>
      </c>
      <c r="M1051" t="s">
        <v>2473</v>
      </c>
      <c r="N1051" t="s">
        <v>2474</v>
      </c>
      <c r="O1051" t="s">
        <v>2463</v>
      </c>
      <c r="P1051">
        <v>3.62</v>
      </c>
      <c r="Q1051">
        <v>6.03</v>
      </c>
      <c r="R1051">
        <v>10.86</v>
      </c>
      <c r="S1051">
        <v>-0.98999999999999844</v>
      </c>
      <c r="T1051">
        <v>-6.2977099236641118E-2</v>
      </c>
      <c r="U1051" s="1">
        <v>45689</v>
      </c>
      <c r="V1051" t="s">
        <v>2499</v>
      </c>
      <c r="W1051">
        <v>2025</v>
      </c>
    </row>
    <row r="1052" spans="1:23" x14ac:dyDescent="0.25">
      <c r="A1052" t="s">
        <v>1099</v>
      </c>
      <c r="B1052" s="1">
        <v>45907</v>
      </c>
      <c r="C1052" s="1">
        <v>45908</v>
      </c>
      <c r="D1052" t="s">
        <v>13</v>
      </c>
      <c r="E1052" t="s">
        <v>36</v>
      </c>
      <c r="F1052" t="s">
        <v>15</v>
      </c>
      <c r="G1052" t="s">
        <v>26</v>
      </c>
      <c r="H1052" t="s">
        <v>34</v>
      </c>
      <c r="I1052">
        <v>2</v>
      </c>
      <c r="J1052">
        <v>0.25</v>
      </c>
      <c r="K1052">
        <v>339.85</v>
      </c>
      <c r="L1052">
        <v>5.46</v>
      </c>
      <c r="M1052" t="s">
        <v>2460</v>
      </c>
      <c r="N1052" t="s">
        <v>2458</v>
      </c>
      <c r="O1052" t="s">
        <v>2461</v>
      </c>
      <c r="P1052">
        <v>119.02</v>
      </c>
      <c r="Q1052">
        <v>205.39</v>
      </c>
      <c r="R1052">
        <v>238.04</v>
      </c>
      <c r="S1052">
        <v>96.350000000000037</v>
      </c>
      <c r="T1052">
        <v>0.28350742974841853</v>
      </c>
      <c r="U1052" s="1">
        <v>45901</v>
      </c>
      <c r="V1052" t="s">
        <v>2501</v>
      </c>
      <c r="W1052">
        <v>2025</v>
      </c>
    </row>
    <row r="1053" spans="1:23" x14ac:dyDescent="0.25">
      <c r="A1053" t="s">
        <v>1100</v>
      </c>
      <c r="B1053" s="1">
        <v>45426</v>
      </c>
      <c r="C1053" s="1">
        <v>45429</v>
      </c>
      <c r="D1053" t="s">
        <v>32</v>
      </c>
      <c r="E1053" t="s">
        <v>62</v>
      </c>
      <c r="F1053" t="s">
        <v>15</v>
      </c>
      <c r="G1053" t="s">
        <v>16</v>
      </c>
      <c r="H1053" t="s">
        <v>65</v>
      </c>
      <c r="I1053">
        <v>4</v>
      </c>
      <c r="J1053">
        <v>0</v>
      </c>
      <c r="K1053">
        <v>1225.6400000000001</v>
      </c>
      <c r="L1053">
        <v>8.2200000000000006</v>
      </c>
      <c r="M1053" t="s">
        <v>2457</v>
      </c>
      <c r="N1053" t="s">
        <v>2458</v>
      </c>
      <c r="O1053" t="s">
        <v>2459</v>
      </c>
      <c r="P1053">
        <v>173.56</v>
      </c>
      <c r="Q1053">
        <v>286.14999999999998</v>
      </c>
      <c r="R1053">
        <v>694.24</v>
      </c>
      <c r="S1053">
        <v>523.18000000000006</v>
      </c>
      <c r="T1053">
        <v>0.42686270030351492</v>
      </c>
      <c r="U1053" s="1">
        <v>45413</v>
      </c>
      <c r="V1053" t="s">
        <v>2499</v>
      </c>
      <c r="W1053">
        <v>2024</v>
      </c>
    </row>
    <row r="1054" spans="1:23" x14ac:dyDescent="0.25">
      <c r="A1054" t="s">
        <v>1101</v>
      </c>
      <c r="B1054" s="1">
        <v>45908</v>
      </c>
      <c r="C1054" s="1">
        <v>45913</v>
      </c>
      <c r="D1054" t="s">
        <v>23</v>
      </c>
      <c r="E1054" t="s">
        <v>43</v>
      </c>
      <c r="F1054" t="s">
        <v>29</v>
      </c>
      <c r="G1054" t="s">
        <v>26</v>
      </c>
      <c r="H1054" t="s">
        <v>53</v>
      </c>
      <c r="I1054">
        <v>4</v>
      </c>
      <c r="J1054">
        <v>0</v>
      </c>
      <c r="K1054">
        <v>235.55</v>
      </c>
      <c r="L1054">
        <v>9.5</v>
      </c>
      <c r="M1054" t="s">
        <v>2470</v>
      </c>
      <c r="N1054" t="s">
        <v>2467</v>
      </c>
      <c r="O1054" t="s">
        <v>2459</v>
      </c>
      <c r="P1054">
        <v>31.34</v>
      </c>
      <c r="Q1054">
        <v>56.49</v>
      </c>
      <c r="R1054">
        <v>125.36</v>
      </c>
      <c r="S1054">
        <v>100.69000000000001</v>
      </c>
      <c r="T1054">
        <v>0.42746762895351309</v>
      </c>
      <c r="U1054" s="1">
        <v>45901</v>
      </c>
      <c r="V1054" t="s">
        <v>2499</v>
      </c>
      <c r="W1054">
        <v>2025</v>
      </c>
    </row>
    <row r="1055" spans="1:23" x14ac:dyDescent="0.25">
      <c r="A1055" t="s">
        <v>1102</v>
      </c>
      <c r="B1055" s="1">
        <v>45310</v>
      </c>
      <c r="C1055" s="1">
        <v>45311</v>
      </c>
      <c r="D1055" t="s">
        <v>23</v>
      </c>
      <c r="E1055" t="s">
        <v>43</v>
      </c>
      <c r="F1055" t="s">
        <v>15</v>
      </c>
      <c r="G1055" t="s">
        <v>16</v>
      </c>
      <c r="H1055" t="s">
        <v>60</v>
      </c>
      <c r="I1055">
        <v>4</v>
      </c>
      <c r="J1055">
        <v>0.1</v>
      </c>
      <c r="K1055">
        <v>362.88</v>
      </c>
      <c r="L1055">
        <v>5.7</v>
      </c>
      <c r="M1055" t="s">
        <v>2469</v>
      </c>
      <c r="N1055" t="s">
        <v>2467</v>
      </c>
      <c r="O1055" t="s">
        <v>2468</v>
      </c>
      <c r="P1055">
        <v>54.95</v>
      </c>
      <c r="Q1055">
        <v>112.56</v>
      </c>
      <c r="R1055">
        <v>219.8</v>
      </c>
      <c r="S1055">
        <v>137.38</v>
      </c>
      <c r="T1055">
        <v>0.37858245149911818</v>
      </c>
      <c r="U1055" s="1">
        <v>45292</v>
      </c>
      <c r="V1055" t="s">
        <v>2498</v>
      </c>
      <c r="W1055">
        <v>2024</v>
      </c>
    </row>
    <row r="1056" spans="1:23" x14ac:dyDescent="0.25">
      <c r="A1056" t="s">
        <v>1103</v>
      </c>
      <c r="B1056" s="1">
        <v>45939</v>
      </c>
      <c r="C1056" s="1">
        <v>45940</v>
      </c>
      <c r="D1056" t="s">
        <v>32</v>
      </c>
      <c r="E1056" t="s">
        <v>62</v>
      </c>
      <c r="F1056" t="s">
        <v>15</v>
      </c>
      <c r="G1056" t="s">
        <v>16</v>
      </c>
      <c r="H1056" t="s">
        <v>30</v>
      </c>
      <c r="I1056">
        <v>8</v>
      </c>
      <c r="J1056">
        <v>0</v>
      </c>
      <c r="K1056">
        <v>59.1</v>
      </c>
      <c r="L1056">
        <v>4.8600000000000003</v>
      </c>
      <c r="M1056" t="s">
        <v>2473</v>
      </c>
      <c r="N1056" t="s">
        <v>2474</v>
      </c>
      <c r="O1056" t="s">
        <v>2463</v>
      </c>
      <c r="P1056">
        <v>3.62</v>
      </c>
      <c r="Q1056">
        <v>6.03</v>
      </c>
      <c r="R1056">
        <v>28.96</v>
      </c>
      <c r="S1056">
        <v>25.28</v>
      </c>
      <c r="T1056">
        <v>0.42774957698815569</v>
      </c>
      <c r="U1056" s="1">
        <v>45931</v>
      </c>
      <c r="V1056" t="s">
        <v>2499</v>
      </c>
      <c r="W1056">
        <v>2025</v>
      </c>
    </row>
    <row r="1057" spans="1:23" x14ac:dyDescent="0.25">
      <c r="A1057" t="s">
        <v>1104</v>
      </c>
      <c r="B1057" s="1">
        <v>45743</v>
      </c>
      <c r="C1057" s="1">
        <v>45746</v>
      </c>
      <c r="D1057" t="s">
        <v>13</v>
      </c>
      <c r="E1057" t="s">
        <v>14</v>
      </c>
      <c r="F1057" t="s">
        <v>15</v>
      </c>
      <c r="G1057" t="s">
        <v>20</v>
      </c>
      <c r="H1057" t="s">
        <v>27</v>
      </c>
      <c r="I1057">
        <v>10</v>
      </c>
      <c r="J1057">
        <v>0</v>
      </c>
      <c r="K1057">
        <v>253.53</v>
      </c>
      <c r="L1057">
        <v>5.4</v>
      </c>
      <c r="M1057" t="s">
        <v>2478</v>
      </c>
      <c r="N1057" t="s">
        <v>2474</v>
      </c>
      <c r="O1057" t="s">
        <v>2463</v>
      </c>
      <c r="P1057">
        <v>16.760000000000002</v>
      </c>
      <c r="Q1057">
        <v>27.71</v>
      </c>
      <c r="R1057">
        <v>167.60000000000002</v>
      </c>
      <c r="S1057">
        <v>80.529999999999973</v>
      </c>
      <c r="T1057">
        <v>0.31763499388632499</v>
      </c>
      <c r="U1057" s="1">
        <v>45717</v>
      </c>
      <c r="V1057" t="s">
        <v>2499</v>
      </c>
      <c r="W1057">
        <v>2025</v>
      </c>
    </row>
    <row r="1058" spans="1:23" x14ac:dyDescent="0.25">
      <c r="A1058" t="s">
        <v>1105</v>
      </c>
      <c r="B1058" s="1">
        <v>45417</v>
      </c>
      <c r="C1058" s="1">
        <v>45421</v>
      </c>
      <c r="D1058" t="s">
        <v>32</v>
      </c>
      <c r="E1058" t="s">
        <v>62</v>
      </c>
      <c r="F1058" t="s">
        <v>25</v>
      </c>
      <c r="G1058" t="s">
        <v>26</v>
      </c>
      <c r="H1058" t="s">
        <v>65</v>
      </c>
      <c r="I1058">
        <v>4</v>
      </c>
      <c r="J1058">
        <v>0.25</v>
      </c>
      <c r="K1058">
        <v>924.38</v>
      </c>
      <c r="L1058">
        <v>8.2200000000000006</v>
      </c>
      <c r="M1058" t="s">
        <v>2457</v>
      </c>
      <c r="N1058" t="s">
        <v>2458</v>
      </c>
      <c r="O1058" t="s">
        <v>2459</v>
      </c>
      <c r="P1058">
        <v>173.56</v>
      </c>
      <c r="Q1058">
        <v>286.14999999999998</v>
      </c>
      <c r="R1058">
        <v>694.24</v>
      </c>
      <c r="S1058">
        <v>221.92</v>
      </c>
      <c r="T1058">
        <v>0.24007442826543196</v>
      </c>
      <c r="U1058" s="1">
        <v>45413</v>
      </c>
      <c r="V1058" t="s">
        <v>2501</v>
      </c>
      <c r="W1058">
        <v>2024</v>
      </c>
    </row>
    <row r="1059" spans="1:23" x14ac:dyDescent="0.25">
      <c r="A1059" t="s">
        <v>1106</v>
      </c>
      <c r="B1059" s="1">
        <v>45993</v>
      </c>
      <c r="C1059" s="1">
        <v>45997</v>
      </c>
      <c r="D1059" t="s">
        <v>47</v>
      </c>
      <c r="E1059" t="s">
        <v>50</v>
      </c>
      <c r="F1059" t="s">
        <v>15</v>
      </c>
      <c r="G1059" t="s">
        <v>16</v>
      </c>
      <c r="H1059" t="s">
        <v>41</v>
      </c>
      <c r="I1059">
        <v>5</v>
      </c>
      <c r="J1059">
        <v>0.15</v>
      </c>
      <c r="K1059">
        <v>37.9</v>
      </c>
      <c r="L1059">
        <v>6.75</v>
      </c>
      <c r="M1059" t="s">
        <v>2479</v>
      </c>
      <c r="N1059" t="s">
        <v>2474</v>
      </c>
      <c r="O1059" t="s">
        <v>2459</v>
      </c>
      <c r="P1059">
        <v>3.3</v>
      </c>
      <c r="Q1059">
        <v>6.13</v>
      </c>
      <c r="R1059">
        <v>16.5</v>
      </c>
      <c r="S1059">
        <v>14.649999999999999</v>
      </c>
      <c r="T1059">
        <v>0.38654353562005273</v>
      </c>
      <c r="U1059" s="1">
        <v>45992</v>
      </c>
      <c r="V1059" t="s">
        <v>2500</v>
      </c>
      <c r="W1059">
        <v>2025</v>
      </c>
    </row>
    <row r="1060" spans="1:23" x14ac:dyDescent="0.25">
      <c r="A1060" t="s">
        <v>1107</v>
      </c>
      <c r="B1060" s="1">
        <v>45533</v>
      </c>
      <c r="C1060" s="1">
        <v>45536</v>
      </c>
      <c r="D1060" t="s">
        <v>47</v>
      </c>
      <c r="E1060" t="s">
        <v>50</v>
      </c>
      <c r="F1060" t="s">
        <v>15</v>
      </c>
      <c r="G1060" t="s">
        <v>20</v>
      </c>
      <c r="H1060" t="s">
        <v>60</v>
      </c>
      <c r="I1060">
        <v>3</v>
      </c>
      <c r="J1060">
        <v>0</v>
      </c>
      <c r="K1060">
        <v>306.14</v>
      </c>
      <c r="L1060">
        <v>4.95</v>
      </c>
      <c r="M1060" t="s">
        <v>2469</v>
      </c>
      <c r="N1060" t="s">
        <v>2467</v>
      </c>
      <c r="O1060" t="s">
        <v>2468</v>
      </c>
      <c r="P1060">
        <v>54.95</v>
      </c>
      <c r="Q1060">
        <v>112.56</v>
      </c>
      <c r="R1060">
        <v>164.85000000000002</v>
      </c>
      <c r="S1060">
        <v>136.33999999999997</v>
      </c>
      <c r="T1060">
        <v>0.445351799830143</v>
      </c>
      <c r="U1060" s="1">
        <v>45505</v>
      </c>
      <c r="V1060" t="s">
        <v>2499</v>
      </c>
      <c r="W1060">
        <v>2024</v>
      </c>
    </row>
    <row r="1061" spans="1:23" x14ac:dyDescent="0.25">
      <c r="A1061" t="s">
        <v>1108</v>
      </c>
      <c r="B1061" s="1">
        <v>45948</v>
      </c>
      <c r="C1061" s="1">
        <v>45952</v>
      </c>
      <c r="D1061" t="s">
        <v>23</v>
      </c>
      <c r="E1061" t="s">
        <v>24</v>
      </c>
      <c r="F1061" t="s">
        <v>25</v>
      </c>
      <c r="G1061" t="s">
        <v>16</v>
      </c>
      <c r="H1061" t="s">
        <v>60</v>
      </c>
      <c r="I1061">
        <v>1</v>
      </c>
      <c r="J1061">
        <v>0.1</v>
      </c>
      <c r="K1061">
        <v>118.15</v>
      </c>
      <c r="L1061">
        <v>5.75</v>
      </c>
      <c r="M1061" t="s">
        <v>2469</v>
      </c>
      <c r="N1061" t="s">
        <v>2467</v>
      </c>
      <c r="O1061" t="s">
        <v>2468</v>
      </c>
      <c r="P1061">
        <v>54.95</v>
      </c>
      <c r="Q1061">
        <v>112.56</v>
      </c>
      <c r="R1061">
        <v>54.95</v>
      </c>
      <c r="S1061">
        <v>57.45</v>
      </c>
      <c r="T1061">
        <v>0.48624629707998307</v>
      </c>
      <c r="U1061" s="1">
        <v>45931</v>
      </c>
      <c r="V1061" t="s">
        <v>2498</v>
      </c>
      <c r="W1061">
        <v>2025</v>
      </c>
    </row>
    <row r="1062" spans="1:23" x14ac:dyDescent="0.25">
      <c r="A1062" t="s">
        <v>1109</v>
      </c>
      <c r="B1062" s="1">
        <v>45976</v>
      </c>
      <c r="C1062" s="1">
        <v>45982</v>
      </c>
      <c r="D1062" t="s">
        <v>32</v>
      </c>
      <c r="E1062" t="s">
        <v>45</v>
      </c>
      <c r="F1062" t="s">
        <v>15</v>
      </c>
      <c r="G1062" t="s">
        <v>16</v>
      </c>
      <c r="H1062" t="s">
        <v>27</v>
      </c>
      <c r="I1062">
        <v>9</v>
      </c>
      <c r="J1062">
        <v>0</v>
      </c>
      <c r="K1062">
        <v>349.85</v>
      </c>
      <c r="L1062">
        <v>8.5500000000000007</v>
      </c>
      <c r="M1062" t="s">
        <v>2478</v>
      </c>
      <c r="N1062" t="s">
        <v>2474</v>
      </c>
      <c r="O1062" t="s">
        <v>2463</v>
      </c>
      <c r="P1062">
        <v>16.760000000000002</v>
      </c>
      <c r="Q1062">
        <v>27.71</v>
      </c>
      <c r="R1062">
        <v>150.84</v>
      </c>
      <c r="S1062">
        <v>190.46</v>
      </c>
      <c r="T1062">
        <v>0.54440474489066737</v>
      </c>
      <c r="U1062" s="1">
        <v>45962</v>
      </c>
      <c r="V1062" t="s">
        <v>2499</v>
      </c>
      <c r="W1062">
        <v>2025</v>
      </c>
    </row>
    <row r="1063" spans="1:23" x14ac:dyDescent="0.25">
      <c r="A1063" t="s">
        <v>1110</v>
      </c>
      <c r="B1063" s="1">
        <v>45688</v>
      </c>
      <c r="C1063" s="1">
        <v>45691</v>
      </c>
      <c r="D1063" t="s">
        <v>13</v>
      </c>
      <c r="E1063" t="s">
        <v>19</v>
      </c>
      <c r="F1063" t="s">
        <v>29</v>
      </c>
      <c r="G1063" t="s">
        <v>26</v>
      </c>
      <c r="H1063" t="s">
        <v>21</v>
      </c>
      <c r="I1063">
        <v>1</v>
      </c>
      <c r="J1063">
        <v>0.05</v>
      </c>
      <c r="K1063">
        <v>98.12</v>
      </c>
      <c r="L1063">
        <v>4.08</v>
      </c>
      <c r="M1063" t="s">
        <v>2462</v>
      </c>
      <c r="N1063" t="s">
        <v>2458</v>
      </c>
      <c r="O1063" t="s">
        <v>2463</v>
      </c>
      <c r="P1063">
        <v>71.489999999999995</v>
      </c>
      <c r="Q1063">
        <v>112.88</v>
      </c>
      <c r="R1063">
        <v>71.489999999999995</v>
      </c>
      <c r="S1063">
        <v>22.550000000000011</v>
      </c>
      <c r="T1063">
        <v>0.22982062780269069</v>
      </c>
      <c r="U1063" s="1">
        <v>45658</v>
      </c>
      <c r="V1063" t="s">
        <v>2498</v>
      </c>
      <c r="W1063">
        <v>2025</v>
      </c>
    </row>
    <row r="1064" spans="1:23" x14ac:dyDescent="0.25">
      <c r="A1064" t="s">
        <v>1111</v>
      </c>
      <c r="B1064" s="1">
        <v>45444</v>
      </c>
      <c r="C1064" s="1">
        <v>45445</v>
      </c>
      <c r="D1064" t="s">
        <v>23</v>
      </c>
      <c r="E1064" t="s">
        <v>43</v>
      </c>
      <c r="F1064" t="s">
        <v>29</v>
      </c>
      <c r="G1064" t="s">
        <v>26</v>
      </c>
      <c r="H1064" t="s">
        <v>27</v>
      </c>
      <c r="I1064">
        <v>23</v>
      </c>
      <c r="J1064">
        <v>0.15</v>
      </c>
      <c r="K1064">
        <v>558.91</v>
      </c>
      <c r="L1064">
        <v>14.85</v>
      </c>
      <c r="M1064" t="s">
        <v>2478</v>
      </c>
      <c r="N1064" t="s">
        <v>2474</v>
      </c>
      <c r="O1064" t="s">
        <v>2463</v>
      </c>
      <c r="P1064">
        <v>16.760000000000002</v>
      </c>
      <c r="Q1064">
        <v>27.71</v>
      </c>
      <c r="R1064">
        <v>385.48</v>
      </c>
      <c r="S1064">
        <v>158.57999999999996</v>
      </c>
      <c r="T1064">
        <v>0.28373083322896347</v>
      </c>
      <c r="U1064" s="1">
        <v>45444</v>
      </c>
      <c r="V1064" t="s">
        <v>2500</v>
      </c>
      <c r="W1064">
        <v>2024</v>
      </c>
    </row>
    <row r="1065" spans="1:23" x14ac:dyDescent="0.25">
      <c r="A1065" t="s">
        <v>1112</v>
      </c>
      <c r="B1065" s="1">
        <v>46011</v>
      </c>
      <c r="C1065" s="1">
        <v>46013</v>
      </c>
      <c r="D1065" t="s">
        <v>32</v>
      </c>
      <c r="E1065" t="s">
        <v>33</v>
      </c>
      <c r="F1065" t="s">
        <v>15</v>
      </c>
      <c r="G1065" t="s">
        <v>16</v>
      </c>
      <c r="H1065" t="s">
        <v>21</v>
      </c>
      <c r="I1065">
        <v>3</v>
      </c>
      <c r="J1065">
        <v>0.25</v>
      </c>
      <c r="K1065">
        <v>371.06</v>
      </c>
      <c r="L1065">
        <v>11.4</v>
      </c>
      <c r="M1065" t="s">
        <v>2462</v>
      </c>
      <c r="N1065" t="s">
        <v>2458</v>
      </c>
      <c r="O1065" t="s">
        <v>2463</v>
      </c>
      <c r="P1065">
        <v>71.489999999999995</v>
      </c>
      <c r="Q1065">
        <v>112.88</v>
      </c>
      <c r="R1065">
        <v>214.46999999999997</v>
      </c>
      <c r="S1065">
        <v>145.19000000000003</v>
      </c>
      <c r="T1065">
        <v>0.39128442839432981</v>
      </c>
      <c r="U1065" s="1">
        <v>45992</v>
      </c>
      <c r="V1065" t="s">
        <v>2501</v>
      </c>
      <c r="W1065">
        <v>2025</v>
      </c>
    </row>
    <row r="1066" spans="1:23" x14ac:dyDescent="0.25">
      <c r="A1066" t="s">
        <v>1113</v>
      </c>
      <c r="B1066" s="1">
        <v>45902</v>
      </c>
      <c r="C1066" s="1">
        <v>45908</v>
      </c>
      <c r="D1066" t="s">
        <v>32</v>
      </c>
      <c r="E1066" t="s">
        <v>45</v>
      </c>
      <c r="F1066" t="s">
        <v>29</v>
      </c>
      <c r="G1066" t="s">
        <v>16</v>
      </c>
      <c r="H1066" t="s">
        <v>21</v>
      </c>
      <c r="I1066">
        <v>3</v>
      </c>
      <c r="J1066">
        <v>0.25</v>
      </c>
      <c r="K1066">
        <v>275.62</v>
      </c>
      <c r="L1066">
        <v>11.4</v>
      </c>
      <c r="M1066" t="s">
        <v>2462</v>
      </c>
      <c r="N1066" t="s">
        <v>2458</v>
      </c>
      <c r="O1066" t="s">
        <v>2463</v>
      </c>
      <c r="P1066">
        <v>71.489999999999995</v>
      </c>
      <c r="Q1066">
        <v>112.88</v>
      </c>
      <c r="R1066">
        <v>214.46999999999997</v>
      </c>
      <c r="S1066">
        <v>49.750000000000036</v>
      </c>
      <c r="T1066">
        <v>0.18050214062840156</v>
      </c>
      <c r="U1066" s="1">
        <v>45901</v>
      </c>
      <c r="V1066" t="s">
        <v>2501</v>
      </c>
      <c r="W1066">
        <v>2025</v>
      </c>
    </row>
    <row r="1067" spans="1:23" x14ac:dyDescent="0.25">
      <c r="A1067" t="s">
        <v>1114</v>
      </c>
      <c r="B1067" s="1">
        <v>45360</v>
      </c>
      <c r="C1067" s="1">
        <v>45361</v>
      </c>
      <c r="D1067" t="s">
        <v>13</v>
      </c>
      <c r="E1067" t="s">
        <v>36</v>
      </c>
      <c r="F1067" t="s">
        <v>29</v>
      </c>
      <c r="G1067" t="s">
        <v>20</v>
      </c>
      <c r="H1067" t="s">
        <v>87</v>
      </c>
      <c r="I1067">
        <v>10</v>
      </c>
      <c r="J1067">
        <v>0.05</v>
      </c>
      <c r="K1067">
        <v>70.31</v>
      </c>
      <c r="L1067">
        <v>5.4</v>
      </c>
      <c r="M1067" t="s">
        <v>2476</v>
      </c>
      <c r="N1067" t="s">
        <v>2474</v>
      </c>
      <c r="O1067" t="s">
        <v>2459</v>
      </c>
      <c r="P1067">
        <v>4.5</v>
      </c>
      <c r="Q1067">
        <v>8.2899999999999991</v>
      </c>
      <c r="R1067">
        <v>45</v>
      </c>
      <c r="S1067">
        <v>19.910000000000004</v>
      </c>
      <c r="T1067">
        <v>0.28317451287156881</v>
      </c>
      <c r="U1067" s="1">
        <v>45352</v>
      </c>
      <c r="V1067" t="s">
        <v>2498</v>
      </c>
      <c r="W1067">
        <v>2024</v>
      </c>
    </row>
    <row r="1068" spans="1:23" x14ac:dyDescent="0.25">
      <c r="A1068" t="s">
        <v>1115</v>
      </c>
      <c r="B1068" s="1">
        <v>45472</v>
      </c>
      <c r="C1068" s="1">
        <v>45475</v>
      </c>
      <c r="D1068" t="s">
        <v>13</v>
      </c>
      <c r="E1068" t="s">
        <v>14</v>
      </c>
      <c r="F1068" t="s">
        <v>25</v>
      </c>
      <c r="G1068" t="s">
        <v>26</v>
      </c>
      <c r="H1068" t="s">
        <v>39</v>
      </c>
      <c r="I1068">
        <v>4</v>
      </c>
      <c r="J1068">
        <v>0.1</v>
      </c>
      <c r="K1068">
        <v>742.74</v>
      </c>
      <c r="L1068">
        <v>5.7</v>
      </c>
      <c r="M1068" t="s">
        <v>2471</v>
      </c>
      <c r="N1068" t="s">
        <v>2467</v>
      </c>
      <c r="O1068" t="s">
        <v>2461</v>
      </c>
      <c r="P1068">
        <v>112.09</v>
      </c>
      <c r="Q1068">
        <v>192.47</v>
      </c>
      <c r="R1068">
        <v>448.36</v>
      </c>
      <c r="S1068">
        <v>288.68</v>
      </c>
      <c r="T1068">
        <v>0.38866898241645798</v>
      </c>
      <c r="U1068" s="1">
        <v>45444</v>
      </c>
      <c r="V1068" t="s">
        <v>2498</v>
      </c>
      <c r="W1068">
        <v>2024</v>
      </c>
    </row>
    <row r="1069" spans="1:23" x14ac:dyDescent="0.25">
      <c r="A1069" t="s">
        <v>1116</v>
      </c>
      <c r="B1069" s="1">
        <v>45385</v>
      </c>
      <c r="C1069" s="1">
        <v>45389</v>
      </c>
      <c r="D1069" t="s">
        <v>13</v>
      </c>
      <c r="E1069" t="s">
        <v>14</v>
      </c>
      <c r="F1069" t="s">
        <v>15</v>
      </c>
      <c r="G1069" t="s">
        <v>20</v>
      </c>
      <c r="H1069" t="s">
        <v>53</v>
      </c>
      <c r="I1069">
        <v>2</v>
      </c>
      <c r="J1069">
        <v>0.1</v>
      </c>
      <c r="K1069">
        <v>96.48</v>
      </c>
      <c r="L1069">
        <v>4.2</v>
      </c>
      <c r="M1069" t="s">
        <v>2470</v>
      </c>
      <c r="N1069" t="s">
        <v>2467</v>
      </c>
      <c r="O1069" t="s">
        <v>2459</v>
      </c>
      <c r="P1069">
        <v>31.34</v>
      </c>
      <c r="Q1069">
        <v>56.49</v>
      </c>
      <c r="R1069">
        <v>62.68</v>
      </c>
      <c r="S1069">
        <v>29.600000000000005</v>
      </c>
      <c r="T1069">
        <v>0.30679933665008297</v>
      </c>
      <c r="U1069" s="1">
        <v>45383</v>
      </c>
      <c r="V1069" t="s">
        <v>2498</v>
      </c>
      <c r="W1069">
        <v>2024</v>
      </c>
    </row>
    <row r="1070" spans="1:23" x14ac:dyDescent="0.25">
      <c r="A1070" t="s">
        <v>1117</v>
      </c>
      <c r="B1070" s="1">
        <v>45840</v>
      </c>
      <c r="C1070" s="1">
        <v>45842</v>
      </c>
      <c r="D1070" t="s">
        <v>23</v>
      </c>
      <c r="E1070" t="s">
        <v>24</v>
      </c>
      <c r="F1070" t="s">
        <v>15</v>
      </c>
      <c r="G1070" t="s">
        <v>26</v>
      </c>
      <c r="H1070" t="s">
        <v>34</v>
      </c>
      <c r="I1070">
        <v>2</v>
      </c>
      <c r="J1070">
        <v>0.15</v>
      </c>
      <c r="K1070">
        <v>334.02</v>
      </c>
      <c r="L1070">
        <v>9.1</v>
      </c>
      <c r="M1070" t="s">
        <v>2460</v>
      </c>
      <c r="N1070" t="s">
        <v>2458</v>
      </c>
      <c r="O1070" t="s">
        <v>2461</v>
      </c>
      <c r="P1070">
        <v>119.02</v>
      </c>
      <c r="Q1070">
        <v>205.39</v>
      </c>
      <c r="R1070">
        <v>238.04</v>
      </c>
      <c r="S1070">
        <v>86.88</v>
      </c>
      <c r="T1070">
        <v>0.26010418537812108</v>
      </c>
      <c r="U1070" s="1">
        <v>45839</v>
      </c>
      <c r="V1070" t="s">
        <v>2500</v>
      </c>
      <c r="W1070">
        <v>2025</v>
      </c>
    </row>
    <row r="1071" spans="1:23" x14ac:dyDescent="0.25">
      <c r="A1071" t="s">
        <v>1118</v>
      </c>
      <c r="B1071" s="1">
        <v>45363</v>
      </c>
      <c r="C1071" s="1">
        <v>45364</v>
      </c>
      <c r="D1071" t="s">
        <v>32</v>
      </c>
      <c r="E1071" t="s">
        <v>62</v>
      </c>
      <c r="F1071" t="s">
        <v>25</v>
      </c>
      <c r="G1071" t="s">
        <v>20</v>
      </c>
      <c r="H1071" t="s">
        <v>37</v>
      </c>
      <c r="I1071">
        <v>4</v>
      </c>
      <c r="J1071">
        <v>0</v>
      </c>
      <c r="K1071">
        <v>411.45</v>
      </c>
      <c r="L1071">
        <v>13.7</v>
      </c>
      <c r="M1071" t="s">
        <v>2464</v>
      </c>
      <c r="N1071" t="s">
        <v>2458</v>
      </c>
      <c r="O1071" t="s">
        <v>2465</v>
      </c>
      <c r="P1071">
        <v>63.6</v>
      </c>
      <c r="Q1071">
        <v>107.94</v>
      </c>
      <c r="R1071">
        <v>254.4</v>
      </c>
      <c r="S1071">
        <v>143.35</v>
      </c>
      <c r="T1071">
        <v>0.348401992951756</v>
      </c>
      <c r="U1071" s="1">
        <v>45352</v>
      </c>
      <c r="V1071" t="s">
        <v>2499</v>
      </c>
      <c r="W1071">
        <v>2024</v>
      </c>
    </row>
    <row r="1072" spans="1:23" x14ac:dyDescent="0.25">
      <c r="A1072" t="s">
        <v>1119</v>
      </c>
      <c r="B1072" s="1">
        <v>45591</v>
      </c>
      <c r="C1072" s="1">
        <v>45596</v>
      </c>
      <c r="D1072" t="s">
        <v>23</v>
      </c>
      <c r="E1072" t="s">
        <v>24</v>
      </c>
      <c r="F1072" t="s">
        <v>25</v>
      </c>
      <c r="G1072" t="s">
        <v>20</v>
      </c>
      <c r="H1072" t="s">
        <v>37</v>
      </c>
      <c r="I1072">
        <v>4</v>
      </c>
      <c r="J1072">
        <v>0</v>
      </c>
      <c r="K1072">
        <v>499.17</v>
      </c>
      <c r="L1072">
        <v>8.2200000000000006</v>
      </c>
      <c r="M1072" t="s">
        <v>2464</v>
      </c>
      <c r="N1072" t="s">
        <v>2458</v>
      </c>
      <c r="O1072" t="s">
        <v>2465</v>
      </c>
      <c r="P1072">
        <v>63.6</v>
      </c>
      <c r="Q1072">
        <v>107.94</v>
      </c>
      <c r="R1072">
        <v>254.4</v>
      </c>
      <c r="S1072">
        <v>236.55</v>
      </c>
      <c r="T1072">
        <v>0.4738866518420578</v>
      </c>
      <c r="U1072" s="1">
        <v>45566</v>
      </c>
      <c r="V1072" t="s">
        <v>2499</v>
      </c>
      <c r="W1072">
        <v>2024</v>
      </c>
    </row>
    <row r="1073" spans="1:23" x14ac:dyDescent="0.25">
      <c r="A1073" t="s">
        <v>1120</v>
      </c>
      <c r="B1073" s="1">
        <v>45969</v>
      </c>
      <c r="C1073" s="1">
        <v>45970</v>
      </c>
      <c r="D1073" t="s">
        <v>32</v>
      </c>
      <c r="E1073" t="s">
        <v>62</v>
      </c>
      <c r="F1073" t="s">
        <v>25</v>
      </c>
      <c r="G1073" t="s">
        <v>26</v>
      </c>
      <c r="H1073" t="s">
        <v>37</v>
      </c>
      <c r="I1073">
        <v>4</v>
      </c>
      <c r="J1073">
        <v>0</v>
      </c>
      <c r="K1073">
        <v>548.89</v>
      </c>
      <c r="L1073">
        <v>13.7</v>
      </c>
      <c r="M1073" t="s">
        <v>2464</v>
      </c>
      <c r="N1073" t="s">
        <v>2458</v>
      </c>
      <c r="O1073" t="s">
        <v>2465</v>
      </c>
      <c r="P1073">
        <v>63.6</v>
      </c>
      <c r="Q1073">
        <v>107.94</v>
      </c>
      <c r="R1073">
        <v>254.4</v>
      </c>
      <c r="S1073">
        <v>280.79000000000002</v>
      </c>
      <c r="T1073">
        <v>0.51155969319900163</v>
      </c>
      <c r="U1073" s="1">
        <v>45962</v>
      </c>
      <c r="V1073" t="s">
        <v>2499</v>
      </c>
      <c r="W1073">
        <v>2025</v>
      </c>
    </row>
    <row r="1074" spans="1:23" x14ac:dyDescent="0.25">
      <c r="A1074" t="s">
        <v>1121</v>
      </c>
      <c r="B1074" s="1">
        <v>45510</v>
      </c>
      <c r="C1074" s="1">
        <v>45513</v>
      </c>
      <c r="D1074" t="s">
        <v>47</v>
      </c>
      <c r="E1074" t="s">
        <v>50</v>
      </c>
      <c r="F1074" t="s">
        <v>25</v>
      </c>
      <c r="G1074" t="s">
        <v>16</v>
      </c>
      <c r="H1074" t="s">
        <v>30</v>
      </c>
      <c r="I1074">
        <v>5</v>
      </c>
      <c r="J1074">
        <v>0.15</v>
      </c>
      <c r="K1074">
        <v>23.98</v>
      </c>
      <c r="L1074">
        <v>4.05</v>
      </c>
      <c r="M1074" t="s">
        <v>2473</v>
      </c>
      <c r="N1074" t="s">
        <v>2474</v>
      </c>
      <c r="O1074" t="s">
        <v>2463</v>
      </c>
      <c r="P1074">
        <v>3.62</v>
      </c>
      <c r="Q1074">
        <v>6.03</v>
      </c>
      <c r="R1074">
        <v>18.100000000000001</v>
      </c>
      <c r="S1074">
        <v>1.8299999999999992</v>
      </c>
      <c r="T1074">
        <v>7.6313594662218487E-2</v>
      </c>
      <c r="U1074" s="1">
        <v>45505</v>
      </c>
      <c r="V1074" t="s">
        <v>2500</v>
      </c>
      <c r="W1074">
        <v>2024</v>
      </c>
    </row>
    <row r="1075" spans="1:23" x14ac:dyDescent="0.25">
      <c r="A1075" t="s">
        <v>1122</v>
      </c>
      <c r="B1075" s="1">
        <v>45769</v>
      </c>
      <c r="C1075" s="1">
        <v>45773</v>
      </c>
      <c r="D1075" t="s">
        <v>23</v>
      </c>
      <c r="E1075" t="s">
        <v>24</v>
      </c>
      <c r="F1075" t="s">
        <v>29</v>
      </c>
      <c r="G1075" t="s">
        <v>20</v>
      </c>
      <c r="H1075" t="s">
        <v>41</v>
      </c>
      <c r="I1075">
        <v>10</v>
      </c>
      <c r="J1075">
        <v>0</v>
      </c>
      <c r="K1075">
        <v>60.68</v>
      </c>
      <c r="L1075">
        <v>5.4</v>
      </c>
      <c r="M1075" t="s">
        <v>2479</v>
      </c>
      <c r="N1075" t="s">
        <v>2474</v>
      </c>
      <c r="O1075" t="s">
        <v>2459</v>
      </c>
      <c r="P1075">
        <v>3.3</v>
      </c>
      <c r="Q1075">
        <v>6.13</v>
      </c>
      <c r="R1075">
        <v>33</v>
      </c>
      <c r="S1075">
        <v>22.28</v>
      </c>
      <c r="T1075">
        <v>0.36717205009887938</v>
      </c>
      <c r="U1075" s="1">
        <v>45748</v>
      </c>
      <c r="V1075" t="s">
        <v>2499</v>
      </c>
      <c r="W1075">
        <v>2025</v>
      </c>
    </row>
    <row r="1076" spans="1:23" x14ac:dyDescent="0.25">
      <c r="A1076" t="s">
        <v>1123</v>
      </c>
      <c r="B1076" s="1">
        <v>45613</v>
      </c>
      <c r="C1076" s="1">
        <v>45619</v>
      </c>
      <c r="D1076" t="s">
        <v>13</v>
      </c>
      <c r="E1076" t="s">
        <v>14</v>
      </c>
      <c r="F1076" t="s">
        <v>25</v>
      </c>
      <c r="G1076" t="s">
        <v>16</v>
      </c>
      <c r="H1076" t="s">
        <v>27</v>
      </c>
      <c r="I1076">
        <v>11</v>
      </c>
      <c r="J1076">
        <v>0</v>
      </c>
      <c r="K1076">
        <v>403.42</v>
      </c>
      <c r="L1076">
        <v>9.4499999999999993</v>
      </c>
      <c r="M1076" t="s">
        <v>2478</v>
      </c>
      <c r="N1076" t="s">
        <v>2474</v>
      </c>
      <c r="O1076" t="s">
        <v>2463</v>
      </c>
      <c r="P1076">
        <v>16.760000000000002</v>
      </c>
      <c r="Q1076">
        <v>27.71</v>
      </c>
      <c r="R1076">
        <v>184.36</v>
      </c>
      <c r="S1076">
        <v>209.61</v>
      </c>
      <c r="T1076">
        <v>0.51958256903475286</v>
      </c>
      <c r="U1076" s="1">
        <v>45597</v>
      </c>
      <c r="V1076" t="s">
        <v>2499</v>
      </c>
      <c r="W1076">
        <v>2024</v>
      </c>
    </row>
    <row r="1077" spans="1:23" x14ac:dyDescent="0.25">
      <c r="A1077" t="s">
        <v>1124</v>
      </c>
      <c r="B1077" s="1">
        <v>45543</v>
      </c>
      <c r="C1077" s="1">
        <v>45549</v>
      </c>
      <c r="D1077" t="s">
        <v>23</v>
      </c>
      <c r="E1077" t="s">
        <v>43</v>
      </c>
      <c r="F1077" t="s">
        <v>25</v>
      </c>
      <c r="G1077" t="s">
        <v>26</v>
      </c>
      <c r="H1077" t="s">
        <v>37</v>
      </c>
      <c r="I1077">
        <v>2</v>
      </c>
      <c r="J1077">
        <v>0</v>
      </c>
      <c r="K1077">
        <v>237.11</v>
      </c>
      <c r="L1077">
        <v>5.46</v>
      </c>
      <c r="M1077" t="s">
        <v>2464</v>
      </c>
      <c r="N1077" t="s">
        <v>2458</v>
      </c>
      <c r="O1077" t="s">
        <v>2465</v>
      </c>
      <c r="P1077">
        <v>63.6</v>
      </c>
      <c r="Q1077">
        <v>107.94</v>
      </c>
      <c r="R1077">
        <v>127.2</v>
      </c>
      <c r="S1077">
        <v>104.45000000000002</v>
      </c>
      <c r="T1077">
        <v>0.44051284214077857</v>
      </c>
      <c r="U1077" s="1">
        <v>45536</v>
      </c>
      <c r="V1077" t="s">
        <v>2499</v>
      </c>
      <c r="W1077">
        <v>2024</v>
      </c>
    </row>
    <row r="1078" spans="1:23" x14ac:dyDescent="0.25">
      <c r="A1078" t="s">
        <v>1125</v>
      </c>
      <c r="B1078" s="1">
        <v>45500</v>
      </c>
      <c r="C1078" s="1">
        <v>45502</v>
      </c>
      <c r="D1078" t="s">
        <v>32</v>
      </c>
      <c r="E1078" t="s">
        <v>62</v>
      </c>
      <c r="F1078" t="s">
        <v>25</v>
      </c>
      <c r="G1078" t="s">
        <v>20</v>
      </c>
      <c r="H1078" t="s">
        <v>17</v>
      </c>
      <c r="I1078">
        <v>5</v>
      </c>
      <c r="J1078">
        <v>0</v>
      </c>
      <c r="K1078">
        <v>544.76</v>
      </c>
      <c r="L1078">
        <v>10.75</v>
      </c>
      <c r="M1078" t="s">
        <v>2472</v>
      </c>
      <c r="N1078" t="s">
        <v>2467</v>
      </c>
      <c r="O1078" t="s">
        <v>2468</v>
      </c>
      <c r="P1078">
        <v>63.69</v>
      </c>
      <c r="Q1078">
        <v>125.5</v>
      </c>
      <c r="R1078">
        <v>318.45</v>
      </c>
      <c r="S1078">
        <v>215.56</v>
      </c>
      <c r="T1078">
        <v>0.39569718775240476</v>
      </c>
      <c r="U1078" s="1">
        <v>45474</v>
      </c>
      <c r="V1078" t="s">
        <v>2499</v>
      </c>
      <c r="W1078">
        <v>2024</v>
      </c>
    </row>
    <row r="1079" spans="1:23" x14ac:dyDescent="0.25">
      <c r="A1079" t="s">
        <v>1126</v>
      </c>
      <c r="B1079" s="1">
        <v>45339</v>
      </c>
      <c r="C1079" s="1">
        <v>45344</v>
      </c>
      <c r="D1079" t="s">
        <v>13</v>
      </c>
      <c r="E1079" t="s">
        <v>36</v>
      </c>
      <c r="F1079" t="s">
        <v>15</v>
      </c>
      <c r="G1079" t="s">
        <v>26</v>
      </c>
      <c r="H1079" t="s">
        <v>41</v>
      </c>
      <c r="I1079">
        <v>16</v>
      </c>
      <c r="J1079">
        <v>0.15</v>
      </c>
      <c r="K1079">
        <v>79.33</v>
      </c>
      <c r="L1079">
        <v>7.02</v>
      </c>
      <c r="M1079" t="s">
        <v>2479</v>
      </c>
      <c r="N1079" t="s">
        <v>2474</v>
      </c>
      <c r="O1079" t="s">
        <v>2459</v>
      </c>
      <c r="P1079">
        <v>3.3</v>
      </c>
      <c r="Q1079">
        <v>6.13</v>
      </c>
      <c r="R1079">
        <v>52.8</v>
      </c>
      <c r="S1079">
        <v>19.510000000000002</v>
      </c>
      <c r="T1079">
        <v>0.24593470313878737</v>
      </c>
      <c r="U1079" s="1">
        <v>45323</v>
      </c>
      <c r="V1079" t="s">
        <v>2500</v>
      </c>
      <c r="W1079">
        <v>2024</v>
      </c>
    </row>
    <row r="1080" spans="1:23" x14ac:dyDescent="0.25">
      <c r="A1080" t="s">
        <v>1127</v>
      </c>
      <c r="B1080" s="1">
        <v>45516</v>
      </c>
      <c r="C1080" s="1">
        <v>45521</v>
      </c>
      <c r="D1080" t="s">
        <v>23</v>
      </c>
      <c r="E1080" t="s">
        <v>24</v>
      </c>
      <c r="F1080" t="s">
        <v>29</v>
      </c>
      <c r="G1080" t="s">
        <v>26</v>
      </c>
      <c r="H1080" t="s">
        <v>51</v>
      </c>
      <c r="I1080">
        <v>6</v>
      </c>
      <c r="J1080">
        <v>0</v>
      </c>
      <c r="K1080">
        <v>86.15</v>
      </c>
      <c r="L1080">
        <v>4.32</v>
      </c>
      <c r="M1080" t="s">
        <v>2475</v>
      </c>
      <c r="N1080" t="s">
        <v>2474</v>
      </c>
      <c r="O1080" t="s">
        <v>2463</v>
      </c>
      <c r="P1080">
        <v>7.93</v>
      </c>
      <c r="Q1080">
        <v>14.78</v>
      </c>
      <c r="R1080">
        <v>47.58</v>
      </c>
      <c r="S1080">
        <v>34.250000000000007</v>
      </c>
      <c r="T1080">
        <v>0.39756239117817765</v>
      </c>
      <c r="U1080" s="1">
        <v>45505</v>
      </c>
      <c r="V1080" t="s">
        <v>2499</v>
      </c>
      <c r="W1080">
        <v>2024</v>
      </c>
    </row>
    <row r="1081" spans="1:23" x14ac:dyDescent="0.25">
      <c r="A1081" t="s">
        <v>1128</v>
      </c>
      <c r="B1081" s="1">
        <v>45990</v>
      </c>
      <c r="C1081" s="1">
        <v>45991</v>
      </c>
      <c r="D1081" t="s">
        <v>47</v>
      </c>
      <c r="E1081" t="s">
        <v>50</v>
      </c>
      <c r="F1081" t="s">
        <v>29</v>
      </c>
      <c r="G1081" t="s">
        <v>26</v>
      </c>
      <c r="H1081" t="s">
        <v>34</v>
      </c>
      <c r="I1081">
        <v>3</v>
      </c>
      <c r="J1081">
        <v>0</v>
      </c>
      <c r="K1081">
        <v>877.62</v>
      </c>
      <c r="L1081">
        <v>6.84</v>
      </c>
      <c r="M1081" t="s">
        <v>2460</v>
      </c>
      <c r="N1081" t="s">
        <v>2458</v>
      </c>
      <c r="O1081" t="s">
        <v>2461</v>
      </c>
      <c r="P1081">
        <v>119.02</v>
      </c>
      <c r="Q1081">
        <v>205.39</v>
      </c>
      <c r="R1081">
        <v>357.06</v>
      </c>
      <c r="S1081">
        <v>513.71999999999991</v>
      </c>
      <c r="T1081">
        <v>0.58535584877281732</v>
      </c>
      <c r="U1081" s="1">
        <v>45962</v>
      </c>
      <c r="V1081" t="s">
        <v>2499</v>
      </c>
      <c r="W1081">
        <v>2025</v>
      </c>
    </row>
    <row r="1082" spans="1:23" x14ac:dyDescent="0.25">
      <c r="A1082" t="s">
        <v>1129</v>
      </c>
      <c r="B1082" s="1">
        <v>45329</v>
      </c>
      <c r="C1082" s="1">
        <v>45335</v>
      </c>
      <c r="D1082" t="s">
        <v>23</v>
      </c>
      <c r="E1082" t="s">
        <v>59</v>
      </c>
      <c r="F1082" t="s">
        <v>25</v>
      </c>
      <c r="G1082" t="s">
        <v>26</v>
      </c>
      <c r="H1082" t="s">
        <v>34</v>
      </c>
      <c r="I1082">
        <v>4</v>
      </c>
      <c r="J1082">
        <v>0.15</v>
      </c>
      <c r="K1082">
        <v>631.79999999999995</v>
      </c>
      <c r="L1082">
        <v>8.2200000000000006</v>
      </c>
      <c r="M1082" t="s">
        <v>2460</v>
      </c>
      <c r="N1082" t="s">
        <v>2458</v>
      </c>
      <c r="O1082" t="s">
        <v>2461</v>
      </c>
      <c r="P1082">
        <v>119.02</v>
      </c>
      <c r="Q1082">
        <v>205.39</v>
      </c>
      <c r="R1082">
        <v>476.08</v>
      </c>
      <c r="S1082">
        <v>147.49999999999997</v>
      </c>
      <c r="T1082">
        <v>0.23345995568217787</v>
      </c>
      <c r="U1082" s="1">
        <v>45323</v>
      </c>
      <c r="V1082" t="s">
        <v>2500</v>
      </c>
      <c r="W1082">
        <v>2024</v>
      </c>
    </row>
    <row r="1083" spans="1:23" x14ac:dyDescent="0.25">
      <c r="A1083" t="s">
        <v>1130</v>
      </c>
      <c r="B1083" s="1">
        <v>45777</v>
      </c>
      <c r="C1083" s="1">
        <v>45780</v>
      </c>
      <c r="D1083" t="s">
        <v>32</v>
      </c>
      <c r="E1083" t="s">
        <v>62</v>
      </c>
      <c r="F1083" t="s">
        <v>29</v>
      </c>
      <c r="G1083" t="s">
        <v>16</v>
      </c>
      <c r="H1083" t="s">
        <v>30</v>
      </c>
      <c r="I1083">
        <v>9</v>
      </c>
      <c r="J1083">
        <v>0.25</v>
      </c>
      <c r="K1083">
        <v>40.299999999999997</v>
      </c>
      <c r="L1083">
        <v>5.13</v>
      </c>
      <c r="M1083" t="s">
        <v>2473</v>
      </c>
      <c r="N1083" t="s">
        <v>2474</v>
      </c>
      <c r="O1083" t="s">
        <v>2463</v>
      </c>
      <c r="P1083">
        <v>3.62</v>
      </c>
      <c r="Q1083">
        <v>6.03</v>
      </c>
      <c r="R1083">
        <v>32.58</v>
      </c>
      <c r="S1083">
        <v>2.589999999999999</v>
      </c>
      <c r="T1083">
        <v>6.4267990074441672E-2</v>
      </c>
      <c r="U1083" s="1">
        <v>45748</v>
      </c>
      <c r="V1083" t="s">
        <v>2501</v>
      </c>
      <c r="W1083">
        <v>2025</v>
      </c>
    </row>
    <row r="1084" spans="1:23" x14ac:dyDescent="0.25">
      <c r="A1084" t="s">
        <v>1131</v>
      </c>
      <c r="B1084" s="1">
        <v>45349</v>
      </c>
      <c r="C1084" s="1">
        <v>45353</v>
      </c>
      <c r="D1084" t="s">
        <v>23</v>
      </c>
      <c r="E1084" t="s">
        <v>43</v>
      </c>
      <c r="F1084" t="s">
        <v>25</v>
      </c>
      <c r="G1084" t="s">
        <v>26</v>
      </c>
      <c r="H1084" t="s">
        <v>65</v>
      </c>
      <c r="I1084">
        <v>2</v>
      </c>
      <c r="J1084">
        <v>0.1</v>
      </c>
      <c r="K1084">
        <v>435.85</v>
      </c>
      <c r="L1084">
        <v>5.46</v>
      </c>
      <c r="M1084" t="s">
        <v>2457</v>
      </c>
      <c r="N1084" t="s">
        <v>2458</v>
      </c>
      <c r="O1084" t="s">
        <v>2459</v>
      </c>
      <c r="P1084">
        <v>173.56</v>
      </c>
      <c r="Q1084">
        <v>286.14999999999998</v>
      </c>
      <c r="R1084">
        <v>347.12</v>
      </c>
      <c r="S1084">
        <v>83.270000000000024</v>
      </c>
      <c r="T1084">
        <v>0.19105196741998398</v>
      </c>
      <c r="U1084" s="1">
        <v>45323</v>
      </c>
      <c r="V1084" t="s">
        <v>2498</v>
      </c>
      <c r="W1084">
        <v>2024</v>
      </c>
    </row>
    <row r="1085" spans="1:23" x14ac:dyDescent="0.25">
      <c r="A1085" t="s">
        <v>1132</v>
      </c>
      <c r="B1085" s="1">
        <v>45870</v>
      </c>
      <c r="C1085" s="1">
        <v>45873</v>
      </c>
      <c r="D1085" t="s">
        <v>13</v>
      </c>
      <c r="E1085" t="s">
        <v>14</v>
      </c>
      <c r="F1085" t="s">
        <v>29</v>
      </c>
      <c r="G1085" t="s">
        <v>26</v>
      </c>
      <c r="H1085" t="s">
        <v>63</v>
      </c>
      <c r="I1085">
        <v>7</v>
      </c>
      <c r="J1085">
        <v>0</v>
      </c>
      <c r="K1085">
        <v>77.900000000000006</v>
      </c>
      <c r="L1085">
        <v>7.65</v>
      </c>
      <c r="M1085" t="s">
        <v>2477</v>
      </c>
      <c r="N1085" t="s">
        <v>2474</v>
      </c>
      <c r="O1085" t="s">
        <v>2468</v>
      </c>
      <c r="P1085">
        <v>6.33</v>
      </c>
      <c r="Q1085">
        <v>12.16</v>
      </c>
      <c r="R1085">
        <v>44.31</v>
      </c>
      <c r="S1085">
        <v>25.940000000000005</v>
      </c>
      <c r="T1085">
        <v>0.33299101412066756</v>
      </c>
      <c r="U1085" s="1">
        <v>45870</v>
      </c>
      <c r="V1085" t="s">
        <v>2499</v>
      </c>
      <c r="W1085">
        <v>2025</v>
      </c>
    </row>
    <row r="1086" spans="1:23" x14ac:dyDescent="0.25">
      <c r="A1086" t="s">
        <v>1133</v>
      </c>
      <c r="B1086" s="1">
        <v>45543</v>
      </c>
      <c r="C1086" s="1">
        <v>45548</v>
      </c>
      <c r="D1086" t="s">
        <v>32</v>
      </c>
      <c r="E1086" t="s">
        <v>45</v>
      </c>
      <c r="F1086" t="s">
        <v>15</v>
      </c>
      <c r="G1086" t="s">
        <v>16</v>
      </c>
      <c r="H1086" t="s">
        <v>34</v>
      </c>
      <c r="I1086">
        <v>1</v>
      </c>
      <c r="J1086">
        <v>0.05</v>
      </c>
      <c r="K1086">
        <v>210.61</v>
      </c>
      <c r="L1086">
        <v>4.08</v>
      </c>
      <c r="M1086" t="s">
        <v>2460</v>
      </c>
      <c r="N1086" t="s">
        <v>2458</v>
      </c>
      <c r="O1086" t="s">
        <v>2461</v>
      </c>
      <c r="P1086">
        <v>119.02</v>
      </c>
      <c r="Q1086">
        <v>205.39</v>
      </c>
      <c r="R1086">
        <v>119.02</v>
      </c>
      <c r="S1086">
        <v>87.510000000000019</v>
      </c>
      <c r="T1086">
        <v>0.41550733583400606</v>
      </c>
      <c r="U1086" s="1">
        <v>45536</v>
      </c>
      <c r="V1086" t="s">
        <v>2498</v>
      </c>
      <c r="W1086">
        <v>2024</v>
      </c>
    </row>
    <row r="1087" spans="1:23" x14ac:dyDescent="0.25">
      <c r="A1087" t="s">
        <v>1134</v>
      </c>
      <c r="B1087" s="1">
        <v>45554</v>
      </c>
      <c r="C1087" s="1">
        <v>45557</v>
      </c>
      <c r="D1087" t="s">
        <v>32</v>
      </c>
      <c r="E1087" t="s">
        <v>33</v>
      </c>
      <c r="F1087" t="s">
        <v>25</v>
      </c>
      <c r="G1087" t="s">
        <v>26</v>
      </c>
      <c r="H1087" t="s">
        <v>63</v>
      </c>
      <c r="I1087">
        <v>7</v>
      </c>
      <c r="J1087">
        <v>0</v>
      </c>
      <c r="K1087">
        <v>92.9</v>
      </c>
      <c r="L1087">
        <v>7.65</v>
      </c>
      <c r="M1087" t="s">
        <v>2477</v>
      </c>
      <c r="N1087" t="s">
        <v>2474</v>
      </c>
      <c r="O1087" t="s">
        <v>2468</v>
      </c>
      <c r="P1087">
        <v>6.33</v>
      </c>
      <c r="Q1087">
        <v>12.16</v>
      </c>
      <c r="R1087">
        <v>44.31</v>
      </c>
      <c r="S1087">
        <v>40.940000000000005</v>
      </c>
      <c r="T1087">
        <v>0.44068891280947259</v>
      </c>
      <c r="U1087" s="1">
        <v>45536</v>
      </c>
      <c r="V1087" t="s">
        <v>2499</v>
      </c>
      <c r="W1087">
        <v>2024</v>
      </c>
    </row>
    <row r="1088" spans="1:23" x14ac:dyDescent="0.25">
      <c r="A1088" t="s">
        <v>1135</v>
      </c>
      <c r="B1088" s="1">
        <v>45755</v>
      </c>
      <c r="C1088" s="1">
        <v>45758</v>
      </c>
      <c r="D1088" t="s">
        <v>32</v>
      </c>
      <c r="E1088" t="s">
        <v>45</v>
      </c>
      <c r="F1088" t="s">
        <v>15</v>
      </c>
      <c r="G1088" t="s">
        <v>26</v>
      </c>
      <c r="H1088" t="s">
        <v>87</v>
      </c>
      <c r="I1088">
        <v>6</v>
      </c>
      <c r="J1088">
        <v>0.1</v>
      </c>
      <c r="K1088">
        <v>43.87</v>
      </c>
      <c r="L1088">
        <v>4.32</v>
      </c>
      <c r="M1088" t="s">
        <v>2476</v>
      </c>
      <c r="N1088" t="s">
        <v>2474</v>
      </c>
      <c r="O1088" t="s">
        <v>2459</v>
      </c>
      <c r="P1088">
        <v>4.5</v>
      </c>
      <c r="Q1088">
        <v>8.2899999999999991</v>
      </c>
      <c r="R1088">
        <v>27</v>
      </c>
      <c r="S1088">
        <v>12.549999999999997</v>
      </c>
      <c r="T1088">
        <v>0.28607248689309317</v>
      </c>
      <c r="U1088" s="1">
        <v>45748</v>
      </c>
      <c r="V1088" t="s">
        <v>2498</v>
      </c>
      <c r="W1088">
        <v>2025</v>
      </c>
    </row>
    <row r="1089" spans="1:23" x14ac:dyDescent="0.25">
      <c r="A1089" t="s">
        <v>1136</v>
      </c>
      <c r="B1089" s="1">
        <v>45703</v>
      </c>
      <c r="C1089" s="1">
        <v>45709</v>
      </c>
      <c r="D1089" t="s">
        <v>32</v>
      </c>
      <c r="E1089" t="s">
        <v>33</v>
      </c>
      <c r="F1089" t="s">
        <v>29</v>
      </c>
      <c r="G1089" t="s">
        <v>16</v>
      </c>
      <c r="H1089" t="s">
        <v>21</v>
      </c>
      <c r="I1089">
        <v>3</v>
      </c>
      <c r="J1089">
        <v>0.25</v>
      </c>
      <c r="K1089">
        <v>229.11</v>
      </c>
      <c r="L1089">
        <v>11.4</v>
      </c>
      <c r="M1089" t="s">
        <v>2462</v>
      </c>
      <c r="N1089" t="s">
        <v>2458</v>
      </c>
      <c r="O1089" t="s">
        <v>2463</v>
      </c>
      <c r="P1089">
        <v>71.489999999999995</v>
      </c>
      <c r="Q1089">
        <v>112.88</v>
      </c>
      <c r="R1089">
        <v>214.46999999999997</v>
      </c>
      <c r="S1089">
        <v>3.2400000000000428</v>
      </c>
      <c r="T1089">
        <v>1.4141678669634859E-2</v>
      </c>
      <c r="U1089" s="1">
        <v>45689</v>
      </c>
      <c r="V1089" t="s">
        <v>2501</v>
      </c>
      <c r="W1089">
        <v>2025</v>
      </c>
    </row>
    <row r="1090" spans="1:23" x14ac:dyDescent="0.25">
      <c r="A1090" t="s">
        <v>1137</v>
      </c>
      <c r="B1090" s="1">
        <v>45453</v>
      </c>
      <c r="C1090" s="1">
        <v>45454</v>
      </c>
      <c r="D1090" t="s">
        <v>32</v>
      </c>
      <c r="E1090" t="s">
        <v>62</v>
      </c>
      <c r="F1090" t="s">
        <v>25</v>
      </c>
      <c r="G1090" t="s">
        <v>16</v>
      </c>
      <c r="H1090" t="s">
        <v>65</v>
      </c>
      <c r="I1090">
        <v>5</v>
      </c>
      <c r="J1090">
        <v>0</v>
      </c>
      <c r="K1090">
        <v>1515.71</v>
      </c>
      <c r="L1090">
        <v>16</v>
      </c>
      <c r="M1090" t="s">
        <v>2457</v>
      </c>
      <c r="N1090" t="s">
        <v>2458</v>
      </c>
      <c r="O1090" t="s">
        <v>2459</v>
      </c>
      <c r="P1090">
        <v>173.56</v>
      </c>
      <c r="Q1090">
        <v>286.14999999999998</v>
      </c>
      <c r="R1090">
        <v>867.8</v>
      </c>
      <c r="S1090">
        <v>631.91000000000008</v>
      </c>
      <c r="T1090">
        <v>0.41690692810630003</v>
      </c>
      <c r="U1090" s="1">
        <v>45444</v>
      </c>
      <c r="V1090" t="s">
        <v>2499</v>
      </c>
      <c r="W1090">
        <v>2024</v>
      </c>
    </row>
    <row r="1091" spans="1:23" x14ac:dyDescent="0.25">
      <c r="A1091" t="s">
        <v>1138</v>
      </c>
      <c r="B1091" s="1">
        <v>45739</v>
      </c>
      <c r="C1091" s="1">
        <v>45742</v>
      </c>
      <c r="D1091" t="s">
        <v>13</v>
      </c>
      <c r="E1091" t="s">
        <v>14</v>
      </c>
      <c r="F1091" t="s">
        <v>25</v>
      </c>
      <c r="G1091" t="s">
        <v>26</v>
      </c>
      <c r="H1091" t="s">
        <v>87</v>
      </c>
      <c r="I1091">
        <v>12</v>
      </c>
      <c r="J1091">
        <v>0.05</v>
      </c>
      <c r="K1091">
        <v>84.24</v>
      </c>
      <c r="L1091">
        <v>9.9</v>
      </c>
      <c r="M1091" t="s">
        <v>2476</v>
      </c>
      <c r="N1091" t="s">
        <v>2474</v>
      </c>
      <c r="O1091" t="s">
        <v>2459</v>
      </c>
      <c r="P1091">
        <v>4.5</v>
      </c>
      <c r="Q1091">
        <v>8.2899999999999991</v>
      </c>
      <c r="R1091">
        <v>54</v>
      </c>
      <c r="S1091">
        <v>20.339999999999996</v>
      </c>
      <c r="T1091">
        <v>0.24145299145299143</v>
      </c>
      <c r="U1091" s="1">
        <v>45717</v>
      </c>
      <c r="V1091" t="s">
        <v>2498</v>
      </c>
      <c r="W1091">
        <v>2025</v>
      </c>
    </row>
    <row r="1092" spans="1:23" x14ac:dyDescent="0.25">
      <c r="A1092" t="s">
        <v>1139</v>
      </c>
      <c r="B1092" s="1">
        <v>45786</v>
      </c>
      <c r="C1092" s="1">
        <v>45789</v>
      </c>
      <c r="D1092" t="s">
        <v>32</v>
      </c>
      <c r="E1092" t="s">
        <v>45</v>
      </c>
      <c r="F1092" t="s">
        <v>15</v>
      </c>
      <c r="G1092" t="s">
        <v>20</v>
      </c>
      <c r="H1092" t="s">
        <v>53</v>
      </c>
      <c r="I1092">
        <v>1</v>
      </c>
      <c r="J1092">
        <v>0</v>
      </c>
      <c r="K1092">
        <v>58.6</v>
      </c>
      <c r="L1092">
        <v>5.75</v>
      </c>
      <c r="M1092" t="s">
        <v>2470</v>
      </c>
      <c r="N1092" t="s">
        <v>2467</v>
      </c>
      <c r="O1092" t="s">
        <v>2459</v>
      </c>
      <c r="P1092">
        <v>31.34</v>
      </c>
      <c r="Q1092">
        <v>56.49</v>
      </c>
      <c r="R1092">
        <v>31.34</v>
      </c>
      <c r="S1092">
        <v>21.51</v>
      </c>
      <c r="T1092">
        <v>0.36706484641638226</v>
      </c>
      <c r="U1092" s="1">
        <v>45778</v>
      </c>
      <c r="V1092" t="s">
        <v>2499</v>
      </c>
      <c r="W1092">
        <v>2025</v>
      </c>
    </row>
    <row r="1093" spans="1:23" x14ac:dyDescent="0.25">
      <c r="A1093" t="s">
        <v>1140</v>
      </c>
      <c r="B1093" s="1">
        <v>45641</v>
      </c>
      <c r="C1093" s="1">
        <v>45645</v>
      </c>
      <c r="D1093" t="s">
        <v>23</v>
      </c>
      <c r="E1093" t="s">
        <v>59</v>
      </c>
      <c r="F1093" t="s">
        <v>15</v>
      </c>
      <c r="G1093" t="s">
        <v>16</v>
      </c>
      <c r="H1093" t="s">
        <v>41</v>
      </c>
      <c r="I1093">
        <v>16</v>
      </c>
      <c r="J1093">
        <v>0</v>
      </c>
      <c r="K1093">
        <v>146.96</v>
      </c>
      <c r="L1093">
        <v>11.7</v>
      </c>
      <c r="M1093" t="s">
        <v>2479</v>
      </c>
      <c r="N1093" t="s">
        <v>2474</v>
      </c>
      <c r="O1093" t="s">
        <v>2459</v>
      </c>
      <c r="P1093">
        <v>3.3</v>
      </c>
      <c r="Q1093">
        <v>6.13</v>
      </c>
      <c r="R1093">
        <v>52.8</v>
      </c>
      <c r="S1093">
        <v>82.460000000000008</v>
      </c>
      <c r="T1093">
        <v>0.5611050626020686</v>
      </c>
      <c r="U1093" s="1">
        <v>45627</v>
      </c>
      <c r="V1093" t="s">
        <v>2499</v>
      </c>
      <c r="W1093">
        <v>2024</v>
      </c>
    </row>
    <row r="1094" spans="1:23" x14ac:dyDescent="0.25">
      <c r="A1094" t="s">
        <v>1141</v>
      </c>
      <c r="B1094" s="1">
        <v>45788</v>
      </c>
      <c r="C1094" s="1">
        <v>45794</v>
      </c>
      <c r="D1094" t="s">
        <v>23</v>
      </c>
      <c r="E1094" t="s">
        <v>24</v>
      </c>
      <c r="F1094" t="s">
        <v>29</v>
      </c>
      <c r="G1094" t="s">
        <v>16</v>
      </c>
      <c r="H1094" t="s">
        <v>51</v>
      </c>
      <c r="I1094">
        <v>10</v>
      </c>
      <c r="J1094">
        <v>0.2</v>
      </c>
      <c r="K1094">
        <v>127.78</v>
      </c>
      <c r="L1094">
        <v>9</v>
      </c>
      <c r="M1094" t="s">
        <v>2475</v>
      </c>
      <c r="N1094" t="s">
        <v>2474</v>
      </c>
      <c r="O1094" t="s">
        <v>2463</v>
      </c>
      <c r="P1094">
        <v>7.93</v>
      </c>
      <c r="Q1094">
        <v>14.78</v>
      </c>
      <c r="R1094">
        <v>79.3</v>
      </c>
      <c r="S1094">
        <v>39.480000000000004</v>
      </c>
      <c r="T1094">
        <v>0.30896853967757087</v>
      </c>
      <c r="U1094" s="1">
        <v>45778</v>
      </c>
      <c r="V1094" t="s">
        <v>2500</v>
      </c>
      <c r="W1094">
        <v>2025</v>
      </c>
    </row>
    <row r="1095" spans="1:23" x14ac:dyDescent="0.25">
      <c r="A1095" t="s">
        <v>1142</v>
      </c>
      <c r="B1095" s="1">
        <v>45641</v>
      </c>
      <c r="C1095" s="1">
        <v>45644</v>
      </c>
      <c r="D1095" t="s">
        <v>47</v>
      </c>
      <c r="E1095" t="s">
        <v>50</v>
      </c>
      <c r="F1095" t="s">
        <v>25</v>
      </c>
      <c r="G1095" t="s">
        <v>16</v>
      </c>
      <c r="H1095" t="s">
        <v>68</v>
      </c>
      <c r="I1095">
        <v>2</v>
      </c>
      <c r="J1095">
        <v>0</v>
      </c>
      <c r="K1095">
        <v>147.27000000000001</v>
      </c>
      <c r="L1095">
        <v>4.2</v>
      </c>
      <c r="M1095" t="s">
        <v>2466</v>
      </c>
      <c r="N1095" t="s">
        <v>2467</v>
      </c>
      <c r="O1095" t="s">
        <v>2468</v>
      </c>
      <c r="P1095">
        <v>25.33</v>
      </c>
      <c r="Q1095">
        <v>51.56</v>
      </c>
      <c r="R1095">
        <v>50.66</v>
      </c>
      <c r="S1095">
        <v>92.410000000000011</v>
      </c>
      <c r="T1095">
        <v>0.62748692877028589</v>
      </c>
      <c r="U1095" s="1">
        <v>45627</v>
      </c>
      <c r="V1095" t="s">
        <v>2499</v>
      </c>
      <c r="W1095">
        <v>2024</v>
      </c>
    </row>
    <row r="1096" spans="1:23" x14ac:dyDescent="0.25">
      <c r="A1096" t="s">
        <v>1143</v>
      </c>
      <c r="B1096" s="1">
        <v>45779</v>
      </c>
      <c r="C1096" s="1">
        <v>45783</v>
      </c>
      <c r="D1096" t="s">
        <v>13</v>
      </c>
      <c r="E1096" t="s">
        <v>14</v>
      </c>
      <c r="F1096" t="s">
        <v>15</v>
      </c>
      <c r="G1096" t="s">
        <v>16</v>
      </c>
      <c r="H1096" t="s">
        <v>30</v>
      </c>
      <c r="I1096">
        <v>10</v>
      </c>
      <c r="J1096">
        <v>0.05</v>
      </c>
      <c r="K1096">
        <v>60.92</v>
      </c>
      <c r="L1096">
        <v>9</v>
      </c>
      <c r="M1096" t="s">
        <v>2473</v>
      </c>
      <c r="N1096" t="s">
        <v>2474</v>
      </c>
      <c r="O1096" t="s">
        <v>2463</v>
      </c>
      <c r="P1096">
        <v>3.62</v>
      </c>
      <c r="Q1096">
        <v>6.03</v>
      </c>
      <c r="R1096">
        <v>36.200000000000003</v>
      </c>
      <c r="S1096">
        <v>15.719999999999999</v>
      </c>
      <c r="T1096">
        <v>0.25804333552199604</v>
      </c>
      <c r="U1096" s="1">
        <v>45778</v>
      </c>
      <c r="V1096" t="s">
        <v>2498</v>
      </c>
      <c r="W1096">
        <v>2025</v>
      </c>
    </row>
    <row r="1097" spans="1:23" x14ac:dyDescent="0.25">
      <c r="A1097" t="s">
        <v>1144</v>
      </c>
      <c r="B1097" s="1">
        <v>45953</v>
      </c>
      <c r="C1097" s="1">
        <v>45956</v>
      </c>
      <c r="D1097" t="s">
        <v>13</v>
      </c>
      <c r="E1097" t="s">
        <v>19</v>
      </c>
      <c r="F1097" t="s">
        <v>15</v>
      </c>
      <c r="G1097" t="s">
        <v>26</v>
      </c>
      <c r="H1097" t="s">
        <v>21</v>
      </c>
      <c r="I1097">
        <v>3</v>
      </c>
      <c r="J1097">
        <v>0.2</v>
      </c>
      <c r="K1097">
        <v>327.3</v>
      </c>
      <c r="L1097">
        <v>11.4</v>
      </c>
      <c r="M1097" t="s">
        <v>2462</v>
      </c>
      <c r="N1097" t="s">
        <v>2458</v>
      </c>
      <c r="O1097" t="s">
        <v>2463</v>
      </c>
      <c r="P1097">
        <v>71.489999999999995</v>
      </c>
      <c r="Q1097">
        <v>112.88</v>
      </c>
      <c r="R1097">
        <v>214.46999999999997</v>
      </c>
      <c r="S1097">
        <v>101.43000000000004</v>
      </c>
      <c r="T1097">
        <v>0.30989917506874437</v>
      </c>
      <c r="U1097" s="1">
        <v>45931</v>
      </c>
      <c r="V1097" t="s">
        <v>2500</v>
      </c>
      <c r="W1097">
        <v>2025</v>
      </c>
    </row>
    <row r="1098" spans="1:23" x14ac:dyDescent="0.25">
      <c r="A1098" t="s">
        <v>1145</v>
      </c>
      <c r="B1098" s="1">
        <v>45869</v>
      </c>
      <c r="C1098" s="1">
        <v>45870</v>
      </c>
      <c r="D1098" t="s">
        <v>47</v>
      </c>
      <c r="E1098" t="s">
        <v>50</v>
      </c>
      <c r="F1098" t="s">
        <v>25</v>
      </c>
      <c r="G1098" t="s">
        <v>20</v>
      </c>
      <c r="H1098" t="s">
        <v>37</v>
      </c>
      <c r="I1098">
        <v>4</v>
      </c>
      <c r="J1098">
        <v>0</v>
      </c>
      <c r="K1098">
        <v>414.2</v>
      </c>
      <c r="L1098">
        <v>8.2200000000000006</v>
      </c>
      <c r="M1098" t="s">
        <v>2464</v>
      </c>
      <c r="N1098" t="s">
        <v>2458</v>
      </c>
      <c r="O1098" t="s">
        <v>2465</v>
      </c>
      <c r="P1098">
        <v>63.6</v>
      </c>
      <c r="Q1098">
        <v>107.94</v>
      </c>
      <c r="R1098">
        <v>254.4</v>
      </c>
      <c r="S1098">
        <v>151.57999999999998</v>
      </c>
      <c r="T1098">
        <v>0.365958474167069</v>
      </c>
      <c r="U1098" s="1">
        <v>45839</v>
      </c>
      <c r="V1098" t="s">
        <v>2499</v>
      </c>
      <c r="W1098">
        <v>2025</v>
      </c>
    </row>
    <row r="1099" spans="1:23" x14ac:dyDescent="0.25">
      <c r="A1099" t="s">
        <v>1146</v>
      </c>
      <c r="B1099" s="1">
        <v>45526</v>
      </c>
      <c r="C1099" s="1">
        <v>45528</v>
      </c>
      <c r="D1099" t="s">
        <v>23</v>
      </c>
      <c r="E1099" t="s">
        <v>59</v>
      </c>
      <c r="F1099" t="s">
        <v>29</v>
      </c>
      <c r="G1099" t="s">
        <v>26</v>
      </c>
      <c r="H1099" t="s">
        <v>27</v>
      </c>
      <c r="I1099">
        <v>14</v>
      </c>
      <c r="J1099">
        <v>0.05</v>
      </c>
      <c r="K1099">
        <v>370.93</v>
      </c>
      <c r="L1099">
        <v>6.48</v>
      </c>
      <c r="M1099" t="s">
        <v>2478</v>
      </c>
      <c r="N1099" t="s">
        <v>2474</v>
      </c>
      <c r="O1099" t="s">
        <v>2463</v>
      </c>
      <c r="P1099">
        <v>16.760000000000002</v>
      </c>
      <c r="Q1099">
        <v>27.71</v>
      </c>
      <c r="R1099">
        <v>234.64000000000001</v>
      </c>
      <c r="S1099">
        <v>129.81</v>
      </c>
      <c r="T1099">
        <v>0.34995821313994552</v>
      </c>
      <c r="U1099" s="1">
        <v>45505</v>
      </c>
      <c r="V1099" t="s">
        <v>2498</v>
      </c>
      <c r="W1099">
        <v>2024</v>
      </c>
    </row>
    <row r="1100" spans="1:23" x14ac:dyDescent="0.25">
      <c r="A1100" t="s">
        <v>1147</v>
      </c>
      <c r="B1100" s="1">
        <v>45557</v>
      </c>
      <c r="C1100" s="1">
        <v>45561</v>
      </c>
      <c r="D1100" t="s">
        <v>32</v>
      </c>
      <c r="E1100" t="s">
        <v>45</v>
      </c>
      <c r="F1100" t="s">
        <v>25</v>
      </c>
      <c r="G1100" t="s">
        <v>16</v>
      </c>
      <c r="H1100" t="s">
        <v>21</v>
      </c>
      <c r="I1100">
        <v>3</v>
      </c>
      <c r="J1100">
        <v>0.15</v>
      </c>
      <c r="K1100">
        <v>307.91000000000003</v>
      </c>
      <c r="L1100">
        <v>11.4</v>
      </c>
      <c r="M1100" t="s">
        <v>2462</v>
      </c>
      <c r="N1100" t="s">
        <v>2458</v>
      </c>
      <c r="O1100" t="s">
        <v>2463</v>
      </c>
      <c r="P1100">
        <v>71.489999999999995</v>
      </c>
      <c r="Q1100">
        <v>112.88</v>
      </c>
      <c r="R1100">
        <v>214.46999999999997</v>
      </c>
      <c r="S1100">
        <v>82.040000000000049</v>
      </c>
      <c r="T1100">
        <v>0.26644149264395456</v>
      </c>
      <c r="U1100" s="1">
        <v>45536</v>
      </c>
      <c r="V1100" t="s">
        <v>2500</v>
      </c>
      <c r="W1100">
        <v>2024</v>
      </c>
    </row>
    <row r="1101" spans="1:23" x14ac:dyDescent="0.25">
      <c r="A1101" t="s">
        <v>1148</v>
      </c>
      <c r="B1101" s="1">
        <v>45668</v>
      </c>
      <c r="C1101" s="1">
        <v>45673</v>
      </c>
      <c r="D1101" t="s">
        <v>32</v>
      </c>
      <c r="E1101" t="s">
        <v>33</v>
      </c>
      <c r="F1101" t="s">
        <v>15</v>
      </c>
      <c r="G1101" t="s">
        <v>26</v>
      </c>
      <c r="H1101" t="s">
        <v>37</v>
      </c>
      <c r="I1101">
        <v>3</v>
      </c>
      <c r="J1101">
        <v>0</v>
      </c>
      <c r="K1101">
        <v>280.24</v>
      </c>
      <c r="L1101">
        <v>11.4</v>
      </c>
      <c r="M1101" t="s">
        <v>2464</v>
      </c>
      <c r="N1101" t="s">
        <v>2458</v>
      </c>
      <c r="O1101" t="s">
        <v>2465</v>
      </c>
      <c r="P1101">
        <v>63.6</v>
      </c>
      <c r="Q1101">
        <v>107.94</v>
      </c>
      <c r="R1101">
        <v>190.8</v>
      </c>
      <c r="S1101">
        <v>78.039999999999992</v>
      </c>
      <c r="T1101">
        <v>0.27847559234941477</v>
      </c>
      <c r="U1101" s="1">
        <v>45658</v>
      </c>
      <c r="V1101" t="s">
        <v>2499</v>
      </c>
      <c r="W1101">
        <v>2025</v>
      </c>
    </row>
    <row r="1102" spans="1:23" x14ac:dyDescent="0.25">
      <c r="A1102" t="s">
        <v>1149</v>
      </c>
      <c r="B1102" s="1">
        <v>45521</v>
      </c>
      <c r="C1102" s="1">
        <v>45523</v>
      </c>
      <c r="D1102" t="s">
        <v>13</v>
      </c>
      <c r="E1102" t="s">
        <v>36</v>
      </c>
      <c r="F1102" t="s">
        <v>15</v>
      </c>
      <c r="G1102" t="s">
        <v>20</v>
      </c>
      <c r="H1102" t="s">
        <v>17</v>
      </c>
      <c r="I1102">
        <v>7</v>
      </c>
      <c r="J1102">
        <v>0.05</v>
      </c>
      <c r="K1102">
        <v>777.47</v>
      </c>
      <c r="L1102">
        <v>13.25</v>
      </c>
      <c r="M1102" t="s">
        <v>2472</v>
      </c>
      <c r="N1102" t="s">
        <v>2467</v>
      </c>
      <c r="O1102" t="s">
        <v>2468</v>
      </c>
      <c r="P1102">
        <v>63.69</v>
      </c>
      <c r="Q1102">
        <v>125.5</v>
      </c>
      <c r="R1102">
        <v>445.83</v>
      </c>
      <c r="S1102">
        <v>318.39000000000004</v>
      </c>
      <c r="T1102">
        <v>0.40952062459001637</v>
      </c>
      <c r="U1102" s="1">
        <v>45505</v>
      </c>
      <c r="V1102" t="s">
        <v>2498</v>
      </c>
      <c r="W1102">
        <v>2024</v>
      </c>
    </row>
    <row r="1103" spans="1:23" x14ac:dyDescent="0.25">
      <c r="A1103" t="s">
        <v>1150</v>
      </c>
      <c r="B1103" s="1">
        <v>45486</v>
      </c>
      <c r="C1103" s="1">
        <v>45492</v>
      </c>
      <c r="D1103" t="s">
        <v>23</v>
      </c>
      <c r="E1103" t="s">
        <v>43</v>
      </c>
      <c r="F1103" t="s">
        <v>29</v>
      </c>
      <c r="G1103" t="s">
        <v>26</v>
      </c>
      <c r="H1103" t="s">
        <v>30</v>
      </c>
      <c r="I1103">
        <v>11</v>
      </c>
      <c r="J1103">
        <v>0</v>
      </c>
      <c r="K1103">
        <v>58.66</v>
      </c>
      <c r="L1103">
        <v>5.67</v>
      </c>
      <c r="M1103" t="s">
        <v>2473</v>
      </c>
      <c r="N1103" t="s">
        <v>2474</v>
      </c>
      <c r="O1103" t="s">
        <v>2463</v>
      </c>
      <c r="P1103">
        <v>3.62</v>
      </c>
      <c r="Q1103">
        <v>6.03</v>
      </c>
      <c r="R1103">
        <v>39.82</v>
      </c>
      <c r="S1103">
        <v>13.169999999999996</v>
      </c>
      <c r="T1103">
        <v>0.22451414933515168</v>
      </c>
      <c r="U1103" s="1">
        <v>45474</v>
      </c>
      <c r="V1103" t="s">
        <v>2499</v>
      </c>
      <c r="W1103">
        <v>2024</v>
      </c>
    </row>
    <row r="1104" spans="1:23" x14ac:dyDescent="0.25">
      <c r="A1104" t="s">
        <v>1151</v>
      </c>
      <c r="B1104" s="1">
        <v>45873</v>
      </c>
      <c r="C1104" s="1">
        <v>45876</v>
      </c>
      <c r="D1104" t="s">
        <v>32</v>
      </c>
      <c r="E1104" t="s">
        <v>62</v>
      </c>
      <c r="F1104" t="s">
        <v>25</v>
      </c>
      <c r="G1104" t="s">
        <v>26</v>
      </c>
      <c r="H1104" t="s">
        <v>68</v>
      </c>
      <c r="I1104">
        <v>7</v>
      </c>
      <c r="J1104">
        <v>0</v>
      </c>
      <c r="K1104">
        <v>327.64999999999998</v>
      </c>
      <c r="L1104">
        <v>7.95</v>
      </c>
      <c r="M1104" t="s">
        <v>2466</v>
      </c>
      <c r="N1104" t="s">
        <v>2467</v>
      </c>
      <c r="O1104" t="s">
        <v>2468</v>
      </c>
      <c r="P1104">
        <v>25.33</v>
      </c>
      <c r="Q1104">
        <v>51.56</v>
      </c>
      <c r="R1104">
        <v>177.31</v>
      </c>
      <c r="S1104">
        <v>142.38999999999999</v>
      </c>
      <c r="T1104">
        <v>0.43457958187089879</v>
      </c>
      <c r="U1104" s="1">
        <v>45870</v>
      </c>
      <c r="V1104" t="s">
        <v>2499</v>
      </c>
      <c r="W1104">
        <v>2025</v>
      </c>
    </row>
    <row r="1105" spans="1:23" x14ac:dyDescent="0.25">
      <c r="A1105" t="s">
        <v>1152</v>
      </c>
      <c r="B1105" s="1">
        <v>45544</v>
      </c>
      <c r="C1105" s="1">
        <v>45547</v>
      </c>
      <c r="D1105" t="s">
        <v>13</v>
      </c>
      <c r="E1105" t="s">
        <v>14</v>
      </c>
      <c r="F1105" t="s">
        <v>25</v>
      </c>
      <c r="G1105" t="s">
        <v>26</v>
      </c>
      <c r="H1105" t="s">
        <v>68</v>
      </c>
      <c r="I1105">
        <v>5</v>
      </c>
      <c r="J1105">
        <v>0.1</v>
      </c>
      <c r="K1105">
        <v>238.3</v>
      </c>
      <c r="L1105">
        <v>10.75</v>
      </c>
      <c r="M1105" t="s">
        <v>2466</v>
      </c>
      <c r="N1105" t="s">
        <v>2467</v>
      </c>
      <c r="O1105" t="s">
        <v>2468</v>
      </c>
      <c r="P1105">
        <v>25.33</v>
      </c>
      <c r="Q1105">
        <v>51.56</v>
      </c>
      <c r="R1105">
        <v>126.64999999999999</v>
      </c>
      <c r="S1105">
        <v>100.90000000000002</v>
      </c>
      <c r="T1105">
        <v>0.42341586235837186</v>
      </c>
      <c r="U1105" s="1">
        <v>45536</v>
      </c>
      <c r="V1105" t="s">
        <v>2498</v>
      </c>
      <c r="W1105">
        <v>2024</v>
      </c>
    </row>
    <row r="1106" spans="1:23" x14ac:dyDescent="0.25">
      <c r="A1106" t="s">
        <v>1153</v>
      </c>
      <c r="B1106" s="1">
        <v>45307</v>
      </c>
      <c r="C1106" s="1">
        <v>45310</v>
      </c>
      <c r="D1106" t="s">
        <v>13</v>
      </c>
      <c r="E1106" t="s">
        <v>19</v>
      </c>
      <c r="F1106" t="s">
        <v>25</v>
      </c>
      <c r="G1106" t="s">
        <v>16</v>
      </c>
      <c r="H1106" t="s">
        <v>87</v>
      </c>
      <c r="I1106">
        <v>10</v>
      </c>
      <c r="J1106">
        <v>0.2</v>
      </c>
      <c r="K1106">
        <v>59.7</v>
      </c>
      <c r="L1106">
        <v>5.4</v>
      </c>
      <c r="M1106" t="s">
        <v>2476</v>
      </c>
      <c r="N1106" t="s">
        <v>2474</v>
      </c>
      <c r="O1106" t="s">
        <v>2459</v>
      </c>
      <c r="P1106">
        <v>4.5</v>
      </c>
      <c r="Q1106">
        <v>8.2899999999999991</v>
      </c>
      <c r="R1106">
        <v>45</v>
      </c>
      <c r="S1106">
        <v>9.3000000000000025</v>
      </c>
      <c r="T1106">
        <v>0.15577889447236185</v>
      </c>
      <c r="U1106" s="1">
        <v>45292</v>
      </c>
      <c r="V1106" t="s">
        <v>2500</v>
      </c>
      <c r="W1106">
        <v>2024</v>
      </c>
    </row>
    <row r="1107" spans="1:23" x14ac:dyDescent="0.25">
      <c r="A1107" t="s">
        <v>1154</v>
      </c>
      <c r="B1107" s="1">
        <v>45608</v>
      </c>
      <c r="C1107" s="1">
        <v>45611</v>
      </c>
      <c r="D1107" t="s">
        <v>32</v>
      </c>
      <c r="E1107" t="s">
        <v>45</v>
      </c>
      <c r="F1107" t="s">
        <v>15</v>
      </c>
      <c r="G1107" t="s">
        <v>26</v>
      </c>
      <c r="H1107" t="s">
        <v>65</v>
      </c>
      <c r="I1107">
        <v>1</v>
      </c>
      <c r="J1107">
        <v>0.15</v>
      </c>
      <c r="K1107">
        <v>327.20999999999998</v>
      </c>
      <c r="L1107">
        <v>4.08</v>
      </c>
      <c r="M1107" t="s">
        <v>2457</v>
      </c>
      <c r="N1107" t="s">
        <v>2458</v>
      </c>
      <c r="O1107" t="s">
        <v>2459</v>
      </c>
      <c r="P1107">
        <v>173.56</v>
      </c>
      <c r="Q1107">
        <v>286.14999999999998</v>
      </c>
      <c r="R1107">
        <v>173.56</v>
      </c>
      <c r="S1107">
        <v>149.56999999999996</v>
      </c>
      <c r="T1107">
        <v>0.45710705663029849</v>
      </c>
      <c r="U1107" s="1">
        <v>45597</v>
      </c>
      <c r="V1107" t="s">
        <v>2500</v>
      </c>
      <c r="W1107">
        <v>2024</v>
      </c>
    </row>
    <row r="1108" spans="1:23" x14ac:dyDescent="0.25">
      <c r="A1108" t="s">
        <v>1155</v>
      </c>
      <c r="B1108" s="1">
        <v>45475</v>
      </c>
      <c r="C1108" s="1">
        <v>45477</v>
      </c>
      <c r="D1108" t="s">
        <v>13</v>
      </c>
      <c r="E1108" t="s">
        <v>19</v>
      </c>
      <c r="F1108" t="s">
        <v>25</v>
      </c>
      <c r="G1108" t="s">
        <v>20</v>
      </c>
      <c r="H1108" t="s">
        <v>41</v>
      </c>
      <c r="I1108">
        <v>8</v>
      </c>
      <c r="J1108">
        <v>0</v>
      </c>
      <c r="K1108">
        <v>44.11</v>
      </c>
      <c r="L1108">
        <v>8.1</v>
      </c>
      <c r="M1108" t="s">
        <v>2479</v>
      </c>
      <c r="N1108" t="s">
        <v>2474</v>
      </c>
      <c r="O1108" t="s">
        <v>2459</v>
      </c>
      <c r="P1108">
        <v>3.3</v>
      </c>
      <c r="Q1108">
        <v>6.13</v>
      </c>
      <c r="R1108">
        <v>26.4</v>
      </c>
      <c r="S1108">
        <v>9.6100000000000012</v>
      </c>
      <c r="T1108">
        <v>0.21786442983450469</v>
      </c>
      <c r="U1108" s="1">
        <v>45474</v>
      </c>
      <c r="V1108" t="s">
        <v>2499</v>
      </c>
      <c r="W1108">
        <v>2024</v>
      </c>
    </row>
    <row r="1109" spans="1:23" x14ac:dyDescent="0.25">
      <c r="A1109" t="s">
        <v>1156</v>
      </c>
      <c r="B1109" s="1">
        <v>45922</v>
      </c>
      <c r="C1109" s="1">
        <v>45928</v>
      </c>
      <c r="D1109" t="s">
        <v>47</v>
      </c>
      <c r="E1109" t="s">
        <v>50</v>
      </c>
      <c r="F1109" t="s">
        <v>25</v>
      </c>
      <c r="G1109" t="s">
        <v>16</v>
      </c>
      <c r="H1109" t="s">
        <v>21</v>
      </c>
      <c r="I1109">
        <v>3</v>
      </c>
      <c r="J1109">
        <v>0</v>
      </c>
      <c r="K1109">
        <v>387.41</v>
      </c>
      <c r="L1109">
        <v>6.84</v>
      </c>
      <c r="M1109" t="s">
        <v>2462</v>
      </c>
      <c r="N1109" t="s">
        <v>2458</v>
      </c>
      <c r="O1109" t="s">
        <v>2463</v>
      </c>
      <c r="P1109">
        <v>71.489999999999995</v>
      </c>
      <c r="Q1109">
        <v>112.88</v>
      </c>
      <c r="R1109">
        <v>214.46999999999997</v>
      </c>
      <c r="S1109">
        <v>166.10000000000005</v>
      </c>
      <c r="T1109">
        <v>0.42874474071397239</v>
      </c>
      <c r="U1109" s="1">
        <v>45901</v>
      </c>
      <c r="V1109" t="s">
        <v>2499</v>
      </c>
      <c r="W1109">
        <v>2025</v>
      </c>
    </row>
    <row r="1110" spans="1:23" x14ac:dyDescent="0.25">
      <c r="A1110" t="s">
        <v>1157</v>
      </c>
      <c r="B1110" s="1">
        <v>45405</v>
      </c>
      <c r="C1110" s="1">
        <v>45408</v>
      </c>
      <c r="D1110" t="s">
        <v>32</v>
      </c>
      <c r="E1110" t="s">
        <v>45</v>
      </c>
      <c r="F1110" t="s">
        <v>15</v>
      </c>
      <c r="G1110" t="s">
        <v>20</v>
      </c>
      <c r="H1110" t="s">
        <v>41</v>
      </c>
      <c r="I1110">
        <v>4</v>
      </c>
      <c r="J1110">
        <v>0</v>
      </c>
      <c r="K1110">
        <v>25.29</v>
      </c>
      <c r="L1110">
        <v>3.78</v>
      </c>
      <c r="M1110" t="s">
        <v>2479</v>
      </c>
      <c r="N1110" t="s">
        <v>2474</v>
      </c>
      <c r="O1110" t="s">
        <v>2459</v>
      </c>
      <c r="P1110">
        <v>3.3</v>
      </c>
      <c r="Q1110">
        <v>6.13</v>
      </c>
      <c r="R1110">
        <v>13.2</v>
      </c>
      <c r="S1110">
        <v>8.31</v>
      </c>
      <c r="T1110">
        <v>0.3285883748517201</v>
      </c>
      <c r="U1110" s="1">
        <v>45383</v>
      </c>
      <c r="V1110" t="s">
        <v>2499</v>
      </c>
      <c r="W1110">
        <v>2024</v>
      </c>
    </row>
    <row r="1111" spans="1:23" x14ac:dyDescent="0.25">
      <c r="A1111" t="s">
        <v>1158</v>
      </c>
      <c r="B1111" s="1">
        <v>45572</v>
      </c>
      <c r="C1111" s="1">
        <v>45578</v>
      </c>
      <c r="D1111" t="s">
        <v>47</v>
      </c>
      <c r="E1111" t="s">
        <v>48</v>
      </c>
      <c r="F1111" t="s">
        <v>15</v>
      </c>
      <c r="G1111" t="s">
        <v>26</v>
      </c>
      <c r="H1111" t="s">
        <v>41</v>
      </c>
      <c r="I1111">
        <v>13</v>
      </c>
      <c r="J1111">
        <v>0</v>
      </c>
      <c r="K1111">
        <v>93.33</v>
      </c>
      <c r="L1111">
        <v>6.21</v>
      </c>
      <c r="M1111" t="s">
        <v>2479</v>
      </c>
      <c r="N1111" t="s">
        <v>2474</v>
      </c>
      <c r="O1111" t="s">
        <v>2459</v>
      </c>
      <c r="P1111">
        <v>3.3</v>
      </c>
      <c r="Q1111">
        <v>6.13</v>
      </c>
      <c r="R1111">
        <v>42.9</v>
      </c>
      <c r="S1111">
        <v>44.22</v>
      </c>
      <c r="T1111">
        <v>0.47380263580842175</v>
      </c>
      <c r="U1111" s="1">
        <v>45566</v>
      </c>
      <c r="V1111" t="s">
        <v>2499</v>
      </c>
      <c r="W1111">
        <v>2024</v>
      </c>
    </row>
    <row r="1112" spans="1:23" x14ac:dyDescent="0.25">
      <c r="A1112" t="s">
        <v>1159</v>
      </c>
      <c r="B1112" s="1">
        <v>45306</v>
      </c>
      <c r="C1112" s="1">
        <v>45307</v>
      </c>
      <c r="D1112" t="s">
        <v>13</v>
      </c>
      <c r="E1112" t="s">
        <v>36</v>
      </c>
      <c r="F1112" t="s">
        <v>25</v>
      </c>
      <c r="G1112" t="s">
        <v>20</v>
      </c>
      <c r="H1112" t="s">
        <v>87</v>
      </c>
      <c r="I1112">
        <v>5</v>
      </c>
      <c r="J1112">
        <v>0</v>
      </c>
      <c r="K1112">
        <v>36.119999999999997</v>
      </c>
      <c r="L1112">
        <v>6.75</v>
      </c>
      <c r="M1112" t="s">
        <v>2476</v>
      </c>
      <c r="N1112" t="s">
        <v>2474</v>
      </c>
      <c r="O1112" t="s">
        <v>2459</v>
      </c>
      <c r="P1112">
        <v>4.5</v>
      </c>
      <c r="Q1112">
        <v>8.2899999999999991</v>
      </c>
      <c r="R1112">
        <v>22.5</v>
      </c>
      <c r="S1112">
        <v>6.8699999999999974</v>
      </c>
      <c r="T1112">
        <v>0.1901993355481727</v>
      </c>
      <c r="U1112" s="1">
        <v>45292</v>
      </c>
      <c r="V1112" t="s">
        <v>2499</v>
      </c>
      <c r="W1112">
        <v>2024</v>
      </c>
    </row>
    <row r="1113" spans="1:23" x14ac:dyDescent="0.25">
      <c r="A1113" t="s">
        <v>1160</v>
      </c>
      <c r="B1113" s="1">
        <v>45604</v>
      </c>
      <c r="C1113" s="1">
        <v>45609</v>
      </c>
      <c r="D1113" t="s">
        <v>47</v>
      </c>
      <c r="E1113" t="s">
        <v>50</v>
      </c>
      <c r="F1113" t="s">
        <v>29</v>
      </c>
      <c r="G1113" t="s">
        <v>16</v>
      </c>
      <c r="H1113" t="s">
        <v>60</v>
      </c>
      <c r="I1113">
        <v>1</v>
      </c>
      <c r="J1113">
        <v>0</v>
      </c>
      <c r="K1113">
        <v>156.52000000000001</v>
      </c>
      <c r="L1113">
        <v>3.45</v>
      </c>
      <c r="M1113" t="s">
        <v>2469</v>
      </c>
      <c r="N1113" t="s">
        <v>2467</v>
      </c>
      <c r="O1113" t="s">
        <v>2468</v>
      </c>
      <c r="P1113">
        <v>54.95</v>
      </c>
      <c r="Q1113">
        <v>112.56</v>
      </c>
      <c r="R1113">
        <v>54.95</v>
      </c>
      <c r="S1113">
        <v>98.12</v>
      </c>
      <c r="T1113">
        <v>0.62688474316381293</v>
      </c>
      <c r="U1113" s="1">
        <v>45597</v>
      </c>
      <c r="V1113" t="s">
        <v>2499</v>
      </c>
      <c r="W1113">
        <v>2024</v>
      </c>
    </row>
    <row r="1114" spans="1:23" x14ac:dyDescent="0.25">
      <c r="A1114" t="s">
        <v>1161</v>
      </c>
      <c r="B1114" s="1">
        <v>45342</v>
      </c>
      <c r="C1114" s="1">
        <v>45343</v>
      </c>
      <c r="D1114" t="s">
        <v>47</v>
      </c>
      <c r="E1114" t="s">
        <v>71</v>
      </c>
      <c r="F1114" t="s">
        <v>29</v>
      </c>
      <c r="G1114" t="s">
        <v>26</v>
      </c>
      <c r="H1114" t="s">
        <v>60</v>
      </c>
      <c r="I1114">
        <v>2</v>
      </c>
      <c r="J1114">
        <v>0</v>
      </c>
      <c r="K1114">
        <v>202.57</v>
      </c>
      <c r="L1114">
        <v>4.2</v>
      </c>
      <c r="M1114" t="s">
        <v>2469</v>
      </c>
      <c r="N1114" t="s">
        <v>2467</v>
      </c>
      <c r="O1114" t="s">
        <v>2468</v>
      </c>
      <c r="P1114">
        <v>54.95</v>
      </c>
      <c r="Q1114">
        <v>112.56</v>
      </c>
      <c r="R1114">
        <v>109.9</v>
      </c>
      <c r="S1114">
        <v>88.469999999999985</v>
      </c>
      <c r="T1114">
        <v>0.43673791775682475</v>
      </c>
      <c r="U1114" s="1">
        <v>45323</v>
      </c>
      <c r="V1114" t="s">
        <v>2499</v>
      </c>
      <c r="W1114">
        <v>2024</v>
      </c>
    </row>
    <row r="1115" spans="1:23" x14ac:dyDescent="0.25">
      <c r="A1115" t="s">
        <v>1162</v>
      </c>
      <c r="B1115" s="1">
        <v>45322</v>
      </c>
      <c r="C1115" s="1">
        <v>45323</v>
      </c>
      <c r="D1115" t="s">
        <v>23</v>
      </c>
      <c r="E1115" t="s">
        <v>43</v>
      </c>
      <c r="F1115" t="s">
        <v>15</v>
      </c>
      <c r="G1115" t="s">
        <v>16</v>
      </c>
      <c r="H1115" t="s">
        <v>30</v>
      </c>
      <c r="I1115">
        <v>6</v>
      </c>
      <c r="J1115">
        <v>0</v>
      </c>
      <c r="K1115">
        <v>31.99</v>
      </c>
      <c r="L1115">
        <v>7.2</v>
      </c>
      <c r="M1115" t="s">
        <v>2473</v>
      </c>
      <c r="N1115" t="s">
        <v>2474</v>
      </c>
      <c r="O1115" t="s">
        <v>2463</v>
      </c>
      <c r="P1115">
        <v>3.62</v>
      </c>
      <c r="Q1115">
        <v>6.03</v>
      </c>
      <c r="R1115">
        <v>21.72</v>
      </c>
      <c r="S1115">
        <v>3.0699999999999994</v>
      </c>
      <c r="T1115">
        <v>9.5967489840575168E-2</v>
      </c>
      <c r="U1115" s="1">
        <v>45292</v>
      </c>
      <c r="V1115" t="s">
        <v>2499</v>
      </c>
      <c r="W1115">
        <v>2024</v>
      </c>
    </row>
    <row r="1116" spans="1:23" x14ac:dyDescent="0.25">
      <c r="A1116" t="s">
        <v>1163</v>
      </c>
      <c r="B1116" s="1">
        <v>46007</v>
      </c>
      <c r="C1116" s="1">
        <v>46010</v>
      </c>
      <c r="D1116" t="s">
        <v>32</v>
      </c>
      <c r="E1116" t="s">
        <v>45</v>
      </c>
      <c r="F1116" t="s">
        <v>29</v>
      </c>
      <c r="G1116" t="s">
        <v>26</v>
      </c>
      <c r="H1116" t="s">
        <v>30</v>
      </c>
      <c r="I1116">
        <v>6</v>
      </c>
      <c r="J1116">
        <v>0</v>
      </c>
      <c r="K1116">
        <v>50.56</v>
      </c>
      <c r="L1116">
        <v>4.32</v>
      </c>
      <c r="M1116" t="s">
        <v>2473</v>
      </c>
      <c r="N1116" t="s">
        <v>2474</v>
      </c>
      <c r="O1116" t="s">
        <v>2463</v>
      </c>
      <c r="P1116">
        <v>3.62</v>
      </c>
      <c r="Q1116">
        <v>6.03</v>
      </c>
      <c r="R1116">
        <v>21.72</v>
      </c>
      <c r="S1116">
        <v>24.520000000000003</v>
      </c>
      <c r="T1116">
        <v>0.48496835443037978</v>
      </c>
      <c r="U1116" s="1">
        <v>45992</v>
      </c>
      <c r="V1116" t="s">
        <v>2499</v>
      </c>
      <c r="W1116">
        <v>2025</v>
      </c>
    </row>
    <row r="1117" spans="1:23" x14ac:dyDescent="0.25">
      <c r="A1117" t="s">
        <v>1164</v>
      </c>
      <c r="B1117" s="1">
        <v>45650</v>
      </c>
      <c r="C1117" s="1">
        <v>45656</v>
      </c>
      <c r="D1117" t="s">
        <v>13</v>
      </c>
      <c r="E1117" t="s">
        <v>14</v>
      </c>
      <c r="F1117" t="s">
        <v>25</v>
      </c>
      <c r="G1117" t="s">
        <v>16</v>
      </c>
      <c r="H1117" t="s">
        <v>65</v>
      </c>
      <c r="I1117">
        <v>1</v>
      </c>
      <c r="J1117">
        <v>0</v>
      </c>
      <c r="K1117">
        <v>387.34</v>
      </c>
      <c r="L1117">
        <v>6.8</v>
      </c>
      <c r="M1117" t="s">
        <v>2457</v>
      </c>
      <c r="N1117" t="s">
        <v>2458</v>
      </c>
      <c r="O1117" t="s">
        <v>2459</v>
      </c>
      <c r="P1117">
        <v>173.56</v>
      </c>
      <c r="Q1117">
        <v>286.14999999999998</v>
      </c>
      <c r="R1117">
        <v>173.56</v>
      </c>
      <c r="S1117">
        <v>206.97999999999996</v>
      </c>
      <c r="T1117">
        <v>0.53436257551505129</v>
      </c>
      <c r="U1117" s="1">
        <v>45627</v>
      </c>
      <c r="V1117" t="s">
        <v>2499</v>
      </c>
      <c r="W1117">
        <v>2024</v>
      </c>
    </row>
    <row r="1118" spans="1:23" x14ac:dyDescent="0.25">
      <c r="A1118" t="s">
        <v>1165</v>
      </c>
      <c r="B1118" s="1">
        <v>46018</v>
      </c>
      <c r="C1118" s="1">
        <v>46019</v>
      </c>
      <c r="D1118" t="s">
        <v>23</v>
      </c>
      <c r="E1118" t="s">
        <v>43</v>
      </c>
      <c r="F1118" t="s">
        <v>29</v>
      </c>
      <c r="G1118" t="s">
        <v>26</v>
      </c>
      <c r="H1118" t="s">
        <v>53</v>
      </c>
      <c r="I1118">
        <v>2</v>
      </c>
      <c r="J1118">
        <v>0.25</v>
      </c>
      <c r="K1118">
        <v>126.64</v>
      </c>
      <c r="L1118">
        <v>4.2</v>
      </c>
      <c r="M1118" t="s">
        <v>2470</v>
      </c>
      <c r="N1118" t="s">
        <v>2467</v>
      </c>
      <c r="O1118" t="s">
        <v>2459</v>
      </c>
      <c r="P1118">
        <v>31.34</v>
      </c>
      <c r="Q1118">
        <v>56.49</v>
      </c>
      <c r="R1118">
        <v>62.68</v>
      </c>
      <c r="S1118">
        <v>59.76</v>
      </c>
      <c r="T1118">
        <v>0.47188881869867338</v>
      </c>
      <c r="U1118" s="1">
        <v>45992</v>
      </c>
      <c r="V1118" t="s">
        <v>2501</v>
      </c>
      <c r="W1118">
        <v>2025</v>
      </c>
    </row>
    <row r="1119" spans="1:23" x14ac:dyDescent="0.25">
      <c r="A1119" t="s">
        <v>1166</v>
      </c>
      <c r="B1119" s="1">
        <v>45818</v>
      </c>
      <c r="C1119" s="1">
        <v>45820</v>
      </c>
      <c r="D1119" t="s">
        <v>13</v>
      </c>
      <c r="E1119" t="s">
        <v>36</v>
      </c>
      <c r="F1119" t="s">
        <v>29</v>
      </c>
      <c r="G1119" t="s">
        <v>16</v>
      </c>
      <c r="H1119" t="s">
        <v>21</v>
      </c>
      <c r="I1119">
        <v>3</v>
      </c>
      <c r="J1119">
        <v>0</v>
      </c>
      <c r="K1119">
        <v>347.02</v>
      </c>
      <c r="L1119">
        <v>11.4</v>
      </c>
      <c r="M1119" t="s">
        <v>2462</v>
      </c>
      <c r="N1119" t="s">
        <v>2458</v>
      </c>
      <c r="O1119" t="s">
        <v>2463</v>
      </c>
      <c r="P1119">
        <v>71.489999999999995</v>
      </c>
      <c r="Q1119">
        <v>112.88</v>
      </c>
      <c r="R1119">
        <v>214.46999999999997</v>
      </c>
      <c r="S1119">
        <v>121.15</v>
      </c>
      <c r="T1119">
        <v>0.34911532476514323</v>
      </c>
      <c r="U1119" s="1">
        <v>45809</v>
      </c>
      <c r="V1119" t="s">
        <v>2499</v>
      </c>
      <c r="W1119">
        <v>2025</v>
      </c>
    </row>
    <row r="1120" spans="1:23" x14ac:dyDescent="0.25">
      <c r="A1120" t="s">
        <v>1167</v>
      </c>
      <c r="B1120" s="1">
        <v>45716</v>
      </c>
      <c r="C1120" s="1">
        <v>45721</v>
      </c>
      <c r="D1120" t="s">
        <v>13</v>
      </c>
      <c r="E1120" t="s">
        <v>19</v>
      </c>
      <c r="F1120" t="s">
        <v>25</v>
      </c>
      <c r="G1120" t="s">
        <v>20</v>
      </c>
      <c r="H1120" t="s">
        <v>27</v>
      </c>
      <c r="I1120">
        <v>6</v>
      </c>
      <c r="J1120">
        <v>0</v>
      </c>
      <c r="K1120">
        <v>149.5</v>
      </c>
      <c r="L1120">
        <v>4.32</v>
      </c>
      <c r="M1120" t="s">
        <v>2478</v>
      </c>
      <c r="N1120" t="s">
        <v>2474</v>
      </c>
      <c r="O1120" t="s">
        <v>2463</v>
      </c>
      <c r="P1120">
        <v>16.760000000000002</v>
      </c>
      <c r="Q1120">
        <v>27.71</v>
      </c>
      <c r="R1120">
        <v>100.56</v>
      </c>
      <c r="S1120">
        <v>44.62</v>
      </c>
      <c r="T1120">
        <v>0.29846153846153844</v>
      </c>
      <c r="U1120" s="1">
        <v>45689</v>
      </c>
      <c r="V1120" t="s">
        <v>2499</v>
      </c>
      <c r="W1120">
        <v>2025</v>
      </c>
    </row>
    <row r="1121" spans="1:23" x14ac:dyDescent="0.25">
      <c r="A1121" t="s">
        <v>1168</v>
      </c>
      <c r="B1121" s="1">
        <v>45778</v>
      </c>
      <c r="C1121" s="1">
        <v>45779</v>
      </c>
      <c r="D1121" t="s">
        <v>47</v>
      </c>
      <c r="E1121" t="s">
        <v>71</v>
      </c>
      <c r="F1121" t="s">
        <v>25</v>
      </c>
      <c r="G1121" t="s">
        <v>20</v>
      </c>
      <c r="H1121" t="s">
        <v>63</v>
      </c>
      <c r="I1121">
        <v>5</v>
      </c>
      <c r="J1121">
        <v>0.15</v>
      </c>
      <c r="K1121">
        <v>51.54</v>
      </c>
      <c r="L1121">
        <v>6.75</v>
      </c>
      <c r="M1121" t="s">
        <v>2477</v>
      </c>
      <c r="N1121" t="s">
        <v>2474</v>
      </c>
      <c r="O1121" t="s">
        <v>2468</v>
      </c>
      <c r="P1121">
        <v>6.33</v>
      </c>
      <c r="Q1121">
        <v>12.16</v>
      </c>
      <c r="R1121">
        <v>31.65</v>
      </c>
      <c r="S1121">
        <v>13.14</v>
      </c>
      <c r="T1121">
        <v>0.25494761350407452</v>
      </c>
      <c r="U1121" s="1">
        <v>45778</v>
      </c>
      <c r="V1121" t="s">
        <v>2500</v>
      </c>
      <c r="W1121">
        <v>2025</v>
      </c>
    </row>
    <row r="1122" spans="1:23" x14ac:dyDescent="0.25">
      <c r="A1122" t="s">
        <v>1169</v>
      </c>
      <c r="B1122" s="1">
        <v>45930</v>
      </c>
      <c r="C1122" s="1">
        <v>45935</v>
      </c>
      <c r="D1122" t="s">
        <v>32</v>
      </c>
      <c r="E1122" t="s">
        <v>62</v>
      </c>
      <c r="F1122" t="s">
        <v>15</v>
      </c>
      <c r="G1122" t="s">
        <v>16</v>
      </c>
      <c r="H1122" t="s">
        <v>21</v>
      </c>
      <c r="I1122">
        <v>4</v>
      </c>
      <c r="J1122">
        <v>0.2</v>
      </c>
      <c r="K1122">
        <v>387.45</v>
      </c>
      <c r="L1122">
        <v>8.2200000000000006</v>
      </c>
      <c r="M1122" t="s">
        <v>2462</v>
      </c>
      <c r="N1122" t="s">
        <v>2458</v>
      </c>
      <c r="O1122" t="s">
        <v>2463</v>
      </c>
      <c r="P1122">
        <v>71.489999999999995</v>
      </c>
      <c r="Q1122">
        <v>112.88</v>
      </c>
      <c r="R1122">
        <v>285.95999999999998</v>
      </c>
      <c r="S1122">
        <v>93.27000000000001</v>
      </c>
      <c r="T1122">
        <v>0.2407278358497871</v>
      </c>
      <c r="U1122" s="1">
        <v>45901</v>
      </c>
      <c r="V1122" t="s">
        <v>2500</v>
      </c>
      <c r="W1122">
        <v>2025</v>
      </c>
    </row>
    <row r="1123" spans="1:23" x14ac:dyDescent="0.25">
      <c r="A1123" t="s">
        <v>1170</v>
      </c>
      <c r="B1123" s="1">
        <v>45964</v>
      </c>
      <c r="C1123" s="1">
        <v>45966</v>
      </c>
      <c r="D1123" t="s">
        <v>23</v>
      </c>
      <c r="E1123" t="s">
        <v>43</v>
      </c>
      <c r="F1123" t="s">
        <v>25</v>
      </c>
      <c r="G1123" t="s">
        <v>16</v>
      </c>
      <c r="H1123" t="s">
        <v>17</v>
      </c>
      <c r="I1123">
        <v>2</v>
      </c>
      <c r="J1123">
        <v>0</v>
      </c>
      <c r="K1123">
        <v>348.23</v>
      </c>
      <c r="L1123">
        <v>7</v>
      </c>
      <c r="M1123" t="s">
        <v>2472</v>
      </c>
      <c r="N1123" t="s">
        <v>2467</v>
      </c>
      <c r="O1123" t="s">
        <v>2468</v>
      </c>
      <c r="P1123">
        <v>63.69</v>
      </c>
      <c r="Q1123">
        <v>125.5</v>
      </c>
      <c r="R1123">
        <v>127.38</v>
      </c>
      <c r="S1123">
        <v>213.85000000000002</v>
      </c>
      <c r="T1123">
        <v>0.6141056198489504</v>
      </c>
      <c r="U1123" s="1">
        <v>45962</v>
      </c>
      <c r="V1123" t="s">
        <v>2499</v>
      </c>
      <c r="W1123">
        <v>2025</v>
      </c>
    </row>
    <row r="1124" spans="1:23" x14ac:dyDescent="0.25">
      <c r="A1124" t="s">
        <v>1171</v>
      </c>
      <c r="B1124" s="1">
        <v>45378</v>
      </c>
      <c r="C1124" s="1">
        <v>45381</v>
      </c>
      <c r="D1124" t="s">
        <v>47</v>
      </c>
      <c r="E1124" t="s">
        <v>71</v>
      </c>
      <c r="F1124" t="s">
        <v>15</v>
      </c>
      <c r="G1124" t="s">
        <v>16</v>
      </c>
      <c r="H1124" t="s">
        <v>39</v>
      </c>
      <c r="I1124">
        <v>2</v>
      </c>
      <c r="J1124">
        <v>0.1</v>
      </c>
      <c r="K1124">
        <v>331.83</v>
      </c>
      <c r="L1124">
        <v>4.2</v>
      </c>
      <c r="M1124" t="s">
        <v>2471</v>
      </c>
      <c r="N1124" t="s">
        <v>2467</v>
      </c>
      <c r="O1124" t="s">
        <v>2461</v>
      </c>
      <c r="P1124">
        <v>112.09</v>
      </c>
      <c r="Q1124">
        <v>192.47</v>
      </c>
      <c r="R1124">
        <v>224.18</v>
      </c>
      <c r="S1124">
        <v>103.44999999999997</v>
      </c>
      <c r="T1124">
        <v>0.31175601964861521</v>
      </c>
      <c r="U1124" s="1">
        <v>45352</v>
      </c>
      <c r="V1124" t="s">
        <v>2498</v>
      </c>
      <c r="W1124">
        <v>2024</v>
      </c>
    </row>
    <row r="1125" spans="1:23" x14ac:dyDescent="0.25">
      <c r="A1125" t="s">
        <v>1172</v>
      </c>
      <c r="B1125" s="1">
        <v>45824</v>
      </c>
      <c r="C1125" s="1">
        <v>45825</v>
      </c>
      <c r="D1125" t="s">
        <v>47</v>
      </c>
      <c r="E1125" t="s">
        <v>71</v>
      </c>
      <c r="F1125" t="s">
        <v>15</v>
      </c>
      <c r="G1125" t="s">
        <v>20</v>
      </c>
      <c r="H1125" t="s">
        <v>60</v>
      </c>
      <c r="I1125">
        <v>3</v>
      </c>
      <c r="J1125">
        <v>0.2</v>
      </c>
      <c r="K1125">
        <v>276.10000000000002</v>
      </c>
      <c r="L1125">
        <v>8.25</v>
      </c>
      <c r="M1125" t="s">
        <v>2469</v>
      </c>
      <c r="N1125" t="s">
        <v>2467</v>
      </c>
      <c r="O1125" t="s">
        <v>2468</v>
      </c>
      <c r="P1125">
        <v>54.95</v>
      </c>
      <c r="Q1125">
        <v>112.56</v>
      </c>
      <c r="R1125">
        <v>164.85000000000002</v>
      </c>
      <c r="S1125">
        <v>103</v>
      </c>
      <c r="T1125">
        <v>0.37305324157913794</v>
      </c>
      <c r="U1125" s="1">
        <v>45809</v>
      </c>
      <c r="V1125" t="s">
        <v>2500</v>
      </c>
      <c r="W1125">
        <v>2025</v>
      </c>
    </row>
    <row r="1126" spans="1:23" x14ac:dyDescent="0.25">
      <c r="A1126" t="s">
        <v>1173</v>
      </c>
      <c r="B1126" s="1">
        <v>45986</v>
      </c>
      <c r="C1126" s="1">
        <v>45990</v>
      </c>
      <c r="D1126" t="s">
        <v>23</v>
      </c>
      <c r="E1126" t="s">
        <v>24</v>
      </c>
      <c r="F1126" t="s">
        <v>15</v>
      </c>
      <c r="G1126" t="s">
        <v>20</v>
      </c>
      <c r="H1126" t="s">
        <v>34</v>
      </c>
      <c r="I1126">
        <v>5</v>
      </c>
      <c r="J1126">
        <v>0.05</v>
      </c>
      <c r="K1126">
        <v>1323.6</v>
      </c>
      <c r="L1126">
        <v>16</v>
      </c>
      <c r="M1126" t="s">
        <v>2460</v>
      </c>
      <c r="N1126" t="s">
        <v>2458</v>
      </c>
      <c r="O1126" t="s">
        <v>2461</v>
      </c>
      <c r="P1126">
        <v>119.02</v>
      </c>
      <c r="Q1126">
        <v>205.39</v>
      </c>
      <c r="R1126">
        <v>595.1</v>
      </c>
      <c r="S1126">
        <v>712.49999999999989</v>
      </c>
      <c r="T1126">
        <v>0.53830462375339982</v>
      </c>
      <c r="U1126" s="1">
        <v>45962</v>
      </c>
      <c r="V1126" t="s">
        <v>2498</v>
      </c>
      <c r="W1126">
        <v>2025</v>
      </c>
    </row>
    <row r="1127" spans="1:23" x14ac:dyDescent="0.25">
      <c r="A1127" t="s">
        <v>1174</v>
      </c>
      <c r="B1127" s="1">
        <v>45810</v>
      </c>
      <c r="C1127" s="1">
        <v>45812</v>
      </c>
      <c r="D1127" t="s">
        <v>47</v>
      </c>
      <c r="E1127" t="s">
        <v>71</v>
      </c>
      <c r="F1127" t="s">
        <v>15</v>
      </c>
      <c r="G1127" t="s">
        <v>26</v>
      </c>
      <c r="H1127" t="s">
        <v>17</v>
      </c>
      <c r="I1127">
        <v>1</v>
      </c>
      <c r="J1127">
        <v>0.1</v>
      </c>
      <c r="K1127">
        <v>111.81</v>
      </c>
      <c r="L1127">
        <v>3.45</v>
      </c>
      <c r="M1127" t="s">
        <v>2472</v>
      </c>
      <c r="N1127" t="s">
        <v>2467</v>
      </c>
      <c r="O1127" t="s">
        <v>2468</v>
      </c>
      <c r="P1127">
        <v>63.69</v>
      </c>
      <c r="Q1127">
        <v>125.5</v>
      </c>
      <c r="R1127">
        <v>63.69</v>
      </c>
      <c r="S1127">
        <v>44.67</v>
      </c>
      <c r="T1127">
        <v>0.39951703783203651</v>
      </c>
      <c r="U1127" s="1">
        <v>45809</v>
      </c>
      <c r="V1127" t="s">
        <v>2498</v>
      </c>
      <c r="W1127">
        <v>2025</v>
      </c>
    </row>
    <row r="1128" spans="1:23" x14ac:dyDescent="0.25">
      <c r="A1128" t="s">
        <v>1175</v>
      </c>
      <c r="B1128" s="1">
        <v>45840</v>
      </c>
      <c r="C1128" s="1">
        <v>45841</v>
      </c>
      <c r="D1128" t="s">
        <v>47</v>
      </c>
      <c r="E1128" t="s">
        <v>71</v>
      </c>
      <c r="F1128" t="s">
        <v>15</v>
      </c>
      <c r="G1128" t="s">
        <v>26</v>
      </c>
      <c r="H1128" t="s">
        <v>63</v>
      </c>
      <c r="I1128">
        <v>5</v>
      </c>
      <c r="J1128">
        <v>0.2</v>
      </c>
      <c r="K1128">
        <v>42.24</v>
      </c>
      <c r="L1128">
        <v>4.05</v>
      </c>
      <c r="M1128" t="s">
        <v>2477</v>
      </c>
      <c r="N1128" t="s">
        <v>2474</v>
      </c>
      <c r="O1128" t="s">
        <v>2468</v>
      </c>
      <c r="P1128">
        <v>6.33</v>
      </c>
      <c r="Q1128">
        <v>12.16</v>
      </c>
      <c r="R1128">
        <v>31.65</v>
      </c>
      <c r="S1128">
        <v>6.5400000000000036</v>
      </c>
      <c r="T1128">
        <v>0.15482954545454553</v>
      </c>
      <c r="U1128" s="1">
        <v>45839</v>
      </c>
      <c r="V1128" t="s">
        <v>2500</v>
      </c>
      <c r="W1128">
        <v>2025</v>
      </c>
    </row>
    <row r="1129" spans="1:23" x14ac:dyDescent="0.25">
      <c r="A1129" t="s">
        <v>1176</v>
      </c>
      <c r="B1129" s="1">
        <v>45701</v>
      </c>
      <c r="C1129" s="1">
        <v>45703</v>
      </c>
      <c r="D1129" t="s">
        <v>47</v>
      </c>
      <c r="E1129" t="s">
        <v>71</v>
      </c>
      <c r="F1129" t="s">
        <v>15</v>
      </c>
      <c r="G1129" t="s">
        <v>16</v>
      </c>
      <c r="H1129" t="s">
        <v>63</v>
      </c>
      <c r="I1129">
        <v>8</v>
      </c>
      <c r="J1129">
        <v>0.15</v>
      </c>
      <c r="K1129">
        <v>74.540000000000006</v>
      </c>
      <c r="L1129">
        <v>4.8600000000000003</v>
      </c>
      <c r="M1129" t="s">
        <v>2477</v>
      </c>
      <c r="N1129" t="s">
        <v>2474</v>
      </c>
      <c r="O1129" t="s">
        <v>2468</v>
      </c>
      <c r="P1129">
        <v>6.33</v>
      </c>
      <c r="Q1129">
        <v>12.16</v>
      </c>
      <c r="R1129">
        <v>50.64</v>
      </c>
      <c r="S1129">
        <v>19.040000000000006</v>
      </c>
      <c r="T1129">
        <v>0.25543332438958954</v>
      </c>
      <c r="U1129" s="1">
        <v>45689</v>
      </c>
      <c r="V1129" t="s">
        <v>2500</v>
      </c>
      <c r="W1129">
        <v>2025</v>
      </c>
    </row>
    <row r="1130" spans="1:23" x14ac:dyDescent="0.25">
      <c r="A1130" t="s">
        <v>1177</v>
      </c>
      <c r="B1130" s="1">
        <v>45885</v>
      </c>
      <c r="C1130" s="1">
        <v>45890</v>
      </c>
      <c r="D1130" t="s">
        <v>47</v>
      </c>
      <c r="E1130" t="s">
        <v>50</v>
      </c>
      <c r="F1130" t="s">
        <v>15</v>
      </c>
      <c r="G1130" t="s">
        <v>26</v>
      </c>
      <c r="H1130" t="s">
        <v>30</v>
      </c>
      <c r="I1130">
        <v>9</v>
      </c>
      <c r="J1130">
        <v>0</v>
      </c>
      <c r="K1130">
        <v>52.83</v>
      </c>
      <c r="L1130">
        <v>5.13</v>
      </c>
      <c r="M1130" t="s">
        <v>2473</v>
      </c>
      <c r="N1130" t="s">
        <v>2474</v>
      </c>
      <c r="O1130" t="s">
        <v>2463</v>
      </c>
      <c r="P1130">
        <v>3.62</v>
      </c>
      <c r="Q1130">
        <v>6.03</v>
      </c>
      <c r="R1130">
        <v>32.58</v>
      </c>
      <c r="S1130">
        <v>15.120000000000001</v>
      </c>
      <c r="T1130">
        <v>0.28620102214650767</v>
      </c>
      <c r="U1130" s="1">
        <v>45870</v>
      </c>
      <c r="V1130" t="s">
        <v>2499</v>
      </c>
      <c r="W1130">
        <v>2025</v>
      </c>
    </row>
    <row r="1131" spans="1:23" x14ac:dyDescent="0.25">
      <c r="A1131" t="s">
        <v>1178</v>
      </c>
      <c r="B1131" s="1">
        <v>45546</v>
      </c>
      <c r="C1131" s="1">
        <v>45551</v>
      </c>
      <c r="D1131" t="s">
        <v>32</v>
      </c>
      <c r="E1131" t="s">
        <v>33</v>
      </c>
      <c r="F1131" t="s">
        <v>29</v>
      </c>
      <c r="G1131" t="s">
        <v>26</v>
      </c>
      <c r="H1131" t="s">
        <v>17</v>
      </c>
      <c r="I1131">
        <v>3</v>
      </c>
      <c r="J1131">
        <v>0.1</v>
      </c>
      <c r="K1131">
        <v>357.15</v>
      </c>
      <c r="L1131">
        <v>4.95</v>
      </c>
      <c r="M1131" t="s">
        <v>2472</v>
      </c>
      <c r="N1131" t="s">
        <v>2467</v>
      </c>
      <c r="O1131" t="s">
        <v>2468</v>
      </c>
      <c r="P1131">
        <v>63.69</v>
      </c>
      <c r="Q1131">
        <v>125.5</v>
      </c>
      <c r="R1131">
        <v>191.07</v>
      </c>
      <c r="S1131">
        <v>161.13</v>
      </c>
      <c r="T1131">
        <v>0.45115497690046202</v>
      </c>
      <c r="U1131" s="1">
        <v>45536</v>
      </c>
      <c r="V1131" t="s">
        <v>2498</v>
      </c>
      <c r="W1131">
        <v>2024</v>
      </c>
    </row>
    <row r="1132" spans="1:23" x14ac:dyDescent="0.25">
      <c r="A1132" t="s">
        <v>1179</v>
      </c>
      <c r="B1132" s="1">
        <v>46000</v>
      </c>
      <c r="C1132" s="1">
        <v>46006</v>
      </c>
      <c r="D1132" t="s">
        <v>13</v>
      </c>
      <c r="E1132" t="s">
        <v>19</v>
      </c>
      <c r="F1132" t="s">
        <v>25</v>
      </c>
      <c r="G1132" t="s">
        <v>16</v>
      </c>
      <c r="H1132" t="s">
        <v>30</v>
      </c>
      <c r="I1132">
        <v>7</v>
      </c>
      <c r="J1132">
        <v>0</v>
      </c>
      <c r="K1132">
        <v>58.35</v>
      </c>
      <c r="L1132">
        <v>4.59</v>
      </c>
      <c r="M1132" t="s">
        <v>2473</v>
      </c>
      <c r="N1132" t="s">
        <v>2474</v>
      </c>
      <c r="O1132" t="s">
        <v>2463</v>
      </c>
      <c r="P1132">
        <v>3.62</v>
      </c>
      <c r="Q1132">
        <v>6.03</v>
      </c>
      <c r="R1132">
        <v>25.34</v>
      </c>
      <c r="S1132">
        <v>28.420000000000005</v>
      </c>
      <c r="T1132">
        <v>0.48706083976006864</v>
      </c>
      <c r="U1132" s="1">
        <v>45992</v>
      </c>
      <c r="V1132" t="s">
        <v>2499</v>
      </c>
      <c r="W1132">
        <v>2025</v>
      </c>
    </row>
    <row r="1133" spans="1:23" x14ac:dyDescent="0.25">
      <c r="A1133" t="s">
        <v>1180</v>
      </c>
      <c r="B1133" s="1">
        <v>45414</v>
      </c>
      <c r="C1133" s="1">
        <v>45420</v>
      </c>
      <c r="D1133" t="s">
        <v>32</v>
      </c>
      <c r="E1133" t="s">
        <v>33</v>
      </c>
      <c r="F1133" t="s">
        <v>15</v>
      </c>
      <c r="G1133" t="s">
        <v>16</v>
      </c>
      <c r="H1133" t="s">
        <v>39</v>
      </c>
      <c r="I1133">
        <v>4</v>
      </c>
      <c r="J1133">
        <v>0.25</v>
      </c>
      <c r="K1133">
        <v>573.21</v>
      </c>
      <c r="L1133">
        <v>5.7</v>
      </c>
      <c r="M1133" t="s">
        <v>2471</v>
      </c>
      <c r="N1133" t="s">
        <v>2467</v>
      </c>
      <c r="O1133" t="s">
        <v>2461</v>
      </c>
      <c r="P1133">
        <v>112.09</v>
      </c>
      <c r="Q1133">
        <v>192.47</v>
      </c>
      <c r="R1133">
        <v>448.36</v>
      </c>
      <c r="S1133">
        <v>119.15000000000002</v>
      </c>
      <c r="T1133">
        <v>0.20786448247588146</v>
      </c>
      <c r="U1133" s="1">
        <v>45413</v>
      </c>
      <c r="V1133" t="s">
        <v>2501</v>
      </c>
      <c r="W1133">
        <v>2024</v>
      </c>
    </row>
    <row r="1134" spans="1:23" x14ac:dyDescent="0.25">
      <c r="A1134" t="s">
        <v>1181</v>
      </c>
      <c r="B1134" s="1">
        <v>45787</v>
      </c>
      <c r="C1134" s="1">
        <v>45792</v>
      </c>
      <c r="D1134" t="s">
        <v>13</v>
      </c>
      <c r="E1134" t="s">
        <v>14</v>
      </c>
      <c r="F1134" t="s">
        <v>25</v>
      </c>
      <c r="G1134" t="s">
        <v>20</v>
      </c>
      <c r="H1134" t="s">
        <v>60</v>
      </c>
      <c r="I1134">
        <v>4</v>
      </c>
      <c r="J1134">
        <v>0</v>
      </c>
      <c r="K1134">
        <v>433.81</v>
      </c>
      <c r="L1134">
        <v>9.5</v>
      </c>
      <c r="M1134" t="s">
        <v>2469</v>
      </c>
      <c r="N1134" t="s">
        <v>2467</v>
      </c>
      <c r="O1134" t="s">
        <v>2468</v>
      </c>
      <c r="P1134">
        <v>54.95</v>
      </c>
      <c r="Q1134">
        <v>112.56</v>
      </c>
      <c r="R1134">
        <v>219.8</v>
      </c>
      <c r="S1134">
        <v>204.51</v>
      </c>
      <c r="T1134">
        <v>0.47142758350429909</v>
      </c>
      <c r="U1134" s="1">
        <v>45778</v>
      </c>
      <c r="V1134" t="s">
        <v>2499</v>
      </c>
      <c r="W1134">
        <v>2025</v>
      </c>
    </row>
    <row r="1135" spans="1:23" x14ac:dyDescent="0.25">
      <c r="A1135" t="s">
        <v>1182</v>
      </c>
      <c r="B1135" s="1">
        <v>45757</v>
      </c>
      <c r="C1135" s="1">
        <v>45758</v>
      </c>
      <c r="D1135" t="s">
        <v>13</v>
      </c>
      <c r="E1135" t="s">
        <v>19</v>
      </c>
      <c r="F1135" t="s">
        <v>25</v>
      </c>
      <c r="G1135" t="s">
        <v>20</v>
      </c>
      <c r="H1135" t="s">
        <v>63</v>
      </c>
      <c r="I1135">
        <v>6</v>
      </c>
      <c r="J1135">
        <v>0</v>
      </c>
      <c r="K1135">
        <v>73.739999999999995</v>
      </c>
      <c r="L1135">
        <v>4.32</v>
      </c>
      <c r="M1135" t="s">
        <v>2477</v>
      </c>
      <c r="N1135" t="s">
        <v>2474</v>
      </c>
      <c r="O1135" t="s">
        <v>2468</v>
      </c>
      <c r="P1135">
        <v>6.33</v>
      </c>
      <c r="Q1135">
        <v>12.16</v>
      </c>
      <c r="R1135">
        <v>37.980000000000004</v>
      </c>
      <c r="S1135">
        <v>31.439999999999991</v>
      </c>
      <c r="T1135">
        <v>0.42636289666395433</v>
      </c>
      <c r="U1135" s="1">
        <v>45748</v>
      </c>
      <c r="V1135" t="s">
        <v>2499</v>
      </c>
      <c r="W1135">
        <v>2025</v>
      </c>
    </row>
    <row r="1136" spans="1:23" x14ac:dyDescent="0.25">
      <c r="A1136" t="s">
        <v>1183</v>
      </c>
      <c r="B1136" s="1">
        <v>45375</v>
      </c>
      <c r="C1136" s="1">
        <v>45377</v>
      </c>
      <c r="D1136" t="s">
        <v>23</v>
      </c>
      <c r="E1136" t="s">
        <v>43</v>
      </c>
      <c r="F1136" t="s">
        <v>29</v>
      </c>
      <c r="G1136" t="s">
        <v>20</v>
      </c>
      <c r="H1136" t="s">
        <v>65</v>
      </c>
      <c r="I1136">
        <v>2</v>
      </c>
      <c r="J1136">
        <v>0</v>
      </c>
      <c r="K1136">
        <v>533.32000000000005</v>
      </c>
      <c r="L1136">
        <v>5.46</v>
      </c>
      <c r="M1136" t="s">
        <v>2457</v>
      </c>
      <c r="N1136" t="s">
        <v>2458</v>
      </c>
      <c r="O1136" t="s">
        <v>2459</v>
      </c>
      <c r="P1136">
        <v>173.56</v>
      </c>
      <c r="Q1136">
        <v>286.14999999999998</v>
      </c>
      <c r="R1136">
        <v>347.12</v>
      </c>
      <c r="S1136">
        <v>180.74000000000004</v>
      </c>
      <c r="T1136">
        <v>0.33889597239931002</v>
      </c>
      <c r="U1136" s="1">
        <v>45352</v>
      </c>
      <c r="V1136" t="s">
        <v>2499</v>
      </c>
      <c r="W1136">
        <v>2024</v>
      </c>
    </row>
    <row r="1137" spans="1:23" x14ac:dyDescent="0.25">
      <c r="A1137" t="s">
        <v>1184</v>
      </c>
      <c r="B1137" s="1">
        <v>45732</v>
      </c>
      <c r="C1137" s="1">
        <v>45737</v>
      </c>
      <c r="D1137" t="s">
        <v>23</v>
      </c>
      <c r="E1137" t="s">
        <v>59</v>
      </c>
      <c r="F1137" t="s">
        <v>15</v>
      </c>
      <c r="G1137" t="s">
        <v>20</v>
      </c>
      <c r="H1137" t="s">
        <v>30</v>
      </c>
      <c r="I1137">
        <v>8</v>
      </c>
      <c r="J1137">
        <v>0.15</v>
      </c>
      <c r="K1137">
        <v>36.880000000000003</v>
      </c>
      <c r="L1137">
        <v>4.8600000000000003</v>
      </c>
      <c r="M1137" t="s">
        <v>2473</v>
      </c>
      <c r="N1137" t="s">
        <v>2474</v>
      </c>
      <c r="O1137" t="s">
        <v>2463</v>
      </c>
      <c r="P1137">
        <v>3.62</v>
      </c>
      <c r="Q1137">
        <v>6.03</v>
      </c>
      <c r="R1137">
        <v>28.96</v>
      </c>
      <c r="S1137">
        <v>3.0600000000000014</v>
      </c>
      <c r="T1137">
        <v>8.2971800433839504E-2</v>
      </c>
      <c r="U1137" s="1">
        <v>45717</v>
      </c>
      <c r="V1137" t="s">
        <v>2500</v>
      </c>
      <c r="W1137">
        <v>2025</v>
      </c>
    </row>
    <row r="1138" spans="1:23" x14ac:dyDescent="0.25">
      <c r="A1138" t="s">
        <v>1185</v>
      </c>
      <c r="B1138" s="1">
        <v>45924</v>
      </c>
      <c r="C1138" s="1">
        <v>45929</v>
      </c>
      <c r="D1138" t="s">
        <v>13</v>
      </c>
      <c r="E1138" t="s">
        <v>36</v>
      </c>
      <c r="F1138" t="s">
        <v>15</v>
      </c>
      <c r="G1138" t="s">
        <v>16</v>
      </c>
      <c r="H1138" t="s">
        <v>41</v>
      </c>
      <c r="I1138">
        <v>8</v>
      </c>
      <c r="J1138">
        <v>0</v>
      </c>
      <c r="K1138">
        <v>51.82</v>
      </c>
      <c r="L1138">
        <v>4.8600000000000003</v>
      </c>
      <c r="M1138" t="s">
        <v>2479</v>
      </c>
      <c r="N1138" t="s">
        <v>2474</v>
      </c>
      <c r="O1138" t="s">
        <v>2459</v>
      </c>
      <c r="P1138">
        <v>3.3</v>
      </c>
      <c r="Q1138">
        <v>6.13</v>
      </c>
      <c r="R1138">
        <v>26.4</v>
      </c>
      <c r="S1138">
        <v>20.560000000000002</v>
      </c>
      <c r="T1138">
        <v>0.39675800849093018</v>
      </c>
      <c r="U1138" s="1">
        <v>45901</v>
      </c>
      <c r="V1138" t="s">
        <v>2499</v>
      </c>
      <c r="W1138">
        <v>2025</v>
      </c>
    </row>
    <row r="1139" spans="1:23" x14ac:dyDescent="0.25">
      <c r="A1139" t="s">
        <v>1186</v>
      </c>
      <c r="B1139" s="1">
        <v>45474</v>
      </c>
      <c r="C1139" s="1">
        <v>45476</v>
      </c>
      <c r="D1139" t="s">
        <v>47</v>
      </c>
      <c r="E1139" t="s">
        <v>71</v>
      </c>
      <c r="F1139" t="s">
        <v>25</v>
      </c>
      <c r="G1139" t="s">
        <v>26</v>
      </c>
      <c r="H1139" t="s">
        <v>27</v>
      </c>
      <c r="I1139">
        <v>13</v>
      </c>
      <c r="J1139">
        <v>0</v>
      </c>
      <c r="K1139">
        <v>325.29000000000002</v>
      </c>
      <c r="L1139">
        <v>10.35</v>
      </c>
      <c r="M1139" t="s">
        <v>2478</v>
      </c>
      <c r="N1139" t="s">
        <v>2474</v>
      </c>
      <c r="O1139" t="s">
        <v>2463</v>
      </c>
      <c r="P1139">
        <v>16.760000000000002</v>
      </c>
      <c r="Q1139">
        <v>27.71</v>
      </c>
      <c r="R1139">
        <v>217.88000000000002</v>
      </c>
      <c r="S1139">
        <v>97.06</v>
      </c>
      <c r="T1139">
        <v>0.29837990715976515</v>
      </c>
      <c r="U1139" s="1">
        <v>45474</v>
      </c>
      <c r="V1139" t="s">
        <v>2499</v>
      </c>
      <c r="W1139">
        <v>2024</v>
      </c>
    </row>
    <row r="1140" spans="1:23" x14ac:dyDescent="0.25">
      <c r="A1140" t="s">
        <v>1187</v>
      </c>
      <c r="B1140" s="1">
        <v>45580</v>
      </c>
      <c r="C1140" s="1">
        <v>45581</v>
      </c>
      <c r="D1140" t="s">
        <v>47</v>
      </c>
      <c r="E1140" t="s">
        <v>48</v>
      </c>
      <c r="F1140" t="s">
        <v>29</v>
      </c>
      <c r="G1140" t="s">
        <v>16</v>
      </c>
      <c r="H1140" t="s">
        <v>39</v>
      </c>
      <c r="I1140">
        <v>3</v>
      </c>
      <c r="J1140">
        <v>0</v>
      </c>
      <c r="K1140">
        <v>706.84</v>
      </c>
      <c r="L1140">
        <v>4.95</v>
      </c>
      <c r="M1140" t="s">
        <v>2471</v>
      </c>
      <c r="N1140" t="s">
        <v>2467</v>
      </c>
      <c r="O1140" t="s">
        <v>2461</v>
      </c>
      <c r="P1140">
        <v>112.09</v>
      </c>
      <c r="Q1140">
        <v>192.47</v>
      </c>
      <c r="R1140">
        <v>336.27</v>
      </c>
      <c r="S1140">
        <v>365.62000000000006</v>
      </c>
      <c r="T1140">
        <v>0.51725991737875621</v>
      </c>
      <c r="U1140" s="1">
        <v>45566</v>
      </c>
      <c r="V1140" t="s">
        <v>2499</v>
      </c>
      <c r="W1140">
        <v>2024</v>
      </c>
    </row>
    <row r="1141" spans="1:23" x14ac:dyDescent="0.25">
      <c r="A1141" t="s">
        <v>1188</v>
      </c>
      <c r="B1141" s="1">
        <v>45942</v>
      </c>
      <c r="C1141" s="1">
        <v>45947</v>
      </c>
      <c r="D1141" t="s">
        <v>47</v>
      </c>
      <c r="E1141" t="s">
        <v>50</v>
      </c>
      <c r="F1141" t="s">
        <v>15</v>
      </c>
      <c r="G1141" t="s">
        <v>26</v>
      </c>
      <c r="H1141" t="s">
        <v>68</v>
      </c>
      <c r="I1141">
        <v>1</v>
      </c>
      <c r="J1141">
        <v>0</v>
      </c>
      <c r="K1141">
        <v>59.83</v>
      </c>
      <c r="L1141">
        <v>3.45</v>
      </c>
      <c r="M1141" t="s">
        <v>2466</v>
      </c>
      <c r="N1141" t="s">
        <v>2467</v>
      </c>
      <c r="O1141" t="s">
        <v>2468</v>
      </c>
      <c r="P1141">
        <v>25.33</v>
      </c>
      <c r="Q1141">
        <v>51.56</v>
      </c>
      <c r="R1141">
        <v>25.33</v>
      </c>
      <c r="S1141">
        <v>31.05</v>
      </c>
      <c r="T1141">
        <v>0.51897041617917439</v>
      </c>
      <c r="U1141" s="1">
        <v>45931</v>
      </c>
      <c r="V1141" t="s">
        <v>2499</v>
      </c>
      <c r="W1141">
        <v>2025</v>
      </c>
    </row>
    <row r="1142" spans="1:23" x14ac:dyDescent="0.25">
      <c r="A1142" t="s">
        <v>1189</v>
      </c>
      <c r="B1142" s="1">
        <v>45675</v>
      </c>
      <c r="C1142" s="1">
        <v>45681</v>
      </c>
      <c r="D1142" t="s">
        <v>32</v>
      </c>
      <c r="E1142" t="s">
        <v>33</v>
      </c>
      <c r="F1142" t="s">
        <v>25</v>
      </c>
      <c r="G1142" t="s">
        <v>26</v>
      </c>
      <c r="H1142" t="s">
        <v>30</v>
      </c>
      <c r="I1142">
        <v>13</v>
      </c>
      <c r="J1142">
        <v>0.2</v>
      </c>
      <c r="K1142">
        <v>53.79</v>
      </c>
      <c r="L1142">
        <v>6.21</v>
      </c>
      <c r="M1142" t="s">
        <v>2473</v>
      </c>
      <c r="N1142" t="s">
        <v>2474</v>
      </c>
      <c r="O1142" t="s">
        <v>2463</v>
      </c>
      <c r="P1142">
        <v>3.62</v>
      </c>
      <c r="Q1142">
        <v>6.03</v>
      </c>
      <c r="R1142">
        <v>47.06</v>
      </c>
      <c r="S1142">
        <v>0.51999999999999691</v>
      </c>
      <c r="T1142">
        <v>9.6672243911507146E-3</v>
      </c>
      <c r="U1142" s="1">
        <v>45658</v>
      </c>
      <c r="V1142" t="s">
        <v>2500</v>
      </c>
      <c r="W1142">
        <v>2025</v>
      </c>
    </row>
    <row r="1143" spans="1:23" x14ac:dyDescent="0.25">
      <c r="A1143" t="s">
        <v>1190</v>
      </c>
      <c r="B1143" s="1">
        <v>45747</v>
      </c>
      <c r="C1143" s="1">
        <v>45751</v>
      </c>
      <c r="D1143" t="s">
        <v>32</v>
      </c>
      <c r="E1143" t="s">
        <v>62</v>
      </c>
      <c r="F1143" t="s">
        <v>25</v>
      </c>
      <c r="G1143" t="s">
        <v>26</v>
      </c>
      <c r="H1143" t="s">
        <v>63</v>
      </c>
      <c r="I1143">
        <v>9</v>
      </c>
      <c r="J1143">
        <v>0</v>
      </c>
      <c r="K1143">
        <v>107.16</v>
      </c>
      <c r="L1143">
        <v>5.13</v>
      </c>
      <c r="M1143" t="s">
        <v>2477</v>
      </c>
      <c r="N1143" t="s">
        <v>2474</v>
      </c>
      <c r="O1143" t="s">
        <v>2468</v>
      </c>
      <c r="P1143">
        <v>6.33</v>
      </c>
      <c r="Q1143">
        <v>12.16</v>
      </c>
      <c r="R1143">
        <v>56.97</v>
      </c>
      <c r="S1143">
        <v>45.059999999999995</v>
      </c>
      <c r="T1143">
        <v>0.42049272116461361</v>
      </c>
      <c r="U1143" s="1">
        <v>45717</v>
      </c>
      <c r="V1143" t="s">
        <v>2499</v>
      </c>
      <c r="W1143">
        <v>2025</v>
      </c>
    </row>
    <row r="1144" spans="1:23" x14ac:dyDescent="0.25">
      <c r="A1144" t="s">
        <v>1191</v>
      </c>
      <c r="B1144" s="1">
        <v>45769</v>
      </c>
      <c r="C1144" s="1">
        <v>45774</v>
      </c>
      <c r="D1144" t="s">
        <v>23</v>
      </c>
      <c r="E1144" t="s">
        <v>59</v>
      </c>
      <c r="F1144" t="s">
        <v>15</v>
      </c>
      <c r="G1144" t="s">
        <v>20</v>
      </c>
      <c r="H1144" t="s">
        <v>65</v>
      </c>
      <c r="I1144">
        <v>4</v>
      </c>
      <c r="J1144">
        <v>0</v>
      </c>
      <c r="K1144">
        <v>1091.6400000000001</v>
      </c>
      <c r="L1144">
        <v>8.2200000000000006</v>
      </c>
      <c r="M1144" t="s">
        <v>2457</v>
      </c>
      <c r="N1144" t="s">
        <v>2458</v>
      </c>
      <c r="O1144" t="s">
        <v>2459</v>
      </c>
      <c r="P1144">
        <v>173.56</v>
      </c>
      <c r="Q1144">
        <v>286.14999999999998</v>
      </c>
      <c r="R1144">
        <v>694.24</v>
      </c>
      <c r="S1144">
        <v>389.18000000000006</v>
      </c>
      <c r="T1144">
        <v>0.35650947198710198</v>
      </c>
      <c r="U1144" s="1">
        <v>45748</v>
      </c>
      <c r="V1144" t="s">
        <v>2499</v>
      </c>
      <c r="W1144">
        <v>2025</v>
      </c>
    </row>
    <row r="1145" spans="1:23" x14ac:dyDescent="0.25">
      <c r="A1145" t="s">
        <v>1192</v>
      </c>
      <c r="B1145" s="1">
        <v>45557</v>
      </c>
      <c r="C1145" s="1">
        <v>45559</v>
      </c>
      <c r="D1145" t="s">
        <v>13</v>
      </c>
      <c r="E1145" t="s">
        <v>36</v>
      </c>
      <c r="F1145" t="s">
        <v>15</v>
      </c>
      <c r="G1145" t="s">
        <v>20</v>
      </c>
      <c r="H1145" t="s">
        <v>53</v>
      </c>
      <c r="I1145">
        <v>2</v>
      </c>
      <c r="J1145">
        <v>0.2</v>
      </c>
      <c r="K1145">
        <v>100.08</v>
      </c>
      <c r="L1145">
        <v>4.2</v>
      </c>
      <c r="M1145" t="s">
        <v>2470</v>
      </c>
      <c r="N1145" t="s">
        <v>2467</v>
      </c>
      <c r="O1145" t="s">
        <v>2459</v>
      </c>
      <c r="P1145">
        <v>31.34</v>
      </c>
      <c r="Q1145">
        <v>56.49</v>
      </c>
      <c r="R1145">
        <v>62.68</v>
      </c>
      <c r="S1145">
        <v>33.199999999999996</v>
      </c>
      <c r="T1145">
        <v>0.33173461231015183</v>
      </c>
      <c r="U1145" s="1">
        <v>45536</v>
      </c>
      <c r="V1145" t="s">
        <v>2500</v>
      </c>
      <c r="W1145">
        <v>2024</v>
      </c>
    </row>
    <row r="1146" spans="1:23" x14ac:dyDescent="0.25">
      <c r="A1146" t="s">
        <v>1193</v>
      </c>
      <c r="B1146" s="1">
        <v>45410</v>
      </c>
      <c r="C1146" s="1">
        <v>45411</v>
      </c>
      <c r="D1146" t="s">
        <v>47</v>
      </c>
      <c r="E1146" t="s">
        <v>50</v>
      </c>
      <c r="F1146" t="s">
        <v>15</v>
      </c>
      <c r="G1146" t="s">
        <v>16</v>
      </c>
      <c r="H1146" t="s">
        <v>27</v>
      </c>
      <c r="I1146">
        <v>9</v>
      </c>
      <c r="J1146">
        <v>0.25</v>
      </c>
      <c r="K1146">
        <v>183.1</v>
      </c>
      <c r="L1146">
        <v>5.13</v>
      </c>
      <c r="M1146" t="s">
        <v>2478</v>
      </c>
      <c r="N1146" t="s">
        <v>2474</v>
      </c>
      <c r="O1146" t="s">
        <v>2463</v>
      </c>
      <c r="P1146">
        <v>16.760000000000002</v>
      </c>
      <c r="Q1146">
        <v>27.71</v>
      </c>
      <c r="R1146">
        <v>150.84</v>
      </c>
      <c r="S1146">
        <v>27.129999999999992</v>
      </c>
      <c r="T1146">
        <v>0.14817039868924081</v>
      </c>
      <c r="U1146" s="1">
        <v>45383</v>
      </c>
      <c r="V1146" t="s">
        <v>2501</v>
      </c>
      <c r="W1146">
        <v>2024</v>
      </c>
    </row>
    <row r="1147" spans="1:23" x14ac:dyDescent="0.25">
      <c r="A1147" t="s">
        <v>1194</v>
      </c>
      <c r="B1147" s="1">
        <v>45910</v>
      </c>
      <c r="C1147" s="1">
        <v>45911</v>
      </c>
      <c r="D1147" t="s">
        <v>32</v>
      </c>
      <c r="E1147" t="s">
        <v>33</v>
      </c>
      <c r="F1147" t="s">
        <v>25</v>
      </c>
      <c r="G1147" t="s">
        <v>16</v>
      </c>
      <c r="H1147" t="s">
        <v>34</v>
      </c>
      <c r="I1147">
        <v>7</v>
      </c>
      <c r="J1147">
        <v>0</v>
      </c>
      <c r="K1147">
        <v>1526.82</v>
      </c>
      <c r="L1147">
        <v>20.6</v>
      </c>
      <c r="M1147" t="s">
        <v>2460</v>
      </c>
      <c r="N1147" t="s">
        <v>2458</v>
      </c>
      <c r="O1147" t="s">
        <v>2461</v>
      </c>
      <c r="P1147">
        <v>119.02</v>
      </c>
      <c r="Q1147">
        <v>205.39</v>
      </c>
      <c r="R1147">
        <v>833.14</v>
      </c>
      <c r="S1147">
        <v>673.07999999999993</v>
      </c>
      <c r="T1147">
        <v>0.44083781978229258</v>
      </c>
      <c r="U1147" s="1">
        <v>45901</v>
      </c>
      <c r="V1147" t="s">
        <v>2499</v>
      </c>
      <c r="W1147">
        <v>2025</v>
      </c>
    </row>
    <row r="1148" spans="1:23" x14ac:dyDescent="0.25">
      <c r="A1148" t="s">
        <v>1195</v>
      </c>
      <c r="B1148" s="1">
        <v>45711</v>
      </c>
      <c r="C1148" s="1">
        <v>45713</v>
      </c>
      <c r="D1148" t="s">
        <v>13</v>
      </c>
      <c r="E1148" t="s">
        <v>19</v>
      </c>
      <c r="F1148" t="s">
        <v>25</v>
      </c>
      <c r="G1148" t="s">
        <v>16</v>
      </c>
      <c r="H1148" t="s">
        <v>68</v>
      </c>
      <c r="I1148">
        <v>3</v>
      </c>
      <c r="J1148">
        <v>0</v>
      </c>
      <c r="K1148">
        <v>132.77000000000001</v>
      </c>
      <c r="L1148">
        <v>4.95</v>
      </c>
      <c r="M1148" t="s">
        <v>2466</v>
      </c>
      <c r="N1148" t="s">
        <v>2467</v>
      </c>
      <c r="O1148" t="s">
        <v>2468</v>
      </c>
      <c r="P1148">
        <v>25.33</v>
      </c>
      <c r="Q1148">
        <v>51.56</v>
      </c>
      <c r="R1148">
        <v>75.989999999999995</v>
      </c>
      <c r="S1148">
        <v>51.830000000000013</v>
      </c>
      <c r="T1148">
        <v>0.3903743315508022</v>
      </c>
      <c r="U1148" s="1">
        <v>45689</v>
      </c>
      <c r="V1148" t="s">
        <v>2499</v>
      </c>
      <c r="W1148">
        <v>2025</v>
      </c>
    </row>
    <row r="1149" spans="1:23" x14ac:dyDescent="0.25">
      <c r="A1149" t="s">
        <v>1196</v>
      </c>
      <c r="B1149" s="1">
        <v>45613</v>
      </c>
      <c r="C1149" s="1">
        <v>45615</v>
      </c>
      <c r="D1149" t="s">
        <v>13</v>
      </c>
      <c r="E1149" t="s">
        <v>19</v>
      </c>
      <c r="F1149" t="s">
        <v>29</v>
      </c>
      <c r="G1149" t="s">
        <v>16</v>
      </c>
      <c r="H1149" t="s">
        <v>41</v>
      </c>
      <c r="I1149">
        <v>23</v>
      </c>
      <c r="J1149">
        <v>0</v>
      </c>
      <c r="K1149">
        <v>189.22</v>
      </c>
      <c r="L1149">
        <v>8.91</v>
      </c>
      <c r="M1149" t="s">
        <v>2479</v>
      </c>
      <c r="N1149" t="s">
        <v>2474</v>
      </c>
      <c r="O1149" t="s">
        <v>2459</v>
      </c>
      <c r="P1149">
        <v>3.3</v>
      </c>
      <c r="Q1149">
        <v>6.13</v>
      </c>
      <c r="R1149">
        <v>75.899999999999991</v>
      </c>
      <c r="S1149">
        <v>104.41000000000001</v>
      </c>
      <c r="T1149">
        <v>0.55179156537363916</v>
      </c>
      <c r="U1149" s="1">
        <v>45597</v>
      </c>
      <c r="V1149" t="s">
        <v>2499</v>
      </c>
      <c r="W1149">
        <v>2024</v>
      </c>
    </row>
    <row r="1150" spans="1:23" x14ac:dyDescent="0.25">
      <c r="A1150" t="s">
        <v>1197</v>
      </c>
      <c r="B1150" s="1">
        <v>45825</v>
      </c>
      <c r="C1150" s="1">
        <v>45827</v>
      </c>
      <c r="D1150" t="s">
        <v>13</v>
      </c>
      <c r="E1150" t="s">
        <v>19</v>
      </c>
      <c r="F1150" t="s">
        <v>15</v>
      </c>
      <c r="G1150" t="s">
        <v>16</v>
      </c>
      <c r="H1150" t="s">
        <v>17</v>
      </c>
      <c r="I1150">
        <v>5</v>
      </c>
      <c r="J1150">
        <v>0</v>
      </c>
      <c r="K1150">
        <v>633.13</v>
      </c>
      <c r="L1150">
        <v>6.45</v>
      </c>
      <c r="M1150" t="s">
        <v>2472</v>
      </c>
      <c r="N1150" t="s">
        <v>2467</v>
      </c>
      <c r="O1150" t="s">
        <v>2468</v>
      </c>
      <c r="P1150">
        <v>63.69</v>
      </c>
      <c r="Q1150">
        <v>125.5</v>
      </c>
      <c r="R1150">
        <v>318.45</v>
      </c>
      <c r="S1150">
        <v>308.23</v>
      </c>
      <c r="T1150">
        <v>0.48683524710564974</v>
      </c>
      <c r="U1150" s="1">
        <v>45809</v>
      </c>
      <c r="V1150" t="s">
        <v>2499</v>
      </c>
      <c r="W1150">
        <v>2025</v>
      </c>
    </row>
    <row r="1151" spans="1:23" x14ac:dyDescent="0.25">
      <c r="A1151" t="s">
        <v>1198</v>
      </c>
      <c r="B1151" s="1">
        <v>45347</v>
      </c>
      <c r="C1151" s="1">
        <v>45353</v>
      </c>
      <c r="D1151" t="s">
        <v>47</v>
      </c>
      <c r="E1151" t="s">
        <v>50</v>
      </c>
      <c r="F1151" t="s">
        <v>25</v>
      </c>
      <c r="G1151" t="s">
        <v>26</v>
      </c>
      <c r="H1151" t="s">
        <v>41</v>
      </c>
      <c r="I1151">
        <v>13</v>
      </c>
      <c r="J1151">
        <v>0</v>
      </c>
      <c r="K1151">
        <v>69.94</v>
      </c>
      <c r="L1151">
        <v>10.35</v>
      </c>
      <c r="M1151" t="s">
        <v>2479</v>
      </c>
      <c r="N1151" t="s">
        <v>2474</v>
      </c>
      <c r="O1151" t="s">
        <v>2459</v>
      </c>
      <c r="P1151">
        <v>3.3</v>
      </c>
      <c r="Q1151">
        <v>6.13</v>
      </c>
      <c r="R1151">
        <v>42.9</v>
      </c>
      <c r="S1151">
        <v>16.689999999999998</v>
      </c>
      <c r="T1151">
        <v>0.23863311409779808</v>
      </c>
      <c r="U1151" s="1">
        <v>45323</v>
      </c>
      <c r="V1151" t="s">
        <v>2499</v>
      </c>
      <c r="W1151">
        <v>2024</v>
      </c>
    </row>
    <row r="1152" spans="1:23" x14ac:dyDescent="0.25">
      <c r="A1152" t="s">
        <v>1199</v>
      </c>
      <c r="B1152" s="1">
        <v>45803</v>
      </c>
      <c r="C1152" s="1">
        <v>45805</v>
      </c>
      <c r="D1152" t="s">
        <v>23</v>
      </c>
      <c r="E1152" t="s">
        <v>59</v>
      </c>
      <c r="F1152" t="s">
        <v>15</v>
      </c>
      <c r="G1152" t="s">
        <v>16</v>
      </c>
      <c r="H1152" t="s">
        <v>87</v>
      </c>
      <c r="I1152">
        <v>3</v>
      </c>
      <c r="J1152">
        <v>0.1</v>
      </c>
      <c r="K1152">
        <v>24</v>
      </c>
      <c r="L1152">
        <v>5.85</v>
      </c>
      <c r="M1152" t="s">
        <v>2476</v>
      </c>
      <c r="N1152" t="s">
        <v>2474</v>
      </c>
      <c r="O1152" t="s">
        <v>2459</v>
      </c>
      <c r="P1152">
        <v>4.5</v>
      </c>
      <c r="Q1152">
        <v>8.2899999999999991</v>
      </c>
      <c r="R1152">
        <v>13.5</v>
      </c>
      <c r="S1152">
        <v>4.6500000000000004</v>
      </c>
      <c r="T1152">
        <v>0.19375000000000001</v>
      </c>
      <c r="U1152" s="1">
        <v>45778</v>
      </c>
      <c r="V1152" t="s">
        <v>2498</v>
      </c>
      <c r="W1152">
        <v>2025</v>
      </c>
    </row>
    <row r="1153" spans="1:23" x14ac:dyDescent="0.25">
      <c r="A1153" t="s">
        <v>1200</v>
      </c>
      <c r="B1153" s="1">
        <v>46009</v>
      </c>
      <c r="C1153" s="1">
        <v>46013</v>
      </c>
      <c r="D1153" t="s">
        <v>23</v>
      </c>
      <c r="E1153" t="s">
        <v>24</v>
      </c>
      <c r="F1153" t="s">
        <v>25</v>
      </c>
      <c r="G1153" t="s">
        <v>26</v>
      </c>
      <c r="H1153" t="s">
        <v>34</v>
      </c>
      <c r="I1153">
        <v>3</v>
      </c>
      <c r="J1153">
        <v>0</v>
      </c>
      <c r="K1153">
        <v>923.54</v>
      </c>
      <c r="L1153">
        <v>6.84</v>
      </c>
      <c r="M1153" t="s">
        <v>2460</v>
      </c>
      <c r="N1153" t="s">
        <v>2458</v>
      </c>
      <c r="O1153" t="s">
        <v>2461</v>
      </c>
      <c r="P1153">
        <v>119.02</v>
      </c>
      <c r="Q1153">
        <v>205.39</v>
      </c>
      <c r="R1153">
        <v>357.06</v>
      </c>
      <c r="S1153">
        <v>559.64</v>
      </c>
      <c r="T1153">
        <v>0.60597267037702751</v>
      </c>
      <c r="U1153" s="1">
        <v>45992</v>
      </c>
      <c r="V1153" t="s">
        <v>2499</v>
      </c>
      <c r="W1153">
        <v>2025</v>
      </c>
    </row>
    <row r="1154" spans="1:23" x14ac:dyDescent="0.25">
      <c r="A1154" t="s">
        <v>1201</v>
      </c>
      <c r="B1154" s="1">
        <v>45326</v>
      </c>
      <c r="C1154" s="1">
        <v>45332</v>
      </c>
      <c r="D1154" t="s">
        <v>32</v>
      </c>
      <c r="E1154" t="s">
        <v>33</v>
      </c>
      <c r="F1154" t="s">
        <v>29</v>
      </c>
      <c r="G1154" t="s">
        <v>20</v>
      </c>
      <c r="H1154" t="s">
        <v>41</v>
      </c>
      <c r="I1154">
        <v>4</v>
      </c>
      <c r="J1154">
        <v>0.25</v>
      </c>
      <c r="K1154">
        <v>16.25</v>
      </c>
      <c r="L1154">
        <v>6.3</v>
      </c>
      <c r="M1154" t="s">
        <v>2479</v>
      </c>
      <c r="N1154" t="s">
        <v>2474</v>
      </c>
      <c r="O1154" t="s">
        <v>2459</v>
      </c>
      <c r="P1154">
        <v>3.3</v>
      </c>
      <c r="Q1154">
        <v>6.13</v>
      </c>
      <c r="R1154">
        <v>13.2</v>
      </c>
      <c r="S1154">
        <v>-3.2499999999999991</v>
      </c>
      <c r="T1154">
        <v>-0.19999999999999996</v>
      </c>
      <c r="U1154" s="1">
        <v>45323</v>
      </c>
      <c r="V1154" t="s">
        <v>2501</v>
      </c>
      <c r="W1154">
        <v>2024</v>
      </c>
    </row>
    <row r="1155" spans="1:23" x14ac:dyDescent="0.25">
      <c r="A1155" t="s">
        <v>1202</v>
      </c>
      <c r="B1155" s="1">
        <v>45766</v>
      </c>
      <c r="C1155" s="1">
        <v>45767</v>
      </c>
      <c r="D1155" t="s">
        <v>23</v>
      </c>
      <c r="E1155" t="s">
        <v>43</v>
      </c>
      <c r="F1155" t="s">
        <v>25</v>
      </c>
      <c r="G1155" t="s">
        <v>20</v>
      </c>
      <c r="H1155" t="s">
        <v>51</v>
      </c>
      <c r="I1155">
        <v>11</v>
      </c>
      <c r="J1155">
        <v>0</v>
      </c>
      <c r="K1155">
        <v>159.71</v>
      </c>
      <c r="L1155">
        <v>5.67</v>
      </c>
      <c r="M1155" t="s">
        <v>2475</v>
      </c>
      <c r="N1155" t="s">
        <v>2474</v>
      </c>
      <c r="O1155" t="s">
        <v>2463</v>
      </c>
      <c r="P1155">
        <v>7.93</v>
      </c>
      <c r="Q1155">
        <v>14.78</v>
      </c>
      <c r="R1155">
        <v>87.22999999999999</v>
      </c>
      <c r="S1155">
        <v>66.810000000000016</v>
      </c>
      <c r="T1155">
        <v>0.41832070628013285</v>
      </c>
      <c r="U1155" s="1">
        <v>45748</v>
      </c>
      <c r="V1155" t="s">
        <v>2499</v>
      </c>
      <c r="W1155">
        <v>2025</v>
      </c>
    </row>
    <row r="1156" spans="1:23" x14ac:dyDescent="0.25">
      <c r="A1156" t="s">
        <v>1203</v>
      </c>
      <c r="B1156" s="1">
        <v>45810</v>
      </c>
      <c r="C1156" s="1">
        <v>45815</v>
      </c>
      <c r="D1156" t="s">
        <v>23</v>
      </c>
      <c r="E1156" t="s">
        <v>24</v>
      </c>
      <c r="F1156" t="s">
        <v>15</v>
      </c>
      <c r="G1156" t="s">
        <v>26</v>
      </c>
      <c r="H1156" t="s">
        <v>21</v>
      </c>
      <c r="I1156">
        <v>4</v>
      </c>
      <c r="J1156">
        <v>0</v>
      </c>
      <c r="K1156">
        <v>449.04</v>
      </c>
      <c r="L1156">
        <v>13.7</v>
      </c>
      <c r="M1156" t="s">
        <v>2462</v>
      </c>
      <c r="N1156" t="s">
        <v>2458</v>
      </c>
      <c r="O1156" t="s">
        <v>2463</v>
      </c>
      <c r="P1156">
        <v>71.489999999999995</v>
      </c>
      <c r="Q1156">
        <v>112.88</v>
      </c>
      <c r="R1156">
        <v>285.95999999999998</v>
      </c>
      <c r="S1156">
        <v>149.38000000000005</v>
      </c>
      <c r="T1156">
        <v>0.33266524140388393</v>
      </c>
      <c r="U1156" s="1">
        <v>45809</v>
      </c>
      <c r="V1156" t="s">
        <v>2499</v>
      </c>
      <c r="W1156">
        <v>2025</v>
      </c>
    </row>
    <row r="1157" spans="1:23" x14ac:dyDescent="0.25">
      <c r="A1157" t="s">
        <v>1204</v>
      </c>
      <c r="B1157" s="1">
        <v>45989</v>
      </c>
      <c r="C1157" s="1">
        <v>45993</v>
      </c>
      <c r="D1157" t="s">
        <v>13</v>
      </c>
      <c r="E1157" t="s">
        <v>14</v>
      </c>
      <c r="F1157" t="s">
        <v>29</v>
      </c>
      <c r="G1157" t="s">
        <v>16</v>
      </c>
      <c r="H1157" t="s">
        <v>87</v>
      </c>
      <c r="I1157">
        <v>14</v>
      </c>
      <c r="J1157">
        <v>0</v>
      </c>
      <c r="K1157">
        <v>164.36</v>
      </c>
      <c r="L1157">
        <v>6.48</v>
      </c>
      <c r="M1157" t="s">
        <v>2476</v>
      </c>
      <c r="N1157" t="s">
        <v>2474</v>
      </c>
      <c r="O1157" t="s">
        <v>2459</v>
      </c>
      <c r="P1157">
        <v>4.5</v>
      </c>
      <c r="Q1157">
        <v>8.2899999999999991</v>
      </c>
      <c r="R1157">
        <v>63</v>
      </c>
      <c r="S1157">
        <v>94.88000000000001</v>
      </c>
      <c r="T1157">
        <v>0.5772694086152349</v>
      </c>
      <c r="U1157" s="1">
        <v>45962</v>
      </c>
      <c r="V1157" t="s">
        <v>2499</v>
      </c>
      <c r="W1157">
        <v>2025</v>
      </c>
    </row>
    <row r="1158" spans="1:23" x14ac:dyDescent="0.25">
      <c r="A1158" t="s">
        <v>1205</v>
      </c>
      <c r="B1158" s="1">
        <v>45555</v>
      </c>
      <c r="C1158" s="1">
        <v>45558</v>
      </c>
      <c r="D1158" t="s">
        <v>32</v>
      </c>
      <c r="E1158" t="s">
        <v>45</v>
      </c>
      <c r="F1158" t="s">
        <v>15</v>
      </c>
      <c r="G1158" t="s">
        <v>26</v>
      </c>
      <c r="H1158" t="s">
        <v>21</v>
      </c>
      <c r="I1158">
        <v>2</v>
      </c>
      <c r="J1158">
        <v>0.2</v>
      </c>
      <c r="K1158">
        <v>193.36</v>
      </c>
      <c r="L1158">
        <v>5.46</v>
      </c>
      <c r="M1158" t="s">
        <v>2462</v>
      </c>
      <c r="N1158" t="s">
        <v>2458</v>
      </c>
      <c r="O1158" t="s">
        <v>2463</v>
      </c>
      <c r="P1158">
        <v>71.489999999999995</v>
      </c>
      <c r="Q1158">
        <v>112.88</v>
      </c>
      <c r="R1158">
        <v>142.97999999999999</v>
      </c>
      <c r="S1158">
        <v>44.920000000000023</v>
      </c>
      <c r="T1158">
        <v>0.23231278444352513</v>
      </c>
      <c r="U1158" s="1">
        <v>45536</v>
      </c>
      <c r="V1158" t="s">
        <v>2500</v>
      </c>
      <c r="W1158">
        <v>2024</v>
      </c>
    </row>
    <row r="1159" spans="1:23" x14ac:dyDescent="0.25">
      <c r="A1159" t="s">
        <v>1206</v>
      </c>
      <c r="B1159" s="1">
        <v>45866</v>
      </c>
      <c r="C1159" s="1">
        <v>45872</v>
      </c>
      <c r="D1159" t="s">
        <v>47</v>
      </c>
      <c r="E1159" t="s">
        <v>71</v>
      </c>
      <c r="F1159" t="s">
        <v>29</v>
      </c>
      <c r="G1159" t="s">
        <v>26</v>
      </c>
      <c r="H1159" t="s">
        <v>21</v>
      </c>
      <c r="I1159">
        <v>3</v>
      </c>
      <c r="J1159">
        <v>0.05</v>
      </c>
      <c r="K1159">
        <v>304.89999999999998</v>
      </c>
      <c r="L1159">
        <v>11.4</v>
      </c>
      <c r="M1159" t="s">
        <v>2462</v>
      </c>
      <c r="N1159" t="s">
        <v>2458</v>
      </c>
      <c r="O1159" t="s">
        <v>2463</v>
      </c>
      <c r="P1159">
        <v>71.489999999999995</v>
      </c>
      <c r="Q1159">
        <v>112.88</v>
      </c>
      <c r="R1159">
        <v>214.46999999999997</v>
      </c>
      <c r="S1159">
        <v>79.03</v>
      </c>
      <c r="T1159">
        <v>0.25919973761889148</v>
      </c>
      <c r="U1159" s="1">
        <v>45839</v>
      </c>
      <c r="V1159" t="s">
        <v>2498</v>
      </c>
      <c r="W1159">
        <v>2025</v>
      </c>
    </row>
    <row r="1160" spans="1:23" x14ac:dyDescent="0.25">
      <c r="A1160" t="s">
        <v>1207</v>
      </c>
      <c r="B1160" s="1">
        <v>45573</v>
      </c>
      <c r="C1160" s="1">
        <v>45576</v>
      </c>
      <c r="D1160" t="s">
        <v>47</v>
      </c>
      <c r="E1160" t="s">
        <v>50</v>
      </c>
      <c r="F1160" t="s">
        <v>29</v>
      </c>
      <c r="G1160" t="s">
        <v>16</v>
      </c>
      <c r="H1160" t="s">
        <v>21</v>
      </c>
      <c r="I1160">
        <v>1</v>
      </c>
      <c r="J1160">
        <v>0.25</v>
      </c>
      <c r="K1160">
        <v>95.76</v>
      </c>
      <c r="L1160">
        <v>4.08</v>
      </c>
      <c r="M1160" t="s">
        <v>2462</v>
      </c>
      <c r="N1160" t="s">
        <v>2458</v>
      </c>
      <c r="O1160" t="s">
        <v>2463</v>
      </c>
      <c r="P1160">
        <v>71.489999999999995</v>
      </c>
      <c r="Q1160">
        <v>112.88</v>
      </c>
      <c r="R1160">
        <v>71.489999999999995</v>
      </c>
      <c r="S1160">
        <v>20.190000000000012</v>
      </c>
      <c r="T1160">
        <v>0.21083959899749385</v>
      </c>
      <c r="U1160" s="1">
        <v>45566</v>
      </c>
      <c r="V1160" t="s">
        <v>2501</v>
      </c>
      <c r="W1160">
        <v>2024</v>
      </c>
    </row>
    <row r="1161" spans="1:23" x14ac:dyDescent="0.25">
      <c r="A1161" t="s">
        <v>1208</v>
      </c>
      <c r="B1161" s="1">
        <v>46016</v>
      </c>
      <c r="C1161" s="1">
        <v>46022</v>
      </c>
      <c r="D1161" t="s">
        <v>47</v>
      </c>
      <c r="E1161" t="s">
        <v>48</v>
      </c>
      <c r="F1161" t="s">
        <v>15</v>
      </c>
      <c r="G1161" t="s">
        <v>26</v>
      </c>
      <c r="H1161" t="s">
        <v>60</v>
      </c>
      <c r="I1161">
        <v>3</v>
      </c>
      <c r="J1161">
        <v>0.05</v>
      </c>
      <c r="K1161">
        <v>458.52</v>
      </c>
      <c r="L1161">
        <v>4.95</v>
      </c>
      <c r="M1161" t="s">
        <v>2469</v>
      </c>
      <c r="N1161" t="s">
        <v>2467</v>
      </c>
      <c r="O1161" t="s">
        <v>2468</v>
      </c>
      <c r="P1161">
        <v>54.95</v>
      </c>
      <c r="Q1161">
        <v>112.56</v>
      </c>
      <c r="R1161">
        <v>164.85000000000002</v>
      </c>
      <c r="S1161">
        <v>288.71999999999997</v>
      </c>
      <c r="T1161">
        <v>0.62967809473959691</v>
      </c>
      <c r="U1161" s="1">
        <v>45992</v>
      </c>
      <c r="V1161" t="s">
        <v>2498</v>
      </c>
      <c r="W1161">
        <v>2025</v>
      </c>
    </row>
    <row r="1162" spans="1:23" x14ac:dyDescent="0.25">
      <c r="A1162" t="s">
        <v>1209</v>
      </c>
      <c r="B1162" s="1">
        <v>45684</v>
      </c>
      <c r="C1162" s="1">
        <v>45686</v>
      </c>
      <c r="D1162" t="s">
        <v>13</v>
      </c>
      <c r="E1162" t="s">
        <v>14</v>
      </c>
      <c r="F1162" t="s">
        <v>29</v>
      </c>
      <c r="G1162" t="s">
        <v>26</v>
      </c>
      <c r="H1162" t="s">
        <v>87</v>
      </c>
      <c r="I1162">
        <v>10</v>
      </c>
      <c r="J1162">
        <v>0</v>
      </c>
      <c r="K1162">
        <v>76.11</v>
      </c>
      <c r="L1162">
        <v>9</v>
      </c>
      <c r="M1162" t="s">
        <v>2476</v>
      </c>
      <c r="N1162" t="s">
        <v>2474</v>
      </c>
      <c r="O1162" t="s">
        <v>2459</v>
      </c>
      <c r="P1162">
        <v>4.5</v>
      </c>
      <c r="Q1162">
        <v>8.2899999999999991</v>
      </c>
      <c r="R1162">
        <v>45</v>
      </c>
      <c r="S1162">
        <v>22.11</v>
      </c>
      <c r="T1162">
        <v>0.29050059124950728</v>
      </c>
      <c r="U1162" s="1">
        <v>45658</v>
      </c>
      <c r="V1162" t="s">
        <v>2499</v>
      </c>
      <c r="W1162">
        <v>2025</v>
      </c>
    </row>
    <row r="1163" spans="1:23" x14ac:dyDescent="0.25">
      <c r="A1163" t="s">
        <v>1210</v>
      </c>
      <c r="B1163" s="1">
        <v>45338</v>
      </c>
      <c r="C1163" s="1">
        <v>45341</v>
      </c>
      <c r="D1163" t="s">
        <v>13</v>
      </c>
      <c r="E1163" t="s">
        <v>36</v>
      </c>
      <c r="F1163" t="s">
        <v>29</v>
      </c>
      <c r="G1163" t="s">
        <v>20</v>
      </c>
      <c r="H1163" t="s">
        <v>17</v>
      </c>
      <c r="I1163">
        <v>4</v>
      </c>
      <c r="J1163">
        <v>0.05</v>
      </c>
      <c r="K1163">
        <v>422.98</v>
      </c>
      <c r="L1163">
        <v>5.7</v>
      </c>
      <c r="M1163" t="s">
        <v>2472</v>
      </c>
      <c r="N1163" t="s">
        <v>2467</v>
      </c>
      <c r="O1163" t="s">
        <v>2468</v>
      </c>
      <c r="P1163">
        <v>63.69</v>
      </c>
      <c r="Q1163">
        <v>125.5</v>
      </c>
      <c r="R1163">
        <v>254.76</v>
      </c>
      <c r="S1163">
        <v>162.52000000000004</v>
      </c>
      <c r="T1163">
        <v>0.38422620454867851</v>
      </c>
      <c r="U1163" s="1">
        <v>45323</v>
      </c>
      <c r="V1163" t="s">
        <v>2498</v>
      </c>
      <c r="W1163">
        <v>2024</v>
      </c>
    </row>
    <row r="1164" spans="1:23" x14ac:dyDescent="0.25">
      <c r="A1164" t="s">
        <v>1211</v>
      </c>
      <c r="B1164" s="1">
        <v>45793</v>
      </c>
      <c r="C1164" s="1">
        <v>45797</v>
      </c>
      <c r="D1164" t="s">
        <v>23</v>
      </c>
      <c r="E1164" t="s">
        <v>24</v>
      </c>
      <c r="F1164" t="s">
        <v>15</v>
      </c>
      <c r="G1164" t="s">
        <v>20</v>
      </c>
      <c r="H1164" t="s">
        <v>63</v>
      </c>
      <c r="I1164">
        <v>5</v>
      </c>
      <c r="J1164">
        <v>0.05</v>
      </c>
      <c r="K1164">
        <v>62.25</v>
      </c>
      <c r="L1164">
        <v>4.05</v>
      </c>
      <c r="M1164" t="s">
        <v>2477</v>
      </c>
      <c r="N1164" t="s">
        <v>2474</v>
      </c>
      <c r="O1164" t="s">
        <v>2468</v>
      </c>
      <c r="P1164">
        <v>6.33</v>
      </c>
      <c r="Q1164">
        <v>12.16</v>
      </c>
      <c r="R1164">
        <v>31.65</v>
      </c>
      <c r="S1164">
        <v>26.55</v>
      </c>
      <c r="T1164">
        <v>0.42650602409638555</v>
      </c>
      <c r="U1164" s="1">
        <v>45778</v>
      </c>
      <c r="V1164" t="s">
        <v>2498</v>
      </c>
      <c r="W1164">
        <v>2025</v>
      </c>
    </row>
    <row r="1165" spans="1:23" x14ac:dyDescent="0.25">
      <c r="A1165" t="s">
        <v>1212</v>
      </c>
      <c r="B1165" s="1">
        <v>45508</v>
      </c>
      <c r="C1165" s="1">
        <v>45511</v>
      </c>
      <c r="D1165" t="s">
        <v>32</v>
      </c>
      <c r="E1165" t="s">
        <v>62</v>
      </c>
      <c r="F1165" t="s">
        <v>15</v>
      </c>
      <c r="G1165" t="s">
        <v>20</v>
      </c>
      <c r="H1165" t="s">
        <v>30</v>
      </c>
      <c r="I1165">
        <v>3</v>
      </c>
      <c r="J1165">
        <v>0</v>
      </c>
      <c r="K1165">
        <v>18.18</v>
      </c>
      <c r="L1165">
        <v>5.85</v>
      </c>
      <c r="M1165" t="s">
        <v>2473</v>
      </c>
      <c r="N1165" t="s">
        <v>2474</v>
      </c>
      <c r="O1165" t="s">
        <v>2463</v>
      </c>
      <c r="P1165">
        <v>3.62</v>
      </c>
      <c r="Q1165">
        <v>6.03</v>
      </c>
      <c r="R1165">
        <v>10.86</v>
      </c>
      <c r="S1165">
        <v>1.4700000000000006</v>
      </c>
      <c r="T1165">
        <v>8.0858085808580893E-2</v>
      </c>
      <c r="U1165" s="1">
        <v>45505</v>
      </c>
      <c r="V1165" t="s">
        <v>2499</v>
      </c>
      <c r="W1165">
        <v>2024</v>
      </c>
    </row>
    <row r="1166" spans="1:23" x14ac:dyDescent="0.25">
      <c r="A1166" t="s">
        <v>1213</v>
      </c>
      <c r="B1166" s="1">
        <v>45353</v>
      </c>
      <c r="C1166" s="1">
        <v>45359</v>
      </c>
      <c r="D1166" t="s">
        <v>47</v>
      </c>
      <c r="E1166" t="s">
        <v>71</v>
      </c>
      <c r="F1166" t="s">
        <v>15</v>
      </c>
      <c r="G1166" t="s">
        <v>20</v>
      </c>
      <c r="H1166" t="s">
        <v>30</v>
      </c>
      <c r="I1166">
        <v>13</v>
      </c>
      <c r="J1166">
        <v>0</v>
      </c>
      <c r="K1166">
        <v>75.510000000000005</v>
      </c>
      <c r="L1166">
        <v>6.21</v>
      </c>
      <c r="M1166" t="s">
        <v>2473</v>
      </c>
      <c r="N1166" t="s">
        <v>2474</v>
      </c>
      <c r="O1166" t="s">
        <v>2463</v>
      </c>
      <c r="P1166">
        <v>3.62</v>
      </c>
      <c r="Q1166">
        <v>6.03</v>
      </c>
      <c r="R1166">
        <v>47.06</v>
      </c>
      <c r="S1166">
        <v>22.240000000000002</v>
      </c>
      <c r="T1166">
        <v>0.29453052575817773</v>
      </c>
      <c r="U1166" s="1">
        <v>45352</v>
      </c>
      <c r="V1166" t="s">
        <v>2499</v>
      </c>
      <c r="W1166">
        <v>2024</v>
      </c>
    </row>
    <row r="1167" spans="1:23" x14ac:dyDescent="0.25">
      <c r="A1167" t="s">
        <v>1214</v>
      </c>
      <c r="B1167" s="1">
        <v>45366</v>
      </c>
      <c r="C1167" s="1">
        <v>45369</v>
      </c>
      <c r="D1167" t="s">
        <v>32</v>
      </c>
      <c r="E1167" t="s">
        <v>45</v>
      </c>
      <c r="F1167" t="s">
        <v>25</v>
      </c>
      <c r="G1167" t="s">
        <v>16</v>
      </c>
      <c r="H1167" t="s">
        <v>68</v>
      </c>
      <c r="I1167">
        <v>1</v>
      </c>
      <c r="J1167">
        <v>0</v>
      </c>
      <c r="K1167">
        <v>48.85</v>
      </c>
      <c r="L1167">
        <v>3.45</v>
      </c>
      <c r="M1167" t="s">
        <v>2466</v>
      </c>
      <c r="N1167" t="s">
        <v>2467</v>
      </c>
      <c r="O1167" t="s">
        <v>2468</v>
      </c>
      <c r="P1167">
        <v>25.33</v>
      </c>
      <c r="Q1167">
        <v>51.56</v>
      </c>
      <c r="R1167">
        <v>25.33</v>
      </c>
      <c r="S1167">
        <v>20.070000000000004</v>
      </c>
      <c r="T1167">
        <v>0.410849539406346</v>
      </c>
      <c r="U1167" s="1">
        <v>45352</v>
      </c>
      <c r="V1167" t="s">
        <v>2499</v>
      </c>
      <c r="W1167">
        <v>2024</v>
      </c>
    </row>
    <row r="1168" spans="1:23" x14ac:dyDescent="0.25">
      <c r="A1168" t="s">
        <v>1215</v>
      </c>
      <c r="B1168" s="1">
        <v>45966</v>
      </c>
      <c r="C1168" s="1">
        <v>45968</v>
      </c>
      <c r="D1168" t="s">
        <v>32</v>
      </c>
      <c r="E1168" t="s">
        <v>62</v>
      </c>
      <c r="F1168" t="s">
        <v>25</v>
      </c>
      <c r="G1168" t="s">
        <v>20</v>
      </c>
      <c r="H1168" t="s">
        <v>39</v>
      </c>
      <c r="I1168">
        <v>3</v>
      </c>
      <c r="J1168">
        <v>0</v>
      </c>
      <c r="K1168">
        <v>766.82</v>
      </c>
      <c r="L1168">
        <v>4.95</v>
      </c>
      <c r="M1168" t="s">
        <v>2471</v>
      </c>
      <c r="N1168" t="s">
        <v>2467</v>
      </c>
      <c r="O1168" t="s">
        <v>2461</v>
      </c>
      <c r="P1168">
        <v>112.09</v>
      </c>
      <c r="Q1168">
        <v>192.47</v>
      </c>
      <c r="R1168">
        <v>336.27</v>
      </c>
      <c r="S1168">
        <v>425.60000000000008</v>
      </c>
      <c r="T1168">
        <v>0.55501943089642947</v>
      </c>
      <c r="U1168" s="1">
        <v>45962</v>
      </c>
      <c r="V1168" t="s">
        <v>2499</v>
      </c>
      <c r="W1168">
        <v>2025</v>
      </c>
    </row>
    <row r="1169" spans="1:23" x14ac:dyDescent="0.25">
      <c r="A1169" t="s">
        <v>1216</v>
      </c>
      <c r="B1169" s="1">
        <v>45625</v>
      </c>
      <c r="C1169" s="1">
        <v>45630</v>
      </c>
      <c r="D1169" t="s">
        <v>32</v>
      </c>
      <c r="E1169" t="s">
        <v>33</v>
      </c>
      <c r="F1169" t="s">
        <v>29</v>
      </c>
      <c r="G1169" t="s">
        <v>16</v>
      </c>
      <c r="H1169" t="s">
        <v>39</v>
      </c>
      <c r="I1169">
        <v>2</v>
      </c>
      <c r="J1169">
        <v>0.2</v>
      </c>
      <c r="K1169">
        <v>419.66</v>
      </c>
      <c r="L1169">
        <v>4.2</v>
      </c>
      <c r="M1169" t="s">
        <v>2471</v>
      </c>
      <c r="N1169" t="s">
        <v>2467</v>
      </c>
      <c r="O1169" t="s">
        <v>2461</v>
      </c>
      <c r="P1169">
        <v>112.09</v>
      </c>
      <c r="Q1169">
        <v>192.47</v>
      </c>
      <c r="R1169">
        <v>224.18</v>
      </c>
      <c r="S1169">
        <v>191.28000000000003</v>
      </c>
      <c r="T1169">
        <v>0.45579755039794123</v>
      </c>
      <c r="U1169" s="1">
        <v>45597</v>
      </c>
      <c r="V1169" t="s">
        <v>2500</v>
      </c>
      <c r="W1169">
        <v>2024</v>
      </c>
    </row>
    <row r="1170" spans="1:23" x14ac:dyDescent="0.25">
      <c r="A1170" t="s">
        <v>1217</v>
      </c>
      <c r="B1170" s="1">
        <v>45406</v>
      </c>
      <c r="C1170" s="1">
        <v>45408</v>
      </c>
      <c r="D1170" t="s">
        <v>13</v>
      </c>
      <c r="E1170" t="s">
        <v>36</v>
      </c>
      <c r="F1170" t="s">
        <v>29</v>
      </c>
      <c r="G1170" t="s">
        <v>20</v>
      </c>
      <c r="H1170" t="s">
        <v>39</v>
      </c>
      <c r="I1170">
        <v>4</v>
      </c>
      <c r="J1170">
        <v>0.25</v>
      </c>
      <c r="K1170">
        <v>598.36</v>
      </c>
      <c r="L1170">
        <v>5.7</v>
      </c>
      <c r="M1170" t="s">
        <v>2471</v>
      </c>
      <c r="N1170" t="s">
        <v>2467</v>
      </c>
      <c r="O1170" t="s">
        <v>2461</v>
      </c>
      <c r="P1170">
        <v>112.09</v>
      </c>
      <c r="Q1170">
        <v>192.47</v>
      </c>
      <c r="R1170">
        <v>448.36</v>
      </c>
      <c r="S1170">
        <v>144.30000000000001</v>
      </c>
      <c r="T1170">
        <v>0.24115916839360921</v>
      </c>
      <c r="U1170" s="1">
        <v>45383</v>
      </c>
      <c r="V1170" t="s">
        <v>2501</v>
      </c>
      <c r="W1170">
        <v>2024</v>
      </c>
    </row>
    <row r="1171" spans="1:23" x14ac:dyDescent="0.25">
      <c r="A1171" t="s">
        <v>1218</v>
      </c>
      <c r="B1171" s="1">
        <v>45320</v>
      </c>
      <c r="C1171" s="1">
        <v>45322</v>
      </c>
      <c r="D1171" t="s">
        <v>47</v>
      </c>
      <c r="E1171" t="s">
        <v>48</v>
      </c>
      <c r="F1171" t="s">
        <v>15</v>
      </c>
      <c r="G1171" t="s">
        <v>20</v>
      </c>
      <c r="H1171" t="s">
        <v>39</v>
      </c>
      <c r="I1171">
        <v>2</v>
      </c>
      <c r="J1171">
        <v>0</v>
      </c>
      <c r="K1171">
        <v>349.44</v>
      </c>
      <c r="L1171">
        <v>7</v>
      </c>
      <c r="M1171" t="s">
        <v>2471</v>
      </c>
      <c r="N1171" t="s">
        <v>2467</v>
      </c>
      <c r="O1171" t="s">
        <v>2461</v>
      </c>
      <c r="P1171">
        <v>112.09</v>
      </c>
      <c r="Q1171">
        <v>192.47</v>
      </c>
      <c r="R1171">
        <v>224.18</v>
      </c>
      <c r="S1171">
        <v>118.25999999999999</v>
      </c>
      <c r="T1171">
        <v>0.33842719780219777</v>
      </c>
      <c r="U1171" s="1">
        <v>45292</v>
      </c>
      <c r="V1171" t="s">
        <v>2499</v>
      </c>
      <c r="W1171">
        <v>2024</v>
      </c>
    </row>
    <row r="1172" spans="1:23" x14ac:dyDescent="0.25">
      <c r="A1172" t="s">
        <v>1219</v>
      </c>
      <c r="B1172" s="1">
        <v>45304</v>
      </c>
      <c r="C1172" s="1">
        <v>45310</v>
      </c>
      <c r="D1172" t="s">
        <v>13</v>
      </c>
      <c r="E1172" t="s">
        <v>14</v>
      </c>
      <c r="F1172" t="s">
        <v>15</v>
      </c>
      <c r="G1172" t="s">
        <v>16</v>
      </c>
      <c r="H1172" t="s">
        <v>39</v>
      </c>
      <c r="I1172">
        <v>2</v>
      </c>
      <c r="J1172">
        <v>0</v>
      </c>
      <c r="K1172">
        <v>341.32</v>
      </c>
      <c r="L1172">
        <v>4.2</v>
      </c>
      <c r="M1172" t="s">
        <v>2471</v>
      </c>
      <c r="N1172" t="s">
        <v>2467</v>
      </c>
      <c r="O1172" t="s">
        <v>2461</v>
      </c>
      <c r="P1172">
        <v>112.09</v>
      </c>
      <c r="Q1172">
        <v>192.47</v>
      </c>
      <c r="R1172">
        <v>224.18</v>
      </c>
      <c r="S1172">
        <v>112.93999999999998</v>
      </c>
      <c r="T1172">
        <v>0.33089183171217623</v>
      </c>
      <c r="U1172" s="1">
        <v>45292</v>
      </c>
      <c r="V1172" t="s">
        <v>2499</v>
      </c>
      <c r="W1172">
        <v>2024</v>
      </c>
    </row>
    <row r="1173" spans="1:23" x14ac:dyDescent="0.25">
      <c r="A1173" t="s">
        <v>1220</v>
      </c>
      <c r="B1173" s="1">
        <v>45573</v>
      </c>
      <c r="C1173" s="1">
        <v>45578</v>
      </c>
      <c r="D1173" t="s">
        <v>47</v>
      </c>
      <c r="E1173" t="s">
        <v>48</v>
      </c>
      <c r="F1173" t="s">
        <v>29</v>
      </c>
      <c r="G1173" t="s">
        <v>16</v>
      </c>
      <c r="H1173" t="s">
        <v>21</v>
      </c>
      <c r="I1173">
        <v>3</v>
      </c>
      <c r="J1173">
        <v>0</v>
      </c>
      <c r="K1173">
        <v>412.17</v>
      </c>
      <c r="L1173">
        <v>11.4</v>
      </c>
      <c r="M1173" t="s">
        <v>2462</v>
      </c>
      <c r="N1173" t="s">
        <v>2458</v>
      </c>
      <c r="O1173" t="s">
        <v>2463</v>
      </c>
      <c r="P1173">
        <v>71.489999999999995</v>
      </c>
      <c r="Q1173">
        <v>112.88</v>
      </c>
      <c r="R1173">
        <v>214.46999999999997</v>
      </c>
      <c r="S1173">
        <v>186.30000000000004</v>
      </c>
      <c r="T1173">
        <v>0.45199796200596848</v>
      </c>
      <c r="U1173" s="1">
        <v>45566</v>
      </c>
      <c r="V1173" t="s">
        <v>2499</v>
      </c>
      <c r="W1173">
        <v>2024</v>
      </c>
    </row>
    <row r="1174" spans="1:23" x14ac:dyDescent="0.25">
      <c r="A1174" t="s">
        <v>1221</v>
      </c>
      <c r="B1174" s="1">
        <v>45619</v>
      </c>
      <c r="C1174" s="1">
        <v>45622</v>
      </c>
      <c r="D1174" t="s">
        <v>47</v>
      </c>
      <c r="E1174" t="s">
        <v>48</v>
      </c>
      <c r="F1174" t="s">
        <v>25</v>
      </c>
      <c r="G1174" t="s">
        <v>20</v>
      </c>
      <c r="H1174" t="s">
        <v>65</v>
      </c>
      <c r="I1174">
        <v>4</v>
      </c>
      <c r="J1174">
        <v>0</v>
      </c>
      <c r="K1174">
        <v>1513.42</v>
      </c>
      <c r="L1174">
        <v>8.2200000000000006</v>
      </c>
      <c r="M1174" t="s">
        <v>2457</v>
      </c>
      <c r="N1174" t="s">
        <v>2458</v>
      </c>
      <c r="O1174" t="s">
        <v>2459</v>
      </c>
      <c r="P1174">
        <v>173.56</v>
      </c>
      <c r="Q1174">
        <v>286.14999999999998</v>
      </c>
      <c r="R1174">
        <v>694.24</v>
      </c>
      <c r="S1174">
        <v>810.96</v>
      </c>
      <c r="T1174">
        <v>0.53584596476853752</v>
      </c>
      <c r="U1174" s="1">
        <v>45597</v>
      </c>
      <c r="V1174" t="s">
        <v>2499</v>
      </c>
      <c r="W1174">
        <v>2024</v>
      </c>
    </row>
    <row r="1175" spans="1:23" x14ac:dyDescent="0.25">
      <c r="A1175" t="s">
        <v>1222</v>
      </c>
      <c r="B1175" s="1">
        <v>45567</v>
      </c>
      <c r="C1175" s="1">
        <v>45570</v>
      </c>
      <c r="D1175" t="s">
        <v>32</v>
      </c>
      <c r="E1175" t="s">
        <v>62</v>
      </c>
      <c r="F1175" t="s">
        <v>29</v>
      </c>
      <c r="G1175" t="s">
        <v>26</v>
      </c>
      <c r="H1175" t="s">
        <v>65</v>
      </c>
      <c r="I1175">
        <v>1</v>
      </c>
      <c r="J1175">
        <v>0.15</v>
      </c>
      <c r="K1175">
        <v>287.32</v>
      </c>
      <c r="L1175">
        <v>4.08</v>
      </c>
      <c r="M1175" t="s">
        <v>2457</v>
      </c>
      <c r="N1175" t="s">
        <v>2458</v>
      </c>
      <c r="O1175" t="s">
        <v>2459</v>
      </c>
      <c r="P1175">
        <v>173.56</v>
      </c>
      <c r="Q1175">
        <v>286.14999999999998</v>
      </c>
      <c r="R1175">
        <v>173.56</v>
      </c>
      <c r="S1175">
        <v>109.67999999999999</v>
      </c>
      <c r="T1175">
        <v>0.38173465125991923</v>
      </c>
      <c r="U1175" s="1">
        <v>45566</v>
      </c>
      <c r="V1175" t="s">
        <v>2500</v>
      </c>
      <c r="W1175">
        <v>2024</v>
      </c>
    </row>
    <row r="1176" spans="1:23" x14ac:dyDescent="0.25">
      <c r="A1176" t="s">
        <v>1223</v>
      </c>
      <c r="B1176" s="1">
        <v>45650</v>
      </c>
      <c r="C1176" s="1">
        <v>45655</v>
      </c>
      <c r="D1176" t="s">
        <v>32</v>
      </c>
      <c r="E1176" t="s">
        <v>45</v>
      </c>
      <c r="F1176" t="s">
        <v>25</v>
      </c>
      <c r="G1176" t="s">
        <v>20</v>
      </c>
      <c r="H1176" t="s">
        <v>41</v>
      </c>
      <c r="I1176">
        <v>25</v>
      </c>
      <c r="J1176">
        <v>0</v>
      </c>
      <c r="K1176">
        <v>206.7</v>
      </c>
      <c r="L1176">
        <v>9.4499999999999993</v>
      </c>
      <c r="M1176" t="s">
        <v>2479</v>
      </c>
      <c r="N1176" t="s">
        <v>2474</v>
      </c>
      <c r="O1176" t="s">
        <v>2459</v>
      </c>
      <c r="P1176">
        <v>3.3</v>
      </c>
      <c r="Q1176">
        <v>6.13</v>
      </c>
      <c r="R1176">
        <v>82.5</v>
      </c>
      <c r="S1176">
        <v>114.74999999999999</v>
      </c>
      <c r="T1176">
        <v>0.5551523947750362</v>
      </c>
      <c r="U1176" s="1">
        <v>45627</v>
      </c>
      <c r="V1176" t="s">
        <v>2499</v>
      </c>
      <c r="W1176">
        <v>2024</v>
      </c>
    </row>
    <row r="1177" spans="1:23" x14ac:dyDescent="0.25">
      <c r="A1177" t="s">
        <v>1224</v>
      </c>
      <c r="B1177" s="1">
        <v>45953</v>
      </c>
      <c r="C1177" s="1">
        <v>45957</v>
      </c>
      <c r="D1177" t="s">
        <v>47</v>
      </c>
      <c r="E1177" t="s">
        <v>71</v>
      </c>
      <c r="F1177" t="s">
        <v>29</v>
      </c>
      <c r="G1177" t="s">
        <v>26</v>
      </c>
      <c r="H1177" t="s">
        <v>41</v>
      </c>
      <c r="I1177">
        <v>14</v>
      </c>
      <c r="J1177">
        <v>0.15</v>
      </c>
      <c r="K1177">
        <v>83.32</v>
      </c>
      <c r="L1177">
        <v>10.8</v>
      </c>
      <c r="M1177" t="s">
        <v>2479</v>
      </c>
      <c r="N1177" t="s">
        <v>2474</v>
      </c>
      <c r="O1177" t="s">
        <v>2459</v>
      </c>
      <c r="P1177">
        <v>3.3</v>
      </c>
      <c r="Q1177">
        <v>6.13</v>
      </c>
      <c r="R1177">
        <v>46.199999999999996</v>
      </c>
      <c r="S1177">
        <v>26.319999999999997</v>
      </c>
      <c r="T1177">
        <v>0.31589054248679788</v>
      </c>
      <c r="U1177" s="1">
        <v>45931</v>
      </c>
      <c r="V1177" t="s">
        <v>2500</v>
      </c>
      <c r="W1177">
        <v>2025</v>
      </c>
    </row>
    <row r="1178" spans="1:23" x14ac:dyDescent="0.25">
      <c r="A1178" t="s">
        <v>1225</v>
      </c>
      <c r="B1178" s="1">
        <v>45313</v>
      </c>
      <c r="C1178" s="1">
        <v>45315</v>
      </c>
      <c r="D1178" t="s">
        <v>23</v>
      </c>
      <c r="E1178" t="s">
        <v>24</v>
      </c>
      <c r="F1178" t="s">
        <v>15</v>
      </c>
      <c r="G1178" t="s">
        <v>16</v>
      </c>
      <c r="H1178" t="s">
        <v>87</v>
      </c>
      <c r="I1178">
        <v>12</v>
      </c>
      <c r="J1178">
        <v>0</v>
      </c>
      <c r="K1178">
        <v>87.96</v>
      </c>
      <c r="L1178">
        <v>5.94</v>
      </c>
      <c r="M1178" t="s">
        <v>2476</v>
      </c>
      <c r="N1178" t="s">
        <v>2474</v>
      </c>
      <c r="O1178" t="s">
        <v>2459</v>
      </c>
      <c r="P1178">
        <v>4.5</v>
      </c>
      <c r="Q1178">
        <v>8.2899999999999991</v>
      </c>
      <c r="R1178">
        <v>54</v>
      </c>
      <c r="S1178">
        <v>28.019999999999992</v>
      </c>
      <c r="T1178">
        <v>0.31855388813096858</v>
      </c>
      <c r="U1178" s="1">
        <v>45292</v>
      </c>
      <c r="V1178" t="s">
        <v>2499</v>
      </c>
      <c r="W1178">
        <v>2024</v>
      </c>
    </row>
    <row r="1179" spans="1:23" x14ac:dyDescent="0.25">
      <c r="A1179" t="s">
        <v>1226</v>
      </c>
      <c r="B1179" s="1">
        <v>45309</v>
      </c>
      <c r="C1179" s="1">
        <v>45310</v>
      </c>
      <c r="D1179" t="s">
        <v>32</v>
      </c>
      <c r="E1179" t="s">
        <v>45</v>
      </c>
      <c r="F1179" t="s">
        <v>29</v>
      </c>
      <c r="G1179" t="s">
        <v>20</v>
      </c>
      <c r="H1179" t="s">
        <v>27</v>
      </c>
      <c r="I1179">
        <v>11</v>
      </c>
      <c r="J1179">
        <v>0.25</v>
      </c>
      <c r="K1179">
        <v>211.83</v>
      </c>
      <c r="L1179">
        <v>5.67</v>
      </c>
      <c r="M1179" t="s">
        <v>2478</v>
      </c>
      <c r="N1179" t="s">
        <v>2474</v>
      </c>
      <c r="O1179" t="s">
        <v>2463</v>
      </c>
      <c r="P1179">
        <v>16.760000000000002</v>
      </c>
      <c r="Q1179">
        <v>27.71</v>
      </c>
      <c r="R1179">
        <v>184.36</v>
      </c>
      <c r="S1179">
        <v>21.799999999999997</v>
      </c>
      <c r="T1179">
        <v>0.10291271302459518</v>
      </c>
      <c r="U1179" s="1">
        <v>45292</v>
      </c>
      <c r="V1179" t="s">
        <v>2501</v>
      </c>
      <c r="W1179">
        <v>2024</v>
      </c>
    </row>
    <row r="1180" spans="1:23" x14ac:dyDescent="0.25">
      <c r="A1180" t="s">
        <v>1227</v>
      </c>
      <c r="B1180" s="1">
        <v>45408</v>
      </c>
      <c r="C1180" s="1">
        <v>45410</v>
      </c>
      <c r="D1180" t="s">
        <v>47</v>
      </c>
      <c r="E1180" t="s">
        <v>71</v>
      </c>
      <c r="F1180" t="s">
        <v>29</v>
      </c>
      <c r="G1180" t="s">
        <v>26</v>
      </c>
      <c r="H1180" t="s">
        <v>17</v>
      </c>
      <c r="I1180">
        <v>4</v>
      </c>
      <c r="J1180">
        <v>0.1</v>
      </c>
      <c r="K1180">
        <v>458.45</v>
      </c>
      <c r="L1180">
        <v>9.5</v>
      </c>
      <c r="M1180" t="s">
        <v>2472</v>
      </c>
      <c r="N1180" t="s">
        <v>2467</v>
      </c>
      <c r="O1180" t="s">
        <v>2468</v>
      </c>
      <c r="P1180">
        <v>63.69</v>
      </c>
      <c r="Q1180">
        <v>125.5</v>
      </c>
      <c r="R1180">
        <v>254.76</v>
      </c>
      <c r="S1180">
        <v>194.19</v>
      </c>
      <c r="T1180">
        <v>0.42357945250299922</v>
      </c>
      <c r="U1180" s="1">
        <v>45383</v>
      </c>
      <c r="V1180" t="s">
        <v>2498</v>
      </c>
      <c r="W1180">
        <v>2024</v>
      </c>
    </row>
    <row r="1181" spans="1:23" x14ac:dyDescent="0.25">
      <c r="A1181" t="s">
        <v>1228</v>
      </c>
      <c r="B1181" s="1">
        <v>45933</v>
      </c>
      <c r="C1181" s="1">
        <v>45939</v>
      </c>
      <c r="D1181" t="s">
        <v>32</v>
      </c>
      <c r="E1181" t="s">
        <v>45</v>
      </c>
      <c r="F1181" t="s">
        <v>15</v>
      </c>
      <c r="G1181" t="s">
        <v>26</v>
      </c>
      <c r="H1181" t="s">
        <v>51</v>
      </c>
      <c r="I1181">
        <v>6</v>
      </c>
      <c r="J1181">
        <v>0.05</v>
      </c>
      <c r="K1181">
        <v>92.19</v>
      </c>
      <c r="L1181">
        <v>7.2</v>
      </c>
      <c r="M1181" t="s">
        <v>2475</v>
      </c>
      <c r="N1181" t="s">
        <v>2474</v>
      </c>
      <c r="O1181" t="s">
        <v>2463</v>
      </c>
      <c r="P1181">
        <v>7.93</v>
      </c>
      <c r="Q1181">
        <v>14.78</v>
      </c>
      <c r="R1181">
        <v>47.58</v>
      </c>
      <c r="S1181">
        <v>37.409999999999997</v>
      </c>
      <c r="T1181">
        <v>0.40579238529124634</v>
      </c>
      <c r="U1181" s="1">
        <v>45931</v>
      </c>
      <c r="V1181" t="s">
        <v>2498</v>
      </c>
      <c r="W1181">
        <v>2025</v>
      </c>
    </row>
    <row r="1182" spans="1:23" x14ac:dyDescent="0.25">
      <c r="A1182" t="s">
        <v>1229</v>
      </c>
      <c r="B1182" s="1">
        <v>45859</v>
      </c>
      <c r="C1182" s="1">
        <v>45860</v>
      </c>
      <c r="D1182" t="s">
        <v>32</v>
      </c>
      <c r="E1182" t="s">
        <v>45</v>
      </c>
      <c r="F1182" t="s">
        <v>29</v>
      </c>
      <c r="G1182" t="s">
        <v>20</v>
      </c>
      <c r="H1182" t="s">
        <v>87</v>
      </c>
      <c r="I1182">
        <v>16</v>
      </c>
      <c r="J1182">
        <v>0.15</v>
      </c>
      <c r="K1182">
        <v>101.67</v>
      </c>
      <c r="L1182">
        <v>11.7</v>
      </c>
      <c r="M1182" t="s">
        <v>2476</v>
      </c>
      <c r="N1182" t="s">
        <v>2474</v>
      </c>
      <c r="O1182" t="s">
        <v>2459</v>
      </c>
      <c r="P1182">
        <v>4.5</v>
      </c>
      <c r="Q1182">
        <v>8.2899999999999991</v>
      </c>
      <c r="R1182">
        <v>72</v>
      </c>
      <c r="S1182">
        <v>17.970000000000002</v>
      </c>
      <c r="T1182">
        <v>0.17674830333431693</v>
      </c>
      <c r="U1182" s="1">
        <v>45839</v>
      </c>
      <c r="V1182" t="s">
        <v>2500</v>
      </c>
      <c r="W1182">
        <v>2025</v>
      </c>
    </row>
    <row r="1183" spans="1:23" x14ac:dyDescent="0.25">
      <c r="A1183" t="s">
        <v>1230</v>
      </c>
      <c r="B1183" s="1">
        <v>45554</v>
      </c>
      <c r="C1183" s="1">
        <v>45560</v>
      </c>
      <c r="D1183" t="s">
        <v>32</v>
      </c>
      <c r="E1183" t="s">
        <v>45</v>
      </c>
      <c r="F1183" t="s">
        <v>15</v>
      </c>
      <c r="G1183" t="s">
        <v>20</v>
      </c>
      <c r="H1183" t="s">
        <v>17</v>
      </c>
      <c r="I1183">
        <v>1</v>
      </c>
      <c r="J1183">
        <v>0</v>
      </c>
      <c r="K1183">
        <v>133.38</v>
      </c>
      <c r="L1183">
        <v>5.75</v>
      </c>
      <c r="M1183" t="s">
        <v>2472</v>
      </c>
      <c r="N1183" t="s">
        <v>2467</v>
      </c>
      <c r="O1183" t="s">
        <v>2468</v>
      </c>
      <c r="P1183">
        <v>63.69</v>
      </c>
      <c r="Q1183">
        <v>125.5</v>
      </c>
      <c r="R1183">
        <v>63.69</v>
      </c>
      <c r="S1183">
        <v>63.94</v>
      </c>
      <c r="T1183">
        <v>0.47938221622432148</v>
      </c>
      <c r="U1183" s="1">
        <v>45536</v>
      </c>
      <c r="V1183" t="s">
        <v>2499</v>
      </c>
      <c r="W1183">
        <v>2024</v>
      </c>
    </row>
    <row r="1184" spans="1:23" x14ac:dyDescent="0.25">
      <c r="A1184" t="s">
        <v>1231</v>
      </c>
      <c r="B1184" s="1">
        <v>45765</v>
      </c>
      <c r="C1184" s="1">
        <v>45769</v>
      </c>
      <c r="D1184" t="s">
        <v>47</v>
      </c>
      <c r="E1184" t="s">
        <v>50</v>
      </c>
      <c r="F1184" t="s">
        <v>29</v>
      </c>
      <c r="G1184" t="s">
        <v>20</v>
      </c>
      <c r="H1184" t="s">
        <v>87</v>
      </c>
      <c r="I1184">
        <v>16</v>
      </c>
      <c r="J1184">
        <v>0</v>
      </c>
      <c r="K1184">
        <v>123.21</v>
      </c>
      <c r="L1184">
        <v>7.02</v>
      </c>
      <c r="M1184" t="s">
        <v>2476</v>
      </c>
      <c r="N1184" t="s">
        <v>2474</v>
      </c>
      <c r="O1184" t="s">
        <v>2459</v>
      </c>
      <c r="P1184">
        <v>4.5</v>
      </c>
      <c r="Q1184">
        <v>8.2899999999999991</v>
      </c>
      <c r="R1184">
        <v>72</v>
      </c>
      <c r="S1184">
        <v>44.19</v>
      </c>
      <c r="T1184">
        <v>0.35865595325054783</v>
      </c>
      <c r="U1184" s="1">
        <v>45748</v>
      </c>
      <c r="V1184" t="s">
        <v>2499</v>
      </c>
      <c r="W1184">
        <v>2025</v>
      </c>
    </row>
    <row r="1185" spans="1:23" x14ac:dyDescent="0.25">
      <c r="A1185" t="s">
        <v>1232</v>
      </c>
      <c r="B1185" s="1">
        <v>45606</v>
      </c>
      <c r="C1185" s="1">
        <v>45607</v>
      </c>
      <c r="D1185" t="s">
        <v>23</v>
      </c>
      <c r="E1185" t="s">
        <v>59</v>
      </c>
      <c r="F1185" t="s">
        <v>29</v>
      </c>
      <c r="G1185" t="s">
        <v>26</v>
      </c>
      <c r="H1185" t="s">
        <v>30</v>
      </c>
      <c r="I1185">
        <v>12</v>
      </c>
      <c r="J1185">
        <v>0.2</v>
      </c>
      <c r="K1185">
        <v>74.400000000000006</v>
      </c>
      <c r="L1185">
        <v>9.9</v>
      </c>
      <c r="M1185" t="s">
        <v>2473</v>
      </c>
      <c r="N1185" t="s">
        <v>2474</v>
      </c>
      <c r="O1185" t="s">
        <v>2463</v>
      </c>
      <c r="P1185">
        <v>3.62</v>
      </c>
      <c r="Q1185">
        <v>6.03</v>
      </c>
      <c r="R1185">
        <v>43.44</v>
      </c>
      <c r="S1185">
        <v>21.060000000000009</v>
      </c>
      <c r="T1185">
        <v>0.28306451612903238</v>
      </c>
      <c r="U1185" s="1">
        <v>45597</v>
      </c>
      <c r="V1185" t="s">
        <v>2500</v>
      </c>
      <c r="W1185">
        <v>2024</v>
      </c>
    </row>
    <row r="1186" spans="1:23" x14ac:dyDescent="0.25">
      <c r="A1186" t="s">
        <v>1233</v>
      </c>
      <c r="B1186" s="1">
        <v>45768</v>
      </c>
      <c r="C1186" s="1">
        <v>45769</v>
      </c>
      <c r="D1186" t="s">
        <v>47</v>
      </c>
      <c r="E1186" t="s">
        <v>48</v>
      </c>
      <c r="F1186" t="s">
        <v>29</v>
      </c>
      <c r="G1186" t="s">
        <v>20</v>
      </c>
      <c r="H1186" t="s">
        <v>41</v>
      </c>
      <c r="I1186">
        <v>4</v>
      </c>
      <c r="J1186">
        <v>0</v>
      </c>
      <c r="K1186">
        <v>23.4</v>
      </c>
      <c r="L1186">
        <v>6.3</v>
      </c>
      <c r="M1186" t="s">
        <v>2479</v>
      </c>
      <c r="N1186" t="s">
        <v>2474</v>
      </c>
      <c r="O1186" t="s">
        <v>2459</v>
      </c>
      <c r="P1186">
        <v>3.3</v>
      </c>
      <c r="Q1186">
        <v>6.13</v>
      </c>
      <c r="R1186">
        <v>13.2</v>
      </c>
      <c r="S1186">
        <v>3.8999999999999995</v>
      </c>
      <c r="T1186">
        <v>0.16666666666666666</v>
      </c>
      <c r="U1186" s="1">
        <v>45748</v>
      </c>
      <c r="V1186" t="s">
        <v>2499</v>
      </c>
      <c r="W1186">
        <v>2025</v>
      </c>
    </row>
    <row r="1187" spans="1:23" x14ac:dyDescent="0.25">
      <c r="A1187" t="s">
        <v>1234</v>
      </c>
      <c r="B1187" s="1">
        <v>45405</v>
      </c>
      <c r="C1187" s="1">
        <v>45407</v>
      </c>
      <c r="D1187" t="s">
        <v>13</v>
      </c>
      <c r="E1187" t="s">
        <v>14</v>
      </c>
      <c r="F1187" t="s">
        <v>29</v>
      </c>
      <c r="G1187" t="s">
        <v>20</v>
      </c>
      <c r="H1187" t="s">
        <v>51</v>
      </c>
      <c r="I1187">
        <v>14</v>
      </c>
      <c r="J1187">
        <v>0</v>
      </c>
      <c r="K1187">
        <v>197.58</v>
      </c>
      <c r="L1187">
        <v>6.48</v>
      </c>
      <c r="M1187" t="s">
        <v>2475</v>
      </c>
      <c r="N1187" t="s">
        <v>2474</v>
      </c>
      <c r="O1187" t="s">
        <v>2463</v>
      </c>
      <c r="P1187">
        <v>7.93</v>
      </c>
      <c r="Q1187">
        <v>14.78</v>
      </c>
      <c r="R1187">
        <v>111.02</v>
      </c>
      <c r="S1187">
        <v>80.080000000000013</v>
      </c>
      <c r="T1187">
        <v>0.4053041805850795</v>
      </c>
      <c r="U1187" s="1">
        <v>45383</v>
      </c>
      <c r="V1187" t="s">
        <v>2499</v>
      </c>
      <c r="W1187">
        <v>2024</v>
      </c>
    </row>
    <row r="1188" spans="1:23" x14ac:dyDescent="0.25">
      <c r="A1188" t="s">
        <v>1235</v>
      </c>
      <c r="B1188" s="1">
        <v>45522</v>
      </c>
      <c r="C1188" s="1">
        <v>45524</v>
      </c>
      <c r="D1188" t="s">
        <v>47</v>
      </c>
      <c r="E1188" t="s">
        <v>71</v>
      </c>
      <c r="F1188" t="s">
        <v>29</v>
      </c>
      <c r="G1188" t="s">
        <v>16</v>
      </c>
      <c r="H1188" t="s">
        <v>60</v>
      </c>
      <c r="I1188">
        <v>4</v>
      </c>
      <c r="J1188">
        <v>0</v>
      </c>
      <c r="K1188">
        <v>446.68</v>
      </c>
      <c r="L1188">
        <v>9.5</v>
      </c>
      <c r="M1188" t="s">
        <v>2469</v>
      </c>
      <c r="N1188" t="s">
        <v>2467</v>
      </c>
      <c r="O1188" t="s">
        <v>2468</v>
      </c>
      <c r="P1188">
        <v>54.95</v>
      </c>
      <c r="Q1188">
        <v>112.56</v>
      </c>
      <c r="R1188">
        <v>219.8</v>
      </c>
      <c r="S1188">
        <v>217.38</v>
      </c>
      <c r="T1188">
        <v>0.48665711471299361</v>
      </c>
      <c r="U1188" s="1">
        <v>45505</v>
      </c>
      <c r="V1188" t="s">
        <v>2499</v>
      </c>
      <c r="W1188">
        <v>2024</v>
      </c>
    </row>
    <row r="1189" spans="1:23" x14ac:dyDescent="0.25">
      <c r="A1189" t="s">
        <v>1236</v>
      </c>
      <c r="B1189" s="1">
        <v>45575</v>
      </c>
      <c r="C1189" s="1">
        <v>45577</v>
      </c>
      <c r="D1189" t="s">
        <v>23</v>
      </c>
      <c r="E1189" t="s">
        <v>43</v>
      </c>
      <c r="F1189" t="s">
        <v>15</v>
      </c>
      <c r="G1189" t="s">
        <v>26</v>
      </c>
      <c r="H1189" t="s">
        <v>39</v>
      </c>
      <c r="I1189">
        <v>1</v>
      </c>
      <c r="J1189">
        <v>0.15</v>
      </c>
      <c r="K1189">
        <v>197.76</v>
      </c>
      <c r="L1189">
        <v>5.75</v>
      </c>
      <c r="M1189" t="s">
        <v>2471</v>
      </c>
      <c r="N1189" t="s">
        <v>2467</v>
      </c>
      <c r="O1189" t="s">
        <v>2461</v>
      </c>
      <c r="P1189">
        <v>112.09</v>
      </c>
      <c r="Q1189">
        <v>192.47</v>
      </c>
      <c r="R1189">
        <v>112.09</v>
      </c>
      <c r="S1189">
        <v>79.919999999999987</v>
      </c>
      <c r="T1189">
        <v>0.40412621359223294</v>
      </c>
      <c r="U1189" s="1">
        <v>45566</v>
      </c>
      <c r="V1189" t="s">
        <v>2500</v>
      </c>
      <c r="W1189">
        <v>2024</v>
      </c>
    </row>
    <row r="1190" spans="1:23" x14ac:dyDescent="0.25">
      <c r="A1190" t="s">
        <v>1237</v>
      </c>
      <c r="B1190" s="1">
        <v>45792</v>
      </c>
      <c r="C1190" s="1">
        <v>45793</v>
      </c>
      <c r="D1190" t="s">
        <v>32</v>
      </c>
      <c r="E1190" t="s">
        <v>45</v>
      </c>
      <c r="F1190" t="s">
        <v>15</v>
      </c>
      <c r="G1190" t="s">
        <v>16</v>
      </c>
      <c r="H1190" t="s">
        <v>87</v>
      </c>
      <c r="I1190">
        <v>14</v>
      </c>
      <c r="J1190">
        <v>0</v>
      </c>
      <c r="K1190">
        <v>118.78</v>
      </c>
      <c r="L1190">
        <v>10.8</v>
      </c>
      <c r="M1190" t="s">
        <v>2476</v>
      </c>
      <c r="N1190" t="s">
        <v>2474</v>
      </c>
      <c r="O1190" t="s">
        <v>2459</v>
      </c>
      <c r="P1190">
        <v>4.5</v>
      </c>
      <c r="Q1190">
        <v>8.2899999999999991</v>
      </c>
      <c r="R1190">
        <v>63</v>
      </c>
      <c r="S1190">
        <v>44.980000000000004</v>
      </c>
      <c r="T1190">
        <v>0.37868328001347029</v>
      </c>
      <c r="U1190" s="1">
        <v>45778</v>
      </c>
      <c r="V1190" t="s">
        <v>2499</v>
      </c>
      <c r="W1190">
        <v>2025</v>
      </c>
    </row>
    <row r="1191" spans="1:23" x14ac:dyDescent="0.25">
      <c r="A1191" t="s">
        <v>1238</v>
      </c>
      <c r="B1191" s="1">
        <v>45595</v>
      </c>
      <c r="C1191" s="1">
        <v>45601</v>
      </c>
      <c r="D1191" t="s">
        <v>23</v>
      </c>
      <c r="E1191" t="s">
        <v>24</v>
      </c>
      <c r="F1191" t="s">
        <v>15</v>
      </c>
      <c r="G1191" t="s">
        <v>20</v>
      </c>
      <c r="H1191" t="s">
        <v>21</v>
      </c>
      <c r="I1191">
        <v>4</v>
      </c>
      <c r="J1191">
        <v>0</v>
      </c>
      <c r="K1191">
        <v>551.42999999999995</v>
      </c>
      <c r="L1191">
        <v>13.7</v>
      </c>
      <c r="M1191" t="s">
        <v>2462</v>
      </c>
      <c r="N1191" t="s">
        <v>2458</v>
      </c>
      <c r="O1191" t="s">
        <v>2463</v>
      </c>
      <c r="P1191">
        <v>71.489999999999995</v>
      </c>
      <c r="Q1191">
        <v>112.88</v>
      </c>
      <c r="R1191">
        <v>285.95999999999998</v>
      </c>
      <c r="S1191">
        <v>251.76999999999998</v>
      </c>
      <c r="T1191">
        <v>0.45657653736648351</v>
      </c>
      <c r="U1191" s="1">
        <v>45566</v>
      </c>
      <c r="V1191" t="s">
        <v>2499</v>
      </c>
      <c r="W1191">
        <v>2024</v>
      </c>
    </row>
    <row r="1192" spans="1:23" x14ac:dyDescent="0.25">
      <c r="A1192" t="s">
        <v>1239</v>
      </c>
      <c r="B1192" s="1">
        <v>45702</v>
      </c>
      <c r="C1192" s="1">
        <v>45706</v>
      </c>
      <c r="D1192" t="s">
        <v>47</v>
      </c>
      <c r="E1192" t="s">
        <v>71</v>
      </c>
      <c r="F1192" t="s">
        <v>25</v>
      </c>
      <c r="G1192" t="s">
        <v>16</v>
      </c>
      <c r="H1192" t="s">
        <v>30</v>
      </c>
      <c r="I1192">
        <v>8</v>
      </c>
      <c r="J1192">
        <v>0</v>
      </c>
      <c r="K1192">
        <v>44.05</v>
      </c>
      <c r="L1192">
        <v>8.1</v>
      </c>
      <c r="M1192" t="s">
        <v>2473</v>
      </c>
      <c r="N1192" t="s">
        <v>2474</v>
      </c>
      <c r="O1192" t="s">
        <v>2463</v>
      </c>
      <c r="P1192">
        <v>3.62</v>
      </c>
      <c r="Q1192">
        <v>6.03</v>
      </c>
      <c r="R1192">
        <v>28.96</v>
      </c>
      <c r="S1192">
        <v>6.9899999999999967</v>
      </c>
      <c r="T1192">
        <v>0.15868331441543693</v>
      </c>
      <c r="U1192" s="1">
        <v>45689</v>
      </c>
      <c r="V1192" t="s">
        <v>2499</v>
      </c>
      <c r="W1192">
        <v>2025</v>
      </c>
    </row>
    <row r="1193" spans="1:23" x14ac:dyDescent="0.25">
      <c r="A1193" t="s">
        <v>1240</v>
      </c>
      <c r="B1193" s="1">
        <v>45945</v>
      </c>
      <c r="C1193" s="1">
        <v>45947</v>
      </c>
      <c r="D1193" t="s">
        <v>13</v>
      </c>
      <c r="E1193" t="s">
        <v>19</v>
      </c>
      <c r="F1193" t="s">
        <v>29</v>
      </c>
      <c r="G1193" t="s">
        <v>16</v>
      </c>
      <c r="H1193" t="s">
        <v>39</v>
      </c>
      <c r="I1193">
        <v>4</v>
      </c>
      <c r="J1193">
        <v>0</v>
      </c>
      <c r="K1193">
        <v>938.65</v>
      </c>
      <c r="L1193">
        <v>5.7</v>
      </c>
      <c r="M1193" t="s">
        <v>2471</v>
      </c>
      <c r="N1193" t="s">
        <v>2467</v>
      </c>
      <c r="O1193" t="s">
        <v>2461</v>
      </c>
      <c r="P1193">
        <v>112.09</v>
      </c>
      <c r="Q1193">
        <v>192.47</v>
      </c>
      <c r="R1193">
        <v>448.36</v>
      </c>
      <c r="S1193">
        <v>484.59</v>
      </c>
      <c r="T1193">
        <v>0.51626271773291432</v>
      </c>
      <c r="U1193" s="1">
        <v>45931</v>
      </c>
      <c r="V1193" t="s">
        <v>2499</v>
      </c>
      <c r="W1193">
        <v>2025</v>
      </c>
    </row>
    <row r="1194" spans="1:23" x14ac:dyDescent="0.25">
      <c r="A1194" t="s">
        <v>1241</v>
      </c>
      <c r="B1194" s="1">
        <v>45594</v>
      </c>
      <c r="C1194" s="1">
        <v>45595</v>
      </c>
      <c r="D1194" t="s">
        <v>47</v>
      </c>
      <c r="E1194" t="s">
        <v>71</v>
      </c>
      <c r="F1194" t="s">
        <v>29</v>
      </c>
      <c r="G1194" t="s">
        <v>16</v>
      </c>
      <c r="H1194" t="s">
        <v>34</v>
      </c>
      <c r="I1194">
        <v>5</v>
      </c>
      <c r="J1194">
        <v>0.15</v>
      </c>
      <c r="K1194">
        <v>1033.22</v>
      </c>
      <c r="L1194">
        <v>16</v>
      </c>
      <c r="M1194" t="s">
        <v>2460</v>
      </c>
      <c r="N1194" t="s">
        <v>2458</v>
      </c>
      <c r="O1194" t="s">
        <v>2461</v>
      </c>
      <c r="P1194">
        <v>119.02</v>
      </c>
      <c r="Q1194">
        <v>205.39</v>
      </c>
      <c r="R1194">
        <v>595.1</v>
      </c>
      <c r="S1194">
        <v>422.12</v>
      </c>
      <c r="T1194">
        <v>0.40854803430053616</v>
      </c>
      <c r="U1194" s="1">
        <v>45566</v>
      </c>
      <c r="V1194" t="s">
        <v>2500</v>
      </c>
      <c r="W1194">
        <v>2024</v>
      </c>
    </row>
    <row r="1195" spans="1:23" x14ac:dyDescent="0.25">
      <c r="A1195" t="s">
        <v>1242</v>
      </c>
      <c r="B1195" s="1">
        <v>45412</v>
      </c>
      <c r="C1195" s="1">
        <v>45418</v>
      </c>
      <c r="D1195" t="s">
        <v>47</v>
      </c>
      <c r="E1195" t="s">
        <v>50</v>
      </c>
      <c r="F1195" t="s">
        <v>29</v>
      </c>
      <c r="G1195" t="s">
        <v>20</v>
      </c>
      <c r="H1195" t="s">
        <v>60</v>
      </c>
      <c r="I1195">
        <v>1</v>
      </c>
      <c r="J1195">
        <v>0.1</v>
      </c>
      <c r="K1195">
        <v>94.29</v>
      </c>
      <c r="L1195">
        <v>3.45</v>
      </c>
      <c r="M1195" t="s">
        <v>2469</v>
      </c>
      <c r="N1195" t="s">
        <v>2467</v>
      </c>
      <c r="O1195" t="s">
        <v>2468</v>
      </c>
      <c r="P1195">
        <v>54.95</v>
      </c>
      <c r="Q1195">
        <v>112.56</v>
      </c>
      <c r="R1195">
        <v>54.95</v>
      </c>
      <c r="S1195">
        <v>35.89</v>
      </c>
      <c r="T1195">
        <v>0.38063421359635169</v>
      </c>
      <c r="U1195" s="1">
        <v>45383</v>
      </c>
      <c r="V1195" t="s">
        <v>2498</v>
      </c>
      <c r="W1195">
        <v>2024</v>
      </c>
    </row>
    <row r="1196" spans="1:23" x14ac:dyDescent="0.25">
      <c r="A1196" t="s">
        <v>1243</v>
      </c>
      <c r="B1196" s="1">
        <v>45660</v>
      </c>
      <c r="C1196" s="1">
        <v>45665</v>
      </c>
      <c r="D1196" t="s">
        <v>23</v>
      </c>
      <c r="E1196" t="s">
        <v>43</v>
      </c>
      <c r="F1196" t="s">
        <v>15</v>
      </c>
      <c r="G1196" t="s">
        <v>16</v>
      </c>
      <c r="H1196" t="s">
        <v>39</v>
      </c>
      <c r="I1196">
        <v>4</v>
      </c>
      <c r="J1196">
        <v>0.2</v>
      </c>
      <c r="K1196">
        <v>536.96</v>
      </c>
      <c r="L1196">
        <v>9.5</v>
      </c>
      <c r="M1196" t="s">
        <v>2471</v>
      </c>
      <c r="N1196" t="s">
        <v>2467</v>
      </c>
      <c r="O1196" t="s">
        <v>2461</v>
      </c>
      <c r="P1196">
        <v>112.09</v>
      </c>
      <c r="Q1196">
        <v>192.47</v>
      </c>
      <c r="R1196">
        <v>448.36</v>
      </c>
      <c r="S1196">
        <v>79.100000000000023</v>
      </c>
      <c r="T1196">
        <v>0.14731078665077477</v>
      </c>
      <c r="U1196" s="1">
        <v>45658</v>
      </c>
      <c r="V1196" t="s">
        <v>2500</v>
      </c>
      <c r="W1196">
        <v>2025</v>
      </c>
    </row>
    <row r="1197" spans="1:23" x14ac:dyDescent="0.25">
      <c r="A1197" t="s">
        <v>1244</v>
      </c>
      <c r="B1197" s="1">
        <v>45599</v>
      </c>
      <c r="C1197" s="1">
        <v>45602</v>
      </c>
      <c r="D1197" t="s">
        <v>32</v>
      </c>
      <c r="E1197" t="s">
        <v>62</v>
      </c>
      <c r="F1197" t="s">
        <v>15</v>
      </c>
      <c r="G1197" t="s">
        <v>26</v>
      </c>
      <c r="H1197" t="s">
        <v>21</v>
      </c>
      <c r="I1197">
        <v>3</v>
      </c>
      <c r="J1197">
        <v>0</v>
      </c>
      <c r="K1197">
        <v>475</v>
      </c>
      <c r="L1197">
        <v>11.4</v>
      </c>
      <c r="M1197" t="s">
        <v>2462</v>
      </c>
      <c r="N1197" t="s">
        <v>2458</v>
      </c>
      <c r="O1197" t="s">
        <v>2463</v>
      </c>
      <c r="P1197">
        <v>71.489999999999995</v>
      </c>
      <c r="Q1197">
        <v>112.88</v>
      </c>
      <c r="R1197">
        <v>214.46999999999997</v>
      </c>
      <c r="S1197">
        <v>249.13000000000002</v>
      </c>
      <c r="T1197">
        <v>0.52448421052631589</v>
      </c>
      <c r="U1197" s="1">
        <v>45597</v>
      </c>
      <c r="V1197" t="s">
        <v>2499</v>
      </c>
      <c r="W1197">
        <v>2024</v>
      </c>
    </row>
    <row r="1198" spans="1:23" x14ac:dyDescent="0.25">
      <c r="A1198" t="s">
        <v>1245</v>
      </c>
      <c r="B1198" s="1">
        <v>45905</v>
      </c>
      <c r="C1198" s="1">
        <v>45906</v>
      </c>
      <c r="D1198" t="s">
        <v>13</v>
      </c>
      <c r="E1198" t="s">
        <v>14</v>
      </c>
      <c r="F1198" t="s">
        <v>15</v>
      </c>
      <c r="G1198" t="s">
        <v>26</v>
      </c>
      <c r="H1198" t="s">
        <v>68</v>
      </c>
      <c r="I1198">
        <v>4</v>
      </c>
      <c r="J1198">
        <v>0.05</v>
      </c>
      <c r="K1198">
        <v>223.38</v>
      </c>
      <c r="L1198">
        <v>9.5</v>
      </c>
      <c r="M1198" t="s">
        <v>2466</v>
      </c>
      <c r="N1198" t="s">
        <v>2467</v>
      </c>
      <c r="O1198" t="s">
        <v>2468</v>
      </c>
      <c r="P1198">
        <v>25.33</v>
      </c>
      <c r="Q1198">
        <v>51.56</v>
      </c>
      <c r="R1198">
        <v>101.32</v>
      </c>
      <c r="S1198">
        <v>112.56</v>
      </c>
      <c r="T1198">
        <v>0.50389470856835883</v>
      </c>
      <c r="U1198" s="1">
        <v>45901</v>
      </c>
      <c r="V1198" t="s">
        <v>2498</v>
      </c>
      <c r="W1198">
        <v>2025</v>
      </c>
    </row>
    <row r="1199" spans="1:23" x14ac:dyDescent="0.25">
      <c r="A1199" t="s">
        <v>1246</v>
      </c>
      <c r="B1199" s="1">
        <v>45881</v>
      </c>
      <c r="C1199" s="1">
        <v>45883</v>
      </c>
      <c r="D1199" t="s">
        <v>32</v>
      </c>
      <c r="E1199" t="s">
        <v>45</v>
      </c>
      <c r="F1199" t="s">
        <v>29</v>
      </c>
      <c r="G1199" t="s">
        <v>16</v>
      </c>
      <c r="H1199" t="s">
        <v>37</v>
      </c>
      <c r="I1199">
        <v>4</v>
      </c>
      <c r="J1199">
        <v>0</v>
      </c>
      <c r="K1199">
        <v>418.96</v>
      </c>
      <c r="L1199">
        <v>8.2200000000000006</v>
      </c>
      <c r="M1199" t="s">
        <v>2464</v>
      </c>
      <c r="N1199" t="s">
        <v>2458</v>
      </c>
      <c r="O1199" t="s">
        <v>2465</v>
      </c>
      <c r="P1199">
        <v>63.6</v>
      </c>
      <c r="Q1199">
        <v>107.94</v>
      </c>
      <c r="R1199">
        <v>254.4</v>
      </c>
      <c r="S1199">
        <v>156.33999999999997</v>
      </c>
      <c r="T1199">
        <v>0.37316211571510405</v>
      </c>
      <c r="U1199" s="1">
        <v>45870</v>
      </c>
      <c r="V1199" t="s">
        <v>2499</v>
      </c>
      <c r="W1199">
        <v>2025</v>
      </c>
    </row>
    <row r="1200" spans="1:23" x14ac:dyDescent="0.25">
      <c r="A1200" t="s">
        <v>1247</v>
      </c>
      <c r="B1200" s="1">
        <v>45695</v>
      </c>
      <c r="C1200" s="1">
        <v>45701</v>
      </c>
      <c r="D1200" t="s">
        <v>32</v>
      </c>
      <c r="E1200" t="s">
        <v>45</v>
      </c>
      <c r="F1200" t="s">
        <v>29</v>
      </c>
      <c r="G1200" t="s">
        <v>16</v>
      </c>
      <c r="H1200" t="s">
        <v>60</v>
      </c>
      <c r="I1200">
        <v>1</v>
      </c>
      <c r="J1200">
        <v>0</v>
      </c>
      <c r="K1200">
        <v>102.21</v>
      </c>
      <c r="L1200">
        <v>3.45</v>
      </c>
      <c r="M1200" t="s">
        <v>2469</v>
      </c>
      <c r="N1200" t="s">
        <v>2467</v>
      </c>
      <c r="O1200" t="s">
        <v>2468</v>
      </c>
      <c r="P1200">
        <v>54.95</v>
      </c>
      <c r="Q1200">
        <v>112.56</v>
      </c>
      <c r="R1200">
        <v>54.95</v>
      </c>
      <c r="S1200">
        <v>43.809999999999988</v>
      </c>
      <c r="T1200">
        <v>0.42862733587711566</v>
      </c>
      <c r="U1200" s="1">
        <v>45689</v>
      </c>
      <c r="V1200" t="s">
        <v>2499</v>
      </c>
      <c r="W1200">
        <v>2025</v>
      </c>
    </row>
    <row r="1201" spans="1:23" x14ac:dyDescent="0.25">
      <c r="A1201" t="s">
        <v>1248</v>
      </c>
      <c r="B1201" s="1">
        <v>45593</v>
      </c>
      <c r="C1201" s="1">
        <v>45599</v>
      </c>
      <c r="D1201" t="s">
        <v>13</v>
      </c>
      <c r="E1201" t="s">
        <v>36</v>
      </c>
      <c r="F1201" t="s">
        <v>25</v>
      </c>
      <c r="G1201" t="s">
        <v>26</v>
      </c>
      <c r="H1201" t="s">
        <v>60</v>
      </c>
      <c r="I1201">
        <v>4</v>
      </c>
      <c r="J1201">
        <v>0.05</v>
      </c>
      <c r="K1201">
        <v>519.02</v>
      </c>
      <c r="L1201">
        <v>5.7</v>
      </c>
      <c r="M1201" t="s">
        <v>2469</v>
      </c>
      <c r="N1201" t="s">
        <v>2467</v>
      </c>
      <c r="O1201" t="s">
        <v>2468</v>
      </c>
      <c r="P1201">
        <v>54.95</v>
      </c>
      <c r="Q1201">
        <v>112.56</v>
      </c>
      <c r="R1201">
        <v>219.8</v>
      </c>
      <c r="S1201">
        <v>293.52</v>
      </c>
      <c r="T1201">
        <v>0.56552733998689841</v>
      </c>
      <c r="U1201" s="1">
        <v>45566</v>
      </c>
      <c r="V1201" t="s">
        <v>2498</v>
      </c>
      <c r="W1201">
        <v>2024</v>
      </c>
    </row>
    <row r="1202" spans="1:23" x14ac:dyDescent="0.25">
      <c r="A1202" t="s">
        <v>1249</v>
      </c>
      <c r="B1202" s="1">
        <v>45770</v>
      </c>
      <c r="C1202" s="1">
        <v>45776</v>
      </c>
      <c r="D1202" t="s">
        <v>23</v>
      </c>
      <c r="E1202" t="s">
        <v>24</v>
      </c>
      <c r="F1202" t="s">
        <v>25</v>
      </c>
      <c r="G1202" t="s">
        <v>26</v>
      </c>
      <c r="H1202" t="s">
        <v>21</v>
      </c>
      <c r="I1202">
        <v>1</v>
      </c>
      <c r="J1202">
        <v>0</v>
      </c>
      <c r="K1202">
        <v>112.32</v>
      </c>
      <c r="L1202">
        <v>4.08</v>
      </c>
      <c r="M1202" t="s">
        <v>2462</v>
      </c>
      <c r="N1202" t="s">
        <v>2458</v>
      </c>
      <c r="O1202" t="s">
        <v>2463</v>
      </c>
      <c r="P1202">
        <v>71.489999999999995</v>
      </c>
      <c r="Q1202">
        <v>112.88</v>
      </c>
      <c r="R1202">
        <v>71.489999999999995</v>
      </c>
      <c r="S1202">
        <v>36.75</v>
      </c>
      <c r="T1202">
        <v>0.32719017094017094</v>
      </c>
      <c r="U1202" s="1">
        <v>45748</v>
      </c>
      <c r="V1202" t="s">
        <v>2499</v>
      </c>
      <c r="W1202">
        <v>2025</v>
      </c>
    </row>
    <row r="1203" spans="1:23" x14ac:dyDescent="0.25">
      <c r="A1203" t="s">
        <v>1250</v>
      </c>
      <c r="B1203" s="1">
        <v>45854</v>
      </c>
      <c r="C1203" s="1">
        <v>45860</v>
      </c>
      <c r="D1203" t="s">
        <v>47</v>
      </c>
      <c r="E1203" t="s">
        <v>50</v>
      </c>
      <c r="F1203" t="s">
        <v>15</v>
      </c>
      <c r="G1203" t="s">
        <v>16</v>
      </c>
      <c r="H1203" t="s">
        <v>51</v>
      </c>
      <c r="I1203">
        <v>7</v>
      </c>
      <c r="J1203">
        <v>0</v>
      </c>
      <c r="K1203">
        <v>99.89</v>
      </c>
      <c r="L1203">
        <v>4.59</v>
      </c>
      <c r="M1203" t="s">
        <v>2475</v>
      </c>
      <c r="N1203" t="s">
        <v>2474</v>
      </c>
      <c r="O1203" t="s">
        <v>2463</v>
      </c>
      <c r="P1203">
        <v>7.93</v>
      </c>
      <c r="Q1203">
        <v>14.78</v>
      </c>
      <c r="R1203">
        <v>55.51</v>
      </c>
      <c r="S1203">
        <v>39.790000000000006</v>
      </c>
      <c r="T1203">
        <v>0.39833817198918819</v>
      </c>
      <c r="U1203" s="1">
        <v>45839</v>
      </c>
      <c r="V1203" t="s">
        <v>2499</v>
      </c>
      <c r="W1203">
        <v>2025</v>
      </c>
    </row>
    <row r="1204" spans="1:23" x14ac:dyDescent="0.25">
      <c r="A1204" t="s">
        <v>1251</v>
      </c>
      <c r="B1204" s="1">
        <v>45372</v>
      </c>
      <c r="C1204" s="1">
        <v>45378</v>
      </c>
      <c r="D1204" t="s">
        <v>32</v>
      </c>
      <c r="E1204" t="s">
        <v>62</v>
      </c>
      <c r="F1204" t="s">
        <v>15</v>
      </c>
      <c r="G1204" t="s">
        <v>20</v>
      </c>
      <c r="H1204" t="s">
        <v>51</v>
      </c>
      <c r="I1204">
        <v>11</v>
      </c>
      <c r="J1204">
        <v>0.2</v>
      </c>
      <c r="K1204">
        <v>122.7</v>
      </c>
      <c r="L1204">
        <v>9.4499999999999993</v>
      </c>
      <c r="M1204" t="s">
        <v>2475</v>
      </c>
      <c r="N1204" t="s">
        <v>2474</v>
      </c>
      <c r="O1204" t="s">
        <v>2463</v>
      </c>
      <c r="P1204">
        <v>7.93</v>
      </c>
      <c r="Q1204">
        <v>14.78</v>
      </c>
      <c r="R1204">
        <v>87.22999999999999</v>
      </c>
      <c r="S1204">
        <v>26.020000000000014</v>
      </c>
      <c r="T1204">
        <v>0.21206193969030165</v>
      </c>
      <c r="U1204" s="1">
        <v>45352</v>
      </c>
      <c r="V1204" t="s">
        <v>2500</v>
      </c>
      <c r="W1204">
        <v>2024</v>
      </c>
    </row>
    <row r="1205" spans="1:23" x14ac:dyDescent="0.25">
      <c r="A1205" t="s">
        <v>1252</v>
      </c>
      <c r="B1205" s="1">
        <v>45956</v>
      </c>
      <c r="C1205" s="1">
        <v>45959</v>
      </c>
      <c r="D1205" t="s">
        <v>32</v>
      </c>
      <c r="E1205" t="s">
        <v>62</v>
      </c>
      <c r="F1205" t="s">
        <v>29</v>
      </c>
      <c r="G1205" t="s">
        <v>16</v>
      </c>
      <c r="H1205" t="s">
        <v>51</v>
      </c>
      <c r="I1205">
        <v>3</v>
      </c>
      <c r="J1205">
        <v>0</v>
      </c>
      <c r="K1205">
        <v>52.69</v>
      </c>
      <c r="L1205">
        <v>5.85</v>
      </c>
      <c r="M1205" t="s">
        <v>2475</v>
      </c>
      <c r="N1205" t="s">
        <v>2474</v>
      </c>
      <c r="O1205" t="s">
        <v>2463</v>
      </c>
      <c r="P1205">
        <v>7.93</v>
      </c>
      <c r="Q1205">
        <v>14.78</v>
      </c>
      <c r="R1205">
        <v>23.79</v>
      </c>
      <c r="S1205">
        <v>23.049999999999997</v>
      </c>
      <c r="T1205">
        <v>0.43746441449990509</v>
      </c>
      <c r="U1205" s="1">
        <v>45931</v>
      </c>
      <c r="V1205" t="s">
        <v>2499</v>
      </c>
      <c r="W1205">
        <v>2025</v>
      </c>
    </row>
    <row r="1206" spans="1:23" x14ac:dyDescent="0.25">
      <c r="A1206" t="s">
        <v>1253</v>
      </c>
      <c r="B1206" s="1">
        <v>45420</v>
      </c>
      <c r="C1206" s="1">
        <v>45423</v>
      </c>
      <c r="D1206" t="s">
        <v>23</v>
      </c>
      <c r="E1206" t="s">
        <v>43</v>
      </c>
      <c r="F1206" t="s">
        <v>29</v>
      </c>
      <c r="G1206" t="s">
        <v>16</v>
      </c>
      <c r="H1206" t="s">
        <v>87</v>
      </c>
      <c r="I1206">
        <v>7</v>
      </c>
      <c r="J1206">
        <v>0</v>
      </c>
      <c r="K1206">
        <v>59.36</v>
      </c>
      <c r="L1206">
        <v>4.59</v>
      </c>
      <c r="M1206" t="s">
        <v>2476</v>
      </c>
      <c r="N1206" t="s">
        <v>2474</v>
      </c>
      <c r="O1206" t="s">
        <v>2459</v>
      </c>
      <c r="P1206">
        <v>4.5</v>
      </c>
      <c r="Q1206">
        <v>8.2899999999999991</v>
      </c>
      <c r="R1206">
        <v>31.5</v>
      </c>
      <c r="S1206">
        <v>23.27</v>
      </c>
      <c r="T1206">
        <v>0.39201482479784366</v>
      </c>
      <c r="U1206" s="1">
        <v>45413</v>
      </c>
      <c r="V1206" t="s">
        <v>2499</v>
      </c>
      <c r="W1206">
        <v>2024</v>
      </c>
    </row>
    <row r="1207" spans="1:23" x14ac:dyDescent="0.25">
      <c r="A1207" t="s">
        <v>1254</v>
      </c>
      <c r="B1207" s="1">
        <v>45987</v>
      </c>
      <c r="C1207" s="1">
        <v>45991</v>
      </c>
      <c r="D1207" t="s">
        <v>47</v>
      </c>
      <c r="E1207" t="s">
        <v>71</v>
      </c>
      <c r="F1207" t="s">
        <v>15</v>
      </c>
      <c r="G1207" t="s">
        <v>20</v>
      </c>
      <c r="H1207" t="s">
        <v>60</v>
      </c>
      <c r="I1207">
        <v>3</v>
      </c>
      <c r="J1207">
        <v>0</v>
      </c>
      <c r="K1207">
        <v>446.51</v>
      </c>
      <c r="L1207">
        <v>8.25</v>
      </c>
      <c r="M1207" t="s">
        <v>2469</v>
      </c>
      <c r="N1207" t="s">
        <v>2467</v>
      </c>
      <c r="O1207" t="s">
        <v>2468</v>
      </c>
      <c r="P1207">
        <v>54.95</v>
      </c>
      <c r="Q1207">
        <v>112.56</v>
      </c>
      <c r="R1207">
        <v>164.85000000000002</v>
      </c>
      <c r="S1207">
        <v>273.40999999999997</v>
      </c>
      <c r="T1207">
        <v>0.61232671160780272</v>
      </c>
      <c r="U1207" s="1">
        <v>45962</v>
      </c>
      <c r="V1207" t="s">
        <v>2499</v>
      </c>
      <c r="W1207">
        <v>2025</v>
      </c>
    </row>
    <row r="1208" spans="1:23" x14ac:dyDescent="0.25">
      <c r="A1208" t="s">
        <v>1255</v>
      </c>
      <c r="B1208" s="1">
        <v>45820</v>
      </c>
      <c r="C1208" s="1">
        <v>45823</v>
      </c>
      <c r="D1208" t="s">
        <v>23</v>
      </c>
      <c r="E1208" t="s">
        <v>24</v>
      </c>
      <c r="F1208" t="s">
        <v>25</v>
      </c>
      <c r="G1208" t="s">
        <v>26</v>
      </c>
      <c r="H1208" t="s">
        <v>17</v>
      </c>
      <c r="I1208">
        <v>5</v>
      </c>
      <c r="J1208">
        <v>0.05</v>
      </c>
      <c r="K1208">
        <v>655.75</v>
      </c>
      <c r="L1208">
        <v>10.75</v>
      </c>
      <c r="M1208" t="s">
        <v>2472</v>
      </c>
      <c r="N1208" t="s">
        <v>2467</v>
      </c>
      <c r="O1208" t="s">
        <v>2468</v>
      </c>
      <c r="P1208">
        <v>63.69</v>
      </c>
      <c r="Q1208">
        <v>125.5</v>
      </c>
      <c r="R1208">
        <v>318.45</v>
      </c>
      <c r="S1208">
        <v>326.55</v>
      </c>
      <c r="T1208">
        <v>0.49797941288600839</v>
      </c>
      <c r="U1208" s="1">
        <v>45809</v>
      </c>
      <c r="V1208" t="s">
        <v>2498</v>
      </c>
      <c r="W1208">
        <v>2025</v>
      </c>
    </row>
    <row r="1209" spans="1:23" x14ac:dyDescent="0.25">
      <c r="A1209" t="s">
        <v>1256</v>
      </c>
      <c r="B1209" s="1">
        <v>45531</v>
      </c>
      <c r="C1209" s="1">
        <v>45535</v>
      </c>
      <c r="D1209" t="s">
        <v>23</v>
      </c>
      <c r="E1209" t="s">
        <v>43</v>
      </c>
      <c r="F1209" t="s">
        <v>15</v>
      </c>
      <c r="G1209" t="s">
        <v>20</v>
      </c>
      <c r="H1209" t="s">
        <v>65</v>
      </c>
      <c r="I1209">
        <v>1</v>
      </c>
      <c r="J1209">
        <v>0.1</v>
      </c>
      <c r="K1209">
        <v>231.2</v>
      </c>
      <c r="L1209">
        <v>6.8</v>
      </c>
      <c r="M1209" t="s">
        <v>2457</v>
      </c>
      <c r="N1209" t="s">
        <v>2458</v>
      </c>
      <c r="O1209" t="s">
        <v>2459</v>
      </c>
      <c r="P1209">
        <v>173.56</v>
      </c>
      <c r="Q1209">
        <v>286.14999999999998</v>
      </c>
      <c r="R1209">
        <v>173.56</v>
      </c>
      <c r="S1209">
        <v>50.839999999999989</v>
      </c>
      <c r="T1209">
        <v>0.21989619377162625</v>
      </c>
      <c r="U1209" s="1">
        <v>45505</v>
      </c>
      <c r="V1209" t="s">
        <v>2498</v>
      </c>
      <c r="W1209">
        <v>2024</v>
      </c>
    </row>
    <row r="1210" spans="1:23" x14ac:dyDescent="0.25">
      <c r="A1210" t="s">
        <v>1257</v>
      </c>
      <c r="B1210" s="1">
        <v>45599</v>
      </c>
      <c r="C1210" s="1">
        <v>45605</v>
      </c>
      <c r="D1210" t="s">
        <v>32</v>
      </c>
      <c r="E1210" t="s">
        <v>45</v>
      </c>
      <c r="F1210" t="s">
        <v>15</v>
      </c>
      <c r="G1210" t="s">
        <v>26</v>
      </c>
      <c r="H1210" t="s">
        <v>27</v>
      </c>
      <c r="I1210">
        <v>12</v>
      </c>
      <c r="J1210">
        <v>0.05</v>
      </c>
      <c r="K1210">
        <v>442.26</v>
      </c>
      <c r="L1210">
        <v>9.9</v>
      </c>
      <c r="M1210" t="s">
        <v>2478</v>
      </c>
      <c r="N1210" t="s">
        <v>2474</v>
      </c>
      <c r="O1210" t="s">
        <v>2463</v>
      </c>
      <c r="P1210">
        <v>16.760000000000002</v>
      </c>
      <c r="Q1210">
        <v>27.71</v>
      </c>
      <c r="R1210">
        <v>201.12</v>
      </c>
      <c r="S1210">
        <v>231.23999999999998</v>
      </c>
      <c r="T1210">
        <v>0.52285985619318953</v>
      </c>
      <c r="U1210" s="1">
        <v>45597</v>
      </c>
      <c r="V1210" t="s">
        <v>2498</v>
      </c>
      <c r="W1210">
        <v>2024</v>
      </c>
    </row>
    <row r="1211" spans="1:23" x14ac:dyDescent="0.25">
      <c r="A1211" t="s">
        <v>1258</v>
      </c>
      <c r="B1211" s="1">
        <v>45325</v>
      </c>
      <c r="C1211" s="1">
        <v>45331</v>
      </c>
      <c r="D1211" t="s">
        <v>32</v>
      </c>
      <c r="E1211" t="s">
        <v>33</v>
      </c>
      <c r="F1211" t="s">
        <v>25</v>
      </c>
      <c r="G1211" t="s">
        <v>16</v>
      </c>
      <c r="H1211" t="s">
        <v>30</v>
      </c>
      <c r="I1211">
        <v>4</v>
      </c>
      <c r="J1211">
        <v>0</v>
      </c>
      <c r="K1211">
        <v>22.32</v>
      </c>
      <c r="L1211">
        <v>6.3</v>
      </c>
      <c r="M1211" t="s">
        <v>2473</v>
      </c>
      <c r="N1211" t="s">
        <v>2474</v>
      </c>
      <c r="O1211" t="s">
        <v>2463</v>
      </c>
      <c r="P1211">
        <v>3.62</v>
      </c>
      <c r="Q1211">
        <v>6.03</v>
      </c>
      <c r="R1211">
        <v>14.48</v>
      </c>
      <c r="S1211">
        <v>1.54</v>
      </c>
      <c r="T1211">
        <v>6.8996415770609318E-2</v>
      </c>
      <c r="U1211" s="1">
        <v>45323</v>
      </c>
      <c r="V1211" t="s">
        <v>2499</v>
      </c>
      <c r="W1211">
        <v>2024</v>
      </c>
    </row>
    <row r="1212" spans="1:23" x14ac:dyDescent="0.25">
      <c r="A1212" t="s">
        <v>1259</v>
      </c>
      <c r="B1212" s="1">
        <v>45899</v>
      </c>
      <c r="C1212" s="1">
        <v>45902</v>
      </c>
      <c r="D1212" t="s">
        <v>32</v>
      </c>
      <c r="E1212" t="s">
        <v>62</v>
      </c>
      <c r="F1212" t="s">
        <v>15</v>
      </c>
      <c r="G1212" t="s">
        <v>26</v>
      </c>
      <c r="H1212" t="s">
        <v>34</v>
      </c>
      <c r="I1212">
        <v>1</v>
      </c>
      <c r="J1212">
        <v>0.15</v>
      </c>
      <c r="K1212">
        <v>156.06</v>
      </c>
      <c r="L1212">
        <v>4.08</v>
      </c>
      <c r="M1212" t="s">
        <v>2460</v>
      </c>
      <c r="N1212" t="s">
        <v>2458</v>
      </c>
      <c r="O1212" t="s">
        <v>2461</v>
      </c>
      <c r="P1212">
        <v>119.02</v>
      </c>
      <c r="Q1212">
        <v>205.39</v>
      </c>
      <c r="R1212">
        <v>119.02</v>
      </c>
      <c r="S1212">
        <v>32.960000000000008</v>
      </c>
      <c r="T1212">
        <v>0.21120082019736003</v>
      </c>
      <c r="U1212" s="1">
        <v>45870</v>
      </c>
      <c r="V1212" t="s">
        <v>2500</v>
      </c>
      <c r="W1212">
        <v>2025</v>
      </c>
    </row>
    <row r="1213" spans="1:23" x14ac:dyDescent="0.25">
      <c r="A1213" t="s">
        <v>1260</v>
      </c>
      <c r="B1213" s="1">
        <v>45595</v>
      </c>
      <c r="C1213" s="1">
        <v>45596</v>
      </c>
      <c r="D1213" t="s">
        <v>13</v>
      </c>
      <c r="E1213" t="s">
        <v>14</v>
      </c>
      <c r="F1213" t="s">
        <v>15</v>
      </c>
      <c r="G1213" t="s">
        <v>20</v>
      </c>
      <c r="H1213" t="s">
        <v>68</v>
      </c>
      <c r="I1213">
        <v>2</v>
      </c>
      <c r="J1213">
        <v>0</v>
      </c>
      <c r="K1213">
        <v>126.59</v>
      </c>
      <c r="L1213">
        <v>4.2</v>
      </c>
      <c r="M1213" t="s">
        <v>2466</v>
      </c>
      <c r="N1213" t="s">
        <v>2467</v>
      </c>
      <c r="O1213" t="s">
        <v>2468</v>
      </c>
      <c r="P1213">
        <v>25.33</v>
      </c>
      <c r="Q1213">
        <v>51.56</v>
      </c>
      <c r="R1213">
        <v>50.66</v>
      </c>
      <c r="S1213">
        <v>71.73</v>
      </c>
      <c r="T1213">
        <v>0.56663243542143926</v>
      </c>
      <c r="U1213" s="1">
        <v>45566</v>
      </c>
      <c r="V1213" t="s">
        <v>2499</v>
      </c>
      <c r="W1213">
        <v>2024</v>
      </c>
    </row>
    <row r="1214" spans="1:23" x14ac:dyDescent="0.25">
      <c r="A1214" t="s">
        <v>1261</v>
      </c>
      <c r="B1214" s="1">
        <v>45511</v>
      </c>
      <c r="C1214" s="1">
        <v>45517</v>
      </c>
      <c r="D1214" t="s">
        <v>13</v>
      </c>
      <c r="E1214" t="s">
        <v>19</v>
      </c>
      <c r="F1214" t="s">
        <v>15</v>
      </c>
      <c r="G1214" t="s">
        <v>20</v>
      </c>
      <c r="H1214" t="s">
        <v>53</v>
      </c>
      <c r="I1214">
        <v>7</v>
      </c>
      <c r="J1214">
        <v>0.25</v>
      </c>
      <c r="K1214">
        <v>279.41000000000003</v>
      </c>
      <c r="L1214">
        <v>13.25</v>
      </c>
      <c r="M1214" t="s">
        <v>2470</v>
      </c>
      <c r="N1214" t="s">
        <v>2467</v>
      </c>
      <c r="O1214" t="s">
        <v>2459</v>
      </c>
      <c r="P1214">
        <v>31.34</v>
      </c>
      <c r="Q1214">
        <v>56.49</v>
      </c>
      <c r="R1214">
        <v>219.38</v>
      </c>
      <c r="S1214">
        <v>46.78000000000003</v>
      </c>
      <c r="T1214">
        <v>0.16742421531083362</v>
      </c>
      <c r="U1214" s="1">
        <v>45505</v>
      </c>
      <c r="V1214" t="s">
        <v>2501</v>
      </c>
      <c r="W1214">
        <v>2024</v>
      </c>
    </row>
    <row r="1215" spans="1:23" x14ac:dyDescent="0.25">
      <c r="A1215" t="s">
        <v>1262</v>
      </c>
      <c r="B1215" s="1">
        <v>45774</v>
      </c>
      <c r="C1215" s="1">
        <v>45777</v>
      </c>
      <c r="D1215" t="s">
        <v>32</v>
      </c>
      <c r="E1215" t="s">
        <v>33</v>
      </c>
      <c r="F1215" t="s">
        <v>29</v>
      </c>
      <c r="G1215" t="s">
        <v>20</v>
      </c>
      <c r="H1215" t="s">
        <v>65</v>
      </c>
      <c r="I1215">
        <v>1</v>
      </c>
      <c r="J1215">
        <v>0.25</v>
      </c>
      <c r="K1215">
        <v>207.98</v>
      </c>
      <c r="L1215">
        <v>4.08</v>
      </c>
      <c r="M1215" t="s">
        <v>2457</v>
      </c>
      <c r="N1215" t="s">
        <v>2458</v>
      </c>
      <c r="O1215" t="s">
        <v>2459</v>
      </c>
      <c r="P1215">
        <v>173.56</v>
      </c>
      <c r="Q1215">
        <v>286.14999999999998</v>
      </c>
      <c r="R1215">
        <v>173.56</v>
      </c>
      <c r="S1215">
        <v>30.339999999999989</v>
      </c>
      <c r="T1215">
        <v>0.14587941148187322</v>
      </c>
      <c r="U1215" s="1">
        <v>45748</v>
      </c>
      <c r="V1215" t="s">
        <v>2501</v>
      </c>
      <c r="W1215">
        <v>2025</v>
      </c>
    </row>
    <row r="1216" spans="1:23" x14ac:dyDescent="0.25">
      <c r="A1216" t="s">
        <v>1263</v>
      </c>
      <c r="B1216" s="1">
        <v>45333</v>
      </c>
      <c r="C1216" s="1">
        <v>45339</v>
      </c>
      <c r="D1216" t="s">
        <v>13</v>
      </c>
      <c r="E1216" t="s">
        <v>36</v>
      </c>
      <c r="F1216" t="s">
        <v>15</v>
      </c>
      <c r="G1216" t="s">
        <v>26</v>
      </c>
      <c r="H1216" t="s">
        <v>39</v>
      </c>
      <c r="I1216">
        <v>4</v>
      </c>
      <c r="J1216">
        <v>0.1</v>
      </c>
      <c r="K1216">
        <v>659.33</v>
      </c>
      <c r="L1216">
        <v>5.7</v>
      </c>
      <c r="M1216" t="s">
        <v>2471</v>
      </c>
      <c r="N1216" t="s">
        <v>2467</v>
      </c>
      <c r="O1216" t="s">
        <v>2461</v>
      </c>
      <c r="P1216">
        <v>112.09</v>
      </c>
      <c r="Q1216">
        <v>192.47</v>
      </c>
      <c r="R1216">
        <v>448.36</v>
      </c>
      <c r="S1216">
        <v>205.27000000000004</v>
      </c>
      <c r="T1216">
        <v>0.31133119985439767</v>
      </c>
      <c r="U1216" s="1">
        <v>45323</v>
      </c>
      <c r="V1216" t="s">
        <v>2498</v>
      </c>
      <c r="W1216">
        <v>2024</v>
      </c>
    </row>
    <row r="1217" spans="1:23" x14ac:dyDescent="0.25">
      <c r="A1217" t="s">
        <v>1264</v>
      </c>
      <c r="B1217" s="1">
        <v>45492</v>
      </c>
      <c r="C1217" s="1">
        <v>45497</v>
      </c>
      <c r="D1217" t="s">
        <v>23</v>
      </c>
      <c r="E1217" t="s">
        <v>43</v>
      </c>
      <c r="F1217" t="s">
        <v>29</v>
      </c>
      <c r="G1217" t="s">
        <v>16</v>
      </c>
      <c r="H1217" t="s">
        <v>41</v>
      </c>
      <c r="I1217">
        <v>5</v>
      </c>
      <c r="J1217">
        <v>0</v>
      </c>
      <c r="K1217">
        <v>28.04</v>
      </c>
      <c r="L1217">
        <v>4.05</v>
      </c>
      <c r="M1217" t="s">
        <v>2479</v>
      </c>
      <c r="N1217" t="s">
        <v>2474</v>
      </c>
      <c r="O1217" t="s">
        <v>2459</v>
      </c>
      <c r="P1217">
        <v>3.3</v>
      </c>
      <c r="Q1217">
        <v>6.13</v>
      </c>
      <c r="R1217">
        <v>16.5</v>
      </c>
      <c r="S1217">
        <v>7.4899999999999993</v>
      </c>
      <c r="T1217">
        <v>0.26711840228245365</v>
      </c>
      <c r="U1217" s="1">
        <v>45474</v>
      </c>
      <c r="V1217" t="s">
        <v>2499</v>
      </c>
      <c r="W1217">
        <v>2024</v>
      </c>
    </row>
    <row r="1218" spans="1:23" x14ac:dyDescent="0.25">
      <c r="A1218" t="s">
        <v>1265</v>
      </c>
      <c r="B1218" s="1">
        <v>45770</v>
      </c>
      <c r="C1218" s="1">
        <v>45772</v>
      </c>
      <c r="D1218" t="s">
        <v>47</v>
      </c>
      <c r="E1218" t="s">
        <v>48</v>
      </c>
      <c r="F1218" t="s">
        <v>29</v>
      </c>
      <c r="G1218" t="s">
        <v>16</v>
      </c>
      <c r="H1218" t="s">
        <v>27</v>
      </c>
      <c r="I1218">
        <v>5</v>
      </c>
      <c r="J1218">
        <v>0</v>
      </c>
      <c r="K1218">
        <v>138.94999999999999</v>
      </c>
      <c r="L1218">
        <v>4.05</v>
      </c>
      <c r="M1218" t="s">
        <v>2478</v>
      </c>
      <c r="N1218" t="s">
        <v>2474</v>
      </c>
      <c r="O1218" t="s">
        <v>2463</v>
      </c>
      <c r="P1218">
        <v>16.760000000000002</v>
      </c>
      <c r="Q1218">
        <v>27.71</v>
      </c>
      <c r="R1218">
        <v>83.800000000000011</v>
      </c>
      <c r="S1218">
        <v>51.09999999999998</v>
      </c>
      <c r="T1218">
        <v>0.3677581863979848</v>
      </c>
      <c r="U1218" s="1">
        <v>45748</v>
      </c>
      <c r="V1218" t="s">
        <v>2499</v>
      </c>
      <c r="W1218">
        <v>2025</v>
      </c>
    </row>
    <row r="1219" spans="1:23" x14ac:dyDescent="0.25">
      <c r="A1219" t="s">
        <v>1266</v>
      </c>
      <c r="B1219" s="1">
        <v>45908</v>
      </c>
      <c r="C1219" s="1">
        <v>45909</v>
      </c>
      <c r="D1219" t="s">
        <v>47</v>
      </c>
      <c r="E1219" t="s">
        <v>71</v>
      </c>
      <c r="F1219" t="s">
        <v>15</v>
      </c>
      <c r="G1219" t="s">
        <v>20</v>
      </c>
      <c r="H1219" t="s">
        <v>41</v>
      </c>
      <c r="I1219">
        <v>5</v>
      </c>
      <c r="J1219">
        <v>0</v>
      </c>
      <c r="K1219">
        <v>34.93</v>
      </c>
      <c r="L1219">
        <v>4.05</v>
      </c>
      <c r="M1219" t="s">
        <v>2479</v>
      </c>
      <c r="N1219" t="s">
        <v>2474</v>
      </c>
      <c r="O1219" t="s">
        <v>2459</v>
      </c>
      <c r="P1219">
        <v>3.3</v>
      </c>
      <c r="Q1219">
        <v>6.13</v>
      </c>
      <c r="R1219">
        <v>16.5</v>
      </c>
      <c r="S1219">
        <v>14.379999999999999</v>
      </c>
      <c r="T1219">
        <v>0.41168050386487259</v>
      </c>
      <c r="U1219" s="1">
        <v>45901</v>
      </c>
      <c r="V1219" t="s">
        <v>2499</v>
      </c>
      <c r="W1219">
        <v>2025</v>
      </c>
    </row>
    <row r="1220" spans="1:23" x14ac:dyDescent="0.25">
      <c r="A1220" t="s">
        <v>1267</v>
      </c>
      <c r="B1220" s="1">
        <v>45377</v>
      </c>
      <c r="C1220" s="1">
        <v>45378</v>
      </c>
      <c r="D1220" t="s">
        <v>23</v>
      </c>
      <c r="E1220" t="s">
        <v>43</v>
      </c>
      <c r="F1220" t="s">
        <v>29</v>
      </c>
      <c r="G1220" t="s">
        <v>26</v>
      </c>
      <c r="H1220" t="s">
        <v>63</v>
      </c>
      <c r="I1220">
        <v>7</v>
      </c>
      <c r="J1220">
        <v>0</v>
      </c>
      <c r="K1220">
        <v>79.81</v>
      </c>
      <c r="L1220">
        <v>4.59</v>
      </c>
      <c r="M1220" t="s">
        <v>2477</v>
      </c>
      <c r="N1220" t="s">
        <v>2474</v>
      </c>
      <c r="O1220" t="s">
        <v>2468</v>
      </c>
      <c r="P1220">
        <v>6.33</v>
      </c>
      <c r="Q1220">
        <v>12.16</v>
      </c>
      <c r="R1220">
        <v>44.31</v>
      </c>
      <c r="S1220">
        <v>30.91</v>
      </c>
      <c r="T1220">
        <v>0.38729482520987346</v>
      </c>
      <c r="U1220" s="1">
        <v>45352</v>
      </c>
      <c r="V1220" t="s">
        <v>2499</v>
      </c>
      <c r="W1220">
        <v>2024</v>
      </c>
    </row>
    <row r="1221" spans="1:23" x14ac:dyDescent="0.25">
      <c r="A1221" t="s">
        <v>1268</v>
      </c>
      <c r="B1221" s="1">
        <v>45527</v>
      </c>
      <c r="C1221" s="1">
        <v>45528</v>
      </c>
      <c r="D1221" t="s">
        <v>32</v>
      </c>
      <c r="E1221" t="s">
        <v>45</v>
      </c>
      <c r="F1221" t="s">
        <v>15</v>
      </c>
      <c r="G1221" t="s">
        <v>20</v>
      </c>
      <c r="H1221" t="s">
        <v>39</v>
      </c>
      <c r="I1221">
        <v>1</v>
      </c>
      <c r="J1221">
        <v>0.1</v>
      </c>
      <c r="K1221">
        <v>170.38</v>
      </c>
      <c r="L1221">
        <v>5.75</v>
      </c>
      <c r="M1221" t="s">
        <v>2471</v>
      </c>
      <c r="N1221" t="s">
        <v>2467</v>
      </c>
      <c r="O1221" t="s">
        <v>2461</v>
      </c>
      <c r="P1221">
        <v>112.09</v>
      </c>
      <c r="Q1221">
        <v>192.47</v>
      </c>
      <c r="R1221">
        <v>112.09</v>
      </c>
      <c r="S1221">
        <v>52.539999999999992</v>
      </c>
      <c r="T1221">
        <v>0.30836952693978165</v>
      </c>
      <c r="U1221" s="1">
        <v>45505</v>
      </c>
      <c r="V1221" t="s">
        <v>2498</v>
      </c>
      <c r="W1221">
        <v>2024</v>
      </c>
    </row>
    <row r="1222" spans="1:23" x14ac:dyDescent="0.25">
      <c r="A1222" t="s">
        <v>1269</v>
      </c>
      <c r="B1222" s="1">
        <v>45843</v>
      </c>
      <c r="C1222" s="1">
        <v>45848</v>
      </c>
      <c r="D1222" t="s">
        <v>23</v>
      </c>
      <c r="E1222" t="s">
        <v>43</v>
      </c>
      <c r="F1222" t="s">
        <v>29</v>
      </c>
      <c r="G1222" t="s">
        <v>20</v>
      </c>
      <c r="H1222" t="s">
        <v>65</v>
      </c>
      <c r="I1222">
        <v>3</v>
      </c>
      <c r="J1222">
        <v>0</v>
      </c>
      <c r="K1222">
        <v>828.76</v>
      </c>
      <c r="L1222">
        <v>11.4</v>
      </c>
      <c r="M1222" t="s">
        <v>2457</v>
      </c>
      <c r="N1222" t="s">
        <v>2458</v>
      </c>
      <c r="O1222" t="s">
        <v>2459</v>
      </c>
      <c r="P1222">
        <v>173.56</v>
      </c>
      <c r="Q1222">
        <v>286.14999999999998</v>
      </c>
      <c r="R1222">
        <v>520.68000000000006</v>
      </c>
      <c r="S1222">
        <v>296.67999999999995</v>
      </c>
      <c r="T1222">
        <v>0.35798059751918521</v>
      </c>
      <c r="U1222" s="1">
        <v>45839</v>
      </c>
      <c r="V1222" t="s">
        <v>2499</v>
      </c>
      <c r="W1222">
        <v>2025</v>
      </c>
    </row>
    <row r="1223" spans="1:23" x14ac:dyDescent="0.25">
      <c r="A1223" t="s">
        <v>1270</v>
      </c>
      <c r="B1223" s="1">
        <v>45703</v>
      </c>
      <c r="C1223" s="1">
        <v>45707</v>
      </c>
      <c r="D1223" t="s">
        <v>32</v>
      </c>
      <c r="E1223" t="s">
        <v>33</v>
      </c>
      <c r="F1223" t="s">
        <v>15</v>
      </c>
      <c r="G1223" t="s">
        <v>26</v>
      </c>
      <c r="H1223" t="s">
        <v>21</v>
      </c>
      <c r="I1223">
        <v>3</v>
      </c>
      <c r="J1223">
        <v>0.1</v>
      </c>
      <c r="K1223">
        <v>280.31</v>
      </c>
      <c r="L1223">
        <v>6.84</v>
      </c>
      <c r="M1223" t="s">
        <v>2462</v>
      </c>
      <c r="N1223" t="s">
        <v>2458</v>
      </c>
      <c r="O1223" t="s">
        <v>2463</v>
      </c>
      <c r="P1223">
        <v>71.489999999999995</v>
      </c>
      <c r="Q1223">
        <v>112.88</v>
      </c>
      <c r="R1223">
        <v>214.46999999999997</v>
      </c>
      <c r="S1223">
        <v>59.000000000000028</v>
      </c>
      <c r="T1223">
        <v>0.21048125289857667</v>
      </c>
      <c r="U1223" s="1">
        <v>45689</v>
      </c>
      <c r="V1223" t="s">
        <v>2498</v>
      </c>
      <c r="W1223">
        <v>2025</v>
      </c>
    </row>
    <row r="1224" spans="1:23" x14ac:dyDescent="0.25">
      <c r="A1224" t="s">
        <v>1271</v>
      </c>
      <c r="B1224" s="1">
        <v>45588</v>
      </c>
      <c r="C1224" s="1">
        <v>45593</v>
      </c>
      <c r="D1224" t="s">
        <v>13</v>
      </c>
      <c r="E1224" t="s">
        <v>14</v>
      </c>
      <c r="F1224" t="s">
        <v>29</v>
      </c>
      <c r="G1224" t="s">
        <v>20</v>
      </c>
      <c r="H1224" t="s">
        <v>68</v>
      </c>
      <c r="I1224">
        <v>1</v>
      </c>
      <c r="J1224">
        <v>0.15</v>
      </c>
      <c r="K1224">
        <v>48.78</v>
      </c>
      <c r="L1224">
        <v>3.45</v>
      </c>
      <c r="M1224" t="s">
        <v>2466</v>
      </c>
      <c r="N1224" t="s">
        <v>2467</v>
      </c>
      <c r="O1224" t="s">
        <v>2468</v>
      </c>
      <c r="P1224">
        <v>25.33</v>
      </c>
      <c r="Q1224">
        <v>51.56</v>
      </c>
      <c r="R1224">
        <v>25.33</v>
      </c>
      <c r="S1224">
        <v>20.000000000000004</v>
      </c>
      <c r="T1224">
        <v>0.41000410004100046</v>
      </c>
      <c r="U1224" s="1">
        <v>45566</v>
      </c>
      <c r="V1224" t="s">
        <v>2500</v>
      </c>
      <c r="W1224">
        <v>2024</v>
      </c>
    </row>
    <row r="1225" spans="1:23" x14ac:dyDescent="0.25">
      <c r="A1225" t="s">
        <v>1272</v>
      </c>
      <c r="B1225" s="1">
        <v>45696</v>
      </c>
      <c r="C1225" s="1">
        <v>45701</v>
      </c>
      <c r="D1225" t="s">
        <v>32</v>
      </c>
      <c r="E1225" t="s">
        <v>62</v>
      </c>
      <c r="F1225" t="s">
        <v>29</v>
      </c>
      <c r="G1225" t="s">
        <v>20</v>
      </c>
      <c r="H1225" t="s">
        <v>39</v>
      </c>
      <c r="I1225">
        <v>2</v>
      </c>
      <c r="J1225">
        <v>0</v>
      </c>
      <c r="K1225">
        <v>363.9</v>
      </c>
      <c r="L1225">
        <v>7</v>
      </c>
      <c r="M1225" t="s">
        <v>2471</v>
      </c>
      <c r="N1225" t="s">
        <v>2467</v>
      </c>
      <c r="O1225" t="s">
        <v>2461</v>
      </c>
      <c r="P1225">
        <v>112.09</v>
      </c>
      <c r="Q1225">
        <v>192.47</v>
      </c>
      <c r="R1225">
        <v>224.18</v>
      </c>
      <c r="S1225">
        <v>132.71999999999997</v>
      </c>
      <c r="T1225">
        <v>0.36471558120362729</v>
      </c>
      <c r="U1225" s="1">
        <v>45689</v>
      </c>
      <c r="V1225" t="s">
        <v>2499</v>
      </c>
      <c r="W1225">
        <v>2025</v>
      </c>
    </row>
    <row r="1226" spans="1:23" x14ac:dyDescent="0.25">
      <c r="A1226" t="s">
        <v>1273</v>
      </c>
      <c r="B1226" s="1">
        <v>45818</v>
      </c>
      <c r="C1226" s="1">
        <v>45824</v>
      </c>
      <c r="D1226" t="s">
        <v>13</v>
      </c>
      <c r="E1226" t="s">
        <v>36</v>
      </c>
      <c r="F1226" t="s">
        <v>15</v>
      </c>
      <c r="G1226" t="s">
        <v>16</v>
      </c>
      <c r="H1226" t="s">
        <v>65</v>
      </c>
      <c r="I1226">
        <v>2</v>
      </c>
      <c r="J1226">
        <v>0</v>
      </c>
      <c r="K1226">
        <v>576.83000000000004</v>
      </c>
      <c r="L1226">
        <v>5.46</v>
      </c>
      <c r="M1226" t="s">
        <v>2457</v>
      </c>
      <c r="N1226" t="s">
        <v>2458</v>
      </c>
      <c r="O1226" t="s">
        <v>2459</v>
      </c>
      <c r="P1226">
        <v>173.56</v>
      </c>
      <c r="Q1226">
        <v>286.14999999999998</v>
      </c>
      <c r="R1226">
        <v>347.12</v>
      </c>
      <c r="S1226">
        <v>224.25000000000003</v>
      </c>
      <c r="T1226">
        <v>0.38876272038555554</v>
      </c>
      <c r="U1226" s="1">
        <v>45809</v>
      </c>
      <c r="V1226" t="s">
        <v>2499</v>
      </c>
      <c r="W1226">
        <v>2025</v>
      </c>
    </row>
    <row r="1227" spans="1:23" x14ac:dyDescent="0.25">
      <c r="A1227" t="s">
        <v>1274</v>
      </c>
      <c r="B1227" s="1">
        <v>45577</v>
      </c>
      <c r="C1227" s="1">
        <v>45580</v>
      </c>
      <c r="D1227" t="s">
        <v>23</v>
      </c>
      <c r="E1227" t="s">
        <v>24</v>
      </c>
      <c r="F1227" t="s">
        <v>29</v>
      </c>
      <c r="G1227" t="s">
        <v>16</v>
      </c>
      <c r="H1227" t="s">
        <v>34</v>
      </c>
      <c r="I1227">
        <v>1</v>
      </c>
      <c r="J1227">
        <v>0</v>
      </c>
      <c r="K1227">
        <v>251.9</v>
      </c>
      <c r="L1227">
        <v>4.08</v>
      </c>
      <c r="M1227" t="s">
        <v>2460</v>
      </c>
      <c r="N1227" t="s">
        <v>2458</v>
      </c>
      <c r="O1227" t="s">
        <v>2461</v>
      </c>
      <c r="P1227">
        <v>119.02</v>
      </c>
      <c r="Q1227">
        <v>205.39</v>
      </c>
      <c r="R1227">
        <v>119.02</v>
      </c>
      <c r="S1227">
        <v>128.79999999999998</v>
      </c>
      <c r="T1227">
        <v>0.51131401349741956</v>
      </c>
      <c r="U1227" s="1">
        <v>45566</v>
      </c>
      <c r="V1227" t="s">
        <v>2499</v>
      </c>
      <c r="W1227">
        <v>2024</v>
      </c>
    </row>
    <row r="1228" spans="1:23" x14ac:dyDescent="0.25">
      <c r="A1228" t="s">
        <v>1275</v>
      </c>
      <c r="B1228" s="1">
        <v>45317</v>
      </c>
      <c r="C1228" s="1">
        <v>45322</v>
      </c>
      <c r="D1228" t="s">
        <v>23</v>
      </c>
      <c r="E1228" t="s">
        <v>24</v>
      </c>
      <c r="F1228" t="s">
        <v>15</v>
      </c>
      <c r="G1228" t="s">
        <v>16</v>
      </c>
      <c r="H1228" t="s">
        <v>27</v>
      </c>
      <c r="I1228">
        <v>10</v>
      </c>
      <c r="J1228">
        <v>0</v>
      </c>
      <c r="K1228">
        <v>249.12</v>
      </c>
      <c r="L1228">
        <v>9</v>
      </c>
      <c r="M1228" t="s">
        <v>2478</v>
      </c>
      <c r="N1228" t="s">
        <v>2474</v>
      </c>
      <c r="O1228" t="s">
        <v>2463</v>
      </c>
      <c r="P1228">
        <v>16.760000000000002</v>
      </c>
      <c r="Q1228">
        <v>27.71</v>
      </c>
      <c r="R1228">
        <v>167.60000000000002</v>
      </c>
      <c r="S1228">
        <v>72.519999999999982</v>
      </c>
      <c r="T1228">
        <v>0.29110468850353238</v>
      </c>
      <c r="U1228" s="1">
        <v>45292</v>
      </c>
      <c r="V1228" t="s">
        <v>2499</v>
      </c>
      <c r="W1228">
        <v>2024</v>
      </c>
    </row>
    <row r="1229" spans="1:23" x14ac:dyDescent="0.25">
      <c r="A1229" t="s">
        <v>1276</v>
      </c>
      <c r="B1229" s="1">
        <v>45510</v>
      </c>
      <c r="C1229" s="1">
        <v>45515</v>
      </c>
      <c r="D1229" t="s">
        <v>47</v>
      </c>
      <c r="E1229" t="s">
        <v>71</v>
      </c>
      <c r="F1229" t="s">
        <v>15</v>
      </c>
      <c r="G1229" t="s">
        <v>20</v>
      </c>
      <c r="H1229" t="s">
        <v>60</v>
      </c>
      <c r="I1229">
        <v>3</v>
      </c>
      <c r="J1229">
        <v>0</v>
      </c>
      <c r="K1229">
        <v>324.77</v>
      </c>
      <c r="L1229">
        <v>4.95</v>
      </c>
      <c r="M1229" t="s">
        <v>2469</v>
      </c>
      <c r="N1229" t="s">
        <v>2467</v>
      </c>
      <c r="O1229" t="s">
        <v>2468</v>
      </c>
      <c r="P1229">
        <v>54.95</v>
      </c>
      <c r="Q1229">
        <v>112.56</v>
      </c>
      <c r="R1229">
        <v>164.85000000000002</v>
      </c>
      <c r="S1229">
        <v>154.96999999999997</v>
      </c>
      <c r="T1229">
        <v>0.47716845767774113</v>
      </c>
      <c r="U1229" s="1">
        <v>45505</v>
      </c>
      <c r="V1229" t="s">
        <v>2499</v>
      </c>
      <c r="W1229">
        <v>2024</v>
      </c>
    </row>
    <row r="1230" spans="1:23" x14ac:dyDescent="0.25">
      <c r="A1230" t="s">
        <v>1277</v>
      </c>
      <c r="B1230" s="1">
        <v>45972</v>
      </c>
      <c r="C1230" s="1">
        <v>45978</v>
      </c>
      <c r="D1230" t="s">
        <v>47</v>
      </c>
      <c r="E1230" t="s">
        <v>71</v>
      </c>
      <c r="F1230" t="s">
        <v>15</v>
      </c>
      <c r="G1230" t="s">
        <v>20</v>
      </c>
      <c r="H1230" t="s">
        <v>87</v>
      </c>
      <c r="I1230">
        <v>12</v>
      </c>
      <c r="J1230">
        <v>0.05</v>
      </c>
      <c r="K1230">
        <v>124.76</v>
      </c>
      <c r="L1230">
        <v>5.94</v>
      </c>
      <c r="M1230" t="s">
        <v>2476</v>
      </c>
      <c r="N1230" t="s">
        <v>2474</v>
      </c>
      <c r="O1230" t="s">
        <v>2459</v>
      </c>
      <c r="P1230">
        <v>4.5</v>
      </c>
      <c r="Q1230">
        <v>8.2899999999999991</v>
      </c>
      <c r="R1230">
        <v>54</v>
      </c>
      <c r="S1230">
        <v>64.820000000000007</v>
      </c>
      <c r="T1230">
        <v>0.51955755049695418</v>
      </c>
      <c r="U1230" s="1">
        <v>45962</v>
      </c>
      <c r="V1230" t="s">
        <v>2498</v>
      </c>
      <c r="W1230">
        <v>2025</v>
      </c>
    </row>
    <row r="1231" spans="1:23" x14ac:dyDescent="0.25">
      <c r="A1231" t="s">
        <v>1278</v>
      </c>
      <c r="B1231" s="1">
        <v>45470</v>
      </c>
      <c r="C1231" s="1">
        <v>45472</v>
      </c>
      <c r="D1231" t="s">
        <v>23</v>
      </c>
      <c r="E1231" t="s">
        <v>24</v>
      </c>
      <c r="F1231" t="s">
        <v>29</v>
      </c>
      <c r="G1231" t="s">
        <v>26</v>
      </c>
      <c r="H1231" t="s">
        <v>53</v>
      </c>
      <c r="I1231">
        <v>1</v>
      </c>
      <c r="J1231">
        <v>0</v>
      </c>
      <c r="K1231">
        <v>61.83</v>
      </c>
      <c r="L1231">
        <v>5.75</v>
      </c>
      <c r="M1231" t="s">
        <v>2470</v>
      </c>
      <c r="N1231" t="s">
        <v>2467</v>
      </c>
      <c r="O1231" t="s">
        <v>2459</v>
      </c>
      <c r="P1231">
        <v>31.34</v>
      </c>
      <c r="Q1231">
        <v>56.49</v>
      </c>
      <c r="R1231">
        <v>31.34</v>
      </c>
      <c r="S1231">
        <v>24.74</v>
      </c>
      <c r="T1231">
        <v>0.40012938702895035</v>
      </c>
      <c r="U1231" s="1">
        <v>45444</v>
      </c>
      <c r="V1231" t="s">
        <v>2499</v>
      </c>
      <c r="W1231">
        <v>2024</v>
      </c>
    </row>
    <row r="1232" spans="1:23" x14ac:dyDescent="0.25">
      <c r="A1232" t="s">
        <v>1279</v>
      </c>
      <c r="B1232" s="1">
        <v>45901</v>
      </c>
      <c r="C1232" s="1">
        <v>45903</v>
      </c>
      <c r="D1232" t="s">
        <v>23</v>
      </c>
      <c r="E1232" t="s">
        <v>59</v>
      </c>
      <c r="F1232" t="s">
        <v>15</v>
      </c>
      <c r="G1232" t="s">
        <v>20</v>
      </c>
      <c r="H1232" t="s">
        <v>68</v>
      </c>
      <c r="I1232">
        <v>4</v>
      </c>
      <c r="J1232">
        <v>0</v>
      </c>
      <c r="K1232">
        <v>212.22</v>
      </c>
      <c r="L1232">
        <v>5.7</v>
      </c>
      <c r="M1232" t="s">
        <v>2466</v>
      </c>
      <c r="N1232" t="s">
        <v>2467</v>
      </c>
      <c r="O1232" t="s">
        <v>2468</v>
      </c>
      <c r="P1232">
        <v>25.33</v>
      </c>
      <c r="Q1232">
        <v>51.56</v>
      </c>
      <c r="R1232">
        <v>101.32</v>
      </c>
      <c r="S1232">
        <v>105.2</v>
      </c>
      <c r="T1232">
        <v>0.4957119969842616</v>
      </c>
      <c r="U1232" s="1">
        <v>45901</v>
      </c>
      <c r="V1232" t="s">
        <v>2499</v>
      </c>
      <c r="W1232">
        <v>2025</v>
      </c>
    </row>
    <row r="1233" spans="1:23" x14ac:dyDescent="0.25">
      <c r="A1233" t="s">
        <v>1280</v>
      </c>
      <c r="B1233" s="1">
        <v>45695</v>
      </c>
      <c r="C1233" s="1">
        <v>45699</v>
      </c>
      <c r="D1233" t="s">
        <v>13</v>
      </c>
      <c r="E1233" t="s">
        <v>19</v>
      </c>
      <c r="F1233" t="s">
        <v>15</v>
      </c>
      <c r="G1233" t="s">
        <v>26</v>
      </c>
      <c r="H1233" t="s">
        <v>37</v>
      </c>
      <c r="I1233">
        <v>4</v>
      </c>
      <c r="J1233">
        <v>0.05</v>
      </c>
      <c r="K1233">
        <v>380.08</v>
      </c>
      <c r="L1233">
        <v>13.7</v>
      </c>
      <c r="M1233" t="s">
        <v>2464</v>
      </c>
      <c r="N1233" t="s">
        <v>2458</v>
      </c>
      <c r="O1233" t="s">
        <v>2465</v>
      </c>
      <c r="P1233">
        <v>63.6</v>
      </c>
      <c r="Q1233">
        <v>107.94</v>
      </c>
      <c r="R1233">
        <v>254.4</v>
      </c>
      <c r="S1233">
        <v>111.97999999999998</v>
      </c>
      <c r="T1233">
        <v>0.29462218480319929</v>
      </c>
      <c r="U1233" s="1">
        <v>45689</v>
      </c>
      <c r="V1233" t="s">
        <v>2498</v>
      </c>
      <c r="W1233">
        <v>2025</v>
      </c>
    </row>
    <row r="1234" spans="1:23" x14ac:dyDescent="0.25">
      <c r="A1234" t="s">
        <v>1281</v>
      </c>
      <c r="B1234" s="1">
        <v>45495</v>
      </c>
      <c r="C1234" s="1">
        <v>45499</v>
      </c>
      <c r="D1234" t="s">
        <v>47</v>
      </c>
      <c r="E1234" t="s">
        <v>50</v>
      </c>
      <c r="F1234" t="s">
        <v>15</v>
      </c>
      <c r="G1234" t="s">
        <v>16</v>
      </c>
      <c r="H1234" t="s">
        <v>53</v>
      </c>
      <c r="I1234">
        <v>4</v>
      </c>
      <c r="J1234">
        <v>0</v>
      </c>
      <c r="K1234">
        <v>209.77</v>
      </c>
      <c r="L1234">
        <v>9.5</v>
      </c>
      <c r="M1234" t="s">
        <v>2470</v>
      </c>
      <c r="N1234" t="s">
        <v>2467</v>
      </c>
      <c r="O1234" t="s">
        <v>2459</v>
      </c>
      <c r="P1234">
        <v>31.34</v>
      </c>
      <c r="Q1234">
        <v>56.49</v>
      </c>
      <c r="R1234">
        <v>125.36</v>
      </c>
      <c r="S1234">
        <v>74.910000000000011</v>
      </c>
      <c r="T1234">
        <v>0.35710540115364447</v>
      </c>
      <c r="U1234" s="1">
        <v>45474</v>
      </c>
      <c r="V1234" t="s">
        <v>2499</v>
      </c>
      <c r="W1234">
        <v>2024</v>
      </c>
    </row>
    <row r="1235" spans="1:23" x14ac:dyDescent="0.25">
      <c r="A1235" t="s">
        <v>1282</v>
      </c>
      <c r="B1235" s="1">
        <v>45391</v>
      </c>
      <c r="C1235" s="1">
        <v>45392</v>
      </c>
      <c r="D1235" t="s">
        <v>23</v>
      </c>
      <c r="E1235" t="s">
        <v>59</v>
      </c>
      <c r="F1235" t="s">
        <v>25</v>
      </c>
      <c r="G1235" t="s">
        <v>16</v>
      </c>
      <c r="H1235" t="s">
        <v>37</v>
      </c>
      <c r="I1235">
        <v>3</v>
      </c>
      <c r="J1235">
        <v>0</v>
      </c>
      <c r="K1235">
        <v>302.70999999999998</v>
      </c>
      <c r="L1235">
        <v>6.84</v>
      </c>
      <c r="M1235" t="s">
        <v>2464</v>
      </c>
      <c r="N1235" t="s">
        <v>2458</v>
      </c>
      <c r="O1235" t="s">
        <v>2465</v>
      </c>
      <c r="P1235">
        <v>63.6</v>
      </c>
      <c r="Q1235">
        <v>107.94</v>
      </c>
      <c r="R1235">
        <v>190.8</v>
      </c>
      <c r="S1235">
        <v>105.06999999999996</v>
      </c>
      <c r="T1235">
        <v>0.34709788246176199</v>
      </c>
      <c r="U1235" s="1">
        <v>45383</v>
      </c>
      <c r="V1235" t="s">
        <v>2499</v>
      </c>
      <c r="W1235">
        <v>2024</v>
      </c>
    </row>
    <row r="1236" spans="1:23" x14ac:dyDescent="0.25">
      <c r="A1236" t="s">
        <v>1283</v>
      </c>
      <c r="B1236" s="1">
        <v>45710</v>
      </c>
      <c r="C1236" s="1">
        <v>45715</v>
      </c>
      <c r="D1236" t="s">
        <v>47</v>
      </c>
      <c r="E1236" t="s">
        <v>71</v>
      </c>
      <c r="F1236" t="s">
        <v>25</v>
      </c>
      <c r="G1236" t="s">
        <v>20</v>
      </c>
      <c r="H1236" t="s">
        <v>39</v>
      </c>
      <c r="I1236">
        <v>4</v>
      </c>
      <c r="J1236">
        <v>0</v>
      </c>
      <c r="K1236">
        <v>719.57</v>
      </c>
      <c r="L1236">
        <v>5.7</v>
      </c>
      <c r="M1236" t="s">
        <v>2471</v>
      </c>
      <c r="N1236" t="s">
        <v>2467</v>
      </c>
      <c r="O1236" t="s">
        <v>2461</v>
      </c>
      <c r="P1236">
        <v>112.09</v>
      </c>
      <c r="Q1236">
        <v>192.47</v>
      </c>
      <c r="R1236">
        <v>448.36</v>
      </c>
      <c r="S1236">
        <v>265.51000000000005</v>
      </c>
      <c r="T1236">
        <v>0.36898425448531769</v>
      </c>
      <c r="U1236" s="1">
        <v>45689</v>
      </c>
      <c r="V1236" t="s">
        <v>2499</v>
      </c>
      <c r="W1236">
        <v>2025</v>
      </c>
    </row>
    <row r="1237" spans="1:23" x14ac:dyDescent="0.25">
      <c r="A1237" t="s">
        <v>1284</v>
      </c>
      <c r="B1237" s="1">
        <v>45897</v>
      </c>
      <c r="C1237" s="1">
        <v>45901</v>
      </c>
      <c r="D1237" t="s">
        <v>47</v>
      </c>
      <c r="E1237" t="s">
        <v>50</v>
      </c>
      <c r="F1237" t="s">
        <v>15</v>
      </c>
      <c r="G1237" t="s">
        <v>16</v>
      </c>
      <c r="H1237" t="s">
        <v>41</v>
      </c>
      <c r="I1237">
        <v>4</v>
      </c>
      <c r="J1237">
        <v>0.15</v>
      </c>
      <c r="K1237">
        <v>20.39</v>
      </c>
      <c r="L1237">
        <v>6.3</v>
      </c>
      <c r="M1237" t="s">
        <v>2479</v>
      </c>
      <c r="N1237" t="s">
        <v>2474</v>
      </c>
      <c r="O1237" t="s">
        <v>2459</v>
      </c>
      <c r="P1237">
        <v>3.3</v>
      </c>
      <c r="Q1237">
        <v>6.13</v>
      </c>
      <c r="R1237">
        <v>13.2</v>
      </c>
      <c r="S1237">
        <v>0.89000000000000146</v>
      </c>
      <c r="T1237">
        <v>4.3648847474252156E-2</v>
      </c>
      <c r="U1237" s="1">
        <v>45870</v>
      </c>
      <c r="V1237" t="s">
        <v>2500</v>
      </c>
      <c r="W1237">
        <v>2025</v>
      </c>
    </row>
    <row r="1238" spans="1:23" x14ac:dyDescent="0.25">
      <c r="A1238" t="s">
        <v>1285</v>
      </c>
      <c r="B1238" s="1">
        <v>45321</v>
      </c>
      <c r="C1238" s="1">
        <v>45323</v>
      </c>
      <c r="D1238" t="s">
        <v>23</v>
      </c>
      <c r="E1238" t="s">
        <v>59</v>
      </c>
      <c r="F1238" t="s">
        <v>15</v>
      </c>
      <c r="G1238" t="s">
        <v>16</v>
      </c>
      <c r="H1238" t="s">
        <v>87</v>
      </c>
      <c r="I1238">
        <v>12</v>
      </c>
      <c r="J1238">
        <v>0.1</v>
      </c>
      <c r="K1238">
        <v>82.92</v>
      </c>
      <c r="L1238">
        <v>9.9</v>
      </c>
      <c r="M1238" t="s">
        <v>2476</v>
      </c>
      <c r="N1238" t="s">
        <v>2474</v>
      </c>
      <c r="O1238" t="s">
        <v>2459</v>
      </c>
      <c r="P1238">
        <v>4.5</v>
      </c>
      <c r="Q1238">
        <v>8.2899999999999991</v>
      </c>
      <c r="R1238">
        <v>54</v>
      </c>
      <c r="S1238">
        <v>19.020000000000003</v>
      </c>
      <c r="T1238">
        <v>0.22937771345875546</v>
      </c>
      <c r="U1238" s="1">
        <v>45292</v>
      </c>
      <c r="V1238" t="s">
        <v>2498</v>
      </c>
      <c r="W1238">
        <v>2024</v>
      </c>
    </row>
    <row r="1239" spans="1:23" x14ac:dyDescent="0.25">
      <c r="A1239" t="s">
        <v>1286</v>
      </c>
      <c r="B1239" s="1">
        <v>45461</v>
      </c>
      <c r="C1239" s="1">
        <v>45467</v>
      </c>
      <c r="D1239" t="s">
        <v>23</v>
      </c>
      <c r="E1239" t="s">
        <v>24</v>
      </c>
      <c r="F1239" t="s">
        <v>25</v>
      </c>
      <c r="G1239" t="s">
        <v>26</v>
      </c>
      <c r="H1239" t="s">
        <v>63</v>
      </c>
      <c r="I1239">
        <v>14</v>
      </c>
      <c r="J1239">
        <v>0.1</v>
      </c>
      <c r="K1239">
        <v>168.17</v>
      </c>
      <c r="L1239">
        <v>6.48</v>
      </c>
      <c r="M1239" t="s">
        <v>2477</v>
      </c>
      <c r="N1239" t="s">
        <v>2474</v>
      </c>
      <c r="O1239" t="s">
        <v>2468</v>
      </c>
      <c r="P1239">
        <v>6.33</v>
      </c>
      <c r="Q1239">
        <v>12.16</v>
      </c>
      <c r="R1239">
        <v>88.62</v>
      </c>
      <c r="S1239">
        <v>73.069999999999979</v>
      </c>
      <c r="T1239">
        <v>0.43450080275911274</v>
      </c>
      <c r="U1239" s="1">
        <v>45444</v>
      </c>
      <c r="V1239" t="s">
        <v>2498</v>
      </c>
      <c r="W1239">
        <v>2024</v>
      </c>
    </row>
    <row r="1240" spans="1:23" x14ac:dyDescent="0.25">
      <c r="A1240" t="s">
        <v>1287</v>
      </c>
      <c r="B1240" s="1">
        <v>45555</v>
      </c>
      <c r="C1240" s="1">
        <v>45558</v>
      </c>
      <c r="D1240" t="s">
        <v>23</v>
      </c>
      <c r="E1240" t="s">
        <v>24</v>
      </c>
      <c r="F1240" t="s">
        <v>29</v>
      </c>
      <c r="G1240" t="s">
        <v>16</v>
      </c>
      <c r="H1240" t="s">
        <v>68</v>
      </c>
      <c r="I1240">
        <v>2</v>
      </c>
      <c r="J1240">
        <v>0</v>
      </c>
      <c r="K1240">
        <v>111.63</v>
      </c>
      <c r="L1240">
        <v>4.2</v>
      </c>
      <c r="M1240" t="s">
        <v>2466</v>
      </c>
      <c r="N1240" t="s">
        <v>2467</v>
      </c>
      <c r="O1240" t="s">
        <v>2468</v>
      </c>
      <c r="P1240">
        <v>25.33</v>
      </c>
      <c r="Q1240">
        <v>51.56</v>
      </c>
      <c r="R1240">
        <v>50.66</v>
      </c>
      <c r="S1240">
        <v>56.769999999999996</v>
      </c>
      <c r="T1240">
        <v>0.50855504792618467</v>
      </c>
      <c r="U1240" s="1">
        <v>45536</v>
      </c>
      <c r="V1240" t="s">
        <v>2499</v>
      </c>
      <c r="W1240">
        <v>2024</v>
      </c>
    </row>
    <row r="1241" spans="1:23" x14ac:dyDescent="0.25">
      <c r="A1241" t="s">
        <v>1288</v>
      </c>
      <c r="B1241" s="1">
        <v>45846</v>
      </c>
      <c r="C1241" s="1">
        <v>45848</v>
      </c>
      <c r="D1241" t="s">
        <v>32</v>
      </c>
      <c r="E1241" t="s">
        <v>33</v>
      </c>
      <c r="F1241" t="s">
        <v>29</v>
      </c>
      <c r="G1241" t="s">
        <v>20</v>
      </c>
      <c r="H1241" t="s">
        <v>39</v>
      </c>
      <c r="I1241">
        <v>2</v>
      </c>
      <c r="J1241">
        <v>0.25</v>
      </c>
      <c r="K1241">
        <v>271.98</v>
      </c>
      <c r="L1241">
        <v>4.2</v>
      </c>
      <c r="M1241" t="s">
        <v>2471</v>
      </c>
      <c r="N1241" t="s">
        <v>2467</v>
      </c>
      <c r="O1241" t="s">
        <v>2461</v>
      </c>
      <c r="P1241">
        <v>112.09</v>
      </c>
      <c r="Q1241">
        <v>192.47</v>
      </c>
      <c r="R1241">
        <v>224.18</v>
      </c>
      <c r="S1241">
        <v>43.600000000000009</v>
      </c>
      <c r="T1241">
        <v>0.16030590484594456</v>
      </c>
      <c r="U1241" s="1">
        <v>45839</v>
      </c>
      <c r="V1241" t="s">
        <v>2501</v>
      </c>
      <c r="W1241">
        <v>2025</v>
      </c>
    </row>
    <row r="1242" spans="1:23" x14ac:dyDescent="0.25">
      <c r="A1242" t="s">
        <v>1289</v>
      </c>
      <c r="B1242" s="1">
        <v>45442</v>
      </c>
      <c r="C1242" s="1">
        <v>45446</v>
      </c>
      <c r="D1242" t="s">
        <v>23</v>
      </c>
      <c r="E1242" t="s">
        <v>59</v>
      </c>
      <c r="F1242" t="s">
        <v>29</v>
      </c>
      <c r="G1242" t="s">
        <v>26</v>
      </c>
      <c r="H1242" t="s">
        <v>37</v>
      </c>
      <c r="I1242">
        <v>4</v>
      </c>
      <c r="J1242">
        <v>0.2</v>
      </c>
      <c r="K1242">
        <v>334.28</v>
      </c>
      <c r="L1242">
        <v>8.2200000000000006</v>
      </c>
      <c r="M1242" t="s">
        <v>2464</v>
      </c>
      <c r="N1242" t="s">
        <v>2458</v>
      </c>
      <c r="O1242" t="s">
        <v>2465</v>
      </c>
      <c r="P1242">
        <v>63.6</v>
      </c>
      <c r="Q1242">
        <v>107.94</v>
      </c>
      <c r="R1242">
        <v>254.4</v>
      </c>
      <c r="S1242">
        <v>71.659999999999968</v>
      </c>
      <c r="T1242">
        <v>0.21437118583223638</v>
      </c>
      <c r="U1242" s="1">
        <v>45413</v>
      </c>
      <c r="V1242" t="s">
        <v>2500</v>
      </c>
      <c r="W1242">
        <v>2024</v>
      </c>
    </row>
    <row r="1243" spans="1:23" x14ac:dyDescent="0.25">
      <c r="A1243" t="s">
        <v>1290</v>
      </c>
      <c r="B1243" s="1">
        <v>45398</v>
      </c>
      <c r="C1243" s="1">
        <v>45400</v>
      </c>
      <c r="D1243" t="s">
        <v>32</v>
      </c>
      <c r="E1243" t="s">
        <v>33</v>
      </c>
      <c r="F1243" t="s">
        <v>25</v>
      </c>
      <c r="G1243" t="s">
        <v>16</v>
      </c>
      <c r="H1243" t="s">
        <v>60</v>
      </c>
      <c r="I1243">
        <v>3</v>
      </c>
      <c r="J1243">
        <v>0</v>
      </c>
      <c r="K1243">
        <v>313.62</v>
      </c>
      <c r="L1243">
        <v>8.25</v>
      </c>
      <c r="M1243" t="s">
        <v>2469</v>
      </c>
      <c r="N1243" t="s">
        <v>2467</v>
      </c>
      <c r="O1243" t="s">
        <v>2468</v>
      </c>
      <c r="P1243">
        <v>54.95</v>
      </c>
      <c r="Q1243">
        <v>112.56</v>
      </c>
      <c r="R1243">
        <v>164.85000000000002</v>
      </c>
      <c r="S1243">
        <v>140.51999999999998</v>
      </c>
      <c r="T1243">
        <v>0.44805815955615069</v>
      </c>
      <c r="U1243" s="1">
        <v>45383</v>
      </c>
      <c r="V1243" t="s">
        <v>2499</v>
      </c>
      <c r="W1243">
        <v>2024</v>
      </c>
    </row>
    <row r="1244" spans="1:23" x14ac:dyDescent="0.25">
      <c r="A1244" t="s">
        <v>1291</v>
      </c>
      <c r="B1244" s="1">
        <v>45427</v>
      </c>
      <c r="C1244" s="1">
        <v>45432</v>
      </c>
      <c r="D1244" t="s">
        <v>47</v>
      </c>
      <c r="E1244" t="s">
        <v>71</v>
      </c>
      <c r="F1244" t="s">
        <v>29</v>
      </c>
      <c r="G1244" t="s">
        <v>26</v>
      </c>
      <c r="H1244" t="s">
        <v>27</v>
      </c>
      <c r="I1244">
        <v>7</v>
      </c>
      <c r="J1244">
        <v>0.2</v>
      </c>
      <c r="K1244">
        <v>160.78</v>
      </c>
      <c r="L1244">
        <v>4.59</v>
      </c>
      <c r="M1244" t="s">
        <v>2478</v>
      </c>
      <c r="N1244" t="s">
        <v>2474</v>
      </c>
      <c r="O1244" t="s">
        <v>2463</v>
      </c>
      <c r="P1244">
        <v>16.760000000000002</v>
      </c>
      <c r="Q1244">
        <v>27.71</v>
      </c>
      <c r="R1244">
        <v>117.32000000000001</v>
      </c>
      <c r="S1244">
        <v>38.86999999999999</v>
      </c>
      <c r="T1244">
        <v>0.24175892523945758</v>
      </c>
      <c r="U1244" s="1">
        <v>45413</v>
      </c>
      <c r="V1244" t="s">
        <v>2500</v>
      </c>
      <c r="W1244">
        <v>2024</v>
      </c>
    </row>
    <row r="1245" spans="1:23" x14ac:dyDescent="0.25">
      <c r="A1245" t="s">
        <v>1292</v>
      </c>
      <c r="B1245" s="1">
        <v>45951</v>
      </c>
      <c r="C1245" s="1">
        <v>45957</v>
      </c>
      <c r="D1245" t="s">
        <v>13</v>
      </c>
      <c r="E1245" t="s">
        <v>36</v>
      </c>
      <c r="F1245" t="s">
        <v>29</v>
      </c>
      <c r="G1245" t="s">
        <v>26</v>
      </c>
      <c r="H1245" t="s">
        <v>51</v>
      </c>
      <c r="I1245">
        <v>11</v>
      </c>
      <c r="J1245">
        <v>0</v>
      </c>
      <c r="K1245">
        <v>184.2</v>
      </c>
      <c r="L1245">
        <v>9.4499999999999993</v>
      </c>
      <c r="M1245" t="s">
        <v>2475</v>
      </c>
      <c r="N1245" t="s">
        <v>2474</v>
      </c>
      <c r="O1245" t="s">
        <v>2463</v>
      </c>
      <c r="P1245">
        <v>7.93</v>
      </c>
      <c r="Q1245">
        <v>14.78</v>
      </c>
      <c r="R1245">
        <v>87.22999999999999</v>
      </c>
      <c r="S1245">
        <v>87.52</v>
      </c>
      <c r="T1245">
        <v>0.47513572204125953</v>
      </c>
      <c r="U1245" s="1">
        <v>45931</v>
      </c>
      <c r="V1245" t="s">
        <v>2499</v>
      </c>
      <c r="W1245">
        <v>2025</v>
      </c>
    </row>
    <row r="1246" spans="1:23" x14ac:dyDescent="0.25">
      <c r="A1246" t="s">
        <v>1293</v>
      </c>
      <c r="B1246" s="1">
        <v>45898</v>
      </c>
      <c r="C1246" s="1">
        <v>45901</v>
      </c>
      <c r="D1246" t="s">
        <v>47</v>
      </c>
      <c r="E1246" t="s">
        <v>71</v>
      </c>
      <c r="F1246" t="s">
        <v>29</v>
      </c>
      <c r="G1246" t="s">
        <v>20</v>
      </c>
      <c r="H1246" t="s">
        <v>63</v>
      </c>
      <c r="I1246">
        <v>5</v>
      </c>
      <c r="J1246">
        <v>0</v>
      </c>
      <c r="K1246">
        <v>57.63</v>
      </c>
      <c r="L1246">
        <v>4.05</v>
      </c>
      <c r="M1246" t="s">
        <v>2477</v>
      </c>
      <c r="N1246" t="s">
        <v>2474</v>
      </c>
      <c r="O1246" t="s">
        <v>2468</v>
      </c>
      <c r="P1246">
        <v>6.33</v>
      </c>
      <c r="Q1246">
        <v>12.16</v>
      </c>
      <c r="R1246">
        <v>31.65</v>
      </c>
      <c r="S1246">
        <v>21.930000000000003</v>
      </c>
      <c r="T1246">
        <v>0.38053097345132747</v>
      </c>
      <c r="U1246" s="1">
        <v>45870</v>
      </c>
      <c r="V1246" t="s">
        <v>2499</v>
      </c>
      <c r="W1246">
        <v>2025</v>
      </c>
    </row>
    <row r="1247" spans="1:23" x14ac:dyDescent="0.25">
      <c r="A1247" t="s">
        <v>1294</v>
      </c>
      <c r="B1247" s="1">
        <v>45971</v>
      </c>
      <c r="C1247" s="1">
        <v>45972</v>
      </c>
      <c r="D1247" t="s">
        <v>47</v>
      </c>
      <c r="E1247" t="s">
        <v>71</v>
      </c>
      <c r="F1247" t="s">
        <v>29</v>
      </c>
      <c r="G1247" t="s">
        <v>26</v>
      </c>
      <c r="H1247" t="s">
        <v>27</v>
      </c>
      <c r="I1247">
        <v>4</v>
      </c>
      <c r="J1247">
        <v>0</v>
      </c>
      <c r="K1247">
        <v>157.65</v>
      </c>
      <c r="L1247">
        <v>3.78</v>
      </c>
      <c r="M1247" t="s">
        <v>2478</v>
      </c>
      <c r="N1247" t="s">
        <v>2474</v>
      </c>
      <c r="O1247" t="s">
        <v>2463</v>
      </c>
      <c r="P1247">
        <v>16.760000000000002</v>
      </c>
      <c r="Q1247">
        <v>27.71</v>
      </c>
      <c r="R1247">
        <v>67.040000000000006</v>
      </c>
      <c r="S1247">
        <v>86.83</v>
      </c>
      <c r="T1247">
        <v>0.55077703774183318</v>
      </c>
      <c r="U1247" s="1">
        <v>45962</v>
      </c>
      <c r="V1247" t="s">
        <v>2499</v>
      </c>
      <c r="W1247">
        <v>2025</v>
      </c>
    </row>
    <row r="1248" spans="1:23" x14ac:dyDescent="0.25">
      <c r="A1248" t="s">
        <v>1295</v>
      </c>
      <c r="B1248" s="1">
        <v>45598</v>
      </c>
      <c r="C1248" s="1">
        <v>45604</v>
      </c>
      <c r="D1248" t="s">
        <v>23</v>
      </c>
      <c r="E1248" t="s">
        <v>24</v>
      </c>
      <c r="F1248" t="s">
        <v>25</v>
      </c>
      <c r="G1248" t="s">
        <v>16</v>
      </c>
      <c r="H1248" t="s">
        <v>30</v>
      </c>
      <c r="I1248">
        <v>4</v>
      </c>
      <c r="J1248">
        <v>0.25</v>
      </c>
      <c r="K1248">
        <v>23.36</v>
      </c>
      <c r="L1248">
        <v>3.78</v>
      </c>
      <c r="M1248" t="s">
        <v>2473</v>
      </c>
      <c r="N1248" t="s">
        <v>2474</v>
      </c>
      <c r="O1248" t="s">
        <v>2463</v>
      </c>
      <c r="P1248">
        <v>3.62</v>
      </c>
      <c r="Q1248">
        <v>6.03</v>
      </c>
      <c r="R1248">
        <v>14.48</v>
      </c>
      <c r="S1248">
        <v>5.0999999999999996</v>
      </c>
      <c r="T1248">
        <v>0.21832191780821916</v>
      </c>
      <c r="U1248" s="1">
        <v>45597</v>
      </c>
      <c r="V1248" t="s">
        <v>2501</v>
      </c>
      <c r="W1248">
        <v>2024</v>
      </c>
    </row>
    <row r="1249" spans="1:23" x14ac:dyDescent="0.25">
      <c r="A1249" t="s">
        <v>1296</v>
      </c>
      <c r="B1249" s="1">
        <v>45948</v>
      </c>
      <c r="C1249" s="1">
        <v>45951</v>
      </c>
      <c r="D1249" t="s">
        <v>32</v>
      </c>
      <c r="E1249" t="s">
        <v>45</v>
      </c>
      <c r="F1249" t="s">
        <v>15</v>
      </c>
      <c r="G1249" t="s">
        <v>16</v>
      </c>
      <c r="H1249" t="s">
        <v>41</v>
      </c>
      <c r="I1249">
        <v>8</v>
      </c>
      <c r="J1249">
        <v>0.1</v>
      </c>
      <c r="K1249">
        <v>52.27</v>
      </c>
      <c r="L1249">
        <v>4.8600000000000003</v>
      </c>
      <c r="M1249" t="s">
        <v>2479</v>
      </c>
      <c r="N1249" t="s">
        <v>2474</v>
      </c>
      <c r="O1249" t="s">
        <v>2459</v>
      </c>
      <c r="P1249">
        <v>3.3</v>
      </c>
      <c r="Q1249">
        <v>6.13</v>
      </c>
      <c r="R1249">
        <v>26.4</v>
      </c>
      <c r="S1249">
        <v>21.010000000000005</v>
      </c>
      <c r="T1249">
        <v>0.40195140616032149</v>
      </c>
      <c r="U1249" s="1">
        <v>45931</v>
      </c>
      <c r="V1249" t="s">
        <v>2498</v>
      </c>
      <c r="W1249">
        <v>2025</v>
      </c>
    </row>
    <row r="1250" spans="1:23" x14ac:dyDescent="0.25">
      <c r="A1250" t="s">
        <v>1297</v>
      </c>
      <c r="B1250" s="1">
        <v>46002</v>
      </c>
      <c r="C1250" s="1">
        <v>46004</v>
      </c>
      <c r="D1250" t="s">
        <v>13</v>
      </c>
      <c r="E1250" t="s">
        <v>19</v>
      </c>
      <c r="F1250" t="s">
        <v>15</v>
      </c>
      <c r="G1250" t="s">
        <v>26</v>
      </c>
      <c r="H1250" t="s">
        <v>65</v>
      </c>
      <c r="I1250">
        <v>2</v>
      </c>
      <c r="J1250">
        <v>0.05</v>
      </c>
      <c r="K1250">
        <v>773.12</v>
      </c>
      <c r="L1250">
        <v>5.46</v>
      </c>
      <c r="M1250" t="s">
        <v>2457</v>
      </c>
      <c r="N1250" t="s">
        <v>2458</v>
      </c>
      <c r="O1250" t="s">
        <v>2459</v>
      </c>
      <c r="P1250">
        <v>173.56</v>
      </c>
      <c r="Q1250">
        <v>286.14999999999998</v>
      </c>
      <c r="R1250">
        <v>347.12</v>
      </c>
      <c r="S1250">
        <v>420.54</v>
      </c>
      <c r="T1250">
        <v>0.54395177980132448</v>
      </c>
      <c r="U1250" s="1">
        <v>45992</v>
      </c>
      <c r="V1250" t="s">
        <v>2498</v>
      </c>
      <c r="W1250">
        <v>2025</v>
      </c>
    </row>
    <row r="1251" spans="1:23" x14ac:dyDescent="0.25">
      <c r="A1251" t="s">
        <v>1298</v>
      </c>
      <c r="B1251" s="1">
        <v>45341</v>
      </c>
      <c r="C1251" s="1">
        <v>45346</v>
      </c>
      <c r="D1251" t="s">
        <v>23</v>
      </c>
      <c r="E1251" t="s">
        <v>43</v>
      </c>
      <c r="F1251" t="s">
        <v>29</v>
      </c>
      <c r="G1251" t="s">
        <v>26</v>
      </c>
      <c r="H1251" t="s">
        <v>17</v>
      </c>
      <c r="I1251">
        <v>3</v>
      </c>
      <c r="J1251">
        <v>0</v>
      </c>
      <c r="K1251">
        <v>326.18</v>
      </c>
      <c r="L1251">
        <v>4.95</v>
      </c>
      <c r="M1251" t="s">
        <v>2472</v>
      </c>
      <c r="N1251" t="s">
        <v>2467</v>
      </c>
      <c r="O1251" t="s">
        <v>2468</v>
      </c>
      <c r="P1251">
        <v>63.69</v>
      </c>
      <c r="Q1251">
        <v>125.5</v>
      </c>
      <c r="R1251">
        <v>191.07</v>
      </c>
      <c r="S1251">
        <v>130.16000000000003</v>
      </c>
      <c r="T1251">
        <v>0.39904347292905762</v>
      </c>
      <c r="U1251" s="1">
        <v>45323</v>
      </c>
      <c r="V1251" t="s">
        <v>2499</v>
      </c>
      <c r="W1251">
        <v>2024</v>
      </c>
    </row>
    <row r="1252" spans="1:23" x14ac:dyDescent="0.25">
      <c r="A1252" t="s">
        <v>1299</v>
      </c>
      <c r="B1252" s="1">
        <v>45626</v>
      </c>
      <c r="C1252" s="1">
        <v>45630</v>
      </c>
      <c r="D1252" t="s">
        <v>47</v>
      </c>
      <c r="E1252" t="s">
        <v>50</v>
      </c>
      <c r="F1252" t="s">
        <v>15</v>
      </c>
      <c r="G1252" t="s">
        <v>16</v>
      </c>
      <c r="H1252" t="s">
        <v>17</v>
      </c>
      <c r="I1252">
        <v>1</v>
      </c>
      <c r="J1252">
        <v>0</v>
      </c>
      <c r="K1252">
        <v>162.94</v>
      </c>
      <c r="L1252">
        <v>3.45</v>
      </c>
      <c r="M1252" t="s">
        <v>2472</v>
      </c>
      <c r="N1252" t="s">
        <v>2467</v>
      </c>
      <c r="O1252" t="s">
        <v>2468</v>
      </c>
      <c r="P1252">
        <v>63.69</v>
      </c>
      <c r="Q1252">
        <v>125.5</v>
      </c>
      <c r="R1252">
        <v>63.69</v>
      </c>
      <c r="S1252">
        <v>95.8</v>
      </c>
      <c r="T1252">
        <v>0.58794648336811095</v>
      </c>
      <c r="U1252" s="1">
        <v>45597</v>
      </c>
      <c r="V1252" t="s">
        <v>2499</v>
      </c>
      <c r="W1252">
        <v>2024</v>
      </c>
    </row>
    <row r="1253" spans="1:23" x14ac:dyDescent="0.25">
      <c r="A1253" t="s">
        <v>1300</v>
      </c>
      <c r="B1253" s="1">
        <v>45727</v>
      </c>
      <c r="C1253" s="1">
        <v>45731</v>
      </c>
      <c r="D1253" t="s">
        <v>23</v>
      </c>
      <c r="E1253" t="s">
        <v>43</v>
      </c>
      <c r="F1253" t="s">
        <v>15</v>
      </c>
      <c r="G1253" t="s">
        <v>16</v>
      </c>
      <c r="H1253" t="s">
        <v>21</v>
      </c>
      <c r="I1253">
        <v>3</v>
      </c>
      <c r="J1253">
        <v>0.15</v>
      </c>
      <c r="K1253">
        <v>255.07</v>
      </c>
      <c r="L1253">
        <v>6.84</v>
      </c>
      <c r="M1253" t="s">
        <v>2462</v>
      </c>
      <c r="N1253" t="s">
        <v>2458</v>
      </c>
      <c r="O1253" t="s">
        <v>2463</v>
      </c>
      <c r="P1253">
        <v>71.489999999999995</v>
      </c>
      <c r="Q1253">
        <v>112.88</v>
      </c>
      <c r="R1253">
        <v>214.46999999999997</v>
      </c>
      <c r="S1253">
        <v>33.760000000000019</v>
      </c>
      <c r="T1253">
        <v>0.13235582389148084</v>
      </c>
      <c r="U1253" s="1">
        <v>45717</v>
      </c>
      <c r="V1253" t="s">
        <v>2500</v>
      </c>
      <c r="W1253">
        <v>2025</v>
      </c>
    </row>
    <row r="1254" spans="1:23" x14ac:dyDescent="0.25">
      <c r="A1254" t="s">
        <v>1301</v>
      </c>
      <c r="B1254" s="1">
        <v>45981</v>
      </c>
      <c r="C1254" s="1">
        <v>45986</v>
      </c>
      <c r="D1254" t="s">
        <v>47</v>
      </c>
      <c r="E1254" t="s">
        <v>48</v>
      </c>
      <c r="F1254" t="s">
        <v>29</v>
      </c>
      <c r="G1254" t="s">
        <v>16</v>
      </c>
      <c r="H1254" t="s">
        <v>21</v>
      </c>
      <c r="I1254">
        <v>1</v>
      </c>
      <c r="J1254">
        <v>0.05</v>
      </c>
      <c r="K1254">
        <v>148.81</v>
      </c>
      <c r="L1254">
        <v>6.8</v>
      </c>
      <c r="M1254" t="s">
        <v>2462</v>
      </c>
      <c r="N1254" t="s">
        <v>2458</v>
      </c>
      <c r="O1254" t="s">
        <v>2463</v>
      </c>
      <c r="P1254">
        <v>71.489999999999995</v>
      </c>
      <c r="Q1254">
        <v>112.88</v>
      </c>
      <c r="R1254">
        <v>71.489999999999995</v>
      </c>
      <c r="S1254">
        <v>70.52000000000001</v>
      </c>
      <c r="T1254">
        <v>0.4738928835427727</v>
      </c>
      <c r="U1254" s="1">
        <v>45962</v>
      </c>
      <c r="V1254" t="s">
        <v>2498</v>
      </c>
      <c r="W1254">
        <v>2025</v>
      </c>
    </row>
    <row r="1255" spans="1:23" x14ac:dyDescent="0.25">
      <c r="A1255" t="s">
        <v>1302</v>
      </c>
      <c r="B1255" s="1">
        <v>46006</v>
      </c>
      <c r="C1255" s="1">
        <v>46012</v>
      </c>
      <c r="D1255" t="s">
        <v>32</v>
      </c>
      <c r="E1255" t="s">
        <v>62</v>
      </c>
      <c r="F1255" t="s">
        <v>15</v>
      </c>
      <c r="G1255" t="s">
        <v>16</v>
      </c>
      <c r="H1255" t="s">
        <v>63</v>
      </c>
      <c r="I1255">
        <v>6</v>
      </c>
      <c r="J1255">
        <v>0.2</v>
      </c>
      <c r="K1255">
        <v>79.959999999999994</v>
      </c>
      <c r="L1255">
        <v>7.2</v>
      </c>
      <c r="M1255" t="s">
        <v>2477</v>
      </c>
      <c r="N1255" t="s">
        <v>2474</v>
      </c>
      <c r="O1255" t="s">
        <v>2468</v>
      </c>
      <c r="P1255">
        <v>6.33</v>
      </c>
      <c r="Q1255">
        <v>12.16</v>
      </c>
      <c r="R1255">
        <v>37.980000000000004</v>
      </c>
      <c r="S1255">
        <v>34.779999999999987</v>
      </c>
      <c r="T1255">
        <v>0.43496748374187083</v>
      </c>
      <c r="U1255" s="1">
        <v>45992</v>
      </c>
      <c r="V1255" t="s">
        <v>2500</v>
      </c>
      <c r="W1255">
        <v>2025</v>
      </c>
    </row>
    <row r="1256" spans="1:23" x14ac:dyDescent="0.25">
      <c r="A1256" t="s">
        <v>1303</v>
      </c>
      <c r="B1256" s="1">
        <v>45384</v>
      </c>
      <c r="C1256" s="1">
        <v>45389</v>
      </c>
      <c r="D1256" t="s">
        <v>23</v>
      </c>
      <c r="E1256" t="s">
        <v>59</v>
      </c>
      <c r="F1256" t="s">
        <v>15</v>
      </c>
      <c r="G1256" t="s">
        <v>26</v>
      </c>
      <c r="H1256" t="s">
        <v>41</v>
      </c>
      <c r="I1256">
        <v>7</v>
      </c>
      <c r="J1256">
        <v>0</v>
      </c>
      <c r="K1256">
        <v>43</v>
      </c>
      <c r="L1256">
        <v>4.59</v>
      </c>
      <c r="M1256" t="s">
        <v>2479</v>
      </c>
      <c r="N1256" t="s">
        <v>2474</v>
      </c>
      <c r="O1256" t="s">
        <v>2459</v>
      </c>
      <c r="P1256">
        <v>3.3</v>
      </c>
      <c r="Q1256">
        <v>6.13</v>
      </c>
      <c r="R1256">
        <v>23.099999999999998</v>
      </c>
      <c r="S1256">
        <v>15.310000000000002</v>
      </c>
      <c r="T1256">
        <v>0.35604651162790701</v>
      </c>
      <c r="U1256" s="1">
        <v>45383</v>
      </c>
      <c r="V1256" t="s">
        <v>2499</v>
      </c>
      <c r="W1256">
        <v>2024</v>
      </c>
    </row>
    <row r="1257" spans="1:23" x14ac:dyDescent="0.25">
      <c r="A1257" t="s">
        <v>1304</v>
      </c>
      <c r="B1257" s="1">
        <v>45742</v>
      </c>
      <c r="C1257" s="1">
        <v>45744</v>
      </c>
      <c r="D1257" t="s">
        <v>47</v>
      </c>
      <c r="E1257" t="s">
        <v>50</v>
      </c>
      <c r="F1257" t="s">
        <v>29</v>
      </c>
      <c r="G1257" t="s">
        <v>26</v>
      </c>
      <c r="H1257" t="s">
        <v>27</v>
      </c>
      <c r="I1257">
        <v>7</v>
      </c>
      <c r="J1257">
        <v>0</v>
      </c>
      <c r="K1257">
        <v>187.7</v>
      </c>
      <c r="L1257">
        <v>4.59</v>
      </c>
      <c r="M1257" t="s">
        <v>2478</v>
      </c>
      <c r="N1257" t="s">
        <v>2474</v>
      </c>
      <c r="O1257" t="s">
        <v>2463</v>
      </c>
      <c r="P1257">
        <v>16.760000000000002</v>
      </c>
      <c r="Q1257">
        <v>27.71</v>
      </c>
      <c r="R1257">
        <v>117.32000000000001</v>
      </c>
      <c r="S1257">
        <v>65.789999999999978</v>
      </c>
      <c r="T1257">
        <v>0.35050612679808196</v>
      </c>
      <c r="U1257" s="1">
        <v>45717</v>
      </c>
      <c r="V1257" t="s">
        <v>2499</v>
      </c>
      <c r="W1257">
        <v>2025</v>
      </c>
    </row>
    <row r="1258" spans="1:23" x14ac:dyDescent="0.25">
      <c r="A1258" t="s">
        <v>1305</v>
      </c>
      <c r="B1258" s="1">
        <v>45936</v>
      </c>
      <c r="C1258" s="1">
        <v>45941</v>
      </c>
      <c r="D1258" t="s">
        <v>23</v>
      </c>
      <c r="E1258" t="s">
        <v>59</v>
      </c>
      <c r="F1258" t="s">
        <v>29</v>
      </c>
      <c r="G1258" t="s">
        <v>26</v>
      </c>
      <c r="H1258" t="s">
        <v>30</v>
      </c>
      <c r="I1258">
        <v>11</v>
      </c>
      <c r="J1258">
        <v>0</v>
      </c>
      <c r="K1258">
        <v>79.97</v>
      </c>
      <c r="L1258">
        <v>9.4499999999999993</v>
      </c>
      <c r="M1258" t="s">
        <v>2473</v>
      </c>
      <c r="N1258" t="s">
        <v>2474</v>
      </c>
      <c r="O1258" t="s">
        <v>2463</v>
      </c>
      <c r="P1258">
        <v>3.62</v>
      </c>
      <c r="Q1258">
        <v>6.03</v>
      </c>
      <c r="R1258">
        <v>39.82</v>
      </c>
      <c r="S1258">
        <v>30.7</v>
      </c>
      <c r="T1258">
        <v>0.38389396023508815</v>
      </c>
      <c r="U1258" s="1">
        <v>45931</v>
      </c>
      <c r="V1258" t="s">
        <v>2499</v>
      </c>
      <c r="W1258">
        <v>2025</v>
      </c>
    </row>
    <row r="1259" spans="1:23" x14ac:dyDescent="0.25">
      <c r="A1259" t="s">
        <v>1306</v>
      </c>
      <c r="B1259" s="1">
        <v>45674</v>
      </c>
      <c r="C1259" s="1">
        <v>45680</v>
      </c>
      <c r="D1259" t="s">
        <v>13</v>
      </c>
      <c r="E1259" t="s">
        <v>19</v>
      </c>
      <c r="F1259" t="s">
        <v>15</v>
      </c>
      <c r="G1259" t="s">
        <v>16</v>
      </c>
      <c r="H1259" t="s">
        <v>34</v>
      </c>
      <c r="I1259">
        <v>4</v>
      </c>
      <c r="J1259">
        <v>0.15</v>
      </c>
      <c r="K1259">
        <v>628.87</v>
      </c>
      <c r="L1259">
        <v>13.7</v>
      </c>
      <c r="M1259" t="s">
        <v>2460</v>
      </c>
      <c r="N1259" t="s">
        <v>2458</v>
      </c>
      <c r="O1259" t="s">
        <v>2461</v>
      </c>
      <c r="P1259">
        <v>119.02</v>
      </c>
      <c r="Q1259">
        <v>205.39</v>
      </c>
      <c r="R1259">
        <v>476.08</v>
      </c>
      <c r="S1259">
        <v>139.09000000000003</v>
      </c>
      <c r="T1259">
        <v>0.22117448757294836</v>
      </c>
      <c r="U1259" s="1">
        <v>45658</v>
      </c>
      <c r="V1259" t="s">
        <v>2500</v>
      </c>
      <c r="W1259">
        <v>2025</v>
      </c>
    </row>
    <row r="1260" spans="1:23" x14ac:dyDescent="0.25">
      <c r="A1260" t="s">
        <v>1307</v>
      </c>
      <c r="B1260" s="1">
        <v>45426</v>
      </c>
      <c r="C1260" s="1">
        <v>45429</v>
      </c>
      <c r="D1260" t="s">
        <v>23</v>
      </c>
      <c r="E1260" t="s">
        <v>43</v>
      </c>
      <c r="F1260" t="s">
        <v>25</v>
      </c>
      <c r="G1260" t="s">
        <v>26</v>
      </c>
      <c r="H1260" t="s">
        <v>87</v>
      </c>
      <c r="I1260">
        <v>13</v>
      </c>
      <c r="J1260">
        <v>0</v>
      </c>
      <c r="K1260">
        <v>105.17</v>
      </c>
      <c r="L1260">
        <v>6.21</v>
      </c>
      <c r="M1260" t="s">
        <v>2476</v>
      </c>
      <c r="N1260" t="s">
        <v>2474</v>
      </c>
      <c r="O1260" t="s">
        <v>2459</v>
      </c>
      <c r="P1260">
        <v>4.5</v>
      </c>
      <c r="Q1260">
        <v>8.2899999999999991</v>
      </c>
      <c r="R1260">
        <v>58.5</v>
      </c>
      <c r="S1260">
        <v>40.46</v>
      </c>
      <c r="T1260">
        <v>0.38471046876485693</v>
      </c>
      <c r="U1260" s="1">
        <v>45413</v>
      </c>
      <c r="V1260" t="s">
        <v>2499</v>
      </c>
      <c r="W1260">
        <v>2024</v>
      </c>
    </row>
    <row r="1261" spans="1:23" x14ac:dyDescent="0.25">
      <c r="A1261" t="s">
        <v>1308</v>
      </c>
      <c r="B1261" s="1">
        <v>45647</v>
      </c>
      <c r="C1261" s="1">
        <v>45652</v>
      </c>
      <c r="D1261" t="s">
        <v>23</v>
      </c>
      <c r="E1261" t="s">
        <v>43</v>
      </c>
      <c r="F1261" t="s">
        <v>15</v>
      </c>
      <c r="G1261" t="s">
        <v>26</v>
      </c>
      <c r="H1261" t="s">
        <v>30</v>
      </c>
      <c r="I1261">
        <v>3</v>
      </c>
      <c r="J1261">
        <v>0</v>
      </c>
      <c r="K1261">
        <v>26.07</v>
      </c>
      <c r="L1261">
        <v>5.85</v>
      </c>
      <c r="M1261" t="s">
        <v>2473</v>
      </c>
      <c r="N1261" t="s">
        <v>2474</v>
      </c>
      <c r="O1261" t="s">
        <v>2463</v>
      </c>
      <c r="P1261">
        <v>3.62</v>
      </c>
      <c r="Q1261">
        <v>6.03</v>
      </c>
      <c r="R1261">
        <v>10.86</v>
      </c>
      <c r="S1261">
        <v>9.3600000000000012</v>
      </c>
      <c r="T1261">
        <v>0.3590333716915996</v>
      </c>
      <c r="U1261" s="1">
        <v>45627</v>
      </c>
      <c r="V1261" t="s">
        <v>2499</v>
      </c>
      <c r="W1261">
        <v>2024</v>
      </c>
    </row>
    <row r="1262" spans="1:23" x14ac:dyDescent="0.25">
      <c r="A1262" t="s">
        <v>1309</v>
      </c>
      <c r="B1262" s="1">
        <v>45453</v>
      </c>
      <c r="C1262" s="1">
        <v>45458</v>
      </c>
      <c r="D1262" t="s">
        <v>23</v>
      </c>
      <c r="E1262" t="s">
        <v>43</v>
      </c>
      <c r="F1262" t="s">
        <v>15</v>
      </c>
      <c r="G1262" t="s">
        <v>20</v>
      </c>
      <c r="H1262" t="s">
        <v>17</v>
      </c>
      <c r="I1262">
        <v>2</v>
      </c>
      <c r="J1262">
        <v>0.1</v>
      </c>
      <c r="K1262">
        <v>225.94</v>
      </c>
      <c r="L1262">
        <v>4.2</v>
      </c>
      <c r="M1262" t="s">
        <v>2472</v>
      </c>
      <c r="N1262" t="s">
        <v>2467</v>
      </c>
      <c r="O1262" t="s">
        <v>2468</v>
      </c>
      <c r="P1262">
        <v>63.69</v>
      </c>
      <c r="Q1262">
        <v>125.5</v>
      </c>
      <c r="R1262">
        <v>127.38</v>
      </c>
      <c r="S1262">
        <v>94.36</v>
      </c>
      <c r="T1262">
        <v>0.41763299991148095</v>
      </c>
      <c r="U1262" s="1">
        <v>45444</v>
      </c>
      <c r="V1262" t="s">
        <v>2498</v>
      </c>
      <c r="W1262">
        <v>2024</v>
      </c>
    </row>
    <row r="1263" spans="1:23" x14ac:dyDescent="0.25">
      <c r="A1263" t="s">
        <v>1310</v>
      </c>
      <c r="B1263" s="1">
        <v>45397</v>
      </c>
      <c r="C1263" s="1">
        <v>45403</v>
      </c>
      <c r="D1263" t="s">
        <v>47</v>
      </c>
      <c r="E1263" t="s">
        <v>50</v>
      </c>
      <c r="F1263" t="s">
        <v>25</v>
      </c>
      <c r="G1263" t="s">
        <v>20</v>
      </c>
      <c r="H1263" t="s">
        <v>60</v>
      </c>
      <c r="I1263">
        <v>4</v>
      </c>
      <c r="J1263">
        <v>0.2</v>
      </c>
      <c r="K1263">
        <v>335.19</v>
      </c>
      <c r="L1263">
        <v>5.7</v>
      </c>
      <c r="M1263" t="s">
        <v>2469</v>
      </c>
      <c r="N1263" t="s">
        <v>2467</v>
      </c>
      <c r="O1263" t="s">
        <v>2468</v>
      </c>
      <c r="P1263">
        <v>54.95</v>
      </c>
      <c r="Q1263">
        <v>112.56</v>
      </c>
      <c r="R1263">
        <v>219.8</v>
      </c>
      <c r="S1263">
        <v>109.68999999999998</v>
      </c>
      <c r="T1263">
        <v>0.32724723291267632</v>
      </c>
      <c r="U1263" s="1">
        <v>45383</v>
      </c>
      <c r="V1263" t="s">
        <v>2500</v>
      </c>
      <c r="W1263">
        <v>2024</v>
      </c>
    </row>
    <row r="1264" spans="1:23" x14ac:dyDescent="0.25">
      <c r="A1264" t="s">
        <v>1311</v>
      </c>
      <c r="B1264" s="1">
        <v>45707</v>
      </c>
      <c r="C1264" s="1">
        <v>45712</v>
      </c>
      <c r="D1264" t="s">
        <v>32</v>
      </c>
      <c r="E1264" t="s">
        <v>62</v>
      </c>
      <c r="F1264" t="s">
        <v>25</v>
      </c>
      <c r="G1264" t="s">
        <v>20</v>
      </c>
      <c r="H1264" t="s">
        <v>27</v>
      </c>
      <c r="I1264">
        <v>4</v>
      </c>
      <c r="J1264">
        <v>0.25</v>
      </c>
      <c r="K1264">
        <v>70.87</v>
      </c>
      <c r="L1264">
        <v>6.3</v>
      </c>
      <c r="M1264" t="s">
        <v>2478</v>
      </c>
      <c r="N1264" t="s">
        <v>2474</v>
      </c>
      <c r="O1264" t="s">
        <v>2463</v>
      </c>
      <c r="P1264">
        <v>16.760000000000002</v>
      </c>
      <c r="Q1264">
        <v>27.71</v>
      </c>
      <c r="R1264">
        <v>67.040000000000006</v>
      </c>
      <c r="S1264">
        <v>-2.4700000000000015</v>
      </c>
      <c r="T1264">
        <v>-3.4852546916890097E-2</v>
      </c>
      <c r="U1264" s="1">
        <v>45689</v>
      </c>
      <c r="V1264" t="s">
        <v>2501</v>
      </c>
      <c r="W1264">
        <v>2025</v>
      </c>
    </row>
    <row r="1265" spans="1:23" x14ac:dyDescent="0.25">
      <c r="A1265" t="s">
        <v>1312</v>
      </c>
      <c r="B1265" s="1">
        <v>45471</v>
      </c>
      <c r="C1265" s="1">
        <v>45474</v>
      </c>
      <c r="D1265" t="s">
        <v>32</v>
      </c>
      <c r="E1265" t="s">
        <v>45</v>
      </c>
      <c r="F1265" t="s">
        <v>29</v>
      </c>
      <c r="G1265" t="s">
        <v>16</v>
      </c>
      <c r="H1265" t="s">
        <v>68</v>
      </c>
      <c r="I1265">
        <v>3</v>
      </c>
      <c r="J1265">
        <v>0.2</v>
      </c>
      <c r="K1265">
        <v>131.91</v>
      </c>
      <c r="L1265">
        <v>4.95</v>
      </c>
      <c r="M1265" t="s">
        <v>2466</v>
      </c>
      <c r="N1265" t="s">
        <v>2467</v>
      </c>
      <c r="O1265" t="s">
        <v>2468</v>
      </c>
      <c r="P1265">
        <v>25.33</v>
      </c>
      <c r="Q1265">
        <v>51.56</v>
      </c>
      <c r="R1265">
        <v>75.989999999999995</v>
      </c>
      <c r="S1265">
        <v>50.97</v>
      </c>
      <c r="T1265">
        <v>0.38639981805776669</v>
      </c>
      <c r="U1265" s="1">
        <v>45444</v>
      </c>
      <c r="V1265" t="s">
        <v>2500</v>
      </c>
      <c r="W1265">
        <v>2024</v>
      </c>
    </row>
    <row r="1266" spans="1:23" x14ac:dyDescent="0.25">
      <c r="A1266" t="s">
        <v>1313</v>
      </c>
      <c r="B1266" s="1">
        <v>45324</v>
      </c>
      <c r="C1266" s="1">
        <v>45327</v>
      </c>
      <c r="D1266" t="s">
        <v>47</v>
      </c>
      <c r="E1266" t="s">
        <v>48</v>
      </c>
      <c r="F1266" t="s">
        <v>25</v>
      </c>
      <c r="G1266" t="s">
        <v>16</v>
      </c>
      <c r="H1266" t="s">
        <v>17</v>
      </c>
      <c r="I1266">
        <v>4</v>
      </c>
      <c r="J1266">
        <v>0.1</v>
      </c>
      <c r="K1266">
        <v>400.74</v>
      </c>
      <c r="L1266">
        <v>5.7</v>
      </c>
      <c r="M1266" t="s">
        <v>2472</v>
      </c>
      <c r="N1266" t="s">
        <v>2467</v>
      </c>
      <c r="O1266" t="s">
        <v>2468</v>
      </c>
      <c r="P1266">
        <v>63.69</v>
      </c>
      <c r="Q1266">
        <v>125.5</v>
      </c>
      <c r="R1266">
        <v>254.76</v>
      </c>
      <c r="S1266">
        <v>140.28000000000003</v>
      </c>
      <c r="T1266">
        <v>0.35005240305434954</v>
      </c>
      <c r="U1266" s="1">
        <v>45323</v>
      </c>
      <c r="V1266" t="s">
        <v>2498</v>
      </c>
      <c r="W1266">
        <v>2024</v>
      </c>
    </row>
    <row r="1267" spans="1:23" x14ac:dyDescent="0.25">
      <c r="A1267" t="s">
        <v>1314</v>
      </c>
      <c r="B1267" s="1">
        <v>45935</v>
      </c>
      <c r="C1267" s="1">
        <v>45936</v>
      </c>
      <c r="D1267" t="s">
        <v>32</v>
      </c>
      <c r="E1267" t="s">
        <v>33</v>
      </c>
      <c r="F1267" t="s">
        <v>29</v>
      </c>
      <c r="G1267" t="s">
        <v>20</v>
      </c>
      <c r="H1267" t="s">
        <v>65</v>
      </c>
      <c r="I1267">
        <v>7</v>
      </c>
      <c r="J1267">
        <v>0.25</v>
      </c>
      <c r="K1267">
        <v>1780.61</v>
      </c>
      <c r="L1267">
        <v>20.6</v>
      </c>
      <c r="M1267" t="s">
        <v>2457</v>
      </c>
      <c r="N1267" t="s">
        <v>2458</v>
      </c>
      <c r="O1267" t="s">
        <v>2459</v>
      </c>
      <c r="P1267">
        <v>173.56</v>
      </c>
      <c r="Q1267">
        <v>286.14999999999998</v>
      </c>
      <c r="R1267">
        <v>1214.92</v>
      </c>
      <c r="S1267">
        <v>545.0899999999998</v>
      </c>
      <c r="T1267">
        <v>0.30612542892604211</v>
      </c>
      <c r="U1267" s="1">
        <v>45931</v>
      </c>
      <c r="V1267" t="s">
        <v>2501</v>
      </c>
      <c r="W1267">
        <v>2025</v>
      </c>
    </row>
    <row r="1268" spans="1:23" x14ac:dyDescent="0.25">
      <c r="A1268" t="s">
        <v>1315</v>
      </c>
      <c r="B1268" s="1">
        <v>45382</v>
      </c>
      <c r="C1268" s="1">
        <v>45388</v>
      </c>
      <c r="D1268" t="s">
        <v>23</v>
      </c>
      <c r="E1268" t="s">
        <v>43</v>
      </c>
      <c r="F1268" t="s">
        <v>29</v>
      </c>
      <c r="G1268" t="s">
        <v>20</v>
      </c>
      <c r="H1268" t="s">
        <v>63</v>
      </c>
      <c r="I1268">
        <v>23</v>
      </c>
      <c r="J1268">
        <v>0</v>
      </c>
      <c r="K1268">
        <v>261.04000000000002</v>
      </c>
      <c r="L1268">
        <v>14.85</v>
      </c>
      <c r="M1268" t="s">
        <v>2477</v>
      </c>
      <c r="N1268" t="s">
        <v>2474</v>
      </c>
      <c r="O1268" t="s">
        <v>2468</v>
      </c>
      <c r="P1268">
        <v>6.33</v>
      </c>
      <c r="Q1268">
        <v>12.16</v>
      </c>
      <c r="R1268">
        <v>145.59</v>
      </c>
      <c r="S1268">
        <v>100.60000000000002</v>
      </c>
      <c r="T1268">
        <v>0.3853815507201962</v>
      </c>
      <c r="U1268" s="1">
        <v>45352</v>
      </c>
      <c r="V1268" t="s">
        <v>2499</v>
      </c>
      <c r="W1268">
        <v>2024</v>
      </c>
    </row>
    <row r="1269" spans="1:23" x14ac:dyDescent="0.25">
      <c r="A1269" t="s">
        <v>1316</v>
      </c>
      <c r="B1269" s="1">
        <v>45709</v>
      </c>
      <c r="C1269" s="1">
        <v>45713</v>
      </c>
      <c r="D1269" t="s">
        <v>47</v>
      </c>
      <c r="E1269" t="s">
        <v>71</v>
      </c>
      <c r="F1269" t="s">
        <v>25</v>
      </c>
      <c r="G1269" t="s">
        <v>26</v>
      </c>
      <c r="H1269" t="s">
        <v>21</v>
      </c>
      <c r="I1269">
        <v>2</v>
      </c>
      <c r="J1269">
        <v>0</v>
      </c>
      <c r="K1269">
        <v>212.8</v>
      </c>
      <c r="L1269">
        <v>5.46</v>
      </c>
      <c r="M1269" t="s">
        <v>2462</v>
      </c>
      <c r="N1269" t="s">
        <v>2458</v>
      </c>
      <c r="O1269" t="s">
        <v>2463</v>
      </c>
      <c r="P1269">
        <v>71.489999999999995</v>
      </c>
      <c r="Q1269">
        <v>112.88</v>
      </c>
      <c r="R1269">
        <v>142.97999999999999</v>
      </c>
      <c r="S1269">
        <v>64.360000000000028</v>
      </c>
      <c r="T1269">
        <v>0.30244360902255651</v>
      </c>
      <c r="U1269" s="1">
        <v>45689</v>
      </c>
      <c r="V1269" t="s">
        <v>2499</v>
      </c>
      <c r="W1269">
        <v>2025</v>
      </c>
    </row>
    <row r="1270" spans="1:23" x14ac:dyDescent="0.25">
      <c r="A1270" t="s">
        <v>1317</v>
      </c>
      <c r="B1270" s="1">
        <v>45600</v>
      </c>
      <c r="C1270" s="1">
        <v>45605</v>
      </c>
      <c r="D1270" t="s">
        <v>32</v>
      </c>
      <c r="E1270" t="s">
        <v>33</v>
      </c>
      <c r="F1270" t="s">
        <v>15</v>
      </c>
      <c r="G1270" t="s">
        <v>16</v>
      </c>
      <c r="H1270" t="s">
        <v>68</v>
      </c>
      <c r="I1270">
        <v>4</v>
      </c>
      <c r="J1270">
        <v>0.2</v>
      </c>
      <c r="K1270">
        <v>221.83</v>
      </c>
      <c r="L1270">
        <v>9.5</v>
      </c>
      <c r="M1270" t="s">
        <v>2466</v>
      </c>
      <c r="N1270" t="s">
        <v>2467</v>
      </c>
      <c r="O1270" t="s">
        <v>2468</v>
      </c>
      <c r="P1270">
        <v>25.33</v>
      </c>
      <c r="Q1270">
        <v>51.56</v>
      </c>
      <c r="R1270">
        <v>101.32</v>
      </c>
      <c r="S1270">
        <v>111.01000000000002</v>
      </c>
      <c r="T1270">
        <v>0.50042825587161344</v>
      </c>
      <c r="U1270" s="1">
        <v>45597</v>
      </c>
      <c r="V1270" t="s">
        <v>2500</v>
      </c>
      <c r="W1270">
        <v>2024</v>
      </c>
    </row>
    <row r="1271" spans="1:23" x14ac:dyDescent="0.25">
      <c r="A1271" t="s">
        <v>1318</v>
      </c>
      <c r="B1271" s="1">
        <v>45468</v>
      </c>
      <c r="C1271" s="1">
        <v>45474</v>
      </c>
      <c r="D1271" t="s">
        <v>23</v>
      </c>
      <c r="E1271" t="s">
        <v>43</v>
      </c>
      <c r="F1271" t="s">
        <v>15</v>
      </c>
      <c r="G1271" t="s">
        <v>20</v>
      </c>
      <c r="H1271" t="s">
        <v>30</v>
      </c>
      <c r="I1271">
        <v>7</v>
      </c>
      <c r="J1271">
        <v>0</v>
      </c>
      <c r="K1271">
        <v>43.51</v>
      </c>
      <c r="L1271">
        <v>4.59</v>
      </c>
      <c r="M1271" t="s">
        <v>2473</v>
      </c>
      <c r="N1271" t="s">
        <v>2474</v>
      </c>
      <c r="O1271" t="s">
        <v>2463</v>
      </c>
      <c r="P1271">
        <v>3.62</v>
      </c>
      <c r="Q1271">
        <v>6.03</v>
      </c>
      <c r="R1271">
        <v>25.34</v>
      </c>
      <c r="S1271">
        <v>13.579999999999998</v>
      </c>
      <c r="T1271">
        <v>0.31211215812456905</v>
      </c>
      <c r="U1271" s="1">
        <v>45444</v>
      </c>
      <c r="V1271" t="s">
        <v>2499</v>
      </c>
      <c r="W1271">
        <v>2024</v>
      </c>
    </row>
    <row r="1272" spans="1:23" x14ac:dyDescent="0.25">
      <c r="A1272" t="s">
        <v>1319</v>
      </c>
      <c r="B1272" s="1">
        <v>45806</v>
      </c>
      <c r="C1272" s="1">
        <v>45808</v>
      </c>
      <c r="D1272" t="s">
        <v>13</v>
      </c>
      <c r="E1272" t="s">
        <v>36</v>
      </c>
      <c r="F1272" t="s">
        <v>15</v>
      </c>
      <c r="G1272" t="s">
        <v>26</v>
      </c>
      <c r="H1272" t="s">
        <v>34</v>
      </c>
      <c r="I1272">
        <v>2</v>
      </c>
      <c r="J1272">
        <v>0.1</v>
      </c>
      <c r="K1272">
        <v>359.86</v>
      </c>
      <c r="L1272">
        <v>9.1</v>
      </c>
      <c r="M1272" t="s">
        <v>2460</v>
      </c>
      <c r="N1272" t="s">
        <v>2458</v>
      </c>
      <c r="O1272" t="s">
        <v>2461</v>
      </c>
      <c r="P1272">
        <v>119.02</v>
      </c>
      <c r="Q1272">
        <v>205.39</v>
      </c>
      <c r="R1272">
        <v>238.04</v>
      </c>
      <c r="S1272">
        <v>112.72000000000003</v>
      </c>
      <c r="T1272">
        <v>0.31323292391485585</v>
      </c>
      <c r="U1272" s="1">
        <v>45778</v>
      </c>
      <c r="V1272" t="s">
        <v>2498</v>
      </c>
      <c r="W1272">
        <v>2025</v>
      </c>
    </row>
    <row r="1273" spans="1:23" x14ac:dyDescent="0.25">
      <c r="A1273" t="s">
        <v>1320</v>
      </c>
      <c r="B1273" s="1">
        <v>45493</v>
      </c>
      <c r="C1273" s="1">
        <v>45499</v>
      </c>
      <c r="D1273" t="s">
        <v>13</v>
      </c>
      <c r="E1273" t="s">
        <v>36</v>
      </c>
      <c r="F1273" t="s">
        <v>25</v>
      </c>
      <c r="G1273" t="s">
        <v>16</v>
      </c>
      <c r="H1273" t="s">
        <v>51</v>
      </c>
      <c r="I1273">
        <v>3</v>
      </c>
      <c r="J1273">
        <v>0</v>
      </c>
      <c r="K1273">
        <v>40.380000000000003</v>
      </c>
      <c r="L1273">
        <v>3.51</v>
      </c>
      <c r="M1273" t="s">
        <v>2475</v>
      </c>
      <c r="N1273" t="s">
        <v>2474</v>
      </c>
      <c r="O1273" t="s">
        <v>2463</v>
      </c>
      <c r="P1273">
        <v>7.93</v>
      </c>
      <c r="Q1273">
        <v>14.78</v>
      </c>
      <c r="R1273">
        <v>23.79</v>
      </c>
      <c r="S1273">
        <v>13.080000000000004</v>
      </c>
      <c r="T1273">
        <v>0.32392273402674598</v>
      </c>
      <c r="U1273" s="1">
        <v>45474</v>
      </c>
      <c r="V1273" t="s">
        <v>2499</v>
      </c>
      <c r="W1273">
        <v>2024</v>
      </c>
    </row>
    <row r="1274" spans="1:23" x14ac:dyDescent="0.25">
      <c r="A1274" t="s">
        <v>1321</v>
      </c>
      <c r="B1274" s="1">
        <v>46007</v>
      </c>
      <c r="C1274" s="1">
        <v>46013</v>
      </c>
      <c r="D1274" t="s">
        <v>47</v>
      </c>
      <c r="E1274" t="s">
        <v>48</v>
      </c>
      <c r="F1274" t="s">
        <v>29</v>
      </c>
      <c r="G1274" t="s">
        <v>16</v>
      </c>
      <c r="H1274" t="s">
        <v>21</v>
      </c>
      <c r="I1274">
        <v>1</v>
      </c>
      <c r="J1274">
        <v>0</v>
      </c>
      <c r="K1274">
        <v>166.33</v>
      </c>
      <c r="L1274">
        <v>6.8</v>
      </c>
      <c r="M1274" t="s">
        <v>2462</v>
      </c>
      <c r="N1274" t="s">
        <v>2458</v>
      </c>
      <c r="O1274" t="s">
        <v>2463</v>
      </c>
      <c r="P1274">
        <v>71.489999999999995</v>
      </c>
      <c r="Q1274">
        <v>112.88</v>
      </c>
      <c r="R1274">
        <v>71.489999999999995</v>
      </c>
      <c r="S1274">
        <v>88.04000000000002</v>
      </c>
      <c r="T1274">
        <v>0.52930920459327846</v>
      </c>
      <c r="U1274" s="1">
        <v>45992</v>
      </c>
      <c r="V1274" t="s">
        <v>2499</v>
      </c>
      <c r="W1274">
        <v>2025</v>
      </c>
    </row>
    <row r="1275" spans="1:23" x14ac:dyDescent="0.25">
      <c r="A1275" t="s">
        <v>1322</v>
      </c>
      <c r="B1275" s="1">
        <v>45995</v>
      </c>
      <c r="C1275" s="1">
        <v>45998</v>
      </c>
      <c r="D1275" t="s">
        <v>32</v>
      </c>
      <c r="E1275" t="s">
        <v>45</v>
      </c>
      <c r="F1275" t="s">
        <v>15</v>
      </c>
      <c r="G1275" t="s">
        <v>26</v>
      </c>
      <c r="H1275" t="s">
        <v>30</v>
      </c>
      <c r="I1275">
        <v>13</v>
      </c>
      <c r="J1275">
        <v>0.05</v>
      </c>
      <c r="K1275">
        <v>103.59</v>
      </c>
      <c r="L1275">
        <v>10.35</v>
      </c>
      <c r="M1275" t="s">
        <v>2473</v>
      </c>
      <c r="N1275" t="s">
        <v>2474</v>
      </c>
      <c r="O1275" t="s">
        <v>2463</v>
      </c>
      <c r="P1275">
        <v>3.62</v>
      </c>
      <c r="Q1275">
        <v>6.03</v>
      </c>
      <c r="R1275">
        <v>47.06</v>
      </c>
      <c r="S1275">
        <v>46.18</v>
      </c>
      <c r="T1275">
        <v>0.44579592624770731</v>
      </c>
      <c r="U1275" s="1">
        <v>45992</v>
      </c>
      <c r="V1275" t="s">
        <v>2498</v>
      </c>
      <c r="W1275">
        <v>2025</v>
      </c>
    </row>
    <row r="1276" spans="1:23" x14ac:dyDescent="0.25">
      <c r="A1276" t="s">
        <v>1323</v>
      </c>
      <c r="B1276" s="1">
        <v>45534</v>
      </c>
      <c r="C1276" s="1">
        <v>45538</v>
      </c>
      <c r="D1276" t="s">
        <v>47</v>
      </c>
      <c r="E1276" t="s">
        <v>48</v>
      </c>
      <c r="F1276" t="s">
        <v>29</v>
      </c>
      <c r="G1276" t="s">
        <v>26</v>
      </c>
      <c r="H1276" t="s">
        <v>17</v>
      </c>
      <c r="I1276">
        <v>1</v>
      </c>
      <c r="J1276">
        <v>0.25</v>
      </c>
      <c r="K1276">
        <v>86.59</v>
      </c>
      <c r="L1276">
        <v>5.75</v>
      </c>
      <c r="M1276" t="s">
        <v>2472</v>
      </c>
      <c r="N1276" t="s">
        <v>2467</v>
      </c>
      <c r="O1276" t="s">
        <v>2468</v>
      </c>
      <c r="P1276">
        <v>63.69</v>
      </c>
      <c r="Q1276">
        <v>125.5</v>
      </c>
      <c r="R1276">
        <v>63.69</v>
      </c>
      <c r="S1276">
        <v>17.150000000000006</v>
      </c>
      <c r="T1276">
        <v>0.19805982215036383</v>
      </c>
      <c r="U1276" s="1">
        <v>45505</v>
      </c>
      <c r="V1276" t="s">
        <v>2501</v>
      </c>
      <c r="W1276">
        <v>2024</v>
      </c>
    </row>
    <row r="1277" spans="1:23" x14ac:dyDescent="0.25">
      <c r="A1277" t="s">
        <v>1324</v>
      </c>
      <c r="B1277" s="1">
        <v>45615</v>
      </c>
      <c r="C1277" s="1">
        <v>45620</v>
      </c>
      <c r="D1277" t="s">
        <v>13</v>
      </c>
      <c r="E1277" t="s">
        <v>19</v>
      </c>
      <c r="F1277" t="s">
        <v>25</v>
      </c>
      <c r="G1277" t="s">
        <v>20</v>
      </c>
      <c r="H1277" t="s">
        <v>39</v>
      </c>
      <c r="I1277">
        <v>1</v>
      </c>
      <c r="J1277">
        <v>0</v>
      </c>
      <c r="K1277">
        <v>265.08</v>
      </c>
      <c r="L1277">
        <v>3.45</v>
      </c>
      <c r="M1277" t="s">
        <v>2471</v>
      </c>
      <c r="N1277" t="s">
        <v>2467</v>
      </c>
      <c r="O1277" t="s">
        <v>2461</v>
      </c>
      <c r="P1277">
        <v>112.09</v>
      </c>
      <c r="Q1277">
        <v>192.47</v>
      </c>
      <c r="R1277">
        <v>112.09</v>
      </c>
      <c r="S1277">
        <v>149.54</v>
      </c>
      <c r="T1277">
        <v>0.56413158291836429</v>
      </c>
      <c r="U1277" s="1">
        <v>45597</v>
      </c>
      <c r="V1277" t="s">
        <v>2499</v>
      </c>
      <c r="W1277">
        <v>2024</v>
      </c>
    </row>
    <row r="1278" spans="1:23" x14ac:dyDescent="0.25">
      <c r="A1278" t="s">
        <v>1325</v>
      </c>
      <c r="B1278" s="1">
        <v>45761</v>
      </c>
      <c r="C1278" s="1">
        <v>45765</v>
      </c>
      <c r="D1278" t="s">
        <v>23</v>
      </c>
      <c r="E1278" t="s">
        <v>24</v>
      </c>
      <c r="F1278" t="s">
        <v>29</v>
      </c>
      <c r="G1278" t="s">
        <v>26</v>
      </c>
      <c r="H1278" t="s">
        <v>53</v>
      </c>
      <c r="I1278">
        <v>4</v>
      </c>
      <c r="J1278">
        <v>0</v>
      </c>
      <c r="K1278">
        <v>215.1</v>
      </c>
      <c r="L1278">
        <v>5.7</v>
      </c>
      <c r="M1278" t="s">
        <v>2470</v>
      </c>
      <c r="N1278" t="s">
        <v>2467</v>
      </c>
      <c r="O1278" t="s">
        <v>2459</v>
      </c>
      <c r="P1278">
        <v>31.34</v>
      </c>
      <c r="Q1278">
        <v>56.49</v>
      </c>
      <c r="R1278">
        <v>125.36</v>
      </c>
      <c r="S1278">
        <v>84.039999999999992</v>
      </c>
      <c r="T1278">
        <v>0.39070199907019987</v>
      </c>
      <c r="U1278" s="1">
        <v>45748</v>
      </c>
      <c r="V1278" t="s">
        <v>2499</v>
      </c>
      <c r="W1278">
        <v>2025</v>
      </c>
    </row>
    <row r="1279" spans="1:23" x14ac:dyDescent="0.25">
      <c r="A1279" t="s">
        <v>1326</v>
      </c>
      <c r="B1279" s="1">
        <v>45682</v>
      </c>
      <c r="C1279" s="1">
        <v>45684</v>
      </c>
      <c r="D1279" t="s">
        <v>47</v>
      </c>
      <c r="E1279" t="s">
        <v>50</v>
      </c>
      <c r="F1279" t="s">
        <v>15</v>
      </c>
      <c r="G1279" t="s">
        <v>26</v>
      </c>
      <c r="H1279" t="s">
        <v>65</v>
      </c>
      <c r="I1279">
        <v>2</v>
      </c>
      <c r="J1279">
        <v>0.25</v>
      </c>
      <c r="K1279">
        <v>378.4</v>
      </c>
      <c r="L1279">
        <v>9.1</v>
      </c>
      <c r="M1279" t="s">
        <v>2457</v>
      </c>
      <c r="N1279" t="s">
        <v>2458</v>
      </c>
      <c r="O1279" t="s">
        <v>2459</v>
      </c>
      <c r="P1279">
        <v>173.56</v>
      </c>
      <c r="Q1279">
        <v>286.14999999999998</v>
      </c>
      <c r="R1279">
        <v>347.12</v>
      </c>
      <c r="S1279">
        <v>22.179999999999971</v>
      </c>
      <c r="T1279">
        <v>5.861522198731494E-2</v>
      </c>
      <c r="U1279" s="1">
        <v>45658</v>
      </c>
      <c r="V1279" t="s">
        <v>2501</v>
      </c>
      <c r="W1279">
        <v>2025</v>
      </c>
    </row>
    <row r="1280" spans="1:23" x14ac:dyDescent="0.25">
      <c r="A1280" t="s">
        <v>1327</v>
      </c>
      <c r="B1280" s="1">
        <v>45360</v>
      </c>
      <c r="C1280" s="1">
        <v>45364</v>
      </c>
      <c r="D1280" t="s">
        <v>13</v>
      </c>
      <c r="E1280" t="s">
        <v>14</v>
      </c>
      <c r="F1280" t="s">
        <v>25</v>
      </c>
      <c r="G1280" t="s">
        <v>20</v>
      </c>
      <c r="H1280" t="s">
        <v>53</v>
      </c>
      <c r="I1280">
        <v>1</v>
      </c>
      <c r="J1280">
        <v>0</v>
      </c>
      <c r="K1280">
        <v>50.63</v>
      </c>
      <c r="L1280">
        <v>3.45</v>
      </c>
      <c r="M1280" t="s">
        <v>2470</v>
      </c>
      <c r="N1280" t="s">
        <v>2467</v>
      </c>
      <c r="O1280" t="s">
        <v>2459</v>
      </c>
      <c r="P1280">
        <v>31.34</v>
      </c>
      <c r="Q1280">
        <v>56.49</v>
      </c>
      <c r="R1280">
        <v>31.34</v>
      </c>
      <c r="S1280">
        <v>15.840000000000003</v>
      </c>
      <c r="T1280">
        <v>0.3128579893343868</v>
      </c>
      <c r="U1280" s="1">
        <v>45352</v>
      </c>
      <c r="V1280" t="s">
        <v>2499</v>
      </c>
      <c r="W1280">
        <v>2024</v>
      </c>
    </row>
    <row r="1281" spans="1:23" x14ac:dyDescent="0.25">
      <c r="A1281" t="s">
        <v>1328</v>
      </c>
      <c r="B1281" s="1">
        <v>45296</v>
      </c>
      <c r="C1281" s="1">
        <v>45297</v>
      </c>
      <c r="D1281" t="s">
        <v>47</v>
      </c>
      <c r="E1281" t="s">
        <v>50</v>
      </c>
      <c r="F1281" t="s">
        <v>25</v>
      </c>
      <c r="G1281" t="s">
        <v>26</v>
      </c>
      <c r="H1281" t="s">
        <v>34</v>
      </c>
      <c r="I1281">
        <v>1</v>
      </c>
      <c r="J1281">
        <v>0</v>
      </c>
      <c r="K1281">
        <v>182.59</v>
      </c>
      <c r="L1281">
        <v>4.08</v>
      </c>
      <c r="M1281" t="s">
        <v>2460</v>
      </c>
      <c r="N1281" t="s">
        <v>2458</v>
      </c>
      <c r="O1281" t="s">
        <v>2461</v>
      </c>
      <c r="P1281">
        <v>119.02</v>
      </c>
      <c r="Q1281">
        <v>205.39</v>
      </c>
      <c r="R1281">
        <v>119.02</v>
      </c>
      <c r="S1281">
        <v>59.490000000000009</v>
      </c>
      <c r="T1281">
        <v>0.32581192836409445</v>
      </c>
      <c r="U1281" s="1">
        <v>45292</v>
      </c>
      <c r="V1281" t="s">
        <v>2499</v>
      </c>
      <c r="W1281">
        <v>2024</v>
      </c>
    </row>
    <row r="1282" spans="1:23" x14ac:dyDescent="0.25">
      <c r="A1282" t="s">
        <v>1329</v>
      </c>
      <c r="B1282" s="1">
        <v>45907</v>
      </c>
      <c r="C1282" s="1">
        <v>45911</v>
      </c>
      <c r="D1282" t="s">
        <v>32</v>
      </c>
      <c r="E1282" t="s">
        <v>33</v>
      </c>
      <c r="F1282" t="s">
        <v>29</v>
      </c>
      <c r="G1282" t="s">
        <v>16</v>
      </c>
      <c r="H1282" t="s">
        <v>68</v>
      </c>
      <c r="I1282">
        <v>7</v>
      </c>
      <c r="J1282">
        <v>0</v>
      </c>
      <c r="K1282">
        <v>382.42</v>
      </c>
      <c r="L1282">
        <v>13.25</v>
      </c>
      <c r="M1282" t="s">
        <v>2466</v>
      </c>
      <c r="N1282" t="s">
        <v>2467</v>
      </c>
      <c r="O1282" t="s">
        <v>2468</v>
      </c>
      <c r="P1282">
        <v>25.33</v>
      </c>
      <c r="Q1282">
        <v>51.56</v>
      </c>
      <c r="R1282">
        <v>177.31</v>
      </c>
      <c r="S1282">
        <v>191.86</v>
      </c>
      <c r="T1282">
        <v>0.50169970189843627</v>
      </c>
      <c r="U1282" s="1">
        <v>45901</v>
      </c>
      <c r="V1282" t="s">
        <v>2499</v>
      </c>
      <c r="W1282">
        <v>2025</v>
      </c>
    </row>
    <row r="1283" spans="1:23" x14ac:dyDescent="0.25">
      <c r="A1283" t="s">
        <v>1330</v>
      </c>
      <c r="B1283" s="1">
        <v>45973</v>
      </c>
      <c r="C1283" s="1">
        <v>45979</v>
      </c>
      <c r="D1283" t="s">
        <v>32</v>
      </c>
      <c r="E1283" t="s">
        <v>45</v>
      </c>
      <c r="F1283" t="s">
        <v>25</v>
      </c>
      <c r="G1283" t="s">
        <v>16</v>
      </c>
      <c r="H1283" t="s">
        <v>21</v>
      </c>
      <c r="I1283">
        <v>3</v>
      </c>
      <c r="J1283">
        <v>0.1</v>
      </c>
      <c r="K1283">
        <v>424.88</v>
      </c>
      <c r="L1283">
        <v>6.84</v>
      </c>
      <c r="M1283" t="s">
        <v>2462</v>
      </c>
      <c r="N1283" t="s">
        <v>2458</v>
      </c>
      <c r="O1283" t="s">
        <v>2463</v>
      </c>
      <c r="P1283">
        <v>71.489999999999995</v>
      </c>
      <c r="Q1283">
        <v>112.88</v>
      </c>
      <c r="R1283">
        <v>214.46999999999997</v>
      </c>
      <c r="S1283">
        <v>203.57000000000002</v>
      </c>
      <c r="T1283">
        <v>0.47912351722839397</v>
      </c>
      <c r="U1283" s="1">
        <v>45962</v>
      </c>
      <c r="V1283" t="s">
        <v>2498</v>
      </c>
      <c r="W1283">
        <v>2025</v>
      </c>
    </row>
    <row r="1284" spans="1:23" x14ac:dyDescent="0.25">
      <c r="A1284" t="s">
        <v>1331</v>
      </c>
      <c r="B1284" s="1">
        <v>45634</v>
      </c>
      <c r="C1284" s="1">
        <v>45640</v>
      </c>
      <c r="D1284" t="s">
        <v>23</v>
      </c>
      <c r="E1284" t="s">
        <v>59</v>
      </c>
      <c r="F1284" t="s">
        <v>15</v>
      </c>
      <c r="G1284" t="s">
        <v>16</v>
      </c>
      <c r="H1284" t="s">
        <v>60</v>
      </c>
      <c r="I1284">
        <v>4</v>
      </c>
      <c r="J1284">
        <v>0.15</v>
      </c>
      <c r="K1284">
        <v>547.52</v>
      </c>
      <c r="L1284">
        <v>9.5</v>
      </c>
      <c r="M1284" t="s">
        <v>2469</v>
      </c>
      <c r="N1284" t="s">
        <v>2467</v>
      </c>
      <c r="O1284" t="s">
        <v>2468</v>
      </c>
      <c r="P1284">
        <v>54.95</v>
      </c>
      <c r="Q1284">
        <v>112.56</v>
      </c>
      <c r="R1284">
        <v>219.8</v>
      </c>
      <c r="S1284">
        <v>318.21999999999997</v>
      </c>
      <c r="T1284">
        <v>0.58120251315020455</v>
      </c>
      <c r="U1284" s="1">
        <v>45627</v>
      </c>
      <c r="V1284" t="s">
        <v>2500</v>
      </c>
      <c r="W1284">
        <v>2024</v>
      </c>
    </row>
    <row r="1285" spans="1:23" x14ac:dyDescent="0.25">
      <c r="A1285" t="s">
        <v>1332</v>
      </c>
      <c r="B1285" s="1">
        <v>45651</v>
      </c>
      <c r="C1285" s="1">
        <v>45654</v>
      </c>
      <c r="D1285" t="s">
        <v>32</v>
      </c>
      <c r="E1285" t="s">
        <v>33</v>
      </c>
      <c r="F1285" t="s">
        <v>15</v>
      </c>
      <c r="G1285" t="s">
        <v>20</v>
      </c>
      <c r="H1285" t="s">
        <v>17</v>
      </c>
      <c r="I1285">
        <v>4</v>
      </c>
      <c r="J1285">
        <v>0.05</v>
      </c>
      <c r="K1285">
        <v>686.11</v>
      </c>
      <c r="L1285">
        <v>5.7</v>
      </c>
      <c r="M1285" t="s">
        <v>2472</v>
      </c>
      <c r="N1285" t="s">
        <v>2467</v>
      </c>
      <c r="O1285" t="s">
        <v>2468</v>
      </c>
      <c r="P1285">
        <v>63.69</v>
      </c>
      <c r="Q1285">
        <v>125.5</v>
      </c>
      <c r="R1285">
        <v>254.76</v>
      </c>
      <c r="S1285">
        <v>425.65000000000003</v>
      </c>
      <c r="T1285">
        <v>0.620381571468132</v>
      </c>
      <c r="U1285" s="1">
        <v>45627</v>
      </c>
      <c r="V1285" t="s">
        <v>2498</v>
      </c>
      <c r="W1285">
        <v>2024</v>
      </c>
    </row>
    <row r="1286" spans="1:23" x14ac:dyDescent="0.25">
      <c r="A1286" t="s">
        <v>1333</v>
      </c>
      <c r="B1286" s="1">
        <v>45379</v>
      </c>
      <c r="C1286" s="1">
        <v>45381</v>
      </c>
      <c r="D1286" t="s">
        <v>47</v>
      </c>
      <c r="E1286" t="s">
        <v>50</v>
      </c>
      <c r="F1286" t="s">
        <v>15</v>
      </c>
      <c r="G1286" t="s">
        <v>20</v>
      </c>
      <c r="H1286" t="s">
        <v>41</v>
      </c>
      <c r="I1286">
        <v>5</v>
      </c>
      <c r="J1286">
        <v>0</v>
      </c>
      <c r="K1286">
        <v>28.38</v>
      </c>
      <c r="L1286">
        <v>4.05</v>
      </c>
      <c r="M1286" t="s">
        <v>2479</v>
      </c>
      <c r="N1286" t="s">
        <v>2474</v>
      </c>
      <c r="O1286" t="s">
        <v>2459</v>
      </c>
      <c r="P1286">
        <v>3.3</v>
      </c>
      <c r="Q1286">
        <v>6.13</v>
      </c>
      <c r="R1286">
        <v>16.5</v>
      </c>
      <c r="S1286">
        <v>7.8299999999999992</v>
      </c>
      <c r="T1286">
        <v>0.27589852008456656</v>
      </c>
      <c r="U1286" s="1">
        <v>45352</v>
      </c>
      <c r="V1286" t="s">
        <v>2499</v>
      </c>
      <c r="W1286">
        <v>2024</v>
      </c>
    </row>
    <row r="1287" spans="1:23" x14ac:dyDescent="0.25">
      <c r="A1287" t="s">
        <v>1334</v>
      </c>
      <c r="B1287" s="1">
        <v>45844</v>
      </c>
      <c r="C1287" s="1">
        <v>45846</v>
      </c>
      <c r="D1287" t="s">
        <v>13</v>
      </c>
      <c r="E1287" t="s">
        <v>36</v>
      </c>
      <c r="F1287" t="s">
        <v>29</v>
      </c>
      <c r="G1287" t="s">
        <v>16</v>
      </c>
      <c r="H1287" t="s">
        <v>34</v>
      </c>
      <c r="I1287">
        <v>3</v>
      </c>
      <c r="J1287">
        <v>0</v>
      </c>
      <c r="K1287">
        <v>592.24</v>
      </c>
      <c r="L1287">
        <v>11.4</v>
      </c>
      <c r="M1287" t="s">
        <v>2460</v>
      </c>
      <c r="N1287" t="s">
        <v>2458</v>
      </c>
      <c r="O1287" t="s">
        <v>2461</v>
      </c>
      <c r="P1287">
        <v>119.02</v>
      </c>
      <c r="Q1287">
        <v>205.39</v>
      </c>
      <c r="R1287">
        <v>357.06</v>
      </c>
      <c r="S1287">
        <v>223.78</v>
      </c>
      <c r="T1287">
        <v>0.37785357287586113</v>
      </c>
      <c r="U1287" s="1">
        <v>45839</v>
      </c>
      <c r="V1287" t="s">
        <v>2499</v>
      </c>
      <c r="W1287">
        <v>2025</v>
      </c>
    </row>
    <row r="1288" spans="1:23" x14ac:dyDescent="0.25">
      <c r="A1288" t="s">
        <v>1335</v>
      </c>
      <c r="B1288" s="1">
        <v>45642</v>
      </c>
      <c r="C1288" s="1">
        <v>45644</v>
      </c>
      <c r="D1288" t="s">
        <v>23</v>
      </c>
      <c r="E1288" t="s">
        <v>59</v>
      </c>
      <c r="F1288" t="s">
        <v>15</v>
      </c>
      <c r="G1288" t="s">
        <v>26</v>
      </c>
      <c r="H1288" t="s">
        <v>60</v>
      </c>
      <c r="I1288">
        <v>4</v>
      </c>
      <c r="J1288">
        <v>0.2</v>
      </c>
      <c r="K1288">
        <v>537.71</v>
      </c>
      <c r="L1288">
        <v>9.5</v>
      </c>
      <c r="M1288" t="s">
        <v>2469</v>
      </c>
      <c r="N1288" t="s">
        <v>2467</v>
      </c>
      <c r="O1288" t="s">
        <v>2468</v>
      </c>
      <c r="P1288">
        <v>54.95</v>
      </c>
      <c r="Q1288">
        <v>112.56</v>
      </c>
      <c r="R1288">
        <v>219.8</v>
      </c>
      <c r="S1288">
        <v>308.41000000000003</v>
      </c>
      <c r="T1288">
        <v>0.5735619571888193</v>
      </c>
      <c r="U1288" s="1">
        <v>45627</v>
      </c>
      <c r="V1288" t="s">
        <v>2500</v>
      </c>
      <c r="W1288">
        <v>2024</v>
      </c>
    </row>
    <row r="1289" spans="1:23" x14ac:dyDescent="0.25">
      <c r="A1289" t="s">
        <v>1336</v>
      </c>
      <c r="B1289" s="1">
        <v>45670</v>
      </c>
      <c r="C1289" s="1">
        <v>45672</v>
      </c>
      <c r="D1289" t="s">
        <v>32</v>
      </c>
      <c r="E1289" t="s">
        <v>33</v>
      </c>
      <c r="F1289" t="s">
        <v>25</v>
      </c>
      <c r="G1289" t="s">
        <v>26</v>
      </c>
      <c r="H1289" t="s">
        <v>51</v>
      </c>
      <c r="I1289">
        <v>12</v>
      </c>
      <c r="J1289">
        <v>0</v>
      </c>
      <c r="K1289">
        <v>148</v>
      </c>
      <c r="L1289">
        <v>5.94</v>
      </c>
      <c r="M1289" t="s">
        <v>2475</v>
      </c>
      <c r="N1289" t="s">
        <v>2474</v>
      </c>
      <c r="O1289" t="s">
        <v>2463</v>
      </c>
      <c r="P1289">
        <v>7.93</v>
      </c>
      <c r="Q1289">
        <v>14.78</v>
      </c>
      <c r="R1289">
        <v>95.16</v>
      </c>
      <c r="S1289">
        <v>46.900000000000006</v>
      </c>
      <c r="T1289">
        <v>0.31689189189189193</v>
      </c>
      <c r="U1289" s="1">
        <v>45658</v>
      </c>
      <c r="V1289" t="s">
        <v>2499</v>
      </c>
      <c r="W1289">
        <v>2025</v>
      </c>
    </row>
    <row r="1290" spans="1:23" x14ac:dyDescent="0.25">
      <c r="A1290" t="s">
        <v>1337</v>
      </c>
      <c r="B1290" s="1">
        <v>45501</v>
      </c>
      <c r="C1290" s="1">
        <v>45503</v>
      </c>
      <c r="D1290" t="s">
        <v>32</v>
      </c>
      <c r="E1290" t="s">
        <v>33</v>
      </c>
      <c r="F1290" t="s">
        <v>29</v>
      </c>
      <c r="G1290" t="s">
        <v>16</v>
      </c>
      <c r="H1290" t="s">
        <v>60</v>
      </c>
      <c r="I1290">
        <v>1</v>
      </c>
      <c r="J1290">
        <v>0.2</v>
      </c>
      <c r="K1290">
        <v>80.959999999999994</v>
      </c>
      <c r="L1290">
        <v>5.75</v>
      </c>
      <c r="M1290" t="s">
        <v>2469</v>
      </c>
      <c r="N1290" t="s">
        <v>2467</v>
      </c>
      <c r="O1290" t="s">
        <v>2468</v>
      </c>
      <c r="P1290">
        <v>54.95</v>
      </c>
      <c r="Q1290">
        <v>112.56</v>
      </c>
      <c r="R1290">
        <v>54.95</v>
      </c>
      <c r="S1290">
        <v>20.259999999999991</v>
      </c>
      <c r="T1290">
        <v>0.25024703557312244</v>
      </c>
      <c r="U1290" s="1">
        <v>45474</v>
      </c>
      <c r="V1290" t="s">
        <v>2500</v>
      </c>
      <c r="W1290">
        <v>2024</v>
      </c>
    </row>
    <row r="1291" spans="1:23" x14ac:dyDescent="0.25">
      <c r="A1291" t="s">
        <v>1338</v>
      </c>
      <c r="B1291" s="1">
        <v>45647</v>
      </c>
      <c r="C1291" s="1">
        <v>45649</v>
      </c>
      <c r="D1291" t="s">
        <v>13</v>
      </c>
      <c r="E1291" t="s">
        <v>14</v>
      </c>
      <c r="F1291" t="s">
        <v>29</v>
      </c>
      <c r="G1291" t="s">
        <v>20</v>
      </c>
      <c r="H1291" t="s">
        <v>60</v>
      </c>
      <c r="I1291">
        <v>4</v>
      </c>
      <c r="J1291">
        <v>0.25</v>
      </c>
      <c r="K1291">
        <v>476.54</v>
      </c>
      <c r="L1291">
        <v>5.7</v>
      </c>
      <c r="M1291" t="s">
        <v>2469</v>
      </c>
      <c r="N1291" t="s">
        <v>2467</v>
      </c>
      <c r="O1291" t="s">
        <v>2468</v>
      </c>
      <c r="P1291">
        <v>54.95</v>
      </c>
      <c r="Q1291">
        <v>112.56</v>
      </c>
      <c r="R1291">
        <v>219.8</v>
      </c>
      <c r="S1291">
        <v>251.04000000000002</v>
      </c>
      <c r="T1291">
        <v>0.52679733075922275</v>
      </c>
      <c r="U1291" s="1">
        <v>45627</v>
      </c>
      <c r="V1291" t="s">
        <v>2501</v>
      </c>
      <c r="W1291">
        <v>2024</v>
      </c>
    </row>
    <row r="1292" spans="1:23" x14ac:dyDescent="0.25">
      <c r="A1292" t="s">
        <v>1339</v>
      </c>
      <c r="B1292" s="1">
        <v>45298</v>
      </c>
      <c r="C1292" s="1">
        <v>45303</v>
      </c>
      <c r="D1292" t="s">
        <v>13</v>
      </c>
      <c r="E1292" t="s">
        <v>19</v>
      </c>
      <c r="F1292" t="s">
        <v>25</v>
      </c>
      <c r="G1292" t="s">
        <v>20</v>
      </c>
      <c r="H1292" t="s">
        <v>39</v>
      </c>
      <c r="I1292">
        <v>4</v>
      </c>
      <c r="J1292">
        <v>0</v>
      </c>
      <c r="K1292">
        <v>663.57</v>
      </c>
      <c r="L1292">
        <v>5.7</v>
      </c>
      <c r="M1292" t="s">
        <v>2471</v>
      </c>
      <c r="N1292" t="s">
        <v>2467</v>
      </c>
      <c r="O1292" t="s">
        <v>2461</v>
      </c>
      <c r="P1292">
        <v>112.09</v>
      </c>
      <c r="Q1292">
        <v>192.47</v>
      </c>
      <c r="R1292">
        <v>448.36</v>
      </c>
      <c r="S1292">
        <v>209.51000000000005</v>
      </c>
      <c r="T1292">
        <v>0.31573157315731576</v>
      </c>
      <c r="U1292" s="1">
        <v>45292</v>
      </c>
      <c r="V1292" t="s">
        <v>2499</v>
      </c>
      <c r="W1292">
        <v>2024</v>
      </c>
    </row>
    <row r="1293" spans="1:23" x14ac:dyDescent="0.25">
      <c r="A1293" t="s">
        <v>1340</v>
      </c>
      <c r="B1293" s="1">
        <v>45438</v>
      </c>
      <c r="C1293" s="1">
        <v>45444</v>
      </c>
      <c r="D1293" t="s">
        <v>47</v>
      </c>
      <c r="E1293" t="s">
        <v>50</v>
      </c>
      <c r="F1293" t="s">
        <v>29</v>
      </c>
      <c r="G1293" t="s">
        <v>20</v>
      </c>
      <c r="H1293" t="s">
        <v>17</v>
      </c>
      <c r="I1293">
        <v>2</v>
      </c>
      <c r="J1293">
        <v>0.25</v>
      </c>
      <c r="K1293">
        <v>203.34</v>
      </c>
      <c r="L1293">
        <v>7</v>
      </c>
      <c r="M1293" t="s">
        <v>2472</v>
      </c>
      <c r="N1293" t="s">
        <v>2467</v>
      </c>
      <c r="O1293" t="s">
        <v>2468</v>
      </c>
      <c r="P1293">
        <v>63.69</v>
      </c>
      <c r="Q1293">
        <v>125.5</v>
      </c>
      <c r="R1293">
        <v>127.38</v>
      </c>
      <c r="S1293">
        <v>68.960000000000008</v>
      </c>
      <c r="T1293">
        <v>0.33913642175666375</v>
      </c>
      <c r="U1293" s="1">
        <v>45413</v>
      </c>
      <c r="V1293" t="s">
        <v>2501</v>
      </c>
      <c r="W1293">
        <v>2024</v>
      </c>
    </row>
    <row r="1294" spans="1:23" x14ac:dyDescent="0.25">
      <c r="A1294" t="s">
        <v>1341</v>
      </c>
      <c r="B1294" s="1">
        <v>45689</v>
      </c>
      <c r="C1294" s="1">
        <v>45691</v>
      </c>
      <c r="D1294" t="s">
        <v>47</v>
      </c>
      <c r="E1294" t="s">
        <v>71</v>
      </c>
      <c r="F1294" t="s">
        <v>15</v>
      </c>
      <c r="G1294" t="s">
        <v>20</v>
      </c>
      <c r="H1294" t="s">
        <v>27</v>
      </c>
      <c r="I1294">
        <v>3</v>
      </c>
      <c r="J1294">
        <v>0</v>
      </c>
      <c r="K1294">
        <v>77.5</v>
      </c>
      <c r="L1294">
        <v>3.51</v>
      </c>
      <c r="M1294" t="s">
        <v>2478</v>
      </c>
      <c r="N1294" t="s">
        <v>2474</v>
      </c>
      <c r="O1294" t="s">
        <v>2463</v>
      </c>
      <c r="P1294">
        <v>16.760000000000002</v>
      </c>
      <c r="Q1294">
        <v>27.71</v>
      </c>
      <c r="R1294">
        <v>50.28</v>
      </c>
      <c r="S1294">
        <v>23.71</v>
      </c>
      <c r="T1294">
        <v>0.30593548387096775</v>
      </c>
      <c r="U1294" s="1">
        <v>45689</v>
      </c>
      <c r="V1294" t="s">
        <v>2499</v>
      </c>
      <c r="W1294">
        <v>2025</v>
      </c>
    </row>
    <row r="1295" spans="1:23" x14ac:dyDescent="0.25">
      <c r="A1295" t="s">
        <v>1342</v>
      </c>
      <c r="B1295" s="1">
        <v>45843</v>
      </c>
      <c r="C1295" s="1">
        <v>45847</v>
      </c>
      <c r="D1295" t="s">
        <v>47</v>
      </c>
      <c r="E1295" t="s">
        <v>71</v>
      </c>
      <c r="F1295" t="s">
        <v>15</v>
      </c>
      <c r="G1295" t="s">
        <v>16</v>
      </c>
      <c r="H1295" t="s">
        <v>53</v>
      </c>
      <c r="I1295">
        <v>4</v>
      </c>
      <c r="J1295">
        <v>0.1</v>
      </c>
      <c r="K1295">
        <v>181.01</v>
      </c>
      <c r="L1295">
        <v>5.7</v>
      </c>
      <c r="M1295" t="s">
        <v>2470</v>
      </c>
      <c r="N1295" t="s">
        <v>2467</v>
      </c>
      <c r="O1295" t="s">
        <v>2459</v>
      </c>
      <c r="P1295">
        <v>31.34</v>
      </c>
      <c r="Q1295">
        <v>56.49</v>
      </c>
      <c r="R1295">
        <v>125.36</v>
      </c>
      <c r="S1295">
        <v>49.949999999999989</v>
      </c>
      <c r="T1295">
        <v>0.27595160488370801</v>
      </c>
      <c r="U1295" s="1">
        <v>45839</v>
      </c>
      <c r="V1295" t="s">
        <v>2498</v>
      </c>
      <c r="W1295">
        <v>2025</v>
      </c>
    </row>
    <row r="1296" spans="1:23" x14ac:dyDescent="0.25">
      <c r="A1296" t="s">
        <v>1343</v>
      </c>
      <c r="B1296" s="1">
        <v>45736</v>
      </c>
      <c r="C1296" s="1">
        <v>45738</v>
      </c>
      <c r="D1296" t="s">
        <v>13</v>
      </c>
      <c r="E1296" t="s">
        <v>36</v>
      </c>
      <c r="F1296" t="s">
        <v>25</v>
      </c>
      <c r="G1296" t="s">
        <v>20</v>
      </c>
      <c r="H1296" t="s">
        <v>27</v>
      </c>
      <c r="I1296">
        <v>5</v>
      </c>
      <c r="J1296">
        <v>0</v>
      </c>
      <c r="K1296">
        <v>126.9</v>
      </c>
      <c r="L1296">
        <v>4.05</v>
      </c>
      <c r="M1296" t="s">
        <v>2478</v>
      </c>
      <c r="N1296" t="s">
        <v>2474</v>
      </c>
      <c r="O1296" t="s">
        <v>2463</v>
      </c>
      <c r="P1296">
        <v>16.760000000000002</v>
      </c>
      <c r="Q1296">
        <v>27.71</v>
      </c>
      <c r="R1296">
        <v>83.800000000000011</v>
      </c>
      <c r="S1296">
        <v>39.049999999999997</v>
      </c>
      <c r="T1296">
        <v>0.30772261623325448</v>
      </c>
      <c r="U1296" s="1">
        <v>45717</v>
      </c>
      <c r="V1296" t="s">
        <v>2499</v>
      </c>
      <c r="W1296">
        <v>2025</v>
      </c>
    </row>
    <row r="1297" spans="1:23" x14ac:dyDescent="0.25">
      <c r="A1297" t="s">
        <v>1344</v>
      </c>
      <c r="B1297" s="1">
        <v>45574</v>
      </c>
      <c r="C1297" s="1">
        <v>45579</v>
      </c>
      <c r="D1297" t="s">
        <v>23</v>
      </c>
      <c r="E1297" t="s">
        <v>24</v>
      </c>
      <c r="F1297" t="s">
        <v>25</v>
      </c>
      <c r="G1297" t="s">
        <v>16</v>
      </c>
      <c r="H1297" t="s">
        <v>87</v>
      </c>
      <c r="I1297">
        <v>8</v>
      </c>
      <c r="J1297">
        <v>0.05</v>
      </c>
      <c r="K1297">
        <v>74.849999999999994</v>
      </c>
      <c r="L1297">
        <v>8.1</v>
      </c>
      <c r="M1297" t="s">
        <v>2476</v>
      </c>
      <c r="N1297" t="s">
        <v>2474</v>
      </c>
      <c r="O1297" t="s">
        <v>2459</v>
      </c>
      <c r="P1297">
        <v>4.5</v>
      </c>
      <c r="Q1297">
        <v>8.2899999999999991</v>
      </c>
      <c r="R1297">
        <v>36</v>
      </c>
      <c r="S1297">
        <v>30.749999999999993</v>
      </c>
      <c r="T1297">
        <v>0.41082164328657306</v>
      </c>
      <c r="U1297" s="1">
        <v>45566</v>
      </c>
      <c r="V1297" t="s">
        <v>2498</v>
      </c>
      <c r="W1297">
        <v>2024</v>
      </c>
    </row>
    <row r="1298" spans="1:23" x14ac:dyDescent="0.25">
      <c r="A1298" t="s">
        <v>1345</v>
      </c>
      <c r="B1298" s="1">
        <v>45744</v>
      </c>
      <c r="C1298" s="1">
        <v>45748</v>
      </c>
      <c r="D1298" t="s">
        <v>13</v>
      </c>
      <c r="E1298" t="s">
        <v>36</v>
      </c>
      <c r="F1298" t="s">
        <v>15</v>
      </c>
      <c r="G1298" t="s">
        <v>20</v>
      </c>
      <c r="H1298" t="s">
        <v>68</v>
      </c>
      <c r="I1298">
        <v>1</v>
      </c>
      <c r="J1298">
        <v>0.15</v>
      </c>
      <c r="K1298">
        <v>41.43</v>
      </c>
      <c r="L1298">
        <v>3.45</v>
      </c>
      <c r="M1298" t="s">
        <v>2466</v>
      </c>
      <c r="N1298" t="s">
        <v>2467</v>
      </c>
      <c r="O1298" t="s">
        <v>2468</v>
      </c>
      <c r="P1298">
        <v>25.33</v>
      </c>
      <c r="Q1298">
        <v>51.56</v>
      </c>
      <c r="R1298">
        <v>25.33</v>
      </c>
      <c r="S1298">
        <v>12.650000000000002</v>
      </c>
      <c r="T1298">
        <v>0.30533429881728219</v>
      </c>
      <c r="U1298" s="1">
        <v>45717</v>
      </c>
      <c r="V1298" t="s">
        <v>2500</v>
      </c>
      <c r="W1298">
        <v>2025</v>
      </c>
    </row>
    <row r="1299" spans="1:23" x14ac:dyDescent="0.25">
      <c r="A1299" t="s">
        <v>1346</v>
      </c>
      <c r="B1299" s="1">
        <v>45926</v>
      </c>
      <c r="C1299" s="1">
        <v>45931</v>
      </c>
      <c r="D1299" t="s">
        <v>13</v>
      </c>
      <c r="E1299" t="s">
        <v>36</v>
      </c>
      <c r="F1299" t="s">
        <v>15</v>
      </c>
      <c r="G1299" t="s">
        <v>20</v>
      </c>
      <c r="H1299" t="s">
        <v>53</v>
      </c>
      <c r="I1299">
        <v>5</v>
      </c>
      <c r="J1299">
        <v>0</v>
      </c>
      <c r="K1299">
        <v>309.32</v>
      </c>
      <c r="L1299">
        <v>6.45</v>
      </c>
      <c r="M1299" t="s">
        <v>2470</v>
      </c>
      <c r="N1299" t="s">
        <v>2467</v>
      </c>
      <c r="O1299" t="s">
        <v>2459</v>
      </c>
      <c r="P1299">
        <v>31.34</v>
      </c>
      <c r="Q1299">
        <v>56.49</v>
      </c>
      <c r="R1299">
        <v>156.69999999999999</v>
      </c>
      <c r="S1299">
        <v>146.17000000000002</v>
      </c>
      <c r="T1299">
        <v>0.47255269623690682</v>
      </c>
      <c r="U1299" s="1">
        <v>45901</v>
      </c>
      <c r="V1299" t="s">
        <v>2499</v>
      </c>
      <c r="W1299">
        <v>2025</v>
      </c>
    </row>
    <row r="1300" spans="1:23" x14ac:dyDescent="0.25">
      <c r="A1300" t="s">
        <v>1347</v>
      </c>
      <c r="B1300" s="1">
        <v>45674</v>
      </c>
      <c r="C1300" s="1">
        <v>45676</v>
      </c>
      <c r="D1300" t="s">
        <v>23</v>
      </c>
      <c r="E1300" t="s">
        <v>24</v>
      </c>
      <c r="F1300" t="s">
        <v>15</v>
      </c>
      <c r="G1300" t="s">
        <v>16</v>
      </c>
      <c r="H1300" t="s">
        <v>27</v>
      </c>
      <c r="I1300">
        <v>13</v>
      </c>
      <c r="J1300">
        <v>0</v>
      </c>
      <c r="K1300">
        <v>332.29</v>
      </c>
      <c r="L1300">
        <v>10.35</v>
      </c>
      <c r="M1300" t="s">
        <v>2478</v>
      </c>
      <c r="N1300" t="s">
        <v>2474</v>
      </c>
      <c r="O1300" t="s">
        <v>2463</v>
      </c>
      <c r="P1300">
        <v>16.760000000000002</v>
      </c>
      <c r="Q1300">
        <v>27.71</v>
      </c>
      <c r="R1300">
        <v>217.88000000000002</v>
      </c>
      <c r="S1300">
        <v>104.06</v>
      </c>
      <c r="T1300">
        <v>0.31316019139907908</v>
      </c>
      <c r="U1300" s="1">
        <v>45658</v>
      </c>
      <c r="V1300" t="s">
        <v>2499</v>
      </c>
      <c r="W1300">
        <v>2025</v>
      </c>
    </row>
    <row r="1301" spans="1:23" x14ac:dyDescent="0.25">
      <c r="A1301" t="s">
        <v>1348</v>
      </c>
      <c r="B1301" s="1">
        <v>45443</v>
      </c>
      <c r="C1301" s="1">
        <v>45444</v>
      </c>
      <c r="D1301" t="s">
        <v>13</v>
      </c>
      <c r="E1301" t="s">
        <v>19</v>
      </c>
      <c r="F1301" t="s">
        <v>15</v>
      </c>
      <c r="G1301" t="s">
        <v>20</v>
      </c>
      <c r="H1301" t="s">
        <v>37</v>
      </c>
      <c r="I1301">
        <v>2</v>
      </c>
      <c r="J1301">
        <v>0.1</v>
      </c>
      <c r="K1301">
        <v>190.89</v>
      </c>
      <c r="L1301">
        <v>9.1</v>
      </c>
      <c r="M1301" t="s">
        <v>2464</v>
      </c>
      <c r="N1301" t="s">
        <v>2458</v>
      </c>
      <c r="O1301" t="s">
        <v>2465</v>
      </c>
      <c r="P1301">
        <v>63.6</v>
      </c>
      <c r="Q1301">
        <v>107.94</v>
      </c>
      <c r="R1301">
        <v>127.2</v>
      </c>
      <c r="S1301">
        <v>54.589999999999982</v>
      </c>
      <c r="T1301">
        <v>0.28597621666928591</v>
      </c>
      <c r="U1301" s="1">
        <v>45413</v>
      </c>
      <c r="V1301" t="s">
        <v>2498</v>
      </c>
      <c r="W1301">
        <v>2024</v>
      </c>
    </row>
    <row r="1302" spans="1:23" x14ac:dyDescent="0.25">
      <c r="A1302" t="s">
        <v>1349</v>
      </c>
      <c r="B1302" s="1">
        <v>45960</v>
      </c>
      <c r="C1302" s="1">
        <v>45962</v>
      </c>
      <c r="D1302" t="s">
        <v>23</v>
      </c>
      <c r="E1302" t="s">
        <v>24</v>
      </c>
      <c r="F1302" t="s">
        <v>29</v>
      </c>
      <c r="G1302" t="s">
        <v>16</v>
      </c>
      <c r="H1302" t="s">
        <v>51</v>
      </c>
      <c r="I1302">
        <v>11</v>
      </c>
      <c r="J1302">
        <v>0.25</v>
      </c>
      <c r="K1302">
        <v>133.36000000000001</v>
      </c>
      <c r="L1302">
        <v>5.67</v>
      </c>
      <c r="M1302" t="s">
        <v>2475</v>
      </c>
      <c r="N1302" t="s">
        <v>2474</v>
      </c>
      <c r="O1302" t="s">
        <v>2463</v>
      </c>
      <c r="P1302">
        <v>7.93</v>
      </c>
      <c r="Q1302">
        <v>14.78</v>
      </c>
      <c r="R1302">
        <v>87.22999999999999</v>
      </c>
      <c r="S1302">
        <v>40.460000000000022</v>
      </c>
      <c r="T1302">
        <v>0.30338932213557301</v>
      </c>
      <c r="U1302" s="1">
        <v>45931</v>
      </c>
      <c r="V1302" t="s">
        <v>2501</v>
      </c>
      <c r="W1302">
        <v>2025</v>
      </c>
    </row>
    <row r="1303" spans="1:23" x14ac:dyDescent="0.25">
      <c r="A1303" t="s">
        <v>1350</v>
      </c>
      <c r="B1303" s="1">
        <v>45968</v>
      </c>
      <c r="C1303" s="1">
        <v>45974</v>
      </c>
      <c r="D1303" t="s">
        <v>47</v>
      </c>
      <c r="E1303" t="s">
        <v>71</v>
      </c>
      <c r="F1303" t="s">
        <v>29</v>
      </c>
      <c r="G1303" t="s">
        <v>26</v>
      </c>
      <c r="H1303" t="s">
        <v>41</v>
      </c>
      <c r="I1303">
        <v>10</v>
      </c>
      <c r="J1303">
        <v>0</v>
      </c>
      <c r="K1303">
        <v>86.82</v>
      </c>
      <c r="L1303">
        <v>9</v>
      </c>
      <c r="M1303" t="s">
        <v>2479</v>
      </c>
      <c r="N1303" t="s">
        <v>2474</v>
      </c>
      <c r="O1303" t="s">
        <v>2459</v>
      </c>
      <c r="P1303">
        <v>3.3</v>
      </c>
      <c r="Q1303">
        <v>6.13</v>
      </c>
      <c r="R1303">
        <v>33</v>
      </c>
      <c r="S1303">
        <v>44.819999999999993</v>
      </c>
      <c r="T1303">
        <v>0.5162404975812025</v>
      </c>
      <c r="U1303" s="1">
        <v>45962</v>
      </c>
      <c r="V1303" t="s">
        <v>2499</v>
      </c>
      <c r="W1303">
        <v>2025</v>
      </c>
    </row>
    <row r="1304" spans="1:23" x14ac:dyDescent="0.25">
      <c r="A1304" t="s">
        <v>1351</v>
      </c>
      <c r="B1304" s="1">
        <v>45867</v>
      </c>
      <c r="C1304" s="1">
        <v>45868</v>
      </c>
      <c r="D1304" t="s">
        <v>32</v>
      </c>
      <c r="E1304" t="s">
        <v>45</v>
      </c>
      <c r="F1304" t="s">
        <v>29</v>
      </c>
      <c r="G1304" t="s">
        <v>16</v>
      </c>
      <c r="H1304" t="s">
        <v>63</v>
      </c>
      <c r="I1304">
        <v>12</v>
      </c>
      <c r="J1304">
        <v>0.25</v>
      </c>
      <c r="K1304">
        <v>97.91</v>
      </c>
      <c r="L1304">
        <v>9.9</v>
      </c>
      <c r="M1304" t="s">
        <v>2477</v>
      </c>
      <c r="N1304" t="s">
        <v>2474</v>
      </c>
      <c r="O1304" t="s">
        <v>2468</v>
      </c>
      <c r="P1304">
        <v>6.33</v>
      </c>
      <c r="Q1304">
        <v>12.16</v>
      </c>
      <c r="R1304">
        <v>75.960000000000008</v>
      </c>
      <c r="S1304">
        <v>12.049999999999988</v>
      </c>
      <c r="T1304">
        <v>0.12307220917168817</v>
      </c>
      <c r="U1304" s="1">
        <v>45839</v>
      </c>
      <c r="V1304" t="s">
        <v>2501</v>
      </c>
      <c r="W1304">
        <v>2025</v>
      </c>
    </row>
    <row r="1305" spans="1:23" x14ac:dyDescent="0.25">
      <c r="A1305" t="s">
        <v>1352</v>
      </c>
      <c r="B1305" s="1">
        <v>45990</v>
      </c>
      <c r="C1305" s="1">
        <v>45994</v>
      </c>
      <c r="D1305" t="s">
        <v>13</v>
      </c>
      <c r="E1305" t="s">
        <v>36</v>
      </c>
      <c r="F1305" t="s">
        <v>25</v>
      </c>
      <c r="G1305" t="s">
        <v>26</v>
      </c>
      <c r="H1305" t="s">
        <v>41</v>
      </c>
      <c r="I1305">
        <v>12</v>
      </c>
      <c r="J1305">
        <v>0</v>
      </c>
      <c r="K1305">
        <v>102.84</v>
      </c>
      <c r="L1305">
        <v>9.9</v>
      </c>
      <c r="M1305" t="s">
        <v>2479</v>
      </c>
      <c r="N1305" t="s">
        <v>2474</v>
      </c>
      <c r="O1305" t="s">
        <v>2459</v>
      </c>
      <c r="P1305">
        <v>3.3</v>
      </c>
      <c r="Q1305">
        <v>6.13</v>
      </c>
      <c r="R1305">
        <v>39.599999999999994</v>
      </c>
      <c r="S1305">
        <v>53.340000000000011</v>
      </c>
      <c r="T1305">
        <v>0.51866977829638283</v>
      </c>
      <c r="U1305" s="1">
        <v>45962</v>
      </c>
      <c r="V1305" t="s">
        <v>2499</v>
      </c>
      <c r="W1305">
        <v>2025</v>
      </c>
    </row>
    <row r="1306" spans="1:23" x14ac:dyDescent="0.25">
      <c r="A1306" t="s">
        <v>1353</v>
      </c>
      <c r="B1306" s="1">
        <v>45354</v>
      </c>
      <c r="C1306" s="1">
        <v>45356</v>
      </c>
      <c r="D1306" t="s">
        <v>23</v>
      </c>
      <c r="E1306" t="s">
        <v>59</v>
      </c>
      <c r="F1306" t="s">
        <v>29</v>
      </c>
      <c r="G1306" t="s">
        <v>16</v>
      </c>
      <c r="H1306" t="s">
        <v>21</v>
      </c>
      <c r="I1306">
        <v>1</v>
      </c>
      <c r="J1306">
        <v>0</v>
      </c>
      <c r="K1306">
        <v>105.75</v>
      </c>
      <c r="L1306">
        <v>4.08</v>
      </c>
      <c r="M1306" t="s">
        <v>2462</v>
      </c>
      <c r="N1306" t="s">
        <v>2458</v>
      </c>
      <c r="O1306" t="s">
        <v>2463</v>
      </c>
      <c r="P1306">
        <v>71.489999999999995</v>
      </c>
      <c r="Q1306">
        <v>112.88</v>
      </c>
      <c r="R1306">
        <v>71.489999999999995</v>
      </c>
      <c r="S1306">
        <v>30.180000000000007</v>
      </c>
      <c r="T1306">
        <v>0.28539007092198587</v>
      </c>
      <c r="U1306" s="1">
        <v>45352</v>
      </c>
      <c r="V1306" t="s">
        <v>2499</v>
      </c>
      <c r="W1306">
        <v>2024</v>
      </c>
    </row>
    <row r="1307" spans="1:23" x14ac:dyDescent="0.25">
      <c r="A1307" t="s">
        <v>1354</v>
      </c>
      <c r="B1307" s="1">
        <v>45775</v>
      </c>
      <c r="C1307" s="1">
        <v>45779</v>
      </c>
      <c r="D1307" t="s">
        <v>23</v>
      </c>
      <c r="E1307" t="s">
        <v>43</v>
      </c>
      <c r="F1307" t="s">
        <v>29</v>
      </c>
      <c r="G1307" t="s">
        <v>16</v>
      </c>
      <c r="H1307" t="s">
        <v>51</v>
      </c>
      <c r="I1307">
        <v>13</v>
      </c>
      <c r="J1307">
        <v>0</v>
      </c>
      <c r="K1307">
        <v>181.58</v>
      </c>
      <c r="L1307">
        <v>10.35</v>
      </c>
      <c r="M1307" t="s">
        <v>2475</v>
      </c>
      <c r="N1307" t="s">
        <v>2474</v>
      </c>
      <c r="O1307" t="s">
        <v>2463</v>
      </c>
      <c r="P1307">
        <v>7.93</v>
      </c>
      <c r="Q1307">
        <v>14.78</v>
      </c>
      <c r="R1307">
        <v>103.09</v>
      </c>
      <c r="S1307">
        <v>68.140000000000015</v>
      </c>
      <c r="T1307">
        <v>0.37526159268641929</v>
      </c>
      <c r="U1307" s="1">
        <v>45748</v>
      </c>
      <c r="V1307" t="s">
        <v>2499</v>
      </c>
      <c r="W1307">
        <v>2025</v>
      </c>
    </row>
    <row r="1308" spans="1:23" x14ac:dyDescent="0.25">
      <c r="A1308" t="s">
        <v>1355</v>
      </c>
      <c r="B1308" s="1">
        <v>45356</v>
      </c>
      <c r="C1308" s="1">
        <v>45358</v>
      </c>
      <c r="D1308" t="s">
        <v>47</v>
      </c>
      <c r="E1308" t="s">
        <v>48</v>
      </c>
      <c r="F1308" t="s">
        <v>25</v>
      </c>
      <c r="G1308" t="s">
        <v>20</v>
      </c>
      <c r="H1308" t="s">
        <v>87</v>
      </c>
      <c r="I1308">
        <v>13</v>
      </c>
      <c r="J1308">
        <v>0</v>
      </c>
      <c r="K1308">
        <v>104.89</v>
      </c>
      <c r="L1308">
        <v>6.21</v>
      </c>
      <c r="M1308" t="s">
        <v>2476</v>
      </c>
      <c r="N1308" t="s">
        <v>2474</v>
      </c>
      <c r="O1308" t="s">
        <v>2459</v>
      </c>
      <c r="P1308">
        <v>4.5</v>
      </c>
      <c r="Q1308">
        <v>8.2899999999999991</v>
      </c>
      <c r="R1308">
        <v>58.5</v>
      </c>
      <c r="S1308">
        <v>40.18</v>
      </c>
      <c r="T1308">
        <v>0.38306797597483078</v>
      </c>
      <c r="U1308" s="1">
        <v>45352</v>
      </c>
      <c r="V1308" t="s">
        <v>2499</v>
      </c>
      <c r="W1308">
        <v>2024</v>
      </c>
    </row>
    <row r="1309" spans="1:23" x14ac:dyDescent="0.25">
      <c r="A1309" t="s">
        <v>1356</v>
      </c>
      <c r="B1309" s="1">
        <v>45825</v>
      </c>
      <c r="C1309" s="1">
        <v>45828</v>
      </c>
      <c r="D1309" t="s">
        <v>47</v>
      </c>
      <c r="E1309" t="s">
        <v>50</v>
      </c>
      <c r="F1309" t="s">
        <v>15</v>
      </c>
      <c r="G1309" t="s">
        <v>20</v>
      </c>
      <c r="H1309" t="s">
        <v>53</v>
      </c>
      <c r="I1309">
        <v>4</v>
      </c>
      <c r="J1309">
        <v>0</v>
      </c>
      <c r="K1309">
        <v>248.49</v>
      </c>
      <c r="L1309">
        <v>9.5</v>
      </c>
      <c r="M1309" t="s">
        <v>2470</v>
      </c>
      <c r="N1309" t="s">
        <v>2467</v>
      </c>
      <c r="O1309" t="s">
        <v>2459</v>
      </c>
      <c r="P1309">
        <v>31.34</v>
      </c>
      <c r="Q1309">
        <v>56.49</v>
      </c>
      <c r="R1309">
        <v>125.36</v>
      </c>
      <c r="S1309">
        <v>113.63000000000001</v>
      </c>
      <c r="T1309">
        <v>0.45728198317839752</v>
      </c>
      <c r="U1309" s="1">
        <v>45809</v>
      </c>
      <c r="V1309" t="s">
        <v>2499</v>
      </c>
      <c r="W1309">
        <v>2025</v>
      </c>
    </row>
    <row r="1310" spans="1:23" x14ac:dyDescent="0.25">
      <c r="A1310" t="s">
        <v>1357</v>
      </c>
      <c r="B1310" s="1">
        <v>45620</v>
      </c>
      <c r="C1310" s="1">
        <v>45624</v>
      </c>
      <c r="D1310" t="s">
        <v>13</v>
      </c>
      <c r="E1310" t="s">
        <v>19</v>
      </c>
      <c r="F1310" t="s">
        <v>25</v>
      </c>
      <c r="G1310" t="s">
        <v>26</v>
      </c>
      <c r="H1310" t="s">
        <v>60</v>
      </c>
      <c r="I1310">
        <v>1</v>
      </c>
      <c r="J1310">
        <v>0</v>
      </c>
      <c r="K1310">
        <v>143.19999999999999</v>
      </c>
      <c r="L1310">
        <v>3.45</v>
      </c>
      <c r="M1310" t="s">
        <v>2469</v>
      </c>
      <c r="N1310" t="s">
        <v>2467</v>
      </c>
      <c r="O1310" t="s">
        <v>2468</v>
      </c>
      <c r="P1310">
        <v>54.95</v>
      </c>
      <c r="Q1310">
        <v>112.56</v>
      </c>
      <c r="R1310">
        <v>54.95</v>
      </c>
      <c r="S1310">
        <v>84.799999999999983</v>
      </c>
      <c r="T1310">
        <v>0.5921787709497206</v>
      </c>
      <c r="U1310" s="1">
        <v>45597</v>
      </c>
      <c r="V1310" t="s">
        <v>2499</v>
      </c>
      <c r="W1310">
        <v>2024</v>
      </c>
    </row>
    <row r="1311" spans="1:23" x14ac:dyDescent="0.25">
      <c r="A1311" t="s">
        <v>1358</v>
      </c>
      <c r="B1311" s="1">
        <v>45320</v>
      </c>
      <c r="C1311" s="1">
        <v>45326</v>
      </c>
      <c r="D1311" t="s">
        <v>23</v>
      </c>
      <c r="E1311" t="s">
        <v>59</v>
      </c>
      <c r="F1311" t="s">
        <v>25</v>
      </c>
      <c r="G1311" t="s">
        <v>20</v>
      </c>
      <c r="H1311" t="s">
        <v>65</v>
      </c>
      <c r="I1311">
        <v>3</v>
      </c>
      <c r="J1311">
        <v>0.2</v>
      </c>
      <c r="K1311">
        <v>597.97</v>
      </c>
      <c r="L1311">
        <v>6.84</v>
      </c>
      <c r="M1311" t="s">
        <v>2457</v>
      </c>
      <c r="N1311" t="s">
        <v>2458</v>
      </c>
      <c r="O1311" t="s">
        <v>2459</v>
      </c>
      <c r="P1311">
        <v>173.56</v>
      </c>
      <c r="Q1311">
        <v>286.14999999999998</v>
      </c>
      <c r="R1311">
        <v>520.68000000000006</v>
      </c>
      <c r="S1311">
        <v>70.44999999999996</v>
      </c>
      <c r="T1311">
        <v>0.11781527501379661</v>
      </c>
      <c r="U1311" s="1">
        <v>45292</v>
      </c>
      <c r="V1311" t="s">
        <v>2500</v>
      </c>
      <c r="W1311">
        <v>2024</v>
      </c>
    </row>
    <row r="1312" spans="1:23" x14ac:dyDescent="0.25">
      <c r="A1312" t="s">
        <v>1359</v>
      </c>
      <c r="B1312" s="1">
        <v>45294</v>
      </c>
      <c r="C1312" s="1">
        <v>45298</v>
      </c>
      <c r="D1312" t="s">
        <v>13</v>
      </c>
      <c r="E1312" t="s">
        <v>36</v>
      </c>
      <c r="F1312" t="s">
        <v>29</v>
      </c>
      <c r="G1312" t="s">
        <v>20</v>
      </c>
      <c r="H1312" t="s">
        <v>63</v>
      </c>
      <c r="I1312">
        <v>14</v>
      </c>
      <c r="J1312">
        <v>0</v>
      </c>
      <c r="K1312">
        <v>146.33000000000001</v>
      </c>
      <c r="L1312">
        <v>6.48</v>
      </c>
      <c r="M1312" t="s">
        <v>2477</v>
      </c>
      <c r="N1312" t="s">
        <v>2474</v>
      </c>
      <c r="O1312" t="s">
        <v>2468</v>
      </c>
      <c r="P1312">
        <v>6.33</v>
      </c>
      <c r="Q1312">
        <v>12.16</v>
      </c>
      <c r="R1312">
        <v>88.62</v>
      </c>
      <c r="S1312">
        <v>51.230000000000004</v>
      </c>
      <c r="T1312">
        <v>0.35009909109546916</v>
      </c>
      <c r="U1312" s="1">
        <v>45292</v>
      </c>
      <c r="V1312" t="s">
        <v>2499</v>
      </c>
      <c r="W1312">
        <v>2024</v>
      </c>
    </row>
    <row r="1313" spans="1:23" x14ac:dyDescent="0.25">
      <c r="A1313" t="s">
        <v>1360</v>
      </c>
      <c r="B1313" s="1">
        <v>45676</v>
      </c>
      <c r="C1313" s="1">
        <v>45680</v>
      </c>
      <c r="D1313" t="s">
        <v>23</v>
      </c>
      <c r="E1313" t="s">
        <v>24</v>
      </c>
      <c r="F1313" t="s">
        <v>29</v>
      </c>
      <c r="G1313" t="s">
        <v>20</v>
      </c>
      <c r="H1313" t="s">
        <v>30</v>
      </c>
      <c r="I1313">
        <v>11</v>
      </c>
      <c r="J1313">
        <v>0.05</v>
      </c>
      <c r="K1313">
        <v>56.05</v>
      </c>
      <c r="L1313">
        <v>9.4499999999999993</v>
      </c>
      <c r="M1313" t="s">
        <v>2473</v>
      </c>
      <c r="N1313" t="s">
        <v>2474</v>
      </c>
      <c r="O1313" t="s">
        <v>2463</v>
      </c>
      <c r="P1313">
        <v>3.62</v>
      </c>
      <c r="Q1313">
        <v>6.03</v>
      </c>
      <c r="R1313">
        <v>39.82</v>
      </c>
      <c r="S1313">
        <v>6.7799999999999976</v>
      </c>
      <c r="T1313">
        <v>0.12096342551293485</v>
      </c>
      <c r="U1313" s="1">
        <v>45658</v>
      </c>
      <c r="V1313" t="s">
        <v>2498</v>
      </c>
      <c r="W1313">
        <v>2025</v>
      </c>
    </row>
    <row r="1314" spans="1:23" x14ac:dyDescent="0.25">
      <c r="A1314" t="s">
        <v>1361</v>
      </c>
      <c r="B1314" s="1">
        <v>45994</v>
      </c>
      <c r="C1314" s="1">
        <v>45998</v>
      </c>
      <c r="D1314" t="s">
        <v>13</v>
      </c>
      <c r="E1314" t="s">
        <v>19</v>
      </c>
      <c r="F1314" t="s">
        <v>29</v>
      </c>
      <c r="G1314" t="s">
        <v>20</v>
      </c>
      <c r="H1314" t="s">
        <v>87</v>
      </c>
      <c r="I1314">
        <v>12</v>
      </c>
      <c r="J1314">
        <v>0</v>
      </c>
      <c r="K1314">
        <v>143.72999999999999</v>
      </c>
      <c r="L1314">
        <v>5.94</v>
      </c>
      <c r="M1314" t="s">
        <v>2476</v>
      </c>
      <c r="N1314" t="s">
        <v>2474</v>
      </c>
      <c r="O1314" t="s">
        <v>2459</v>
      </c>
      <c r="P1314">
        <v>4.5</v>
      </c>
      <c r="Q1314">
        <v>8.2899999999999991</v>
      </c>
      <c r="R1314">
        <v>54</v>
      </c>
      <c r="S1314">
        <v>83.789999999999992</v>
      </c>
      <c r="T1314">
        <v>0.58296806512210397</v>
      </c>
      <c r="U1314" s="1">
        <v>45992</v>
      </c>
      <c r="V1314" t="s">
        <v>2499</v>
      </c>
      <c r="W1314">
        <v>2025</v>
      </c>
    </row>
    <row r="1315" spans="1:23" x14ac:dyDescent="0.25">
      <c r="A1315" t="s">
        <v>1362</v>
      </c>
      <c r="B1315" s="1">
        <v>45459</v>
      </c>
      <c r="C1315" s="1">
        <v>45464</v>
      </c>
      <c r="D1315" t="s">
        <v>13</v>
      </c>
      <c r="E1315" t="s">
        <v>19</v>
      </c>
      <c r="F1315" t="s">
        <v>25</v>
      </c>
      <c r="G1315" t="s">
        <v>20</v>
      </c>
      <c r="H1315" t="s">
        <v>51</v>
      </c>
      <c r="I1315">
        <v>8</v>
      </c>
      <c r="J1315">
        <v>0</v>
      </c>
      <c r="K1315">
        <v>127.1</v>
      </c>
      <c r="L1315">
        <v>4.8600000000000003</v>
      </c>
      <c r="M1315" t="s">
        <v>2475</v>
      </c>
      <c r="N1315" t="s">
        <v>2474</v>
      </c>
      <c r="O1315" t="s">
        <v>2463</v>
      </c>
      <c r="P1315">
        <v>7.93</v>
      </c>
      <c r="Q1315">
        <v>14.78</v>
      </c>
      <c r="R1315">
        <v>63.44</v>
      </c>
      <c r="S1315">
        <v>58.8</v>
      </c>
      <c r="T1315">
        <v>0.46262785208497248</v>
      </c>
      <c r="U1315" s="1">
        <v>45444</v>
      </c>
      <c r="V1315" t="s">
        <v>2499</v>
      </c>
      <c r="W1315">
        <v>2024</v>
      </c>
    </row>
    <row r="1316" spans="1:23" x14ac:dyDescent="0.25">
      <c r="A1316" t="s">
        <v>1363</v>
      </c>
      <c r="B1316" s="1">
        <v>45439</v>
      </c>
      <c r="C1316" s="1">
        <v>45443</v>
      </c>
      <c r="D1316" t="s">
        <v>47</v>
      </c>
      <c r="E1316" t="s">
        <v>48</v>
      </c>
      <c r="F1316" t="s">
        <v>15</v>
      </c>
      <c r="G1316" t="s">
        <v>20</v>
      </c>
      <c r="H1316" t="s">
        <v>63</v>
      </c>
      <c r="I1316">
        <v>14</v>
      </c>
      <c r="J1316">
        <v>0.1</v>
      </c>
      <c r="K1316">
        <v>161.30000000000001</v>
      </c>
      <c r="L1316">
        <v>10.8</v>
      </c>
      <c r="M1316" t="s">
        <v>2477</v>
      </c>
      <c r="N1316" t="s">
        <v>2474</v>
      </c>
      <c r="O1316" t="s">
        <v>2468</v>
      </c>
      <c r="P1316">
        <v>6.33</v>
      </c>
      <c r="Q1316">
        <v>12.16</v>
      </c>
      <c r="R1316">
        <v>88.62</v>
      </c>
      <c r="S1316">
        <v>61.88000000000001</v>
      </c>
      <c r="T1316">
        <v>0.38363298202107876</v>
      </c>
      <c r="U1316" s="1">
        <v>45413</v>
      </c>
      <c r="V1316" t="s">
        <v>2498</v>
      </c>
      <c r="W1316">
        <v>2024</v>
      </c>
    </row>
    <row r="1317" spans="1:23" x14ac:dyDescent="0.25">
      <c r="A1317" t="s">
        <v>1364</v>
      </c>
      <c r="B1317" s="1">
        <v>45744</v>
      </c>
      <c r="C1317" s="1">
        <v>45748</v>
      </c>
      <c r="D1317" t="s">
        <v>23</v>
      </c>
      <c r="E1317" t="s">
        <v>24</v>
      </c>
      <c r="F1317" t="s">
        <v>29</v>
      </c>
      <c r="G1317" t="s">
        <v>20</v>
      </c>
      <c r="H1317" t="s">
        <v>60</v>
      </c>
      <c r="I1317">
        <v>4</v>
      </c>
      <c r="J1317">
        <v>0</v>
      </c>
      <c r="K1317">
        <v>442.99</v>
      </c>
      <c r="L1317">
        <v>5.7</v>
      </c>
      <c r="M1317" t="s">
        <v>2469</v>
      </c>
      <c r="N1317" t="s">
        <v>2467</v>
      </c>
      <c r="O1317" t="s">
        <v>2468</v>
      </c>
      <c r="P1317">
        <v>54.95</v>
      </c>
      <c r="Q1317">
        <v>112.56</v>
      </c>
      <c r="R1317">
        <v>219.8</v>
      </c>
      <c r="S1317">
        <v>217.49</v>
      </c>
      <c r="T1317">
        <v>0.49095916386374411</v>
      </c>
      <c r="U1317" s="1">
        <v>45717</v>
      </c>
      <c r="V1317" t="s">
        <v>2499</v>
      </c>
      <c r="W1317">
        <v>2025</v>
      </c>
    </row>
    <row r="1318" spans="1:23" x14ac:dyDescent="0.25">
      <c r="A1318" t="s">
        <v>1365</v>
      </c>
      <c r="B1318" s="1">
        <v>45916</v>
      </c>
      <c r="C1318" s="1">
        <v>45919</v>
      </c>
      <c r="D1318" t="s">
        <v>32</v>
      </c>
      <c r="E1318" t="s">
        <v>45</v>
      </c>
      <c r="F1318" t="s">
        <v>15</v>
      </c>
      <c r="G1318" t="s">
        <v>26</v>
      </c>
      <c r="H1318" t="s">
        <v>21</v>
      </c>
      <c r="I1318">
        <v>2</v>
      </c>
      <c r="J1318">
        <v>0.15</v>
      </c>
      <c r="K1318">
        <v>197.33</v>
      </c>
      <c r="L1318">
        <v>9.1</v>
      </c>
      <c r="M1318" t="s">
        <v>2462</v>
      </c>
      <c r="N1318" t="s">
        <v>2458</v>
      </c>
      <c r="O1318" t="s">
        <v>2463</v>
      </c>
      <c r="P1318">
        <v>71.489999999999995</v>
      </c>
      <c r="Q1318">
        <v>112.88</v>
      </c>
      <c r="R1318">
        <v>142.97999999999999</v>
      </c>
      <c r="S1318">
        <v>45.250000000000021</v>
      </c>
      <c r="T1318">
        <v>0.22931130593422194</v>
      </c>
      <c r="U1318" s="1">
        <v>45901</v>
      </c>
      <c r="V1318" t="s">
        <v>2500</v>
      </c>
      <c r="W1318">
        <v>2025</v>
      </c>
    </row>
    <row r="1319" spans="1:23" x14ac:dyDescent="0.25">
      <c r="A1319" t="s">
        <v>1366</v>
      </c>
      <c r="B1319" s="1">
        <v>45943</v>
      </c>
      <c r="C1319" s="1">
        <v>45944</v>
      </c>
      <c r="D1319" t="s">
        <v>47</v>
      </c>
      <c r="E1319" t="s">
        <v>48</v>
      </c>
      <c r="F1319" t="s">
        <v>25</v>
      </c>
      <c r="G1319" t="s">
        <v>16</v>
      </c>
      <c r="H1319" t="s">
        <v>51</v>
      </c>
      <c r="I1319">
        <v>8</v>
      </c>
      <c r="J1319">
        <v>0.25</v>
      </c>
      <c r="K1319">
        <v>108.27</v>
      </c>
      <c r="L1319">
        <v>8.1</v>
      </c>
      <c r="M1319" t="s">
        <v>2475</v>
      </c>
      <c r="N1319" t="s">
        <v>2474</v>
      </c>
      <c r="O1319" t="s">
        <v>2463</v>
      </c>
      <c r="P1319">
        <v>7.93</v>
      </c>
      <c r="Q1319">
        <v>14.78</v>
      </c>
      <c r="R1319">
        <v>63.44</v>
      </c>
      <c r="S1319">
        <v>36.729999999999997</v>
      </c>
      <c r="T1319">
        <v>0.33924448138911978</v>
      </c>
      <c r="U1319" s="1">
        <v>45931</v>
      </c>
      <c r="V1319" t="s">
        <v>2501</v>
      </c>
      <c r="W1319">
        <v>2025</v>
      </c>
    </row>
    <row r="1320" spans="1:23" x14ac:dyDescent="0.25">
      <c r="A1320" t="s">
        <v>1367</v>
      </c>
      <c r="B1320" s="1">
        <v>45626</v>
      </c>
      <c r="C1320" s="1">
        <v>45627</v>
      </c>
      <c r="D1320" t="s">
        <v>32</v>
      </c>
      <c r="E1320" t="s">
        <v>62</v>
      </c>
      <c r="F1320" t="s">
        <v>15</v>
      </c>
      <c r="G1320" t="s">
        <v>16</v>
      </c>
      <c r="H1320" t="s">
        <v>53</v>
      </c>
      <c r="I1320">
        <v>2</v>
      </c>
      <c r="J1320">
        <v>0.25</v>
      </c>
      <c r="K1320">
        <v>109.73</v>
      </c>
      <c r="L1320">
        <v>7</v>
      </c>
      <c r="M1320" t="s">
        <v>2470</v>
      </c>
      <c r="N1320" t="s">
        <v>2467</v>
      </c>
      <c r="O1320" t="s">
        <v>2459</v>
      </c>
      <c r="P1320">
        <v>31.34</v>
      </c>
      <c r="Q1320">
        <v>56.49</v>
      </c>
      <c r="R1320">
        <v>62.68</v>
      </c>
      <c r="S1320">
        <v>40.050000000000004</v>
      </c>
      <c r="T1320">
        <v>0.36498678574683319</v>
      </c>
      <c r="U1320" s="1">
        <v>45597</v>
      </c>
      <c r="V1320" t="s">
        <v>2501</v>
      </c>
      <c r="W1320">
        <v>2024</v>
      </c>
    </row>
    <row r="1321" spans="1:23" x14ac:dyDescent="0.25">
      <c r="A1321" t="s">
        <v>1368</v>
      </c>
      <c r="B1321" s="1">
        <v>45703</v>
      </c>
      <c r="C1321" s="1">
        <v>45708</v>
      </c>
      <c r="D1321" t="s">
        <v>13</v>
      </c>
      <c r="E1321" t="s">
        <v>36</v>
      </c>
      <c r="F1321" t="s">
        <v>29</v>
      </c>
      <c r="G1321" t="s">
        <v>16</v>
      </c>
      <c r="H1321" t="s">
        <v>51</v>
      </c>
      <c r="I1321">
        <v>4</v>
      </c>
      <c r="J1321">
        <v>0.05</v>
      </c>
      <c r="K1321">
        <v>51.25</v>
      </c>
      <c r="L1321">
        <v>3.78</v>
      </c>
      <c r="M1321" t="s">
        <v>2475</v>
      </c>
      <c r="N1321" t="s">
        <v>2474</v>
      </c>
      <c r="O1321" t="s">
        <v>2463</v>
      </c>
      <c r="P1321">
        <v>7.93</v>
      </c>
      <c r="Q1321">
        <v>14.78</v>
      </c>
      <c r="R1321">
        <v>31.72</v>
      </c>
      <c r="S1321">
        <v>15.750000000000002</v>
      </c>
      <c r="T1321">
        <v>0.30731707317073176</v>
      </c>
      <c r="U1321" s="1">
        <v>45689</v>
      </c>
      <c r="V1321" t="s">
        <v>2498</v>
      </c>
      <c r="W1321">
        <v>2025</v>
      </c>
    </row>
    <row r="1322" spans="1:23" x14ac:dyDescent="0.25">
      <c r="A1322" t="s">
        <v>1369</v>
      </c>
      <c r="B1322" s="1">
        <v>45999</v>
      </c>
      <c r="C1322" s="1">
        <v>46005</v>
      </c>
      <c r="D1322" t="s">
        <v>47</v>
      </c>
      <c r="E1322" t="s">
        <v>48</v>
      </c>
      <c r="F1322" t="s">
        <v>25</v>
      </c>
      <c r="G1322" t="s">
        <v>20</v>
      </c>
      <c r="H1322" t="s">
        <v>34</v>
      </c>
      <c r="I1322">
        <v>2</v>
      </c>
      <c r="J1322">
        <v>0</v>
      </c>
      <c r="K1322">
        <v>558.44000000000005</v>
      </c>
      <c r="L1322">
        <v>5.46</v>
      </c>
      <c r="M1322" t="s">
        <v>2460</v>
      </c>
      <c r="N1322" t="s">
        <v>2458</v>
      </c>
      <c r="O1322" t="s">
        <v>2461</v>
      </c>
      <c r="P1322">
        <v>119.02</v>
      </c>
      <c r="Q1322">
        <v>205.39</v>
      </c>
      <c r="R1322">
        <v>238.04</v>
      </c>
      <c r="S1322">
        <v>314.94000000000011</v>
      </c>
      <c r="T1322">
        <v>0.56396389943413805</v>
      </c>
      <c r="U1322" s="1">
        <v>45992</v>
      </c>
      <c r="V1322" t="s">
        <v>2499</v>
      </c>
      <c r="W1322">
        <v>2025</v>
      </c>
    </row>
    <row r="1323" spans="1:23" x14ac:dyDescent="0.25">
      <c r="A1323" t="s">
        <v>1370</v>
      </c>
      <c r="B1323" s="1">
        <v>45521</v>
      </c>
      <c r="C1323" s="1">
        <v>45525</v>
      </c>
      <c r="D1323" t="s">
        <v>13</v>
      </c>
      <c r="E1323" t="s">
        <v>36</v>
      </c>
      <c r="F1323" t="s">
        <v>25</v>
      </c>
      <c r="G1323" t="s">
        <v>26</v>
      </c>
      <c r="H1323" t="s">
        <v>17</v>
      </c>
      <c r="I1323">
        <v>2</v>
      </c>
      <c r="J1323">
        <v>0</v>
      </c>
      <c r="K1323">
        <v>231.66</v>
      </c>
      <c r="L1323">
        <v>7</v>
      </c>
      <c r="M1323" t="s">
        <v>2472</v>
      </c>
      <c r="N1323" t="s">
        <v>2467</v>
      </c>
      <c r="O1323" t="s">
        <v>2468</v>
      </c>
      <c r="P1323">
        <v>63.69</v>
      </c>
      <c r="Q1323">
        <v>125.5</v>
      </c>
      <c r="R1323">
        <v>127.38</v>
      </c>
      <c r="S1323">
        <v>97.28</v>
      </c>
      <c r="T1323">
        <v>0.4199257532590866</v>
      </c>
      <c r="U1323" s="1">
        <v>45505</v>
      </c>
      <c r="V1323" t="s">
        <v>2499</v>
      </c>
      <c r="W1323">
        <v>2024</v>
      </c>
    </row>
    <row r="1324" spans="1:23" x14ac:dyDescent="0.25">
      <c r="A1324" t="s">
        <v>1371</v>
      </c>
      <c r="B1324" s="1">
        <v>45355</v>
      </c>
      <c r="C1324" s="1">
        <v>45357</v>
      </c>
      <c r="D1324" t="s">
        <v>47</v>
      </c>
      <c r="E1324" t="s">
        <v>48</v>
      </c>
      <c r="F1324" t="s">
        <v>29</v>
      </c>
      <c r="G1324" t="s">
        <v>20</v>
      </c>
      <c r="H1324" t="s">
        <v>68</v>
      </c>
      <c r="I1324">
        <v>4</v>
      </c>
      <c r="J1324">
        <v>0</v>
      </c>
      <c r="K1324">
        <v>191.92</v>
      </c>
      <c r="L1324">
        <v>9.5</v>
      </c>
      <c r="M1324" t="s">
        <v>2466</v>
      </c>
      <c r="N1324" t="s">
        <v>2467</v>
      </c>
      <c r="O1324" t="s">
        <v>2468</v>
      </c>
      <c r="P1324">
        <v>25.33</v>
      </c>
      <c r="Q1324">
        <v>51.56</v>
      </c>
      <c r="R1324">
        <v>101.32</v>
      </c>
      <c r="S1324">
        <v>81.099999999999994</v>
      </c>
      <c r="T1324">
        <v>0.42257190496040015</v>
      </c>
      <c r="U1324" s="1">
        <v>45352</v>
      </c>
      <c r="V1324" t="s">
        <v>2499</v>
      </c>
      <c r="W1324">
        <v>2024</v>
      </c>
    </row>
    <row r="1325" spans="1:23" x14ac:dyDescent="0.25">
      <c r="A1325" t="s">
        <v>1372</v>
      </c>
      <c r="B1325" s="1">
        <v>45532</v>
      </c>
      <c r="C1325" s="1">
        <v>45534</v>
      </c>
      <c r="D1325" t="s">
        <v>23</v>
      </c>
      <c r="E1325" t="s">
        <v>43</v>
      </c>
      <c r="F1325" t="s">
        <v>15</v>
      </c>
      <c r="G1325" t="s">
        <v>26</v>
      </c>
      <c r="H1325" t="s">
        <v>17</v>
      </c>
      <c r="I1325">
        <v>1</v>
      </c>
      <c r="J1325">
        <v>0.2</v>
      </c>
      <c r="K1325">
        <v>90.27</v>
      </c>
      <c r="L1325">
        <v>5.75</v>
      </c>
      <c r="M1325" t="s">
        <v>2472</v>
      </c>
      <c r="N1325" t="s">
        <v>2467</v>
      </c>
      <c r="O1325" t="s">
        <v>2468</v>
      </c>
      <c r="P1325">
        <v>63.69</v>
      </c>
      <c r="Q1325">
        <v>125.5</v>
      </c>
      <c r="R1325">
        <v>63.69</v>
      </c>
      <c r="S1325">
        <v>20.83</v>
      </c>
      <c r="T1325">
        <v>0.23075218788080204</v>
      </c>
      <c r="U1325" s="1">
        <v>45505</v>
      </c>
      <c r="V1325" t="s">
        <v>2500</v>
      </c>
      <c r="W1325">
        <v>2024</v>
      </c>
    </row>
    <row r="1326" spans="1:23" x14ac:dyDescent="0.25">
      <c r="A1326" t="s">
        <v>1373</v>
      </c>
      <c r="B1326" s="1">
        <v>45708</v>
      </c>
      <c r="C1326" s="1">
        <v>45714</v>
      </c>
      <c r="D1326" t="s">
        <v>13</v>
      </c>
      <c r="E1326" t="s">
        <v>36</v>
      </c>
      <c r="F1326" t="s">
        <v>25</v>
      </c>
      <c r="G1326" t="s">
        <v>16</v>
      </c>
      <c r="H1326" t="s">
        <v>63</v>
      </c>
      <c r="I1326">
        <v>20</v>
      </c>
      <c r="J1326">
        <v>0.05</v>
      </c>
      <c r="K1326">
        <v>195.69</v>
      </c>
      <c r="L1326">
        <v>13.5</v>
      </c>
      <c r="M1326" t="s">
        <v>2477</v>
      </c>
      <c r="N1326" t="s">
        <v>2474</v>
      </c>
      <c r="O1326" t="s">
        <v>2468</v>
      </c>
      <c r="P1326">
        <v>6.33</v>
      </c>
      <c r="Q1326">
        <v>12.16</v>
      </c>
      <c r="R1326">
        <v>126.6</v>
      </c>
      <c r="S1326">
        <v>55.59</v>
      </c>
      <c r="T1326">
        <v>0.28407174612908176</v>
      </c>
      <c r="U1326" s="1">
        <v>45689</v>
      </c>
      <c r="V1326" t="s">
        <v>2498</v>
      </c>
      <c r="W1326">
        <v>2025</v>
      </c>
    </row>
    <row r="1327" spans="1:23" x14ac:dyDescent="0.25">
      <c r="A1327" t="s">
        <v>1374</v>
      </c>
      <c r="B1327" s="1">
        <v>45350</v>
      </c>
      <c r="C1327" s="1">
        <v>45351</v>
      </c>
      <c r="D1327" t="s">
        <v>32</v>
      </c>
      <c r="E1327" t="s">
        <v>45</v>
      </c>
      <c r="F1327" t="s">
        <v>25</v>
      </c>
      <c r="G1327" t="s">
        <v>20</v>
      </c>
      <c r="H1327" t="s">
        <v>53</v>
      </c>
      <c r="I1327">
        <v>3</v>
      </c>
      <c r="J1327">
        <v>0.2</v>
      </c>
      <c r="K1327">
        <v>118.97</v>
      </c>
      <c r="L1327">
        <v>8.25</v>
      </c>
      <c r="M1327" t="s">
        <v>2470</v>
      </c>
      <c r="N1327" t="s">
        <v>2467</v>
      </c>
      <c r="O1327" t="s">
        <v>2459</v>
      </c>
      <c r="P1327">
        <v>31.34</v>
      </c>
      <c r="Q1327">
        <v>56.49</v>
      </c>
      <c r="R1327">
        <v>94.02</v>
      </c>
      <c r="S1327">
        <v>16.700000000000003</v>
      </c>
      <c r="T1327">
        <v>0.1403715222324956</v>
      </c>
      <c r="U1327" s="1">
        <v>45323</v>
      </c>
      <c r="V1327" t="s">
        <v>2500</v>
      </c>
      <c r="W1327">
        <v>2024</v>
      </c>
    </row>
    <row r="1328" spans="1:23" x14ac:dyDescent="0.25">
      <c r="A1328" t="s">
        <v>1375</v>
      </c>
      <c r="B1328" s="1">
        <v>45751</v>
      </c>
      <c r="C1328" s="1">
        <v>45755</v>
      </c>
      <c r="D1328" t="s">
        <v>47</v>
      </c>
      <c r="E1328" t="s">
        <v>50</v>
      </c>
      <c r="F1328" t="s">
        <v>29</v>
      </c>
      <c r="G1328" t="s">
        <v>16</v>
      </c>
      <c r="H1328" t="s">
        <v>87</v>
      </c>
      <c r="I1328">
        <v>6</v>
      </c>
      <c r="J1328">
        <v>0.1</v>
      </c>
      <c r="K1328">
        <v>44.57</v>
      </c>
      <c r="L1328">
        <v>7.2</v>
      </c>
      <c r="M1328" t="s">
        <v>2476</v>
      </c>
      <c r="N1328" t="s">
        <v>2474</v>
      </c>
      <c r="O1328" t="s">
        <v>2459</v>
      </c>
      <c r="P1328">
        <v>4.5</v>
      </c>
      <c r="Q1328">
        <v>8.2899999999999991</v>
      </c>
      <c r="R1328">
        <v>27</v>
      </c>
      <c r="S1328">
        <v>10.370000000000001</v>
      </c>
      <c r="T1328">
        <v>0.23266771370877273</v>
      </c>
      <c r="U1328" s="1">
        <v>45748</v>
      </c>
      <c r="V1328" t="s">
        <v>2498</v>
      </c>
      <c r="W1328">
        <v>2025</v>
      </c>
    </row>
    <row r="1329" spans="1:23" x14ac:dyDescent="0.25">
      <c r="A1329" t="s">
        <v>1376</v>
      </c>
      <c r="B1329" s="1">
        <v>45337</v>
      </c>
      <c r="C1329" s="1">
        <v>45339</v>
      </c>
      <c r="D1329" t="s">
        <v>47</v>
      </c>
      <c r="E1329" t="s">
        <v>71</v>
      </c>
      <c r="F1329" t="s">
        <v>15</v>
      </c>
      <c r="G1329" t="s">
        <v>16</v>
      </c>
      <c r="H1329" t="s">
        <v>68</v>
      </c>
      <c r="I1329">
        <v>3</v>
      </c>
      <c r="J1329">
        <v>0.1</v>
      </c>
      <c r="K1329">
        <v>120.48</v>
      </c>
      <c r="L1329">
        <v>8.25</v>
      </c>
      <c r="M1329" t="s">
        <v>2466</v>
      </c>
      <c r="N1329" t="s">
        <v>2467</v>
      </c>
      <c r="O1329" t="s">
        <v>2468</v>
      </c>
      <c r="P1329">
        <v>25.33</v>
      </c>
      <c r="Q1329">
        <v>51.56</v>
      </c>
      <c r="R1329">
        <v>75.989999999999995</v>
      </c>
      <c r="S1329">
        <v>36.240000000000009</v>
      </c>
      <c r="T1329">
        <v>0.30079681274900405</v>
      </c>
      <c r="U1329" s="1">
        <v>45323</v>
      </c>
      <c r="V1329" t="s">
        <v>2498</v>
      </c>
      <c r="W1329">
        <v>2024</v>
      </c>
    </row>
    <row r="1330" spans="1:23" x14ac:dyDescent="0.25">
      <c r="A1330" t="s">
        <v>1377</v>
      </c>
      <c r="B1330" s="1">
        <v>45506</v>
      </c>
      <c r="C1330" s="1">
        <v>45511</v>
      </c>
      <c r="D1330" t="s">
        <v>23</v>
      </c>
      <c r="E1330" t="s">
        <v>43</v>
      </c>
      <c r="F1330" t="s">
        <v>15</v>
      </c>
      <c r="G1330" t="s">
        <v>20</v>
      </c>
      <c r="H1330" t="s">
        <v>63</v>
      </c>
      <c r="I1330">
        <v>14</v>
      </c>
      <c r="J1330">
        <v>0.15</v>
      </c>
      <c r="K1330">
        <v>132.56</v>
      </c>
      <c r="L1330">
        <v>6.48</v>
      </c>
      <c r="M1330" t="s">
        <v>2477</v>
      </c>
      <c r="N1330" t="s">
        <v>2474</v>
      </c>
      <c r="O1330" t="s">
        <v>2468</v>
      </c>
      <c r="P1330">
        <v>6.33</v>
      </c>
      <c r="Q1330">
        <v>12.16</v>
      </c>
      <c r="R1330">
        <v>88.62</v>
      </c>
      <c r="S1330">
        <v>37.459999999999994</v>
      </c>
      <c r="T1330">
        <v>0.28258901629450811</v>
      </c>
      <c r="U1330" s="1">
        <v>45505</v>
      </c>
      <c r="V1330" t="s">
        <v>2500</v>
      </c>
      <c r="W1330">
        <v>2024</v>
      </c>
    </row>
    <row r="1331" spans="1:23" x14ac:dyDescent="0.25">
      <c r="A1331" t="s">
        <v>1378</v>
      </c>
      <c r="B1331" s="1">
        <v>46001</v>
      </c>
      <c r="C1331" s="1">
        <v>46003</v>
      </c>
      <c r="D1331" t="s">
        <v>13</v>
      </c>
      <c r="E1331" t="s">
        <v>36</v>
      </c>
      <c r="F1331" t="s">
        <v>25</v>
      </c>
      <c r="G1331" t="s">
        <v>16</v>
      </c>
      <c r="H1331" t="s">
        <v>68</v>
      </c>
      <c r="I1331">
        <v>1</v>
      </c>
      <c r="J1331">
        <v>0</v>
      </c>
      <c r="K1331">
        <v>70.2</v>
      </c>
      <c r="L1331">
        <v>5.75</v>
      </c>
      <c r="M1331" t="s">
        <v>2466</v>
      </c>
      <c r="N1331" t="s">
        <v>2467</v>
      </c>
      <c r="O1331" t="s">
        <v>2468</v>
      </c>
      <c r="P1331">
        <v>25.33</v>
      </c>
      <c r="Q1331">
        <v>51.56</v>
      </c>
      <c r="R1331">
        <v>25.33</v>
      </c>
      <c r="S1331">
        <v>39.120000000000005</v>
      </c>
      <c r="T1331">
        <v>0.55726495726495728</v>
      </c>
      <c r="U1331" s="1">
        <v>45992</v>
      </c>
      <c r="V1331" t="s">
        <v>2499</v>
      </c>
      <c r="W1331">
        <v>2025</v>
      </c>
    </row>
    <row r="1332" spans="1:23" x14ac:dyDescent="0.25">
      <c r="A1332" t="s">
        <v>1379</v>
      </c>
      <c r="B1332" s="1">
        <v>46020</v>
      </c>
      <c r="C1332" s="1">
        <v>46025</v>
      </c>
      <c r="D1332" t="s">
        <v>47</v>
      </c>
      <c r="E1332" t="s">
        <v>71</v>
      </c>
      <c r="F1332" t="s">
        <v>15</v>
      </c>
      <c r="G1332" t="s">
        <v>16</v>
      </c>
      <c r="H1332" t="s">
        <v>41</v>
      </c>
      <c r="I1332">
        <v>9</v>
      </c>
      <c r="J1332">
        <v>0.25</v>
      </c>
      <c r="K1332">
        <v>59.36</v>
      </c>
      <c r="L1332">
        <v>5.13</v>
      </c>
      <c r="M1332" t="s">
        <v>2479</v>
      </c>
      <c r="N1332" t="s">
        <v>2474</v>
      </c>
      <c r="O1332" t="s">
        <v>2459</v>
      </c>
      <c r="P1332">
        <v>3.3</v>
      </c>
      <c r="Q1332">
        <v>6.13</v>
      </c>
      <c r="R1332">
        <v>29.7</v>
      </c>
      <c r="S1332">
        <v>24.53</v>
      </c>
      <c r="T1332">
        <v>0.41324123989218331</v>
      </c>
      <c r="U1332" s="1">
        <v>45992</v>
      </c>
      <c r="V1332" t="s">
        <v>2501</v>
      </c>
      <c r="W1332">
        <v>2025</v>
      </c>
    </row>
    <row r="1333" spans="1:23" x14ac:dyDescent="0.25">
      <c r="A1333" t="s">
        <v>1380</v>
      </c>
      <c r="B1333" s="1">
        <v>45836</v>
      </c>
      <c r="C1333" s="1">
        <v>45840</v>
      </c>
      <c r="D1333" t="s">
        <v>13</v>
      </c>
      <c r="E1333" t="s">
        <v>14</v>
      </c>
      <c r="F1333" t="s">
        <v>29</v>
      </c>
      <c r="G1333" t="s">
        <v>26</v>
      </c>
      <c r="H1333" t="s">
        <v>65</v>
      </c>
      <c r="I1333">
        <v>2</v>
      </c>
      <c r="J1333">
        <v>0</v>
      </c>
      <c r="K1333">
        <v>574.26</v>
      </c>
      <c r="L1333">
        <v>9.1</v>
      </c>
      <c r="M1333" t="s">
        <v>2457</v>
      </c>
      <c r="N1333" t="s">
        <v>2458</v>
      </c>
      <c r="O1333" t="s">
        <v>2459</v>
      </c>
      <c r="P1333">
        <v>173.56</v>
      </c>
      <c r="Q1333">
        <v>286.14999999999998</v>
      </c>
      <c r="R1333">
        <v>347.12</v>
      </c>
      <c r="S1333">
        <v>218.04</v>
      </c>
      <c r="T1333">
        <v>0.3796886427750496</v>
      </c>
      <c r="U1333" s="1">
        <v>45809</v>
      </c>
      <c r="V1333" t="s">
        <v>2499</v>
      </c>
      <c r="W1333">
        <v>2025</v>
      </c>
    </row>
    <row r="1334" spans="1:23" x14ac:dyDescent="0.25">
      <c r="A1334" t="s">
        <v>1381</v>
      </c>
      <c r="B1334" s="1">
        <v>45976</v>
      </c>
      <c r="C1334" s="1">
        <v>45981</v>
      </c>
      <c r="D1334" t="s">
        <v>23</v>
      </c>
      <c r="E1334" t="s">
        <v>59</v>
      </c>
      <c r="F1334" t="s">
        <v>25</v>
      </c>
      <c r="G1334" t="s">
        <v>26</v>
      </c>
      <c r="H1334" t="s">
        <v>17</v>
      </c>
      <c r="I1334">
        <v>1</v>
      </c>
      <c r="J1334">
        <v>0.05</v>
      </c>
      <c r="K1334">
        <v>165.6</v>
      </c>
      <c r="L1334">
        <v>5.75</v>
      </c>
      <c r="M1334" t="s">
        <v>2472</v>
      </c>
      <c r="N1334" t="s">
        <v>2467</v>
      </c>
      <c r="O1334" t="s">
        <v>2468</v>
      </c>
      <c r="P1334">
        <v>63.69</v>
      </c>
      <c r="Q1334">
        <v>125.5</v>
      </c>
      <c r="R1334">
        <v>63.69</v>
      </c>
      <c r="S1334">
        <v>96.16</v>
      </c>
      <c r="T1334">
        <v>0.58067632850241546</v>
      </c>
      <c r="U1334" s="1">
        <v>45962</v>
      </c>
      <c r="V1334" t="s">
        <v>2498</v>
      </c>
      <c r="W1334">
        <v>2025</v>
      </c>
    </row>
    <row r="1335" spans="1:23" x14ac:dyDescent="0.25">
      <c r="A1335" t="s">
        <v>1382</v>
      </c>
      <c r="B1335" s="1">
        <v>45338</v>
      </c>
      <c r="C1335" s="1">
        <v>45339</v>
      </c>
      <c r="D1335" t="s">
        <v>32</v>
      </c>
      <c r="E1335" t="s">
        <v>33</v>
      </c>
      <c r="F1335" t="s">
        <v>29</v>
      </c>
      <c r="G1335" t="s">
        <v>20</v>
      </c>
      <c r="H1335" t="s">
        <v>65</v>
      </c>
      <c r="I1335">
        <v>1</v>
      </c>
      <c r="J1335">
        <v>0.1</v>
      </c>
      <c r="K1335">
        <v>227.47</v>
      </c>
      <c r="L1335">
        <v>4.08</v>
      </c>
      <c r="M1335" t="s">
        <v>2457</v>
      </c>
      <c r="N1335" t="s">
        <v>2458</v>
      </c>
      <c r="O1335" t="s">
        <v>2459</v>
      </c>
      <c r="P1335">
        <v>173.56</v>
      </c>
      <c r="Q1335">
        <v>286.14999999999998</v>
      </c>
      <c r="R1335">
        <v>173.56</v>
      </c>
      <c r="S1335">
        <v>49.83</v>
      </c>
      <c r="T1335">
        <v>0.21906185431045852</v>
      </c>
      <c r="U1335" s="1">
        <v>45323</v>
      </c>
      <c r="V1335" t="s">
        <v>2498</v>
      </c>
      <c r="W1335">
        <v>2024</v>
      </c>
    </row>
    <row r="1336" spans="1:23" x14ac:dyDescent="0.25">
      <c r="A1336" t="s">
        <v>1383</v>
      </c>
      <c r="B1336" s="1">
        <v>45347</v>
      </c>
      <c r="C1336" s="1">
        <v>45348</v>
      </c>
      <c r="D1336" t="s">
        <v>32</v>
      </c>
      <c r="E1336" t="s">
        <v>62</v>
      </c>
      <c r="F1336" t="s">
        <v>15</v>
      </c>
      <c r="G1336" t="s">
        <v>16</v>
      </c>
      <c r="H1336" t="s">
        <v>65</v>
      </c>
      <c r="I1336">
        <v>3</v>
      </c>
      <c r="J1336">
        <v>0</v>
      </c>
      <c r="K1336">
        <v>733.45</v>
      </c>
      <c r="L1336">
        <v>6.84</v>
      </c>
      <c r="M1336" t="s">
        <v>2457</v>
      </c>
      <c r="N1336" t="s">
        <v>2458</v>
      </c>
      <c r="O1336" t="s">
        <v>2459</v>
      </c>
      <c r="P1336">
        <v>173.56</v>
      </c>
      <c r="Q1336">
        <v>286.14999999999998</v>
      </c>
      <c r="R1336">
        <v>520.68000000000006</v>
      </c>
      <c r="S1336">
        <v>205.92999999999998</v>
      </c>
      <c r="T1336">
        <v>0.28076896857318151</v>
      </c>
      <c r="U1336" s="1">
        <v>45323</v>
      </c>
      <c r="V1336" t="s">
        <v>2499</v>
      </c>
      <c r="W1336">
        <v>2024</v>
      </c>
    </row>
    <row r="1337" spans="1:23" x14ac:dyDescent="0.25">
      <c r="A1337" t="s">
        <v>1384</v>
      </c>
      <c r="B1337" s="1">
        <v>45645</v>
      </c>
      <c r="C1337" s="1">
        <v>45646</v>
      </c>
      <c r="D1337" t="s">
        <v>47</v>
      </c>
      <c r="E1337" t="s">
        <v>71</v>
      </c>
      <c r="F1337" t="s">
        <v>25</v>
      </c>
      <c r="G1337" t="s">
        <v>20</v>
      </c>
      <c r="H1337" t="s">
        <v>53</v>
      </c>
      <c r="I1337">
        <v>4</v>
      </c>
      <c r="J1337">
        <v>0.25</v>
      </c>
      <c r="K1337">
        <v>251.01</v>
      </c>
      <c r="L1337">
        <v>9.5</v>
      </c>
      <c r="M1337" t="s">
        <v>2470</v>
      </c>
      <c r="N1337" t="s">
        <v>2467</v>
      </c>
      <c r="O1337" t="s">
        <v>2459</v>
      </c>
      <c r="P1337">
        <v>31.34</v>
      </c>
      <c r="Q1337">
        <v>56.49</v>
      </c>
      <c r="R1337">
        <v>125.36</v>
      </c>
      <c r="S1337">
        <v>116.14999999999999</v>
      </c>
      <c r="T1337">
        <v>0.46273056850324684</v>
      </c>
      <c r="U1337" s="1">
        <v>45627</v>
      </c>
      <c r="V1337" t="s">
        <v>2501</v>
      </c>
      <c r="W1337">
        <v>2024</v>
      </c>
    </row>
    <row r="1338" spans="1:23" x14ac:dyDescent="0.25">
      <c r="A1338" t="s">
        <v>1385</v>
      </c>
      <c r="B1338" s="1">
        <v>45300</v>
      </c>
      <c r="C1338" s="1">
        <v>45301</v>
      </c>
      <c r="D1338" t="s">
        <v>32</v>
      </c>
      <c r="E1338" t="s">
        <v>33</v>
      </c>
      <c r="F1338" t="s">
        <v>29</v>
      </c>
      <c r="G1338" t="s">
        <v>16</v>
      </c>
      <c r="H1338" t="s">
        <v>65</v>
      </c>
      <c r="I1338">
        <v>2</v>
      </c>
      <c r="J1338">
        <v>0</v>
      </c>
      <c r="K1338">
        <v>503.44</v>
      </c>
      <c r="L1338">
        <v>9.1</v>
      </c>
      <c r="M1338" t="s">
        <v>2457</v>
      </c>
      <c r="N1338" t="s">
        <v>2458</v>
      </c>
      <c r="O1338" t="s">
        <v>2459</v>
      </c>
      <c r="P1338">
        <v>173.56</v>
      </c>
      <c r="Q1338">
        <v>286.14999999999998</v>
      </c>
      <c r="R1338">
        <v>347.12</v>
      </c>
      <c r="S1338">
        <v>147.22</v>
      </c>
      <c r="T1338">
        <v>0.29242809470840614</v>
      </c>
      <c r="U1338" s="1">
        <v>45292</v>
      </c>
      <c r="V1338" t="s">
        <v>2499</v>
      </c>
      <c r="W1338">
        <v>2024</v>
      </c>
    </row>
    <row r="1339" spans="1:23" x14ac:dyDescent="0.25">
      <c r="A1339" t="s">
        <v>1386</v>
      </c>
      <c r="B1339" s="1">
        <v>45449</v>
      </c>
      <c r="C1339" s="1">
        <v>45450</v>
      </c>
      <c r="D1339" t="s">
        <v>32</v>
      </c>
      <c r="E1339" t="s">
        <v>45</v>
      </c>
      <c r="F1339" t="s">
        <v>25</v>
      </c>
      <c r="G1339" t="s">
        <v>16</v>
      </c>
      <c r="H1339" t="s">
        <v>39</v>
      </c>
      <c r="I1339">
        <v>2</v>
      </c>
      <c r="J1339">
        <v>0.1</v>
      </c>
      <c r="K1339">
        <v>365.59</v>
      </c>
      <c r="L1339">
        <v>4.2</v>
      </c>
      <c r="M1339" t="s">
        <v>2471</v>
      </c>
      <c r="N1339" t="s">
        <v>2467</v>
      </c>
      <c r="O1339" t="s">
        <v>2461</v>
      </c>
      <c r="P1339">
        <v>112.09</v>
      </c>
      <c r="Q1339">
        <v>192.47</v>
      </c>
      <c r="R1339">
        <v>224.18</v>
      </c>
      <c r="S1339">
        <v>137.20999999999998</v>
      </c>
      <c r="T1339">
        <v>0.37531114089553869</v>
      </c>
      <c r="U1339" s="1">
        <v>45444</v>
      </c>
      <c r="V1339" t="s">
        <v>2498</v>
      </c>
      <c r="W1339">
        <v>2024</v>
      </c>
    </row>
    <row r="1340" spans="1:23" x14ac:dyDescent="0.25">
      <c r="A1340" t="s">
        <v>1387</v>
      </c>
      <c r="B1340" s="1">
        <v>45796</v>
      </c>
      <c r="C1340" s="1">
        <v>45801</v>
      </c>
      <c r="D1340" t="s">
        <v>23</v>
      </c>
      <c r="E1340" t="s">
        <v>24</v>
      </c>
      <c r="F1340" t="s">
        <v>25</v>
      </c>
      <c r="G1340" t="s">
        <v>16</v>
      </c>
      <c r="H1340" t="s">
        <v>30</v>
      </c>
      <c r="I1340">
        <v>11</v>
      </c>
      <c r="J1340">
        <v>0</v>
      </c>
      <c r="K1340">
        <v>64.900000000000006</v>
      </c>
      <c r="L1340">
        <v>9.4499999999999993</v>
      </c>
      <c r="M1340" t="s">
        <v>2473</v>
      </c>
      <c r="N1340" t="s">
        <v>2474</v>
      </c>
      <c r="O1340" t="s">
        <v>2463</v>
      </c>
      <c r="P1340">
        <v>3.62</v>
      </c>
      <c r="Q1340">
        <v>6.03</v>
      </c>
      <c r="R1340">
        <v>39.82</v>
      </c>
      <c r="S1340">
        <v>15.630000000000006</v>
      </c>
      <c r="T1340">
        <v>0.24083204930662566</v>
      </c>
      <c r="U1340" s="1">
        <v>45778</v>
      </c>
      <c r="V1340" t="s">
        <v>2499</v>
      </c>
      <c r="W1340">
        <v>2025</v>
      </c>
    </row>
    <row r="1341" spans="1:23" x14ac:dyDescent="0.25">
      <c r="A1341" t="s">
        <v>1388</v>
      </c>
      <c r="B1341" s="1">
        <v>45791</v>
      </c>
      <c r="C1341" s="1">
        <v>45797</v>
      </c>
      <c r="D1341" t="s">
        <v>32</v>
      </c>
      <c r="E1341" t="s">
        <v>33</v>
      </c>
      <c r="F1341" t="s">
        <v>15</v>
      </c>
      <c r="G1341" t="s">
        <v>20</v>
      </c>
      <c r="H1341" t="s">
        <v>37</v>
      </c>
      <c r="I1341">
        <v>4</v>
      </c>
      <c r="J1341">
        <v>0</v>
      </c>
      <c r="K1341">
        <v>425.68</v>
      </c>
      <c r="L1341">
        <v>13.7</v>
      </c>
      <c r="M1341" t="s">
        <v>2464</v>
      </c>
      <c r="N1341" t="s">
        <v>2458</v>
      </c>
      <c r="O1341" t="s">
        <v>2465</v>
      </c>
      <c r="P1341">
        <v>63.6</v>
      </c>
      <c r="Q1341">
        <v>107.94</v>
      </c>
      <c r="R1341">
        <v>254.4</v>
      </c>
      <c r="S1341">
        <v>157.58000000000001</v>
      </c>
      <c r="T1341">
        <v>0.37018417590678449</v>
      </c>
      <c r="U1341" s="1">
        <v>45778</v>
      </c>
      <c r="V1341" t="s">
        <v>2499</v>
      </c>
      <c r="W1341">
        <v>2025</v>
      </c>
    </row>
    <row r="1342" spans="1:23" x14ac:dyDescent="0.25">
      <c r="A1342" t="s">
        <v>1389</v>
      </c>
      <c r="B1342" s="1">
        <v>45505</v>
      </c>
      <c r="C1342" s="1">
        <v>45511</v>
      </c>
      <c r="D1342" t="s">
        <v>13</v>
      </c>
      <c r="E1342" t="s">
        <v>36</v>
      </c>
      <c r="F1342" t="s">
        <v>25</v>
      </c>
      <c r="G1342" t="s">
        <v>20</v>
      </c>
      <c r="H1342" t="s">
        <v>68</v>
      </c>
      <c r="I1342">
        <v>4</v>
      </c>
      <c r="J1342">
        <v>0</v>
      </c>
      <c r="K1342">
        <v>200.8</v>
      </c>
      <c r="L1342">
        <v>5.7</v>
      </c>
      <c r="M1342" t="s">
        <v>2466</v>
      </c>
      <c r="N1342" t="s">
        <v>2467</v>
      </c>
      <c r="O1342" t="s">
        <v>2468</v>
      </c>
      <c r="P1342">
        <v>25.33</v>
      </c>
      <c r="Q1342">
        <v>51.56</v>
      </c>
      <c r="R1342">
        <v>101.32</v>
      </c>
      <c r="S1342">
        <v>93.780000000000015</v>
      </c>
      <c r="T1342">
        <v>0.4670318725099602</v>
      </c>
      <c r="U1342" s="1">
        <v>45505</v>
      </c>
      <c r="V1342" t="s">
        <v>2499</v>
      </c>
      <c r="W1342">
        <v>2024</v>
      </c>
    </row>
    <row r="1343" spans="1:23" x14ac:dyDescent="0.25">
      <c r="A1343" t="s">
        <v>1390</v>
      </c>
      <c r="B1343" s="1">
        <v>46016</v>
      </c>
      <c r="C1343" s="1">
        <v>46022</v>
      </c>
      <c r="D1343" t="s">
        <v>32</v>
      </c>
      <c r="E1343" t="s">
        <v>33</v>
      </c>
      <c r="F1343" t="s">
        <v>25</v>
      </c>
      <c r="G1343" t="s">
        <v>16</v>
      </c>
      <c r="H1343" t="s">
        <v>60</v>
      </c>
      <c r="I1343">
        <v>1</v>
      </c>
      <c r="J1343">
        <v>0</v>
      </c>
      <c r="K1343">
        <v>158.94999999999999</v>
      </c>
      <c r="L1343">
        <v>3.45</v>
      </c>
      <c r="M1343" t="s">
        <v>2469</v>
      </c>
      <c r="N1343" t="s">
        <v>2467</v>
      </c>
      <c r="O1343" t="s">
        <v>2468</v>
      </c>
      <c r="P1343">
        <v>54.95</v>
      </c>
      <c r="Q1343">
        <v>112.56</v>
      </c>
      <c r="R1343">
        <v>54.95</v>
      </c>
      <c r="S1343">
        <v>100.54999999999998</v>
      </c>
      <c r="T1343">
        <v>0.6325888644227744</v>
      </c>
      <c r="U1343" s="1">
        <v>45992</v>
      </c>
      <c r="V1343" t="s">
        <v>2499</v>
      </c>
      <c r="W1343">
        <v>2025</v>
      </c>
    </row>
    <row r="1344" spans="1:23" x14ac:dyDescent="0.25">
      <c r="A1344" t="s">
        <v>1391</v>
      </c>
      <c r="B1344" s="1">
        <v>45751</v>
      </c>
      <c r="C1344" s="1">
        <v>45753</v>
      </c>
      <c r="D1344" t="s">
        <v>13</v>
      </c>
      <c r="E1344" t="s">
        <v>14</v>
      </c>
      <c r="F1344" t="s">
        <v>15</v>
      </c>
      <c r="G1344" t="s">
        <v>20</v>
      </c>
      <c r="H1344" t="s">
        <v>17</v>
      </c>
      <c r="I1344">
        <v>3</v>
      </c>
      <c r="J1344">
        <v>0.1</v>
      </c>
      <c r="K1344">
        <v>340.99</v>
      </c>
      <c r="L1344">
        <v>8.25</v>
      </c>
      <c r="M1344" t="s">
        <v>2472</v>
      </c>
      <c r="N1344" t="s">
        <v>2467</v>
      </c>
      <c r="O1344" t="s">
        <v>2468</v>
      </c>
      <c r="P1344">
        <v>63.69</v>
      </c>
      <c r="Q1344">
        <v>125.5</v>
      </c>
      <c r="R1344">
        <v>191.07</v>
      </c>
      <c r="S1344">
        <v>141.67000000000002</v>
      </c>
      <c r="T1344">
        <v>0.41546672922959621</v>
      </c>
      <c r="U1344" s="1">
        <v>45748</v>
      </c>
      <c r="V1344" t="s">
        <v>2498</v>
      </c>
      <c r="W1344">
        <v>2025</v>
      </c>
    </row>
    <row r="1345" spans="1:23" x14ac:dyDescent="0.25">
      <c r="A1345" t="s">
        <v>1392</v>
      </c>
      <c r="B1345" s="1">
        <v>46003</v>
      </c>
      <c r="C1345" s="1">
        <v>46007</v>
      </c>
      <c r="D1345" t="s">
        <v>23</v>
      </c>
      <c r="E1345" t="s">
        <v>59</v>
      </c>
      <c r="F1345" t="s">
        <v>25</v>
      </c>
      <c r="G1345" t="s">
        <v>16</v>
      </c>
      <c r="H1345" t="s">
        <v>87</v>
      </c>
      <c r="I1345">
        <v>11</v>
      </c>
      <c r="J1345">
        <v>0</v>
      </c>
      <c r="K1345">
        <v>130.54</v>
      </c>
      <c r="L1345">
        <v>9.4499999999999993</v>
      </c>
      <c r="M1345" t="s">
        <v>2476</v>
      </c>
      <c r="N1345" t="s">
        <v>2474</v>
      </c>
      <c r="O1345" t="s">
        <v>2459</v>
      </c>
      <c r="P1345">
        <v>4.5</v>
      </c>
      <c r="Q1345">
        <v>8.2899999999999991</v>
      </c>
      <c r="R1345">
        <v>49.5</v>
      </c>
      <c r="S1345">
        <v>71.589999999999989</v>
      </c>
      <c r="T1345">
        <v>0.54841427914815377</v>
      </c>
      <c r="U1345" s="1">
        <v>45992</v>
      </c>
      <c r="V1345" t="s">
        <v>2499</v>
      </c>
      <c r="W1345">
        <v>2025</v>
      </c>
    </row>
    <row r="1346" spans="1:23" x14ac:dyDescent="0.25">
      <c r="A1346" t="s">
        <v>1393</v>
      </c>
      <c r="B1346" s="1">
        <v>45586</v>
      </c>
      <c r="C1346" s="1">
        <v>45587</v>
      </c>
      <c r="D1346" t="s">
        <v>47</v>
      </c>
      <c r="E1346" t="s">
        <v>71</v>
      </c>
      <c r="F1346" t="s">
        <v>29</v>
      </c>
      <c r="G1346" t="s">
        <v>16</v>
      </c>
      <c r="H1346" t="s">
        <v>63</v>
      </c>
      <c r="I1346">
        <v>11</v>
      </c>
      <c r="J1346">
        <v>0.25</v>
      </c>
      <c r="K1346">
        <v>117.79</v>
      </c>
      <c r="L1346">
        <v>9.4499999999999993</v>
      </c>
      <c r="M1346" t="s">
        <v>2477</v>
      </c>
      <c r="N1346" t="s">
        <v>2474</v>
      </c>
      <c r="O1346" t="s">
        <v>2468</v>
      </c>
      <c r="P1346">
        <v>6.33</v>
      </c>
      <c r="Q1346">
        <v>12.16</v>
      </c>
      <c r="R1346">
        <v>69.63</v>
      </c>
      <c r="S1346">
        <v>38.710000000000008</v>
      </c>
      <c r="T1346">
        <v>0.32863570761524752</v>
      </c>
      <c r="U1346" s="1">
        <v>45566</v>
      </c>
      <c r="V1346" t="s">
        <v>2501</v>
      </c>
      <c r="W1346">
        <v>2024</v>
      </c>
    </row>
    <row r="1347" spans="1:23" x14ac:dyDescent="0.25">
      <c r="A1347" t="s">
        <v>1394</v>
      </c>
      <c r="B1347" s="1">
        <v>45349</v>
      </c>
      <c r="C1347" s="1">
        <v>45355</v>
      </c>
      <c r="D1347" t="s">
        <v>32</v>
      </c>
      <c r="E1347" t="s">
        <v>45</v>
      </c>
      <c r="F1347" t="s">
        <v>25</v>
      </c>
      <c r="G1347" t="s">
        <v>26</v>
      </c>
      <c r="H1347" t="s">
        <v>30</v>
      </c>
      <c r="I1347">
        <v>13</v>
      </c>
      <c r="J1347">
        <v>0.05</v>
      </c>
      <c r="K1347">
        <v>65.959999999999994</v>
      </c>
      <c r="L1347">
        <v>6.21</v>
      </c>
      <c r="M1347" t="s">
        <v>2473</v>
      </c>
      <c r="N1347" t="s">
        <v>2474</v>
      </c>
      <c r="O1347" t="s">
        <v>2463</v>
      </c>
      <c r="P1347">
        <v>3.62</v>
      </c>
      <c r="Q1347">
        <v>6.03</v>
      </c>
      <c r="R1347">
        <v>47.06</v>
      </c>
      <c r="S1347">
        <v>12.689999999999991</v>
      </c>
      <c r="T1347">
        <v>0.1923893268647664</v>
      </c>
      <c r="U1347" s="1">
        <v>45323</v>
      </c>
      <c r="V1347" t="s">
        <v>2498</v>
      </c>
      <c r="W1347">
        <v>2024</v>
      </c>
    </row>
    <row r="1348" spans="1:23" x14ac:dyDescent="0.25">
      <c r="A1348" t="s">
        <v>1395</v>
      </c>
      <c r="B1348" s="1">
        <v>45560</v>
      </c>
      <c r="C1348" s="1">
        <v>45562</v>
      </c>
      <c r="D1348" t="s">
        <v>32</v>
      </c>
      <c r="E1348" t="s">
        <v>33</v>
      </c>
      <c r="F1348" t="s">
        <v>29</v>
      </c>
      <c r="G1348" t="s">
        <v>26</v>
      </c>
      <c r="H1348" t="s">
        <v>27</v>
      </c>
      <c r="I1348">
        <v>9</v>
      </c>
      <c r="J1348">
        <v>0</v>
      </c>
      <c r="K1348">
        <v>280.55</v>
      </c>
      <c r="L1348">
        <v>8.5500000000000007</v>
      </c>
      <c r="M1348" t="s">
        <v>2478</v>
      </c>
      <c r="N1348" t="s">
        <v>2474</v>
      </c>
      <c r="O1348" t="s">
        <v>2463</v>
      </c>
      <c r="P1348">
        <v>16.760000000000002</v>
      </c>
      <c r="Q1348">
        <v>27.71</v>
      </c>
      <c r="R1348">
        <v>150.84</v>
      </c>
      <c r="S1348">
        <v>121.16000000000001</v>
      </c>
      <c r="T1348">
        <v>0.43186597754410982</v>
      </c>
      <c r="U1348" s="1">
        <v>45536</v>
      </c>
      <c r="V1348" t="s">
        <v>2499</v>
      </c>
      <c r="W1348">
        <v>2024</v>
      </c>
    </row>
    <row r="1349" spans="1:23" x14ac:dyDescent="0.25">
      <c r="A1349" t="s">
        <v>1396</v>
      </c>
      <c r="B1349" s="1">
        <v>45982</v>
      </c>
      <c r="C1349" s="1">
        <v>45983</v>
      </c>
      <c r="D1349" t="s">
        <v>13</v>
      </c>
      <c r="E1349" t="s">
        <v>36</v>
      </c>
      <c r="F1349" t="s">
        <v>29</v>
      </c>
      <c r="G1349" t="s">
        <v>20</v>
      </c>
      <c r="H1349" t="s">
        <v>65</v>
      </c>
      <c r="I1349">
        <v>7</v>
      </c>
      <c r="J1349">
        <v>0.2</v>
      </c>
      <c r="K1349">
        <v>2053.81</v>
      </c>
      <c r="L1349">
        <v>20.6</v>
      </c>
      <c r="M1349" t="s">
        <v>2457</v>
      </c>
      <c r="N1349" t="s">
        <v>2458</v>
      </c>
      <c r="O1349" t="s">
        <v>2459</v>
      </c>
      <c r="P1349">
        <v>173.56</v>
      </c>
      <c r="Q1349">
        <v>286.14999999999998</v>
      </c>
      <c r="R1349">
        <v>1214.92</v>
      </c>
      <c r="S1349">
        <v>818.28999999999985</v>
      </c>
      <c r="T1349">
        <v>0.39842536554014241</v>
      </c>
      <c r="U1349" s="1">
        <v>45962</v>
      </c>
      <c r="V1349" t="s">
        <v>2500</v>
      </c>
      <c r="W1349">
        <v>2025</v>
      </c>
    </row>
    <row r="1350" spans="1:23" x14ac:dyDescent="0.25">
      <c r="A1350" t="s">
        <v>1397</v>
      </c>
      <c r="B1350" s="1">
        <v>45381</v>
      </c>
      <c r="C1350" s="1">
        <v>45383</v>
      </c>
      <c r="D1350" t="s">
        <v>47</v>
      </c>
      <c r="E1350" t="s">
        <v>71</v>
      </c>
      <c r="F1350" t="s">
        <v>25</v>
      </c>
      <c r="G1350" t="s">
        <v>20</v>
      </c>
      <c r="H1350" t="s">
        <v>87</v>
      </c>
      <c r="I1350">
        <v>11</v>
      </c>
      <c r="J1350">
        <v>0</v>
      </c>
      <c r="K1350">
        <v>87.41</v>
      </c>
      <c r="L1350">
        <v>5.67</v>
      </c>
      <c r="M1350" t="s">
        <v>2476</v>
      </c>
      <c r="N1350" t="s">
        <v>2474</v>
      </c>
      <c r="O1350" t="s">
        <v>2459</v>
      </c>
      <c r="P1350">
        <v>4.5</v>
      </c>
      <c r="Q1350">
        <v>8.2899999999999991</v>
      </c>
      <c r="R1350">
        <v>49.5</v>
      </c>
      <c r="S1350">
        <v>32.239999999999995</v>
      </c>
      <c r="T1350">
        <v>0.36883651756091979</v>
      </c>
      <c r="U1350" s="1">
        <v>45352</v>
      </c>
      <c r="V1350" t="s">
        <v>2499</v>
      </c>
      <c r="W1350">
        <v>2024</v>
      </c>
    </row>
    <row r="1351" spans="1:23" x14ac:dyDescent="0.25">
      <c r="A1351" t="s">
        <v>1398</v>
      </c>
      <c r="B1351" s="1">
        <v>45843</v>
      </c>
      <c r="C1351" s="1">
        <v>45849</v>
      </c>
      <c r="D1351" t="s">
        <v>23</v>
      </c>
      <c r="E1351" t="s">
        <v>59</v>
      </c>
      <c r="F1351" t="s">
        <v>25</v>
      </c>
      <c r="G1351" t="s">
        <v>20</v>
      </c>
      <c r="H1351" t="s">
        <v>39</v>
      </c>
      <c r="I1351">
        <v>4</v>
      </c>
      <c r="J1351">
        <v>0.25</v>
      </c>
      <c r="K1351">
        <v>557.09</v>
      </c>
      <c r="L1351">
        <v>5.7</v>
      </c>
      <c r="M1351" t="s">
        <v>2471</v>
      </c>
      <c r="N1351" t="s">
        <v>2467</v>
      </c>
      <c r="O1351" t="s">
        <v>2461</v>
      </c>
      <c r="P1351">
        <v>112.09</v>
      </c>
      <c r="Q1351">
        <v>192.47</v>
      </c>
      <c r="R1351">
        <v>448.36</v>
      </c>
      <c r="S1351">
        <v>103.03000000000002</v>
      </c>
      <c r="T1351">
        <v>0.18494318691773323</v>
      </c>
      <c r="U1351" s="1">
        <v>45839</v>
      </c>
      <c r="V1351" t="s">
        <v>2501</v>
      </c>
      <c r="W1351">
        <v>2025</v>
      </c>
    </row>
    <row r="1352" spans="1:23" x14ac:dyDescent="0.25">
      <c r="A1352" t="s">
        <v>1399</v>
      </c>
      <c r="B1352" s="1">
        <v>45979</v>
      </c>
      <c r="C1352" s="1">
        <v>45984</v>
      </c>
      <c r="D1352" t="s">
        <v>47</v>
      </c>
      <c r="E1352" t="s">
        <v>48</v>
      </c>
      <c r="F1352" t="s">
        <v>25</v>
      </c>
      <c r="G1352" t="s">
        <v>26</v>
      </c>
      <c r="H1352" t="s">
        <v>39</v>
      </c>
      <c r="I1352">
        <v>4</v>
      </c>
      <c r="J1352">
        <v>0.25</v>
      </c>
      <c r="K1352">
        <v>767.89</v>
      </c>
      <c r="L1352">
        <v>5.7</v>
      </c>
      <c r="M1352" t="s">
        <v>2471</v>
      </c>
      <c r="N1352" t="s">
        <v>2467</v>
      </c>
      <c r="O1352" t="s">
        <v>2461</v>
      </c>
      <c r="P1352">
        <v>112.09</v>
      </c>
      <c r="Q1352">
        <v>192.47</v>
      </c>
      <c r="R1352">
        <v>448.36</v>
      </c>
      <c r="S1352">
        <v>313.83</v>
      </c>
      <c r="T1352">
        <v>0.40869134902134419</v>
      </c>
      <c r="U1352" s="1">
        <v>45962</v>
      </c>
      <c r="V1352" t="s">
        <v>2501</v>
      </c>
      <c r="W1352">
        <v>2025</v>
      </c>
    </row>
    <row r="1353" spans="1:23" x14ac:dyDescent="0.25">
      <c r="A1353" t="s">
        <v>1400</v>
      </c>
      <c r="B1353" s="1">
        <v>45488</v>
      </c>
      <c r="C1353" s="1">
        <v>45490</v>
      </c>
      <c r="D1353" t="s">
        <v>32</v>
      </c>
      <c r="E1353" t="s">
        <v>62</v>
      </c>
      <c r="F1353" t="s">
        <v>25</v>
      </c>
      <c r="G1353" t="s">
        <v>26</v>
      </c>
      <c r="H1353" t="s">
        <v>27</v>
      </c>
      <c r="I1353">
        <v>11</v>
      </c>
      <c r="J1353">
        <v>0</v>
      </c>
      <c r="K1353">
        <v>295.66000000000003</v>
      </c>
      <c r="L1353">
        <v>9.4499999999999993</v>
      </c>
      <c r="M1353" t="s">
        <v>2478</v>
      </c>
      <c r="N1353" t="s">
        <v>2474</v>
      </c>
      <c r="O1353" t="s">
        <v>2463</v>
      </c>
      <c r="P1353">
        <v>16.760000000000002</v>
      </c>
      <c r="Q1353">
        <v>27.71</v>
      </c>
      <c r="R1353">
        <v>184.36</v>
      </c>
      <c r="S1353">
        <v>101.85000000000001</v>
      </c>
      <c r="T1353">
        <v>0.34448352837719004</v>
      </c>
      <c r="U1353" s="1">
        <v>45474</v>
      </c>
      <c r="V1353" t="s">
        <v>2499</v>
      </c>
      <c r="W1353">
        <v>2024</v>
      </c>
    </row>
    <row r="1354" spans="1:23" x14ac:dyDescent="0.25">
      <c r="A1354" t="s">
        <v>1401</v>
      </c>
      <c r="B1354" s="1">
        <v>45609</v>
      </c>
      <c r="C1354" s="1">
        <v>45612</v>
      </c>
      <c r="D1354" t="s">
        <v>47</v>
      </c>
      <c r="E1354" t="s">
        <v>50</v>
      </c>
      <c r="F1354" t="s">
        <v>15</v>
      </c>
      <c r="G1354" t="s">
        <v>26</v>
      </c>
      <c r="H1354" t="s">
        <v>60</v>
      </c>
      <c r="I1354">
        <v>4</v>
      </c>
      <c r="J1354">
        <v>0</v>
      </c>
      <c r="K1354">
        <v>636.05999999999995</v>
      </c>
      <c r="L1354">
        <v>9.5</v>
      </c>
      <c r="M1354" t="s">
        <v>2469</v>
      </c>
      <c r="N1354" t="s">
        <v>2467</v>
      </c>
      <c r="O1354" t="s">
        <v>2468</v>
      </c>
      <c r="P1354">
        <v>54.95</v>
      </c>
      <c r="Q1354">
        <v>112.56</v>
      </c>
      <c r="R1354">
        <v>219.8</v>
      </c>
      <c r="S1354">
        <v>406.75999999999993</v>
      </c>
      <c r="T1354">
        <v>0.63949941829387158</v>
      </c>
      <c r="U1354" s="1">
        <v>45597</v>
      </c>
      <c r="V1354" t="s">
        <v>2499</v>
      </c>
      <c r="W1354">
        <v>2024</v>
      </c>
    </row>
    <row r="1355" spans="1:23" x14ac:dyDescent="0.25">
      <c r="A1355" t="s">
        <v>1402</v>
      </c>
      <c r="B1355" s="1">
        <v>45840</v>
      </c>
      <c r="C1355" s="1">
        <v>45846</v>
      </c>
      <c r="D1355" t="s">
        <v>23</v>
      </c>
      <c r="E1355" t="s">
        <v>24</v>
      </c>
      <c r="F1355" t="s">
        <v>15</v>
      </c>
      <c r="G1355" t="s">
        <v>26</v>
      </c>
      <c r="H1355" t="s">
        <v>51</v>
      </c>
      <c r="I1355">
        <v>13</v>
      </c>
      <c r="J1355">
        <v>0</v>
      </c>
      <c r="K1355">
        <v>177.15</v>
      </c>
      <c r="L1355">
        <v>6.21</v>
      </c>
      <c r="M1355" t="s">
        <v>2475</v>
      </c>
      <c r="N1355" t="s">
        <v>2474</v>
      </c>
      <c r="O1355" t="s">
        <v>2463</v>
      </c>
      <c r="P1355">
        <v>7.93</v>
      </c>
      <c r="Q1355">
        <v>14.78</v>
      </c>
      <c r="R1355">
        <v>103.09</v>
      </c>
      <c r="S1355">
        <v>67.850000000000009</v>
      </c>
      <c r="T1355">
        <v>0.38300874964719167</v>
      </c>
      <c r="U1355" s="1">
        <v>45839</v>
      </c>
      <c r="V1355" t="s">
        <v>2499</v>
      </c>
      <c r="W1355">
        <v>2025</v>
      </c>
    </row>
    <row r="1356" spans="1:23" x14ac:dyDescent="0.25">
      <c r="A1356" t="s">
        <v>1403</v>
      </c>
      <c r="B1356" s="1">
        <v>45999</v>
      </c>
      <c r="C1356" s="1">
        <v>46000</v>
      </c>
      <c r="D1356" t="s">
        <v>32</v>
      </c>
      <c r="E1356" t="s">
        <v>33</v>
      </c>
      <c r="F1356" t="s">
        <v>15</v>
      </c>
      <c r="G1356" t="s">
        <v>26</v>
      </c>
      <c r="H1356" t="s">
        <v>37</v>
      </c>
      <c r="I1356">
        <v>1</v>
      </c>
      <c r="J1356">
        <v>0</v>
      </c>
      <c r="K1356">
        <v>152.11000000000001</v>
      </c>
      <c r="L1356">
        <v>6.8</v>
      </c>
      <c r="M1356" t="s">
        <v>2464</v>
      </c>
      <c r="N1356" t="s">
        <v>2458</v>
      </c>
      <c r="O1356" t="s">
        <v>2465</v>
      </c>
      <c r="P1356">
        <v>63.6</v>
      </c>
      <c r="Q1356">
        <v>107.94</v>
      </c>
      <c r="R1356">
        <v>63.6</v>
      </c>
      <c r="S1356">
        <v>81.710000000000022</v>
      </c>
      <c r="T1356">
        <v>0.537177042929459</v>
      </c>
      <c r="U1356" s="1">
        <v>45992</v>
      </c>
      <c r="V1356" t="s">
        <v>2499</v>
      </c>
      <c r="W1356">
        <v>2025</v>
      </c>
    </row>
    <row r="1357" spans="1:23" x14ac:dyDescent="0.25">
      <c r="A1357" t="s">
        <v>1404</v>
      </c>
      <c r="B1357" s="1">
        <v>45536</v>
      </c>
      <c r="C1357" s="1">
        <v>45537</v>
      </c>
      <c r="D1357" t="s">
        <v>47</v>
      </c>
      <c r="E1357" t="s">
        <v>71</v>
      </c>
      <c r="F1357" t="s">
        <v>29</v>
      </c>
      <c r="G1357" t="s">
        <v>26</v>
      </c>
      <c r="H1357" t="s">
        <v>63</v>
      </c>
      <c r="I1357">
        <v>8</v>
      </c>
      <c r="J1357">
        <v>0</v>
      </c>
      <c r="K1357">
        <v>106.47</v>
      </c>
      <c r="L1357">
        <v>4.8600000000000003</v>
      </c>
      <c r="M1357" t="s">
        <v>2477</v>
      </c>
      <c r="N1357" t="s">
        <v>2474</v>
      </c>
      <c r="O1357" t="s">
        <v>2468</v>
      </c>
      <c r="P1357">
        <v>6.33</v>
      </c>
      <c r="Q1357">
        <v>12.16</v>
      </c>
      <c r="R1357">
        <v>50.64</v>
      </c>
      <c r="S1357">
        <v>50.97</v>
      </c>
      <c r="T1357">
        <v>0.47872640180332487</v>
      </c>
      <c r="U1357" s="1">
        <v>45536</v>
      </c>
      <c r="V1357" t="s">
        <v>2499</v>
      </c>
      <c r="W1357">
        <v>2024</v>
      </c>
    </row>
    <row r="1358" spans="1:23" x14ac:dyDescent="0.25">
      <c r="A1358" t="s">
        <v>1405</v>
      </c>
      <c r="B1358" s="1">
        <v>45838</v>
      </c>
      <c r="C1358" s="1">
        <v>45842</v>
      </c>
      <c r="D1358" t="s">
        <v>32</v>
      </c>
      <c r="E1358" t="s">
        <v>62</v>
      </c>
      <c r="F1358" t="s">
        <v>25</v>
      </c>
      <c r="G1358" t="s">
        <v>16</v>
      </c>
      <c r="H1358" t="s">
        <v>39</v>
      </c>
      <c r="I1358">
        <v>2</v>
      </c>
      <c r="J1358">
        <v>0</v>
      </c>
      <c r="K1358">
        <v>404.62</v>
      </c>
      <c r="L1358">
        <v>7</v>
      </c>
      <c r="M1358" t="s">
        <v>2471</v>
      </c>
      <c r="N1358" t="s">
        <v>2467</v>
      </c>
      <c r="O1358" t="s">
        <v>2461</v>
      </c>
      <c r="P1358">
        <v>112.09</v>
      </c>
      <c r="Q1358">
        <v>192.47</v>
      </c>
      <c r="R1358">
        <v>224.18</v>
      </c>
      <c r="S1358">
        <v>173.44</v>
      </c>
      <c r="T1358">
        <v>0.42864910286194452</v>
      </c>
      <c r="U1358" s="1">
        <v>45809</v>
      </c>
      <c r="V1358" t="s">
        <v>2499</v>
      </c>
      <c r="W1358">
        <v>2025</v>
      </c>
    </row>
    <row r="1359" spans="1:23" x14ac:dyDescent="0.25">
      <c r="A1359" t="s">
        <v>1406</v>
      </c>
      <c r="B1359" s="1">
        <v>45838</v>
      </c>
      <c r="C1359" s="1">
        <v>45843</v>
      </c>
      <c r="D1359" t="s">
        <v>47</v>
      </c>
      <c r="E1359" t="s">
        <v>71</v>
      </c>
      <c r="F1359" t="s">
        <v>29</v>
      </c>
      <c r="G1359" t="s">
        <v>26</v>
      </c>
      <c r="H1359" t="s">
        <v>17</v>
      </c>
      <c r="I1359">
        <v>3</v>
      </c>
      <c r="J1359">
        <v>0.1</v>
      </c>
      <c r="K1359">
        <v>363.16</v>
      </c>
      <c r="L1359">
        <v>4.95</v>
      </c>
      <c r="M1359" t="s">
        <v>2472</v>
      </c>
      <c r="N1359" t="s">
        <v>2467</v>
      </c>
      <c r="O1359" t="s">
        <v>2468</v>
      </c>
      <c r="P1359">
        <v>63.69</v>
      </c>
      <c r="Q1359">
        <v>125.5</v>
      </c>
      <c r="R1359">
        <v>191.07</v>
      </c>
      <c r="S1359">
        <v>167.14000000000004</v>
      </c>
      <c r="T1359">
        <v>0.4602379116642803</v>
      </c>
      <c r="U1359" s="1">
        <v>45809</v>
      </c>
      <c r="V1359" t="s">
        <v>2498</v>
      </c>
      <c r="W1359">
        <v>2025</v>
      </c>
    </row>
    <row r="1360" spans="1:23" x14ac:dyDescent="0.25">
      <c r="A1360" t="s">
        <v>1407</v>
      </c>
      <c r="B1360" s="1">
        <v>45994</v>
      </c>
      <c r="C1360" s="1">
        <v>45997</v>
      </c>
      <c r="D1360" t="s">
        <v>23</v>
      </c>
      <c r="E1360" t="s">
        <v>43</v>
      </c>
      <c r="F1360" t="s">
        <v>29</v>
      </c>
      <c r="G1360" t="s">
        <v>26</v>
      </c>
      <c r="H1360" t="s">
        <v>17</v>
      </c>
      <c r="I1360">
        <v>1</v>
      </c>
      <c r="J1360">
        <v>0</v>
      </c>
      <c r="K1360">
        <v>186.81</v>
      </c>
      <c r="L1360">
        <v>5.75</v>
      </c>
      <c r="M1360" t="s">
        <v>2472</v>
      </c>
      <c r="N1360" t="s">
        <v>2467</v>
      </c>
      <c r="O1360" t="s">
        <v>2468</v>
      </c>
      <c r="P1360">
        <v>63.69</v>
      </c>
      <c r="Q1360">
        <v>125.5</v>
      </c>
      <c r="R1360">
        <v>63.69</v>
      </c>
      <c r="S1360">
        <v>117.37</v>
      </c>
      <c r="T1360">
        <v>0.62828542369252183</v>
      </c>
      <c r="U1360" s="1">
        <v>45992</v>
      </c>
      <c r="V1360" t="s">
        <v>2499</v>
      </c>
      <c r="W1360">
        <v>2025</v>
      </c>
    </row>
    <row r="1361" spans="1:23" x14ac:dyDescent="0.25">
      <c r="A1361" t="s">
        <v>1408</v>
      </c>
      <c r="B1361" s="1">
        <v>45542</v>
      </c>
      <c r="C1361" s="1">
        <v>45546</v>
      </c>
      <c r="D1361" t="s">
        <v>47</v>
      </c>
      <c r="E1361" t="s">
        <v>50</v>
      </c>
      <c r="F1361" t="s">
        <v>25</v>
      </c>
      <c r="G1361" t="s">
        <v>26</v>
      </c>
      <c r="H1361" t="s">
        <v>27</v>
      </c>
      <c r="I1361">
        <v>9</v>
      </c>
      <c r="J1361">
        <v>0</v>
      </c>
      <c r="K1361">
        <v>273</v>
      </c>
      <c r="L1361">
        <v>5.13</v>
      </c>
      <c r="M1361" t="s">
        <v>2478</v>
      </c>
      <c r="N1361" t="s">
        <v>2474</v>
      </c>
      <c r="O1361" t="s">
        <v>2463</v>
      </c>
      <c r="P1361">
        <v>16.760000000000002</v>
      </c>
      <c r="Q1361">
        <v>27.71</v>
      </c>
      <c r="R1361">
        <v>150.84</v>
      </c>
      <c r="S1361">
        <v>117.03</v>
      </c>
      <c r="T1361">
        <v>0.4286813186813187</v>
      </c>
      <c r="U1361" s="1">
        <v>45536</v>
      </c>
      <c r="V1361" t="s">
        <v>2499</v>
      </c>
      <c r="W1361">
        <v>2024</v>
      </c>
    </row>
    <row r="1362" spans="1:23" x14ac:dyDescent="0.25">
      <c r="A1362" t="s">
        <v>1409</v>
      </c>
      <c r="B1362" s="1">
        <v>45927</v>
      </c>
      <c r="C1362" s="1">
        <v>45933</v>
      </c>
      <c r="D1362" t="s">
        <v>13</v>
      </c>
      <c r="E1362" t="s">
        <v>19</v>
      </c>
      <c r="F1362" t="s">
        <v>15</v>
      </c>
      <c r="G1362" t="s">
        <v>26</v>
      </c>
      <c r="H1362" t="s">
        <v>53</v>
      </c>
      <c r="I1362">
        <v>4</v>
      </c>
      <c r="J1362">
        <v>0.1</v>
      </c>
      <c r="K1362">
        <v>209.28</v>
      </c>
      <c r="L1362">
        <v>9.5</v>
      </c>
      <c r="M1362" t="s">
        <v>2470</v>
      </c>
      <c r="N1362" t="s">
        <v>2467</v>
      </c>
      <c r="O1362" t="s">
        <v>2459</v>
      </c>
      <c r="P1362">
        <v>31.34</v>
      </c>
      <c r="Q1362">
        <v>56.49</v>
      </c>
      <c r="R1362">
        <v>125.36</v>
      </c>
      <c r="S1362">
        <v>74.42</v>
      </c>
      <c r="T1362">
        <v>0.35560015290519881</v>
      </c>
      <c r="U1362" s="1">
        <v>45901</v>
      </c>
      <c r="V1362" t="s">
        <v>2498</v>
      </c>
      <c r="W1362">
        <v>2025</v>
      </c>
    </row>
    <row r="1363" spans="1:23" x14ac:dyDescent="0.25">
      <c r="A1363" t="s">
        <v>1410</v>
      </c>
      <c r="B1363" s="1">
        <v>45537</v>
      </c>
      <c r="C1363" s="1">
        <v>45542</v>
      </c>
      <c r="D1363" t="s">
        <v>13</v>
      </c>
      <c r="E1363" t="s">
        <v>14</v>
      </c>
      <c r="F1363" t="s">
        <v>15</v>
      </c>
      <c r="G1363" t="s">
        <v>26</v>
      </c>
      <c r="H1363" t="s">
        <v>34</v>
      </c>
      <c r="I1363">
        <v>2</v>
      </c>
      <c r="J1363">
        <v>0.25</v>
      </c>
      <c r="K1363">
        <v>332.41</v>
      </c>
      <c r="L1363">
        <v>5.46</v>
      </c>
      <c r="M1363" t="s">
        <v>2460</v>
      </c>
      <c r="N1363" t="s">
        <v>2458</v>
      </c>
      <c r="O1363" t="s">
        <v>2461</v>
      </c>
      <c r="P1363">
        <v>119.02</v>
      </c>
      <c r="Q1363">
        <v>205.39</v>
      </c>
      <c r="R1363">
        <v>238.04</v>
      </c>
      <c r="S1363">
        <v>88.910000000000039</v>
      </c>
      <c r="T1363">
        <v>0.26747089437742555</v>
      </c>
      <c r="U1363" s="1">
        <v>45536</v>
      </c>
      <c r="V1363" t="s">
        <v>2501</v>
      </c>
      <c r="W1363">
        <v>2024</v>
      </c>
    </row>
    <row r="1364" spans="1:23" x14ac:dyDescent="0.25">
      <c r="A1364" t="s">
        <v>1411</v>
      </c>
      <c r="B1364" s="1">
        <v>45481</v>
      </c>
      <c r="C1364" s="1">
        <v>45484</v>
      </c>
      <c r="D1364" t="s">
        <v>32</v>
      </c>
      <c r="E1364" t="s">
        <v>62</v>
      </c>
      <c r="F1364" t="s">
        <v>29</v>
      </c>
      <c r="G1364" t="s">
        <v>20</v>
      </c>
      <c r="H1364" t="s">
        <v>34</v>
      </c>
      <c r="I1364">
        <v>1</v>
      </c>
      <c r="J1364">
        <v>0.05</v>
      </c>
      <c r="K1364">
        <v>183.06</v>
      </c>
      <c r="L1364">
        <v>6.8</v>
      </c>
      <c r="M1364" t="s">
        <v>2460</v>
      </c>
      <c r="N1364" t="s">
        <v>2458</v>
      </c>
      <c r="O1364" t="s">
        <v>2461</v>
      </c>
      <c r="P1364">
        <v>119.02</v>
      </c>
      <c r="Q1364">
        <v>205.39</v>
      </c>
      <c r="R1364">
        <v>119.02</v>
      </c>
      <c r="S1364">
        <v>57.240000000000009</v>
      </c>
      <c r="T1364">
        <v>0.31268436578171094</v>
      </c>
      <c r="U1364" s="1">
        <v>45474</v>
      </c>
      <c r="V1364" t="s">
        <v>2498</v>
      </c>
      <c r="W1364">
        <v>2024</v>
      </c>
    </row>
    <row r="1365" spans="1:23" x14ac:dyDescent="0.25">
      <c r="A1365" t="s">
        <v>1412</v>
      </c>
      <c r="B1365" s="1">
        <v>45594</v>
      </c>
      <c r="C1365" s="1">
        <v>45597</v>
      </c>
      <c r="D1365" t="s">
        <v>47</v>
      </c>
      <c r="E1365" t="s">
        <v>71</v>
      </c>
      <c r="F1365" t="s">
        <v>29</v>
      </c>
      <c r="G1365" t="s">
        <v>26</v>
      </c>
      <c r="H1365" t="s">
        <v>65</v>
      </c>
      <c r="I1365">
        <v>2</v>
      </c>
      <c r="J1365">
        <v>0</v>
      </c>
      <c r="K1365">
        <v>686.81</v>
      </c>
      <c r="L1365">
        <v>9.1</v>
      </c>
      <c r="M1365" t="s">
        <v>2457</v>
      </c>
      <c r="N1365" t="s">
        <v>2458</v>
      </c>
      <c r="O1365" t="s">
        <v>2459</v>
      </c>
      <c r="P1365">
        <v>173.56</v>
      </c>
      <c r="Q1365">
        <v>286.14999999999998</v>
      </c>
      <c r="R1365">
        <v>347.12</v>
      </c>
      <c r="S1365">
        <v>330.58999999999992</v>
      </c>
      <c r="T1365">
        <v>0.48134127342350863</v>
      </c>
      <c r="U1365" s="1">
        <v>45566</v>
      </c>
      <c r="V1365" t="s">
        <v>2499</v>
      </c>
      <c r="W1365">
        <v>2024</v>
      </c>
    </row>
    <row r="1366" spans="1:23" x14ac:dyDescent="0.25">
      <c r="A1366" t="s">
        <v>1413</v>
      </c>
      <c r="B1366" s="1">
        <v>45307</v>
      </c>
      <c r="C1366" s="1">
        <v>45310</v>
      </c>
      <c r="D1366" t="s">
        <v>32</v>
      </c>
      <c r="E1366" t="s">
        <v>45</v>
      </c>
      <c r="F1366" t="s">
        <v>29</v>
      </c>
      <c r="G1366" t="s">
        <v>20</v>
      </c>
      <c r="H1366" t="s">
        <v>65</v>
      </c>
      <c r="I1366">
        <v>1</v>
      </c>
      <c r="J1366">
        <v>0</v>
      </c>
      <c r="K1366">
        <v>247.17</v>
      </c>
      <c r="L1366">
        <v>4.08</v>
      </c>
      <c r="M1366" t="s">
        <v>2457</v>
      </c>
      <c r="N1366" t="s">
        <v>2458</v>
      </c>
      <c r="O1366" t="s">
        <v>2459</v>
      </c>
      <c r="P1366">
        <v>173.56</v>
      </c>
      <c r="Q1366">
        <v>286.14999999999998</v>
      </c>
      <c r="R1366">
        <v>173.56</v>
      </c>
      <c r="S1366">
        <v>69.529999999999987</v>
      </c>
      <c r="T1366">
        <v>0.28130436541651493</v>
      </c>
      <c r="U1366" s="1">
        <v>45292</v>
      </c>
      <c r="V1366" t="s">
        <v>2499</v>
      </c>
      <c r="W1366">
        <v>2024</v>
      </c>
    </row>
    <row r="1367" spans="1:23" x14ac:dyDescent="0.25">
      <c r="A1367" t="s">
        <v>1414</v>
      </c>
      <c r="B1367" s="1">
        <v>45433</v>
      </c>
      <c r="C1367" s="1">
        <v>45434</v>
      </c>
      <c r="D1367" t="s">
        <v>47</v>
      </c>
      <c r="E1367" t="s">
        <v>50</v>
      </c>
      <c r="F1367" t="s">
        <v>15</v>
      </c>
      <c r="G1367" t="s">
        <v>26</v>
      </c>
      <c r="H1367" t="s">
        <v>34</v>
      </c>
      <c r="I1367">
        <v>4</v>
      </c>
      <c r="J1367">
        <v>0.2</v>
      </c>
      <c r="K1367">
        <v>660.29</v>
      </c>
      <c r="L1367">
        <v>13.7</v>
      </c>
      <c r="M1367" t="s">
        <v>2460</v>
      </c>
      <c r="N1367" t="s">
        <v>2458</v>
      </c>
      <c r="O1367" t="s">
        <v>2461</v>
      </c>
      <c r="P1367">
        <v>119.02</v>
      </c>
      <c r="Q1367">
        <v>205.39</v>
      </c>
      <c r="R1367">
        <v>476.08</v>
      </c>
      <c r="S1367">
        <v>170.51</v>
      </c>
      <c r="T1367">
        <v>0.25823501794665982</v>
      </c>
      <c r="U1367" s="1">
        <v>45413</v>
      </c>
      <c r="V1367" t="s">
        <v>2500</v>
      </c>
      <c r="W1367">
        <v>2024</v>
      </c>
    </row>
    <row r="1368" spans="1:23" x14ac:dyDescent="0.25">
      <c r="A1368" t="s">
        <v>1415</v>
      </c>
      <c r="B1368" s="1">
        <v>45977</v>
      </c>
      <c r="C1368" s="1">
        <v>45983</v>
      </c>
      <c r="D1368" t="s">
        <v>23</v>
      </c>
      <c r="E1368" t="s">
        <v>24</v>
      </c>
      <c r="F1368" t="s">
        <v>29</v>
      </c>
      <c r="G1368" t="s">
        <v>20</v>
      </c>
      <c r="H1368" t="s">
        <v>27</v>
      </c>
      <c r="I1368">
        <v>6</v>
      </c>
      <c r="J1368">
        <v>0</v>
      </c>
      <c r="K1368">
        <v>221.36</v>
      </c>
      <c r="L1368">
        <v>4.32</v>
      </c>
      <c r="M1368" t="s">
        <v>2478</v>
      </c>
      <c r="N1368" t="s">
        <v>2474</v>
      </c>
      <c r="O1368" t="s">
        <v>2463</v>
      </c>
      <c r="P1368">
        <v>16.760000000000002</v>
      </c>
      <c r="Q1368">
        <v>27.71</v>
      </c>
      <c r="R1368">
        <v>100.56</v>
      </c>
      <c r="S1368">
        <v>116.48000000000002</v>
      </c>
      <c r="T1368">
        <v>0.52620166245030719</v>
      </c>
      <c r="U1368" s="1">
        <v>45962</v>
      </c>
      <c r="V1368" t="s">
        <v>2499</v>
      </c>
      <c r="W1368">
        <v>2025</v>
      </c>
    </row>
    <row r="1369" spans="1:23" x14ac:dyDescent="0.25">
      <c r="A1369" t="s">
        <v>1416</v>
      </c>
      <c r="B1369" s="1">
        <v>45839</v>
      </c>
      <c r="C1369" s="1">
        <v>45842</v>
      </c>
      <c r="D1369" t="s">
        <v>13</v>
      </c>
      <c r="E1369" t="s">
        <v>36</v>
      </c>
      <c r="F1369" t="s">
        <v>29</v>
      </c>
      <c r="G1369" t="s">
        <v>26</v>
      </c>
      <c r="H1369" t="s">
        <v>68</v>
      </c>
      <c r="I1369">
        <v>3</v>
      </c>
      <c r="J1369">
        <v>0</v>
      </c>
      <c r="K1369">
        <v>141.58000000000001</v>
      </c>
      <c r="L1369">
        <v>8.25</v>
      </c>
      <c r="M1369" t="s">
        <v>2466</v>
      </c>
      <c r="N1369" t="s">
        <v>2467</v>
      </c>
      <c r="O1369" t="s">
        <v>2468</v>
      </c>
      <c r="P1369">
        <v>25.33</v>
      </c>
      <c r="Q1369">
        <v>51.56</v>
      </c>
      <c r="R1369">
        <v>75.989999999999995</v>
      </c>
      <c r="S1369">
        <v>57.340000000000018</v>
      </c>
      <c r="T1369">
        <v>0.40500070631445129</v>
      </c>
      <c r="U1369" s="1">
        <v>45839</v>
      </c>
      <c r="V1369" t="s">
        <v>2499</v>
      </c>
      <c r="W1369">
        <v>2025</v>
      </c>
    </row>
    <row r="1370" spans="1:23" x14ac:dyDescent="0.25">
      <c r="A1370" t="s">
        <v>1417</v>
      </c>
      <c r="B1370" s="1">
        <v>45758</v>
      </c>
      <c r="C1370" s="1">
        <v>45764</v>
      </c>
      <c r="D1370" t="s">
        <v>47</v>
      </c>
      <c r="E1370" t="s">
        <v>71</v>
      </c>
      <c r="F1370" t="s">
        <v>29</v>
      </c>
      <c r="G1370" t="s">
        <v>16</v>
      </c>
      <c r="H1370" t="s">
        <v>65</v>
      </c>
      <c r="I1370">
        <v>1</v>
      </c>
      <c r="J1370">
        <v>0</v>
      </c>
      <c r="K1370">
        <v>265.47000000000003</v>
      </c>
      <c r="L1370">
        <v>6.8</v>
      </c>
      <c r="M1370" t="s">
        <v>2457</v>
      </c>
      <c r="N1370" t="s">
        <v>2458</v>
      </c>
      <c r="O1370" t="s">
        <v>2459</v>
      </c>
      <c r="P1370">
        <v>173.56</v>
      </c>
      <c r="Q1370">
        <v>286.14999999999998</v>
      </c>
      <c r="R1370">
        <v>173.56</v>
      </c>
      <c r="S1370">
        <v>85.110000000000028</v>
      </c>
      <c r="T1370">
        <v>0.3206011978754662</v>
      </c>
      <c r="U1370" s="1">
        <v>45748</v>
      </c>
      <c r="V1370" t="s">
        <v>2499</v>
      </c>
      <c r="W1370">
        <v>2025</v>
      </c>
    </row>
    <row r="1371" spans="1:23" x14ac:dyDescent="0.25">
      <c r="A1371" t="s">
        <v>1418</v>
      </c>
      <c r="B1371" s="1">
        <v>45500</v>
      </c>
      <c r="C1371" s="1">
        <v>45506</v>
      </c>
      <c r="D1371" t="s">
        <v>47</v>
      </c>
      <c r="E1371" t="s">
        <v>48</v>
      </c>
      <c r="F1371" t="s">
        <v>15</v>
      </c>
      <c r="G1371" t="s">
        <v>20</v>
      </c>
      <c r="H1371" t="s">
        <v>39</v>
      </c>
      <c r="I1371">
        <v>2</v>
      </c>
      <c r="J1371">
        <v>0</v>
      </c>
      <c r="K1371">
        <v>351.4</v>
      </c>
      <c r="L1371">
        <v>4.2</v>
      </c>
      <c r="M1371" t="s">
        <v>2471</v>
      </c>
      <c r="N1371" t="s">
        <v>2467</v>
      </c>
      <c r="O1371" t="s">
        <v>2461</v>
      </c>
      <c r="P1371">
        <v>112.09</v>
      </c>
      <c r="Q1371">
        <v>192.47</v>
      </c>
      <c r="R1371">
        <v>224.18</v>
      </c>
      <c r="S1371">
        <v>123.01999999999997</v>
      </c>
      <c r="T1371">
        <v>0.35008537279453605</v>
      </c>
      <c r="U1371" s="1">
        <v>45474</v>
      </c>
      <c r="V1371" t="s">
        <v>2499</v>
      </c>
      <c r="W1371">
        <v>2024</v>
      </c>
    </row>
    <row r="1372" spans="1:23" x14ac:dyDescent="0.25">
      <c r="A1372" t="s">
        <v>1419</v>
      </c>
      <c r="B1372" s="1">
        <v>45554</v>
      </c>
      <c r="C1372" s="1">
        <v>45555</v>
      </c>
      <c r="D1372" t="s">
        <v>13</v>
      </c>
      <c r="E1372" t="s">
        <v>19</v>
      </c>
      <c r="F1372" t="s">
        <v>29</v>
      </c>
      <c r="G1372" t="s">
        <v>16</v>
      </c>
      <c r="H1372" t="s">
        <v>51</v>
      </c>
      <c r="I1372">
        <v>4</v>
      </c>
      <c r="J1372">
        <v>0</v>
      </c>
      <c r="K1372">
        <v>62.23</v>
      </c>
      <c r="L1372">
        <v>6.3</v>
      </c>
      <c r="M1372" t="s">
        <v>2475</v>
      </c>
      <c r="N1372" t="s">
        <v>2474</v>
      </c>
      <c r="O1372" t="s">
        <v>2463</v>
      </c>
      <c r="P1372">
        <v>7.93</v>
      </c>
      <c r="Q1372">
        <v>14.78</v>
      </c>
      <c r="R1372">
        <v>31.72</v>
      </c>
      <c r="S1372">
        <v>24.209999999999997</v>
      </c>
      <c r="T1372">
        <v>0.38904065563233164</v>
      </c>
      <c r="U1372" s="1">
        <v>45536</v>
      </c>
      <c r="V1372" t="s">
        <v>2499</v>
      </c>
      <c r="W1372">
        <v>2024</v>
      </c>
    </row>
    <row r="1373" spans="1:23" x14ac:dyDescent="0.25">
      <c r="A1373" t="s">
        <v>1420</v>
      </c>
      <c r="B1373" s="1">
        <v>45506</v>
      </c>
      <c r="C1373" s="1">
        <v>45508</v>
      </c>
      <c r="D1373" t="s">
        <v>32</v>
      </c>
      <c r="E1373" t="s">
        <v>45</v>
      </c>
      <c r="F1373" t="s">
        <v>25</v>
      </c>
      <c r="G1373" t="s">
        <v>20</v>
      </c>
      <c r="H1373" t="s">
        <v>68</v>
      </c>
      <c r="I1373">
        <v>2</v>
      </c>
      <c r="J1373">
        <v>0</v>
      </c>
      <c r="K1373">
        <v>93.96</v>
      </c>
      <c r="L1373">
        <v>4.2</v>
      </c>
      <c r="M1373" t="s">
        <v>2466</v>
      </c>
      <c r="N1373" t="s">
        <v>2467</v>
      </c>
      <c r="O1373" t="s">
        <v>2468</v>
      </c>
      <c r="P1373">
        <v>25.33</v>
      </c>
      <c r="Q1373">
        <v>51.56</v>
      </c>
      <c r="R1373">
        <v>50.66</v>
      </c>
      <c r="S1373">
        <v>39.099999999999994</v>
      </c>
      <c r="T1373">
        <v>0.41613452532992762</v>
      </c>
      <c r="U1373" s="1">
        <v>45505</v>
      </c>
      <c r="V1373" t="s">
        <v>2499</v>
      </c>
      <c r="W1373">
        <v>2024</v>
      </c>
    </row>
    <row r="1374" spans="1:23" x14ac:dyDescent="0.25">
      <c r="A1374" t="s">
        <v>1421</v>
      </c>
      <c r="B1374" s="1">
        <v>45784</v>
      </c>
      <c r="C1374" s="1">
        <v>45788</v>
      </c>
      <c r="D1374" t="s">
        <v>13</v>
      </c>
      <c r="E1374" t="s">
        <v>19</v>
      </c>
      <c r="F1374" t="s">
        <v>15</v>
      </c>
      <c r="G1374" t="s">
        <v>20</v>
      </c>
      <c r="H1374" t="s">
        <v>17</v>
      </c>
      <c r="I1374">
        <v>4</v>
      </c>
      <c r="J1374">
        <v>0</v>
      </c>
      <c r="K1374">
        <v>526.91999999999996</v>
      </c>
      <c r="L1374">
        <v>5.7</v>
      </c>
      <c r="M1374" t="s">
        <v>2472</v>
      </c>
      <c r="N1374" t="s">
        <v>2467</v>
      </c>
      <c r="O1374" t="s">
        <v>2468</v>
      </c>
      <c r="P1374">
        <v>63.69</v>
      </c>
      <c r="Q1374">
        <v>125.5</v>
      </c>
      <c r="R1374">
        <v>254.76</v>
      </c>
      <c r="S1374">
        <v>266.45999999999998</v>
      </c>
      <c r="T1374">
        <v>0.50569346390343883</v>
      </c>
      <c r="U1374" s="1">
        <v>45778</v>
      </c>
      <c r="V1374" t="s">
        <v>2499</v>
      </c>
      <c r="W1374">
        <v>2025</v>
      </c>
    </row>
    <row r="1375" spans="1:23" x14ac:dyDescent="0.25">
      <c r="A1375" t="s">
        <v>1422</v>
      </c>
      <c r="B1375" s="1">
        <v>45514</v>
      </c>
      <c r="C1375" s="1">
        <v>45516</v>
      </c>
      <c r="D1375" t="s">
        <v>47</v>
      </c>
      <c r="E1375" t="s">
        <v>50</v>
      </c>
      <c r="F1375" t="s">
        <v>29</v>
      </c>
      <c r="G1375" t="s">
        <v>26</v>
      </c>
      <c r="H1375" t="s">
        <v>39</v>
      </c>
      <c r="I1375">
        <v>3</v>
      </c>
      <c r="J1375">
        <v>0.2</v>
      </c>
      <c r="K1375">
        <v>442.71</v>
      </c>
      <c r="L1375">
        <v>4.95</v>
      </c>
      <c r="M1375" t="s">
        <v>2471</v>
      </c>
      <c r="N1375" t="s">
        <v>2467</v>
      </c>
      <c r="O1375" t="s">
        <v>2461</v>
      </c>
      <c r="P1375">
        <v>112.09</v>
      </c>
      <c r="Q1375">
        <v>192.47</v>
      </c>
      <c r="R1375">
        <v>336.27</v>
      </c>
      <c r="S1375">
        <v>101.49</v>
      </c>
      <c r="T1375">
        <v>0.22924713695195501</v>
      </c>
      <c r="U1375" s="1">
        <v>45505</v>
      </c>
      <c r="V1375" t="s">
        <v>2500</v>
      </c>
      <c r="W1375">
        <v>2024</v>
      </c>
    </row>
    <row r="1376" spans="1:23" x14ac:dyDescent="0.25">
      <c r="A1376" t="s">
        <v>1423</v>
      </c>
      <c r="B1376" s="1">
        <v>45783</v>
      </c>
      <c r="C1376" s="1">
        <v>45789</v>
      </c>
      <c r="D1376" t="s">
        <v>23</v>
      </c>
      <c r="E1376" t="s">
        <v>24</v>
      </c>
      <c r="F1376" t="s">
        <v>29</v>
      </c>
      <c r="G1376" t="s">
        <v>26</v>
      </c>
      <c r="H1376" t="s">
        <v>34</v>
      </c>
      <c r="I1376">
        <v>2</v>
      </c>
      <c r="J1376">
        <v>0</v>
      </c>
      <c r="K1376">
        <v>398.24</v>
      </c>
      <c r="L1376">
        <v>5.46</v>
      </c>
      <c r="M1376" t="s">
        <v>2460</v>
      </c>
      <c r="N1376" t="s">
        <v>2458</v>
      </c>
      <c r="O1376" t="s">
        <v>2461</v>
      </c>
      <c r="P1376">
        <v>119.02</v>
      </c>
      <c r="Q1376">
        <v>205.39</v>
      </c>
      <c r="R1376">
        <v>238.04</v>
      </c>
      <c r="S1376">
        <v>154.74</v>
      </c>
      <c r="T1376">
        <v>0.3885596625150663</v>
      </c>
      <c r="U1376" s="1">
        <v>45778</v>
      </c>
      <c r="V1376" t="s">
        <v>2499</v>
      </c>
      <c r="W1376">
        <v>2025</v>
      </c>
    </row>
    <row r="1377" spans="1:23" x14ac:dyDescent="0.25">
      <c r="A1377" t="s">
        <v>1424</v>
      </c>
      <c r="B1377" s="1">
        <v>45837</v>
      </c>
      <c r="C1377" s="1">
        <v>45840</v>
      </c>
      <c r="D1377" t="s">
        <v>23</v>
      </c>
      <c r="E1377" t="s">
        <v>43</v>
      </c>
      <c r="F1377" t="s">
        <v>29</v>
      </c>
      <c r="G1377" t="s">
        <v>26</v>
      </c>
      <c r="H1377" t="s">
        <v>34</v>
      </c>
      <c r="I1377">
        <v>4</v>
      </c>
      <c r="J1377">
        <v>0.2</v>
      </c>
      <c r="K1377">
        <v>649.99</v>
      </c>
      <c r="L1377">
        <v>13.7</v>
      </c>
      <c r="M1377" t="s">
        <v>2460</v>
      </c>
      <c r="N1377" t="s">
        <v>2458</v>
      </c>
      <c r="O1377" t="s">
        <v>2461</v>
      </c>
      <c r="P1377">
        <v>119.02</v>
      </c>
      <c r="Q1377">
        <v>205.39</v>
      </c>
      <c r="R1377">
        <v>476.08</v>
      </c>
      <c r="S1377">
        <v>160.21000000000004</v>
      </c>
      <c r="T1377">
        <v>0.24648071508792449</v>
      </c>
      <c r="U1377" s="1">
        <v>45809</v>
      </c>
      <c r="V1377" t="s">
        <v>2500</v>
      </c>
      <c r="W1377">
        <v>2025</v>
      </c>
    </row>
    <row r="1378" spans="1:23" x14ac:dyDescent="0.25">
      <c r="A1378" t="s">
        <v>1425</v>
      </c>
      <c r="B1378" s="1">
        <v>45930</v>
      </c>
      <c r="C1378" s="1">
        <v>45932</v>
      </c>
      <c r="D1378" t="s">
        <v>32</v>
      </c>
      <c r="E1378" t="s">
        <v>33</v>
      </c>
      <c r="F1378" t="s">
        <v>29</v>
      </c>
      <c r="G1378" t="s">
        <v>16</v>
      </c>
      <c r="H1378" t="s">
        <v>17</v>
      </c>
      <c r="I1378">
        <v>4</v>
      </c>
      <c r="J1378">
        <v>0</v>
      </c>
      <c r="K1378">
        <v>524.4</v>
      </c>
      <c r="L1378">
        <v>9.5</v>
      </c>
      <c r="M1378" t="s">
        <v>2472</v>
      </c>
      <c r="N1378" t="s">
        <v>2467</v>
      </c>
      <c r="O1378" t="s">
        <v>2468</v>
      </c>
      <c r="P1378">
        <v>63.69</v>
      </c>
      <c r="Q1378">
        <v>125.5</v>
      </c>
      <c r="R1378">
        <v>254.76</v>
      </c>
      <c r="S1378">
        <v>260.14</v>
      </c>
      <c r="T1378">
        <v>0.49607170099160947</v>
      </c>
      <c r="U1378" s="1">
        <v>45901</v>
      </c>
      <c r="V1378" t="s">
        <v>2499</v>
      </c>
      <c r="W1378">
        <v>2025</v>
      </c>
    </row>
    <row r="1379" spans="1:23" x14ac:dyDescent="0.25">
      <c r="A1379" t="s">
        <v>1426</v>
      </c>
      <c r="B1379" s="1">
        <v>45295</v>
      </c>
      <c r="C1379" s="1">
        <v>45299</v>
      </c>
      <c r="D1379" t="s">
        <v>32</v>
      </c>
      <c r="E1379" t="s">
        <v>62</v>
      </c>
      <c r="F1379" t="s">
        <v>15</v>
      </c>
      <c r="G1379" t="s">
        <v>20</v>
      </c>
      <c r="H1379" t="s">
        <v>41</v>
      </c>
      <c r="I1379">
        <v>3</v>
      </c>
      <c r="J1379">
        <v>0.05</v>
      </c>
      <c r="K1379">
        <v>15.5</v>
      </c>
      <c r="L1379">
        <v>3.51</v>
      </c>
      <c r="M1379" t="s">
        <v>2479</v>
      </c>
      <c r="N1379" t="s">
        <v>2474</v>
      </c>
      <c r="O1379" t="s">
        <v>2459</v>
      </c>
      <c r="P1379">
        <v>3.3</v>
      </c>
      <c r="Q1379">
        <v>6.13</v>
      </c>
      <c r="R1379">
        <v>9.8999999999999986</v>
      </c>
      <c r="S1379">
        <v>2.0900000000000016</v>
      </c>
      <c r="T1379">
        <v>0.13483870967741945</v>
      </c>
      <c r="U1379" s="1">
        <v>45292</v>
      </c>
      <c r="V1379" t="s">
        <v>2498</v>
      </c>
      <c r="W1379">
        <v>2024</v>
      </c>
    </row>
    <row r="1380" spans="1:23" x14ac:dyDescent="0.25">
      <c r="A1380" t="s">
        <v>1427</v>
      </c>
      <c r="B1380" s="1">
        <v>45794</v>
      </c>
      <c r="C1380" s="1">
        <v>45796</v>
      </c>
      <c r="D1380" t="s">
        <v>23</v>
      </c>
      <c r="E1380" t="s">
        <v>59</v>
      </c>
      <c r="F1380" t="s">
        <v>15</v>
      </c>
      <c r="G1380" t="s">
        <v>26</v>
      </c>
      <c r="H1380" t="s">
        <v>51</v>
      </c>
      <c r="I1380">
        <v>13</v>
      </c>
      <c r="J1380">
        <v>0</v>
      </c>
      <c r="K1380">
        <v>206.56</v>
      </c>
      <c r="L1380">
        <v>6.21</v>
      </c>
      <c r="M1380" t="s">
        <v>2475</v>
      </c>
      <c r="N1380" t="s">
        <v>2474</v>
      </c>
      <c r="O1380" t="s">
        <v>2463</v>
      </c>
      <c r="P1380">
        <v>7.93</v>
      </c>
      <c r="Q1380">
        <v>14.78</v>
      </c>
      <c r="R1380">
        <v>103.09</v>
      </c>
      <c r="S1380">
        <v>97.26</v>
      </c>
      <c r="T1380">
        <v>0.4708559256390395</v>
      </c>
      <c r="U1380" s="1">
        <v>45778</v>
      </c>
      <c r="V1380" t="s">
        <v>2499</v>
      </c>
      <c r="W1380">
        <v>2025</v>
      </c>
    </row>
    <row r="1381" spans="1:23" x14ac:dyDescent="0.25">
      <c r="A1381" t="s">
        <v>1428</v>
      </c>
      <c r="B1381" s="1">
        <v>45653</v>
      </c>
      <c r="C1381" s="1">
        <v>45654</v>
      </c>
      <c r="D1381" t="s">
        <v>47</v>
      </c>
      <c r="E1381" t="s">
        <v>50</v>
      </c>
      <c r="F1381" t="s">
        <v>29</v>
      </c>
      <c r="G1381" t="s">
        <v>20</v>
      </c>
      <c r="H1381" t="s">
        <v>27</v>
      </c>
      <c r="I1381">
        <v>4</v>
      </c>
      <c r="J1381">
        <v>0</v>
      </c>
      <c r="K1381">
        <v>151.24</v>
      </c>
      <c r="L1381">
        <v>3.78</v>
      </c>
      <c r="M1381" t="s">
        <v>2478</v>
      </c>
      <c r="N1381" t="s">
        <v>2474</v>
      </c>
      <c r="O1381" t="s">
        <v>2463</v>
      </c>
      <c r="P1381">
        <v>16.760000000000002</v>
      </c>
      <c r="Q1381">
        <v>27.71</v>
      </c>
      <c r="R1381">
        <v>67.040000000000006</v>
      </c>
      <c r="S1381">
        <v>80.42</v>
      </c>
      <c r="T1381">
        <v>0.53173763554615183</v>
      </c>
      <c r="U1381" s="1">
        <v>45627</v>
      </c>
      <c r="V1381" t="s">
        <v>2499</v>
      </c>
      <c r="W1381">
        <v>2024</v>
      </c>
    </row>
    <row r="1382" spans="1:23" x14ac:dyDescent="0.25">
      <c r="A1382" t="s">
        <v>1429</v>
      </c>
      <c r="B1382" s="1">
        <v>45523</v>
      </c>
      <c r="C1382" s="1">
        <v>45524</v>
      </c>
      <c r="D1382" t="s">
        <v>32</v>
      </c>
      <c r="E1382" t="s">
        <v>45</v>
      </c>
      <c r="F1382" t="s">
        <v>25</v>
      </c>
      <c r="G1382" t="s">
        <v>26</v>
      </c>
      <c r="H1382" t="s">
        <v>87</v>
      </c>
      <c r="I1382">
        <v>11</v>
      </c>
      <c r="J1382">
        <v>0.05</v>
      </c>
      <c r="K1382">
        <v>84.12</v>
      </c>
      <c r="L1382">
        <v>9.4499999999999993</v>
      </c>
      <c r="M1382" t="s">
        <v>2476</v>
      </c>
      <c r="N1382" t="s">
        <v>2474</v>
      </c>
      <c r="O1382" t="s">
        <v>2459</v>
      </c>
      <c r="P1382">
        <v>4.5</v>
      </c>
      <c r="Q1382">
        <v>8.2899999999999991</v>
      </c>
      <c r="R1382">
        <v>49.5</v>
      </c>
      <c r="S1382">
        <v>25.170000000000005</v>
      </c>
      <c r="T1382">
        <v>0.29921540656205425</v>
      </c>
      <c r="U1382" s="1">
        <v>45505</v>
      </c>
      <c r="V1382" t="s">
        <v>2498</v>
      </c>
      <c r="W1382">
        <v>2024</v>
      </c>
    </row>
    <row r="1383" spans="1:23" x14ac:dyDescent="0.25">
      <c r="A1383" t="s">
        <v>1430</v>
      </c>
      <c r="B1383" s="1">
        <v>45991</v>
      </c>
      <c r="C1383" s="1">
        <v>45995</v>
      </c>
      <c r="D1383" t="s">
        <v>13</v>
      </c>
      <c r="E1383" t="s">
        <v>19</v>
      </c>
      <c r="F1383" t="s">
        <v>29</v>
      </c>
      <c r="G1383" t="s">
        <v>20</v>
      </c>
      <c r="H1383" t="s">
        <v>41</v>
      </c>
      <c r="I1383">
        <v>23</v>
      </c>
      <c r="J1383">
        <v>0</v>
      </c>
      <c r="K1383">
        <v>197.59</v>
      </c>
      <c r="L1383">
        <v>14.85</v>
      </c>
      <c r="M1383" t="s">
        <v>2479</v>
      </c>
      <c r="N1383" t="s">
        <v>2474</v>
      </c>
      <c r="O1383" t="s">
        <v>2459</v>
      </c>
      <c r="P1383">
        <v>3.3</v>
      </c>
      <c r="Q1383">
        <v>6.13</v>
      </c>
      <c r="R1383">
        <v>75.899999999999991</v>
      </c>
      <c r="S1383">
        <v>106.84000000000002</v>
      </c>
      <c r="T1383">
        <v>0.54071562326028655</v>
      </c>
      <c r="U1383" s="1">
        <v>45962</v>
      </c>
      <c r="V1383" t="s">
        <v>2499</v>
      </c>
      <c r="W1383">
        <v>2025</v>
      </c>
    </row>
    <row r="1384" spans="1:23" x14ac:dyDescent="0.25">
      <c r="A1384" t="s">
        <v>1431</v>
      </c>
      <c r="B1384" s="1">
        <v>45300</v>
      </c>
      <c r="C1384" s="1">
        <v>45306</v>
      </c>
      <c r="D1384" t="s">
        <v>47</v>
      </c>
      <c r="E1384" t="s">
        <v>50</v>
      </c>
      <c r="F1384" t="s">
        <v>15</v>
      </c>
      <c r="G1384" t="s">
        <v>26</v>
      </c>
      <c r="H1384" t="s">
        <v>17</v>
      </c>
      <c r="I1384">
        <v>2</v>
      </c>
      <c r="J1384">
        <v>0.2</v>
      </c>
      <c r="K1384">
        <v>180</v>
      </c>
      <c r="L1384">
        <v>4.2</v>
      </c>
      <c r="M1384" t="s">
        <v>2472</v>
      </c>
      <c r="N1384" t="s">
        <v>2467</v>
      </c>
      <c r="O1384" t="s">
        <v>2468</v>
      </c>
      <c r="P1384">
        <v>63.69</v>
      </c>
      <c r="Q1384">
        <v>125.5</v>
      </c>
      <c r="R1384">
        <v>127.38</v>
      </c>
      <c r="S1384">
        <v>48.42</v>
      </c>
      <c r="T1384">
        <v>0.26900000000000002</v>
      </c>
      <c r="U1384" s="1">
        <v>45292</v>
      </c>
      <c r="V1384" t="s">
        <v>2500</v>
      </c>
      <c r="W1384">
        <v>2024</v>
      </c>
    </row>
    <row r="1385" spans="1:23" x14ac:dyDescent="0.25">
      <c r="A1385" t="s">
        <v>1432</v>
      </c>
      <c r="B1385" s="1">
        <v>45659</v>
      </c>
      <c r="C1385" s="1">
        <v>45661</v>
      </c>
      <c r="D1385" t="s">
        <v>13</v>
      </c>
      <c r="E1385" t="s">
        <v>36</v>
      </c>
      <c r="F1385" t="s">
        <v>25</v>
      </c>
      <c r="G1385" t="s">
        <v>20</v>
      </c>
      <c r="H1385" t="s">
        <v>34</v>
      </c>
      <c r="I1385">
        <v>1</v>
      </c>
      <c r="J1385">
        <v>0.05</v>
      </c>
      <c r="K1385">
        <v>173.97</v>
      </c>
      <c r="L1385">
        <v>4.08</v>
      </c>
      <c r="M1385" t="s">
        <v>2460</v>
      </c>
      <c r="N1385" t="s">
        <v>2458</v>
      </c>
      <c r="O1385" t="s">
        <v>2461</v>
      </c>
      <c r="P1385">
        <v>119.02</v>
      </c>
      <c r="Q1385">
        <v>205.39</v>
      </c>
      <c r="R1385">
        <v>119.02</v>
      </c>
      <c r="S1385">
        <v>50.870000000000005</v>
      </c>
      <c r="T1385">
        <v>0.29240673679370011</v>
      </c>
      <c r="U1385" s="1">
        <v>45658</v>
      </c>
      <c r="V1385" t="s">
        <v>2498</v>
      </c>
      <c r="W1385">
        <v>2025</v>
      </c>
    </row>
    <row r="1386" spans="1:23" x14ac:dyDescent="0.25">
      <c r="A1386" t="s">
        <v>1433</v>
      </c>
      <c r="B1386" s="1">
        <v>45386</v>
      </c>
      <c r="C1386" s="1">
        <v>45388</v>
      </c>
      <c r="D1386" t="s">
        <v>32</v>
      </c>
      <c r="E1386" t="s">
        <v>33</v>
      </c>
      <c r="F1386" t="s">
        <v>15</v>
      </c>
      <c r="G1386" t="s">
        <v>16</v>
      </c>
      <c r="H1386" t="s">
        <v>68</v>
      </c>
      <c r="I1386">
        <v>3</v>
      </c>
      <c r="J1386">
        <v>0.05</v>
      </c>
      <c r="K1386">
        <v>145.82</v>
      </c>
      <c r="L1386">
        <v>8.25</v>
      </c>
      <c r="M1386" t="s">
        <v>2466</v>
      </c>
      <c r="N1386" t="s">
        <v>2467</v>
      </c>
      <c r="O1386" t="s">
        <v>2468</v>
      </c>
      <c r="P1386">
        <v>25.33</v>
      </c>
      <c r="Q1386">
        <v>51.56</v>
      </c>
      <c r="R1386">
        <v>75.989999999999995</v>
      </c>
      <c r="S1386">
        <v>61.58</v>
      </c>
      <c r="T1386">
        <v>0.42230146756274861</v>
      </c>
      <c r="U1386" s="1">
        <v>45383</v>
      </c>
      <c r="V1386" t="s">
        <v>2498</v>
      </c>
      <c r="W1386">
        <v>2024</v>
      </c>
    </row>
    <row r="1387" spans="1:23" x14ac:dyDescent="0.25">
      <c r="A1387" t="s">
        <v>1434</v>
      </c>
      <c r="B1387" s="1">
        <v>45595</v>
      </c>
      <c r="C1387" s="1">
        <v>45597</v>
      </c>
      <c r="D1387" t="s">
        <v>13</v>
      </c>
      <c r="E1387" t="s">
        <v>19</v>
      </c>
      <c r="F1387" t="s">
        <v>15</v>
      </c>
      <c r="G1387" t="s">
        <v>16</v>
      </c>
      <c r="H1387" t="s">
        <v>63</v>
      </c>
      <c r="I1387">
        <v>14</v>
      </c>
      <c r="J1387">
        <v>0.25</v>
      </c>
      <c r="K1387">
        <v>146.12</v>
      </c>
      <c r="L1387">
        <v>6.48</v>
      </c>
      <c r="M1387" t="s">
        <v>2477</v>
      </c>
      <c r="N1387" t="s">
        <v>2474</v>
      </c>
      <c r="O1387" t="s">
        <v>2468</v>
      </c>
      <c r="P1387">
        <v>6.33</v>
      </c>
      <c r="Q1387">
        <v>12.16</v>
      </c>
      <c r="R1387">
        <v>88.62</v>
      </c>
      <c r="S1387">
        <v>51.019999999999996</v>
      </c>
      <c r="T1387">
        <v>0.34916506980563916</v>
      </c>
      <c r="U1387" s="1">
        <v>45566</v>
      </c>
      <c r="V1387" t="s">
        <v>2501</v>
      </c>
      <c r="W1387">
        <v>2024</v>
      </c>
    </row>
    <row r="1388" spans="1:23" x14ac:dyDescent="0.25">
      <c r="A1388" t="s">
        <v>1435</v>
      </c>
      <c r="B1388" s="1">
        <v>45925</v>
      </c>
      <c r="C1388" s="1">
        <v>45931</v>
      </c>
      <c r="D1388" t="s">
        <v>47</v>
      </c>
      <c r="E1388" t="s">
        <v>50</v>
      </c>
      <c r="F1388" t="s">
        <v>25</v>
      </c>
      <c r="G1388" t="s">
        <v>20</v>
      </c>
      <c r="H1388" t="s">
        <v>65</v>
      </c>
      <c r="I1388">
        <v>2</v>
      </c>
      <c r="J1388">
        <v>0.15</v>
      </c>
      <c r="K1388">
        <v>513.54999999999995</v>
      </c>
      <c r="L1388">
        <v>5.46</v>
      </c>
      <c r="M1388" t="s">
        <v>2457</v>
      </c>
      <c r="N1388" t="s">
        <v>2458</v>
      </c>
      <c r="O1388" t="s">
        <v>2459</v>
      </c>
      <c r="P1388">
        <v>173.56</v>
      </c>
      <c r="Q1388">
        <v>286.14999999999998</v>
      </c>
      <c r="R1388">
        <v>347.12</v>
      </c>
      <c r="S1388">
        <v>160.96999999999994</v>
      </c>
      <c r="T1388">
        <v>0.31344562360042832</v>
      </c>
      <c r="U1388" s="1">
        <v>45901</v>
      </c>
      <c r="V1388" t="s">
        <v>2500</v>
      </c>
      <c r="W1388">
        <v>2025</v>
      </c>
    </row>
    <row r="1389" spans="1:23" x14ac:dyDescent="0.25">
      <c r="A1389" t="s">
        <v>1436</v>
      </c>
      <c r="B1389" s="1">
        <v>46013</v>
      </c>
      <c r="C1389" s="1">
        <v>46014</v>
      </c>
      <c r="D1389" t="s">
        <v>47</v>
      </c>
      <c r="E1389" t="s">
        <v>71</v>
      </c>
      <c r="F1389" t="s">
        <v>15</v>
      </c>
      <c r="G1389" t="s">
        <v>16</v>
      </c>
      <c r="H1389" t="s">
        <v>68</v>
      </c>
      <c r="I1389">
        <v>4</v>
      </c>
      <c r="J1389">
        <v>0</v>
      </c>
      <c r="K1389">
        <v>300.41000000000003</v>
      </c>
      <c r="L1389">
        <v>9.5</v>
      </c>
      <c r="M1389" t="s">
        <v>2466</v>
      </c>
      <c r="N1389" t="s">
        <v>2467</v>
      </c>
      <c r="O1389" t="s">
        <v>2468</v>
      </c>
      <c r="P1389">
        <v>25.33</v>
      </c>
      <c r="Q1389">
        <v>51.56</v>
      </c>
      <c r="R1389">
        <v>101.32</v>
      </c>
      <c r="S1389">
        <v>189.59000000000003</v>
      </c>
      <c r="T1389">
        <v>0.63110415765121008</v>
      </c>
      <c r="U1389" s="1">
        <v>45992</v>
      </c>
      <c r="V1389" t="s">
        <v>2499</v>
      </c>
      <c r="W1389">
        <v>2025</v>
      </c>
    </row>
    <row r="1390" spans="1:23" x14ac:dyDescent="0.25">
      <c r="A1390" t="s">
        <v>1437</v>
      </c>
      <c r="B1390" s="1">
        <v>45949</v>
      </c>
      <c r="C1390" s="1">
        <v>45953</v>
      </c>
      <c r="D1390" t="s">
        <v>23</v>
      </c>
      <c r="E1390" t="s">
        <v>43</v>
      </c>
      <c r="F1390" t="s">
        <v>15</v>
      </c>
      <c r="G1390" t="s">
        <v>16</v>
      </c>
      <c r="H1390" t="s">
        <v>60</v>
      </c>
      <c r="I1390">
        <v>7</v>
      </c>
      <c r="J1390">
        <v>0.25</v>
      </c>
      <c r="K1390">
        <v>650.1</v>
      </c>
      <c r="L1390">
        <v>13.25</v>
      </c>
      <c r="M1390" t="s">
        <v>2469</v>
      </c>
      <c r="N1390" t="s">
        <v>2467</v>
      </c>
      <c r="O1390" t="s">
        <v>2468</v>
      </c>
      <c r="P1390">
        <v>54.95</v>
      </c>
      <c r="Q1390">
        <v>112.56</v>
      </c>
      <c r="R1390">
        <v>384.65000000000003</v>
      </c>
      <c r="S1390">
        <v>252.2</v>
      </c>
      <c r="T1390">
        <v>0.38794031687432701</v>
      </c>
      <c r="U1390" s="1">
        <v>45931</v>
      </c>
      <c r="V1390" t="s">
        <v>2501</v>
      </c>
      <c r="W1390">
        <v>2025</v>
      </c>
    </row>
    <row r="1391" spans="1:23" x14ac:dyDescent="0.25">
      <c r="A1391" t="s">
        <v>1438</v>
      </c>
      <c r="B1391" s="1">
        <v>45501</v>
      </c>
      <c r="C1391" s="1">
        <v>45505</v>
      </c>
      <c r="D1391" t="s">
        <v>47</v>
      </c>
      <c r="E1391" t="s">
        <v>48</v>
      </c>
      <c r="F1391" t="s">
        <v>29</v>
      </c>
      <c r="G1391" t="s">
        <v>26</v>
      </c>
      <c r="H1391" t="s">
        <v>21</v>
      </c>
      <c r="I1391">
        <v>2</v>
      </c>
      <c r="J1391">
        <v>0</v>
      </c>
      <c r="K1391">
        <v>199.99</v>
      </c>
      <c r="L1391">
        <v>5.46</v>
      </c>
      <c r="M1391" t="s">
        <v>2462</v>
      </c>
      <c r="N1391" t="s">
        <v>2458</v>
      </c>
      <c r="O1391" t="s">
        <v>2463</v>
      </c>
      <c r="P1391">
        <v>71.489999999999995</v>
      </c>
      <c r="Q1391">
        <v>112.88</v>
      </c>
      <c r="R1391">
        <v>142.97999999999999</v>
      </c>
      <c r="S1391">
        <v>51.550000000000018</v>
      </c>
      <c r="T1391">
        <v>0.25776288814440729</v>
      </c>
      <c r="U1391" s="1">
        <v>45474</v>
      </c>
      <c r="V1391" t="s">
        <v>2499</v>
      </c>
      <c r="W1391">
        <v>2024</v>
      </c>
    </row>
    <row r="1392" spans="1:23" x14ac:dyDescent="0.25">
      <c r="A1392" t="s">
        <v>1439</v>
      </c>
      <c r="B1392" s="1">
        <v>45882</v>
      </c>
      <c r="C1392" s="1">
        <v>45887</v>
      </c>
      <c r="D1392" t="s">
        <v>32</v>
      </c>
      <c r="E1392" t="s">
        <v>45</v>
      </c>
      <c r="F1392" t="s">
        <v>29</v>
      </c>
      <c r="G1392" t="s">
        <v>16</v>
      </c>
      <c r="H1392" t="s">
        <v>60</v>
      </c>
      <c r="I1392">
        <v>5</v>
      </c>
      <c r="J1392">
        <v>0</v>
      </c>
      <c r="K1392">
        <v>551.41999999999996</v>
      </c>
      <c r="L1392">
        <v>6.45</v>
      </c>
      <c r="M1392" t="s">
        <v>2469</v>
      </c>
      <c r="N1392" t="s">
        <v>2467</v>
      </c>
      <c r="O1392" t="s">
        <v>2468</v>
      </c>
      <c r="P1392">
        <v>54.95</v>
      </c>
      <c r="Q1392">
        <v>112.56</v>
      </c>
      <c r="R1392">
        <v>274.75</v>
      </c>
      <c r="S1392">
        <v>270.21999999999997</v>
      </c>
      <c r="T1392">
        <v>0.49004388669253923</v>
      </c>
      <c r="U1392" s="1">
        <v>45870</v>
      </c>
      <c r="V1392" t="s">
        <v>2499</v>
      </c>
      <c r="W1392">
        <v>2025</v>
      </c>
    </row>
    <row r="1393" spans="1:23" x14ac:dyDescent="0.25">
      <c r="A1393" t="s">
        <v>1440</v>
      </c>
      <c r="B1393" s="1">
        <v>45761</v>
      </c>
      <c r="C1393" s="1">
        <v>45767</v>
      </c>
      <c r="D1393" t="s">
        <v>23</v>
      </c>
      <c r="E1393" t="s">
        <v>59</v>
      </c>
      <c r="F1393" t="s">
        <v>29</v>
      </c>
      <c r="G1393" t="s">
        <v>16</v>
      </c>
      <c r="H1393" t="s">
        <v>53</v>
      </c>
      <c r="I1393">
        <v>5</v>
      </c>
      <c r="J1393">
        <v>0.25</v>
      </c>
      <c r="K1393">
        <v>212.06</v>
      </c>
      <c r="L1393">
        <v>10.75</v>
      </c>
      <c r="M1393" t="s">
        <v>2470</v>
      </c>
      <c r="N1393" t="s">
        <v>2467</v>
      </c>
      <c r="O1393" t="s">
        <v>2459</v>
      </c>
      <c r="P1393">
        <v>31.34</v>
      </c>
      <c r="Q1393">
        <v>56.49</v>
      </c>
      <c r="R1393">
        <v>156.69999999999999</v>
      </c>
      <c r="S1393">
        <v>44.610000000000014</v>
      </c>
      <c r="T1393">
        <v>0.21036499104027168</v>
      </c>
      <c r="U1393" s="1">
        <v>45748</v>
      </c>
      <c r="V1393" t="s">
        <v>2501</v>
      </c>
      <c r="W1393">
        <v>2025</v>
      </c>
    </row>
    <row r="1394" spans="1:23" x14ac:dyDescent="0.25">
      <c r="A1394" t="s">
        <v>1441</v>
      </c>
      <c r="B1394" s="1">
        <v>45307</v>
      </c>
      <c r="C1394" s="1">
        <v>45312</v>
      </c>
      <c r="D1394" t="s">
        <v>23</v>
      </c>
      <c r="E1394" t="s">
        <v>59</v>
      </c>
      <c r="F1394" t="s">
        <v>29</v>
      </c>
      <c r="G1394" t="s">
        <v>26</v>
      </c>
      <c r="H1394" t="s">
        <v>63</v>
      </c>
      <c r="I1394">
        <v>9</v>
      </c>
      <c r="J1394">
        <v>0.05</v>
      </c>
      <c r="K1394">
        <v>89.62</v>
      </c>
      <c r="L1394">
        <v>5.13</v>
      </c>
      <c r="M1394" t="s">
        <v>2477</v>
      </c>
      <c r="N1394" t="s">
        <v>2474</v>
      </c>
      <c r="O1394" t="s">
        <v>2468</v>
      </c>
      <c r="P1394">
        <v>6.33</v>
      </c>
      <c r="Q1394">
        <v>12.16</v>
      </c>
      <c r="R1394">
        <v>56.97</v>
      </c>
      <c r="S1394">
        <v>27.520000000000007</v>
      </c>
      <c r="T1394">
        <v>0.30707431376924799</v>
      </c>
      <c r="U1394" s="1">
        <v>45292</v>
      </c>
      <c r="V1394" t="s">
        <v>2498</v>
      </c>
      <c r="W1394">
        <v>2024</v>
      </c>
    </row>
    <row r="1395" spans="1:23" x14ac:dyDescent="0.25">
      <c r="A1395" t="s">
        <v>1442</v>
      </c>
      <c r="B1395" s="1">
        <v>45449</v>
      </c>
      <c r="C1395" s="1">
        <v>45455</v>
      </c>
      <c r="D1395" t="s">
        <v>32</v>
      </c>
      <c r="E1395" t="s">
        <v>45</v>
      </c>
      <c r="F1395" t="s">
        <v>29</v>
      </c>
      <c r="G1395" t="s">
        <v>20</v>
      </c>
      <c r="H1395" t="s">
        <v>17</v>
      </c>
      <c r="I1395">
        <v>1</v>
      </c>
      <c r="J1395">
        <v>0</v>
      </c>
      <c r="K1395">
        <v>124.95</v>
      </c>
      <c r="L1395">
        <v>3.45</v>
      </c>
      <c r="M1395" t="s">
        <v>2472</v>
      </c>
      <c r="N1395" t="s">
        <v>2467</v>
      </c>
      <c r="O1395" t="s">
        <v>2468</v>
      </c>
      <c r="P1395">
        <v>63.69</v>
      </c>
      <c r="Q1395">
        <v>125.5</v>
      </c>
      <c r="R1395">
        <v>63.69</v>
      </c>
      <c r="S1395">
        <v>57.81</v>
      </c>
      <c r="T1395">
        <v>0.46266506602641055</v>
      </c>
      <c r="U1395" s="1">
        <v>45444</v>
      </c>
      <c r="V1395" t="s">
        <v>2499</v>
      </c>
      <c r="W1395">
        <v>2024</v>
      </c>
    </row>
    <row r="1396" spans="1:23" x14ac:dyDescent="0.25">
      <c r="A1396" t="s">
        <v>1443</v>
      </c>
      <c r="B1396" s="1">
        <v>45452</v>
      </c>
      <c r="C1396" s="1">
        <v>45453</v>
      </c>
      <c r="D1396" t="s">
        <v>23</v>
      </c>
      <c r="E1396" t="s">
        <v>24</v>
      </c>
      <c r="F1396" t="s">
        <v>29</v>
      </c>
      <c r="G1396" t="s">
        <v>26</v>
      </c>
      <c r="H1396" t="s">
        <v>51</v>
      </c>
      <c r="I1396">
        <v>6</v>
      </c>
      <c r="J1396">
        <v>0</v>
      </c>
      <c r="K1396">
        <v>90.87</v>
      </c>
      <c r="L1396">
        <v>4.32</v>
      </c>
      <c r="M1396" t="s">
        <v>2475</v>
      </c>
      <c r="N1396" t="s">
        <v>2474</v>
      </c>
      <c r="O1396" t="s">
        <v>2463</v>
      </c>
      <c r="P1396">
        <v>7.93</v>
      </c>
      <c r="Q1396">
        <v>14.78</v>
      </c>
      <c r="R1396">
        <v>47.58</v>
      </c>
      <c r="S1396">
        <v>38.970000000000006</v>
      </c>
      <c r="T1396">
        <v>0.42885440739517999</v>
      </c>
      <c r="U1396" s="1">
        <v>45444</v>
      </c>
      <c r="V1396" t="s">
        <v>2499</v>
      </c>
      <c r="W1396">
        <v>2024</v>
      </c>
    </row>
    <row r="1397" spans="1:23" x14ac:dyDescent="0.25">
      <c r="A1397" t="s">
        <v>1444</v>
      </c>
      <c r="B1397" s="1">
        <v>45310</v>
      </c>
      <c r="C1397" s="1">
        <v>45314</v>
      </c>
      <c r="D1397" t="s">
        <v>13</v>
      </c>
      <c r="E1397" t="s">
        <v>14</v>
      </c>
      <c r="F1397" t="s">
        <v>29</v>
      </c>
      <c r="G1397" t="s">
        <v>20</v>
      </c>
      <c r="H1397" t="s">
        <v>65</v>
      </c>
      <c r="I1397">
        <v>1</v>
      </c>
      <c r="J1397">
        <v>0</v>
      </c>
      <c r="K1397">
        <v>260.42</v>
      </c>
      <c r="L1397">
        <v>6.8</v>
      </c>
      <c r="M1397" t="s">
        <v>2457</v>
      </c>
      <c r="N1397" t="s">
        <v>2458</v>
      </c>
      <c r="O1397" t="s">
        <v>2459</v>
      </c>
      <c r="P1397">
        <v>173.56</v>
      </c>
      <c r="Q1397">
        <v>286.14999999999998</v>
      </c>
      <c r="R1397">
        <v>173.56</v>
      </c>
      <c r="S1397">
        <v>80.060000000000016</v>
      </c>
      <c r="T1397">
        <v>0.30742646494124881</v>
      </c>
      <c r="U1397" s="1">
        <v>45292</v>
      </c>
      <c r="V1397" t="s">
        <v>2499</v>
      </c>
      <c r="W1397">
        <v>2024</v>
      </c>
    </row>
    <row r="1398" spans="1:23" x14ac:dyDescent="0.25">
      <c r="A1398" t="s">
        <v>1445</v>
      </c>
      <c r="B1398" s="1">
        <v>45866</v>
      </c>
      <c r="C1398" s="1">
        <v>45872</v>
      </c>
      <c r="D1398" t="s">
        <v>32</v>
      </c>
      <c r="E1398" t="s">
        <v>33</v>
      </c>
      <c r="F1398" t="s">
        <v>25</v>
      </c>
      <c r="G1398" t="s">
        <v>26</v>
      </c>
      <c r="H1398" t="s">
        <v>30</v>
      </c>
      <c r="I1398">
        <v>4</v>
      </c>
      <c r="J1398">
        <v>0</v>
      </c>
      <c r="K1398">
        <v>20.93</v>
      </c>
      <c r="L1398">
        <v>6.3</v>
      </c>
      <c r="M1398" t="s">
        <v>2473</v>
      </c>
      <c r="N1398" t="s">
        <v>2474</v>
      </c>
      <c r="O1398" t="s">
        <v>2463</v>
      </c>
      <c r="P1398">
        <v>3.62</v>
      </c>
      <c r="Q1398">
        <v>6.03</v>
      </c>
      <c r="R1398">
        <v>14.48</v>
      </c>
      <c r="S1398">
        <v>0.14999999999999947</v>
      </c>
      <c r="T1398">
        <v>7.1667462971810548E-3</v>
      </c>
      <c r="U1398" s="1">
        <v>45839</v>
      </c>
      <c r="V1398" t="s">
        <v>2499</v>
      </c>
      <c r="W1398">
        <v>2025</v>
      </c>
    </row>
    <row r="1399" spans="1:23" x14ac:dyDescent="0.25">
      <c r="A1399" t="s">
        <v>1446</v>
      </c>
      <c r="B1399" s="1">
        <v>45309</v>
      </c>
      <c r="C1399" s="1">
        <v>45313</v>
      </c>
      <c r="D1399" t="s">
        <v>13</v>
      </c>
      <c r="E1399" t="s">
        <v>14</v>
      </c>
      <c r="F1399" t="s">
        <v>25</v>
      </c>
      <c r="G1399" t="s">
        <v>16</v>
      </c>
      <c r="H1399" t="s">
        <v>34</v>
      </c>
      <c r="I1399">
        <v>3</v>
      </c>
      <c r="J1399">
        <v>0</v>
      </c>
      <c r="K1399">
        <v>566.48</v>
      </c>
      <c r="L1399">
        <v>6.84</v>
      </c>
      <c r="M1399" t="s">
        <v>2460</v>
      </c>
      <c r="N1399" t="s">
        <v>2458</v>
      </c>
      <c r="O1399" t="s">
        <v>2461</v>
      </c>
      <c r="P1399">
        <v>119.02</v>
      </c>
      <c r="Q1399">
        <v>205.39</v>
      </c>
      <c r="R1399">
        <v>357.06</v>
      </c>
      <c r="S1399">
        <v>202.58</v>
      </c>
      <c r="T1399">
        <v>0.3576119192204491</v>
      </c>
      <c r="U1399" s="1">
        <v>45292</v>
      </c>
      <c r="V1399" t="s">
        <v>2499</v>
      </c>
      <c r="W1399">
        <v>2024</v>
      </c>
    </row>
    <row r="1400" spans="1:23" x14ac:dyDescent="0.25">
      <c r="A1400" t="s">
        <v>1447</v>
      </c>
      <c r="B1400" s="1">
        <v>45395</v>
      </c>
      <c r="C1400" s="1">
        <v>45401</v>
      </c>
      <c r="D1400" t="s">
        <v>32</v>
      </c>
      <c r="E1400" t="s">
        <v>62</v>
      </c>
      <c r="F1400" t="s">
        <v>15</v>
      </c>
      <c r="G1400" t="s">
        <v>16</v>
      </c>
      <c r="H1400" t="s">
        <v>41</v>
      </c>
      <c r="I1400">
        <v>8</v>
      </c>
      <c r="J1400">
        <v>0.2</v>
      </c>
      <c r="K1400">
        <v>40.229999999999997</v>
      </c>
      <c r="L1400">
        <v>4.8600000000000003</v>
      </c>
      <c r="M1400" t="s">
        <v>2479</v>
      </c>
      <c r="N1400" t="s">
        <v>2474</v>
      </c>
      <c r="O1400" t="s">
        <v>2459</v>
      </c>
      <c r="P1400">
        <v>3.3</v>
      </c>
      <c r="Q1400">
        <v>6.13</v>
      </c>
      <c r="R1400">
        <v>26.4</v>
      </c>
      <c r="S1400">
        <v>8.9699999999999989</v>
      </c>
      <c r="T1400">
        <v>0.22296793437733034</v>
      </c>
      <c r="U1400" s="1">
        <v>45383</v>
      </c>
      <c r="V1400" t="s">
        <v>2500</v>
      </c>
      <c r="W1400">
        <v>2024</v>
      </c>
    </row>
    <row r="1401" spans="1:23" x14ac:dyDescent="0.25">
      <c r="A1401" t="s">
        <v>1448</v>
      </c>
      <c r="B1401" s="1">
        <v>45467</v>
      </c>
      <c r="C1401" s="1">
        <v>45470</v>
      </c>
      <c r="D1401" t="s">
        <v>47</v>
      </c>
      <c r="E1401" t="s">
        <v>50</v>
      </c>
      <c r="F1401" t="s">
        <v>15</v>
      </c>
      <c r="G1401" t="s">
        <v>16</v>
      </c>
      <c r="H1401" t="s">
        <v>53</v>
      </c>
      <c r="I1401">
        <v>2</v>
      </c>
      <c r="J1401">
        <v>0</v>
      </c>
      <c r="K1401">
        <v>120.44</v>
      </c>
      <c r="L1401">
        <v>4.2</v>
      </c>
      <c r="M1401" t="s">
        <v>2470</v>
      </c>
      <c r="N1401" t="s">
        <v>2467</v>
      </c>
      <c r="O1401" t="s">
        <v>2459</v>
      </c>
      <c r="P1401">
        <v>31.34</v>
      </c>
      <c r="Q1401">
        <v>56.49</v>
      </c>
      <c r="R1401">
        <v>62.68</v>
      </c>
      <c r="S1401">
        <v>53.559999999999995</v>
      </c>
      <c r="T1401">
        <v>0.4447027565592826</v>
      </c>
      <c r="U1401" s="1">
        <v>45444</v>
      </c>
      <c r="V1401" t="s">
        <v>2499</v>
      </c>
      <c r="W1401">
        <v>2024</v>
      </c>
    </row>
    <row r="1402" spans="1:23" x14ac:dyDescent="0.25">
      <c r="A1402" t="s">
        <v>1449</v>
      </c>
      <c r="B1402" s="1">
        <v>45667</v>
      </c>
      <c r="C1402" s="1">
        <v>45673</v>
      </c>
      <c r="D1402" t="s">
        <v>13</v>
      </c>
      <c r="E1402" t="s">
        <v>14</v>
      </c>
      <c r="F1402" t="s">
        <v>15</v>
      </c>
      <c r="G1402" t="s">
        <v>16</v>
      </c>
      <c r="H1402" t="s">
        <v>30</v>
      </c>
      <c r="I1402">
        <v>14</v>
      </c>
      <c r="J1402">
        <v>0</v>
      </c>
      <c r="K1402">
        <v>70.930000000000007</v>
      </c>
      <c r="L1402">
        <v>6.48</v>
      </c>
      <c r="M1402" t="s">
        <v>2473</v>
      </c>
      <c r="N1402" t="s">
        <v>2474</v>
      </c>
      <c r="O1402" t="s">
        <v>2463</v>
      </c>
      <c r="P1402">
        <v>3.62</v>
      </c>
      <c r="Q1402">
        <v>6.03</v>
      </c>
      <c r="R1402">
        <v>50.68</v>
      </c>
      <c r="S1402">
        <v>13.770000000000007</v>
      </c>
      <c r="T1402">
        <v>0.1941350627379107</v>
      </c>
      <c r="U1402" s="1">
        <v>45658</v>
      </c>
      <c r="V1402" t="s">
        <v>2499</v>
      </c>
      <c r="W1402">
        <v>2025</v>
      </c>
    </row>
    <row r="1403" spans="1:23" x14ac:dyDescent="0.25">
      <c r="A1403" t="s">
        <v>1450</v>
      </c>
      <c r="B1403" s="1">
        <v>45815</v>
      </c>
      <c r="C1403" s="1">
        <v>45820</v>
      </c>
      <c r="D1403" t="s">
        <v>13</v>
      </c>
      <c r="E1403" t="s">
        <v>19</v>
      </c>
      <c r="F1403" t="s">
        <v>29</v>
      </c>
      <c r="G1403" t="s">
        <v>20</v>
      </c>
      <c r="H1403" t="s">
        <v>17</v>
      </c>
      <c r="I1403">
        <v>1</v>
      </c>
      <c r="J1403">
        <v>0</v>
      </c>
      <c r="K1403">
        <v>129.21</v>
      </c>
      <c r="L1403">
        <v>3.45</v>
      </c>
      <c r="M1403" t="s">
        <v>2472</v>
      </c>
      <c r="N1403" t="s">
        <v>2467</v>
      </c>
      <c r="O1403" t="s">
        <v>2468</v>
      </c>
      <c r="P1403">
        <v>63.69</v>
      </c>
      <c r="Q1403">
        <v>125.5</v>
      </c>
      <c r="R1403">
        <v>63.69</v>
      </c>
      <c r="S1403">
        <v>62.070000000000007</v>
      </c>
      <c r="T1403">
        <v>0.48038077548177388</v>
      </c>
      <c r="U1403" s="1">
        <v>45809</v>
      </c>
      <c r="V1403" t="s">
        <v>2499</v>
      </c>
      <c r="W1403">
        <v>2025</v>
      </c>
    </row>
    <row r="1404" spans="1:23" x14ac:dyDescent="0.25">
      <c r="A1404" t="s">
        <v>1451</v>
      </c>
      <c r="B1404" s="1">
        <v>45812</v>
      </c>
      <c r="C1404" s="1">
        <v>45818</v>
      </c>
      <c r="D1404" t="s">
        <v>23</v>
      </c>
      <c r="E1404" t="s">
        <v>59</v>
      </c>
      <c r="F1404" t="s">
        <v>25</v>
      </c>
      <c r="G1404" t="s">
        <v>20</v>
      </c>
      <c r="H1404" t="s">
        <v>87</v>
      </c>
      <c r="I1404">
        <v>3</v>
      </c>
      <c r="J1404">
        <v>0.2</v>
      </c>
      <c r="K1404">
        <v>20.59</v>
      </c>
      <c r="L1404">
        <v>3.51</v>
      </c>
      <c r="M1404" t="s">
        <v>2476</v>
      </c>
      <c r="N1404" t="s">
        <v>2474</v>
      </c>
      <c r="O1404" t="s">
        <v>2459</v>
      </c>
      <c r="P1404">
        <v>4.5</v>
      </c>
      <c r="Q1404">
        <v>8.2899999999999991</v>
      </c>
      <c r="R1404">
        <v>13.5</v>
      </c>
      <c r="S1404">
        <v>3.58</v>
      </c>
      <c r="T1404">
        <v>0.17387081107333657</v>
      </c>
      <c r="U1404" s="1">
        <v>45809</v>
      </c>
      <c r="V1404" t="s">
        <v>2500</v>
      </c>
      <c r="W1404">
        <v>2025</v>
      </c>
    </row>
    <row r="1405" spans="1:23" x14ac:dyDescent="0.25">
      <c r="A1405" t="s">
        <v>1452</v>
      </c>
      <c r="B1405" s="1">
        <v>45726</v>
      </c>
      <c r="C1405" s="1">
        <v>45730</v>
      </c>
      <c r="D1405" t="s">
        <v>23</v>
      </c>
      <c r="E1405" t="s">
        <v>24</v>
      </c>
      <c r="F1405" t="s">
        <v>15</v>
      </c>
      <c r="G1405" t="s">
        <v>20</v>
      </c>
      <c r="H1405" t="s">
        <v>63</v>
      </c>
      <c r="I1405">
        <v>4</v>
      </c>
      <c r="J1405">
        <v>0.05</v>
      </c>
      <c r="K1405">
        <v>43.34</v>
      </c>
      <c r="L1405">
        <v>3.78</v>
      </c>
      <c r="M1405" t="s">
        <v>2477</v>
      </c>
      <c r="N1405" t="s">
        <v>2474</v>
      </c>
      <c r="O1405" t="s">
        <v>2468</v>
      </c>
      <c r="P1405">
        <v>6.33</v>
      </c>
      <c r="Q1405">
        <v>12.16</v>
      </c>
      <c r="R1405">
        <v>25.32</v>
      </c>
      <c r="S1405">
        <v>14.240000000000004</v>
      </c>
      <c r="T1405">
        <v>0.32856483617904941</v>
      </c>
      <c r="U1405" s="1">
        <v>45717</v>
      </c>
      <c r="V1405" t="s">
        <v>2498</v>
      </c>
      <c r="W1405">
        <v>2025</v>
      </c>
    </row>
    <row r="1406" spans="1:23" x14ac:dyDescent="0.25">
      <c r="A1406" t="s">
        <v>1453</v>
      </c>
      <c r="B1406" s="1">
        <v>45799</v>
      </c>
      <c r="C1406" s="1">
        <v>45801</v>
      </c>
      <c r="D1406" t="s">
        <v>13</v>
      </c>
      <c r="E1406" t="s">
        <v>36</v>
      </c>
      <c r="F1406" t="s">
        <v>29</v>
      </c>
      <c r="G1406" t="s">
        <v>16</v>
      </c>
      <c r="H1406" t="s">
        <v>30</v>
      </c>
      <c r="I1406">
        <v>3</v>
      </c>
      <c r="J1406">
        <v>0.1</v>
      </c>
      <c r="K1406">
        <v>15.96</v>
      </c>
      <c r="L1406">
        <v>5.85</v>
      </c>
      <c r="M1406" t="s">
        <v>2473</v>
      </c>
      <c r="N1406" t="s">
        <v>2474</v>
      </c>
      <c r="O1406" t="s">
        <v>2463</v>
      </c>
      <c r="P1406">
        <v>3.62</v>
      </c>
      <c r="Q1406">
        <v>6.03</v>
      </c>
      <c r="R1406">
        <v>10.86</v>
      </c>
      <c r="S1406">
        <v>-0.74999999999999822</v>
      </c>
      <c r="T1406">
        <v>-4.6992481203007405E-2</v>
      </c>
      <c r="U1406" s="1">
        <v>45778</v>
      </c>
      <c r="V1406" t="s">
        <v>2498</v>
      </c>
      <c r="W1406">
        <v>2025</v>
      </c>
    </row>
    <row r="1407" spans="1:23" x14ac:dyDescent="0.25">
      <c r="A1407" t="s">
        <v>1454</v>
      </c>
      <c r="B1407" s="1">
        <v>45813</v>
      </c>
      <c r="C1407" s="1">
        <v>45814</v>
      </c>
      <c r="D1407" t="s">
        <v>13</v>
      </c>
      <c r="E1407" t="s">
        <v>36</v>
      </c>
      <c r="F1407" t="s">
        <v>25</v>
      </c>
      <c r="G1407" t="s">
        <v>26</v>
      </c>
      <c r="H1407" t="s">
        <v>41</v>
      </c>
      <c r="I1407">
        <v>3</v>
      </c>
      <c r="J1407">
        <v>0</v>
      </c>
      <c r="K1407">
        <v>18.489999999999998</v>
      </c>
      <c r="L1407">
        <v>3.51</v>
      </c>
      <c r="M1407" t="s">
        <v>2479</v>
      </c>
      <c r="N1407" t="s">
        <v>2474</v>
      </c>
      <c r="O1407" t="s">
        <v>2459</v>
      </c>
      <c r="P1407">
        <v>3.3</v>
      </c>
      <c r="Q1407">
        <v>6.13</v>
      </c>
      <c r="R1407">
        <v>9.8999999999999986</v>
      </c>
      <c r="S1407">
        <v>5.08</v>
      </c>
      <c r="T1407">
        <v>0.27474310438074639</v>
      </c>
      <c r="U1407" s="1">
        <v>45809</v>
      </c>
      <c r="V1407" t="s">
        <v>2499</v>
      </c>
      <c r="W1407">
        <v>2025</v>
      </c>
    </row>
    <row r="1408" spans="1:23" x14ac:dyDescent="0.25">
      <c r="A1408" t="s">
        <v>1455</v>
      </c>
      <c r="B1408" s="1">
        <v>45800</v>
      </c>
      <c r="C1408" s="1">
        <v>45806</v>
      </c>
      <c r="D1408" t="s">
        <v>13</v>
      </c>
      <c r="E1408" t="s">
        <v>36</v>
      </c>
      <c r="F1408" t="s">
        <v>25</v>
      </c>
      <c r="G1408" t="s">
        <v>20</v>
      </c>
      <c r="H1408" t="s">
        <v>37</v>
      </c>
      <c r="I1408">
        <v>2</v>
      </c>
      <c r="J1408">
        <v>0.25</v>
      </c>
      <c r="K1408">
        <v>159.29</v>
      </c>
      <c r="L1408">
        <v>9.1</v>
      </c>
      <c r="M1408" t="s">
        <v>2464</v>
      </c>
      <c r="N1408" t="s">
        <v>2458</v>
      </c>
      <c r="O1408" t="s">
        <v>2465</v>
      </c>
      <c r="P1408">
        <v>63.6</v>
      </c>
      <c r="Q1408">
        <v>107.94</v>
      </c>
      <c r="R1408">
        <v>127.2</v>
      </c>
      <c r="S1408">
        <v>22.989999999999988</v>
      </c>
      <c r="T1408">
        <v>0.14432795530165102</v>
      </c>
      <c r="U1408" s="1">
        <v>45778</v>
      </c>
      <c r="V1408" t="s">
        <v>2501</v>
      </c>
      <c r="W1408">
        <v>2025</v>
      </c>
    </row>
    <row r="1409" spans="1:23" x14ac:dyDescent="0.25">
      <c r="A1409" t="s">
        <v>1456</v>
      </c>
      <c r="B1409" s="1">
        <v>45353</v>
      </c>
      <c r="C1409" s="1">
        <v>45357</v>
      </c>
      <c r="D1409" t="s">
        <v>13</v>
      </c>
      <c r="E1409" t="s">
        <v>19</v>
      </c>
      <c r="F1409" t="s">
        <v>15</v>
      </c>
      <c r="G1409" t="s">
        <v>16</v>
      </c>
      <c r="H1409" t="s">
        <v>87</v>
      </c>
      <c r="I1409">
        <v>5</v>
      </c>
      <c r="J1409">
        <v>0.1</v>
      </c>
      <c r="K1409">
        <v>36.049999999999997</v>
      </c>
      <c r="L1409">
        <v>6.75</v>
      </c>
      <c r="M1409" t="s">
        <v>2476</v>
      </c>
      <c r="N1409" t="s">
        <v>2474</v>
      </c>
      <c r="O1409" t="s">
        <v>2459</v>
      </c>
      <c r="P1409">
        <v>4.5</v>
      </c>
      <c r="Q1409">
        <v>8.2899999999999991</v>
      </c>
      <c r="R1409">
        <v>22.5</v>
      </c>
      <c r="S1409">
        <v>6.7999999999999972</v>
      </c>
      <c r="T1409">
        <v>0.18862690707350896</v>
      </c>
      <c r="U1409" s="1">
        <v>45352</v>
      </c>
      <c r="V1409" t="s">
        <v>2498</v>
      </c>
      <c r="W1409">
        <v>2024</v>
      </c>
    </row>
    <row r="1410" spans="1:23" x14ac:dyDescent="0.25">
      <c r="A1410" t="s">
        <v>1457</v>
      </c>
      <c r="B1410" s="1">
        <v>45941</v>
      </c>
      <c r="C1410" s="1">
        <v>45946</v>
      </c>
      <c r="D1410" t="s">
        <v>13</v>
      </c>
      <c r="E1410" t="s">
        <v>19</v>
      </c>
      <c r="F1410" t="s">
        <v>25</v>
      </c>
      <c r="G1410" t="s">
        <v>26</v>
      </c>
      <c r="H1410" t="s">
        <v>37</v>
      </c>
      <c r="I1410">
        <v>4</v>
      </c>
      <c r="J1410">
        <v>0</v>
      </c>
      <c r="K1410">
        <v>480.4</v>
      </c>
      <c r="L1410">
        <v>8.2200000000000006</v>
      </c>
      <c r="M1410" t="s">
        <v>2464</v>
      </c>
      <c r="N1410" t="s">
        <v>2458</v>
      </c>
      <c r="O1410" t="s">
        <v>2465</v>
      </c>
      <c r="P1410">
        <v>63.6</v>
      </c>
      <c r="Q1410">
        <v>107.94</v>
      </c>
      <c r="R1410">
        <v>254.4</v>
      </c>
      <c r="S1410">
        <v>217.77999999999997</v>
      </c>
      <c r="T1410">
        <v>0.45333055786844295</v>
      </c>
      <c r="U1410" s="1">
        <v>45931</v>
      </c>
      <c r="V1410" t="s">
        <v>2499</v>
      </c>
      <c r="W1410">
        <v>2025</v>
      </c>
    </row>
    <row r="1411" spans="1:23" x14ac:dyDescent="0.25">
      <c r="A1411" t="s">
        <v>1458</v>
      </c>
      <c r="B1411" s="1">
        <v>45531</v>
      </c>
      <c r="C1411" s="1">
        <v>45532</v>
      </c>
      <c r="D1411" t="s">
        <v>32</v>
      </c>
      <c r="E1411" t="s">
        <v>45</v>
      </c>
      <c r="F1411" t="s">
        <v>25</v>
      </c>
      <c r="G1411" t="s">
        <v>16</v>
      </c>
      <c r="H1411" t="s">
        <v>34</v>
      </c>
      <c r="I1411">
        <v>1</v>
      </c>
      <c r="J1411">
        <v>0</v>
      </c>
      <c r="K1411">
        <v>185.08</v>
      </c>
      <c r="L1411">
        <v>6.8</v>
      </c>
      <c r="M1411" t="s">
        <v>2460</v>
      </c>
      <c r="N1411" t="s">
        <v>2458</v>
      </c>
      <c r="O1411" t="s">
        <v>2461</v>
      </c>
      <c r="P1411">
        <v>119.02</v>
      </c>
      <c r="Q1411">
        <v>205.39</v>
      </c>
      <c r="R1411">
        <v>119.02</v>
      </c>
      <c r="S1411">
        <v>59.260000000000019</v>
      </c>
      <c r="T1411">
        <v>0.3201858655716448</v>
      </c>
      <c r="U1411" s="1">
        <v>45505</v>
      </c>
      <c r="V1411" t="s">
        <v>2499</v>
      </c>
      <c r="W1411">
        <v>2024</v>
      </c>
    </row>
    <row r="1412" spans="1:23" x14ac:dyDescent="0.25">
      <c r="A1412" t="s">
        <v>1459</v>
      </c>
      <c r="B1412" s="1">
        <v>45827</v>
      </c>
      <c r="C1412" s="1">
        <v>45828</v>
      </c>
      <c r="D1412" t="s">
        <v>47</v>
      </c>
      <c r="E1412" t="s">
        <v>50</v>
      </c>
      <c r="F1412" t="s">
        <v>29</v>
      </c>
      <c r="G1412" t="s">
        <v>26</v>
      </c>
      <c r="H1412" t="s">
        <v>21</v>
      </c>
      <c r="I1412">
        <v>3</v>
      </c>
      <c r="J1412">
        <v>0.1</v>
      </c>
      <c r="K1412">
        <v>321.48</v>
      </c>
      <c r="L1412">
        <v>11.4</v>
      </c>
      <c r="M1412" t="s">
        <v>2462</v>
      </c>
      <c r="N1412" t="s">
        <v>2458</v>
      </c>
      <c r="O1412" t="s">
        <v>2463</v>
      </c>
      <c r="P1412">
        <v>71.489999999999995</v>
      </c>
      <c r="Q1412">
        <v>112.88</v>
      </c>
      <c r="R1412">
        <v>214.46999999999997</v>
      </c>
      <c r="S1412">
        <v>95.610000000000042</v>
      </c>
      <c r="T1412">
        <v>0.2974057484135873</v>
      </c>
      <c r="U1412" s="1">
        <v>45809</v>
      </c>
      <c r="V1412" t="s">
        <v>2498</v>
      </c>
      <c r="W1412">
        <v>2025</v>
      </c>
    </row>
    <row r="1413" spans="1:23" x14ac:dyDescent="0.25">
      <c r="A1413" t="s">
        <v>1460</v>
      </c>
      <c r="B1413" s="1">
        <v>45929</v>
      </c>
      <c r="C1413" s="1">
        <v>45930</v>
      </c>
      <c r="D1413" t="s">
        <v>13</v>
      </c>
      <c r="E1413" t="s">
        <v>14</v>
      </c>
      <c r="F1413" t="s">
        <v>25</v>
      </c>
      <c r="G1413" t="s">
        <v>16</v>
      </c>
      <c r="H1413" t="s">
        <v>34</v>
      </c>
      <c r="I1413">
        <v>5</v>
      </c>
      <c r="J1413">
        <v>0</v>
      </c>
      <c r="K1413">
        <v>1157.74</v>
      </c>
      <c r="L1413">
        <v>16</v>
      </c>
      <c r="M1413" t="s">
        <v>2460</v>
      </c>
      <c r="N1413" t="s">
        <v>2458</v>
      </c>
      <c r="O1413" t="s">
        <v>2461</v>
      </c>
      <c r="P1413">
        <v>119.02</v>
      </c>
      <c r="Q1413">
        <v>205.39</v>
      </c>
      <c r="R1413">
        <v>595.1</v>
      </c>
      <c r="S1413">
        <v>546.64</v>
      </c>
      <c r="T1413">
        <v>0.47216127973465544</v>
      </c>
      <c r="U1413" s="1">
        <v>45901</v>
      </c>
      <c r="V1413" t="s">
        <v>2499</v>
      </c>
      <c r="W1413">
        <v>2025</v>
      </c>
    </row>
    <row r="1414" spans="1:23" x14ac:dyDescent="0.25">
      <c r="A1414" t="s">
        <v>1461</v>
      </c>
      <c r="B1414" s="1">
        <v>45878</v>
      </c>
      <c r="C1414" s="1">
        <v>45879</v>
      </c>
      <c r="D1414" t="s">
        <v>32</v>
      </c>
      <c r="E1414" t="s">
        <v>45</v>
      </c>
      <c r="F1414" t="s">
        <v>15</v>
      </c>
      <c r="G1414" t="s">
        <v>26</v>
      </c>
      <c r="H1414" t="s">
        <v>60</v>
      </c>
      <c r="I1414">
        <v>3</v>
      </c>
      <c r="J1414">
        <v>0</v>
      </c>
      <c r="K1414">
        <v>305.39</v>
      </c>
      <c r="L1414">
        <v>8.25</v>
      </c>
      <c r="M1414" t="s">
        <v>2469</v>
      </c>
      <c r="N1414" t="s">
        <v>2467</v>
      </c>
      <c r="O1414" t="s">
        <v>2468</v>
      </c>
      <c r="P1414">
        <v>54.95</v>
      </c>
      <c r="Q1414">
        <v>112.56</v>
      </c>
      <c r="R1414">
        <v>164.85000000000002</v>
      </c>
      <c r="S1414">
        <v>132.28999999999996</v>
      </c>
      <c r="T1414">
        <v>0.43318379776678989</v>
      </c>
      <c r="U1414" s="1">
        <v>45870</v>
      </c>
      <c r="V1414" t="s">
        <v>2499</v>
      </c>
      <c r="W1414">
        <v>2025</v>
      </c>
    </row>
    <row r="1415" spans="1:23" x14ac:dyDescent="0.25">
      <c r="A1415" t="s">
        <v>1462</v>
      </c>
      <c r="B1415" s="1">
        <v>45314</v>
      </c>
      <c r="C1415" s="1">
        <v>45318</v>
      </c>
      <c r="D1415" t="s">
        <v>13</v>
      </c>
      <c r="E1415" t="s">
        <v>36</v>
      </c>
      <c r="F1415" t="s">
        <v>15</v>
      </c>
      <c r="G1415" t="s">
        <v>26</v>
      </c>
      <c r="H1415" t="s">
        <v>34</v>
      </c>
      <c r="I1415">
        <v>1</v>
      </c>
      <c r="J1415">
        <v>0</v>
      </c>
      <c r="K1415">
        <v>186.5</v>
      </c>
      <c r="L1415">
        <v>4.08</v>
      </c>
      <c r="M1415" t="s">
        <v>2460</v>
      </c>
      <c r="N1415" t="s">
        <v>2458</v>
      </c>
      <c r="O1415" t="s">
        <v>2461</v>
      </c>
      <c r="P1415">
        <v>119.02</v>
      </c>
      <c r="Q1415">
        <v>205.39</v>
      </c>
      <c r="R1415">
        <v>119.02</v>
      </c>
      <c r="S1415">
        <v>63.400000000000006</v>
      </c>
      <c r="T1415">
        <v>0.33994638069705096</v>
      </c>
      <c r="U1415" s="1">
        <v>45292</v>
      </c>
      <c r="V1415" t="s">
        <v>2499</v>
      </c>
      <c r="W1415">
        <v>2024</v>
      </c>
    </row>
    <row r="1416" spans="1:23" x14ac:dyDescent="0.25">
      <c r="A1416" t="s">
        <v>1463</v>
      </c>
      <c r="B1416" s="1">
        <v>45484</v>
      </c>
      <c r="C1416" s="1">
        <v>45486</v>
      </c>
      <c r="D1416" t="s">
        <v>32</v>
      </c>
      <c r="E1416" t="s">
        <v>62</v>
      </c>
      <c r="F1416" t="s">
        <v>29</v>
      </c>
      <c r="G1416" t="s">
        <v>20</v>
      </c>
      <c r="H1416" t="s">
        <v>87</v>
      </c>
      <c r="I1416">
        <v>4</v>
      </c>
      <c r="J1416">
        <v>0</v>
      </c>
      <c r="K1416">
        <v>30.19</v>
      </c>
      <c r="L1416">
        <v>3.78</v>
      </c>
      <c r="M1416" t="s">
        <v>2476</v>
      </c>
      <c r="N1416" t="s">
        <v>2474</v>
      </c>
      <c r="O1416" t="s">
        <v>2459</v>
      </c>
      <c r="P1416">
        <v>4.5</v>
      </c>
      <c r="Q1416">
        <v>8.2899999999999991</v>
      </c>
      <c r="R1416">
        <v>18</v>
      </c>
      <c r="S1416">
        <v>8.4100000000000019</v>
      </c>
      <c r="T1416">
        <v>0.27856906260351116</v>
      </c>
      <c r="U1416" s="1">
        <v>45474</v>
      </c>
      <c r="V1416" t="s">
        <v>2499</v>
      </c>
      <c r="W1416">
        <v>2024</v>
      </c>
    </row>
    <row r="1417" spans="1:23" x14ac:dyDescent="0.25">
      <c r="A1417" t="s">
        <v>1464</v>
      </c>
      <c r="B1417" s="1">
        <v>45490</v>
      </c>
      <c r="C1417" s="1">
        <v>45496</v>
      </c>
      <c r="D1417" t="s">
        <v>32</v>
      </c>
      <c r="E1417" t="s">
        <v>62</v>
      </c>
      <c r="F1417" t="s">
        <v>29</v>
      </c>
      <c r="G1417" t="s">
        <v>20</v>
      </c>
      <c r="H1417" t="s">
        <v>60</v>
      </c>
      <c r="I1417">
        <v>1</v>
      </c>
      <c r="J1417">
        <v>0</v>
      </c>
      <c r="K1417">
        <v>100.68</v>
      </c>
      <c r="L1417">
        <v>5.75</v>
      </c>
      <c r="M1417" t="s">
        <v>2469</v>
      </c>
      <c r="N1417" t="s">
        <v>2467</v>
      </c>
      <c r="O1417" t="s">
        <v>2468</v>
      </c>
      <c r="P1417">
        <v>54.95</v>
      </c>
      <c r="Q1417">
        <v>112.56</v>
      </c>
      <c r="R1417">
        <v>54.95</v>
      </c>
      <c r="S1417">
        <v>39.980000000000004</v>
      </c>
      <c r="T1417">
        <v>0.39709972189114023</v>
      </c>
      <c r="U1417" s="1">
        <v>45474</v>
      </c>
      <c r="V1417" t="s">
        <v>2499</v>
      </c>
      <c r="W1417">
        <v>2024</v>
      </c>
    </row>
    <row r="1418" spans="1:23" x14ac:dyDescent="0.25">
      <c r="A1418" t="s">
        <v>1465</v>
      </c>
      <c r="B1418" s="1">
        <v>45702</v>
      </c>
      <c r="C1418" s="1">
        <v>45707</v>
      </c>
      <c r="D1418" t="s">
        <v>13</v>
      </c>
      <c r="E1418" t="s">
        <v>36</v>
      </c>
      <c r="F1418" t="s">
        <v>15</v>
      </c>
      <c r="G1418" t="s">
        <v>20</v>
      </c>
      <c r="H1418" t="s">
        <v>39</v>
      </c>
      <c r="I1418">
        <v>4</v>
      </c>
      <c r="J1418">
        <v>0</v>
      </c>
      <c r="K1418">
        <v>696.4</v>
      </c>
      <c r="L1418">
        <v>9.5</v>
      </c>
      <c r="M1418" t="s">
        <v>2471</v>
      </c>
      <c r="N1418" t="s">
        <v>2467</v>
      </c>
      <c r="O1418" t="s">
        <v>2461</v>
      </c>
      <c r="P1418">
        <v>112.09</v>
      </c>
      <c r="Q1418">
        <v>192.47</v>
      </c>
      <c r="R1418">
        <v>448.36</v>
      </c>
      <c r="S1418">
        <v>238.53999999999996</v>
      </c>
      <c r="T1418">
        <v>0.34253302699597926</v>
      </c>
      <c r="U1418" s="1">
        <v>45689</v>
      </c>
      <c r="V1418" t="s">
        <v>2499</v>
      </c>
      <c r="W1418">
        <v>2025</v>
      </c>
    </row>
    <row r="1419" spans="1:23" x14ac:dyDescent="0.25">
      <c r="A1419" t="s">
        <v>1466</v>
      </c>
      <c r="B1419" s="1">
        <v>45403</v>
      </c>
      <c r="C1419" s="1">
        <v>45405</v>
      </c>
      <c r="D1419" t="s">
        <v>23</v>
      </c>
      <c r="E1419" t="s">
        <v>59</v>
      </c>
      <c r="F1419" t="s">
        <v>29</v>
      </c>
      <c r="G1419" t="s">
        <v>20</v>
      </c>
      <c r="H1419" t="s">
        <v>21</v>
      </c>
      <c r="I1419">
        <v>3</v>
      </c>
      <c r="J1419">
        <v>0</v>
      </c>
      <c r="K1419">
        <v>339.12</v>
      </c>
      <c r="L1419">
        <v>6.84</v>
      </c>
      <c r="M1419" t="s">
        <v>2462</v>
      </c>
      <c r="N1419" t="s">
        <v>2458</v>
      </c>
      <c r="O1419" t="s">
        <v>2463</v>
      </c>
      <c r="P1419">
        <v>71.489999999999995</v>
      </c>
      <c r="Q1419">
        <v>112.88</v>
      </c>
      <c r="R1419">
        <v>214.46999999999997</v>
      </c>
      <c r="S1419">
        <v>117.81000000000003</v>
      </c>
      <c r="T1419">
        <v>0.34739915074309985</v>
      </c>
      <c r="U1419" s="1">
        <v>45383</v>
      </c>
      <c r="V1419" t="s">
        <v>2499</v>
      </c>
      <c r="W1419">
        <v>2024</v>
      </c>
    </row>
    <row r="1420" spans="1:23" x14ac:dyDescent="0.25">
      <c r="A1420" t="s">
        <v>1467</v>
      </c>
      <c r="B1420" s="1">
        <v>45363</v>
      </c>
      <c r="C1420" s="1">
        <v>45366</v>
      </c>
      <c r="D1420" t="s">
        <v>13</v>
      </c>
      <c r="E1420" t="s">
        <v>36</v>
      </c>
      <c r="F1420" t="s">
        <v>15</v>
      </c>
      <c r="G1420" t="s">
        <v>20</v>
      </c>
      <c r="H1420" t="s">
        <v>63</v>
      </c>
      <c r="I1420">
        <v>14</v>
      </c>
      <c r="J1420">
        <v>0.05</v>
      </c>
      <c r="K1420">
        <v>156.56</v>
      </c>
      <c r="L1420">
        <v>6.48</v>
      </c>
      <c r="M1420" t="s">
        <v>2477</v>
      </c>
      <c r="N1420" t="s">
        <v>2474</v>
      </c>
      <c r="O1420" t="s">
        <v>2468</v>
      </c>
      <c r="P1420">
        <v>6.33</v>
      </c>
      <c r="Q1420">
        <v>12.16</v>
      </c>
      <c r="R1420">
        <v>88.62</v>
      </c>
      <c r="S1420">
        <v>61.459999999999994</v>
      </c>
      <c r="T1420">
        <v>0.39256515074092996</v>
      </c>
      <c r="U1420" s="1">
        <v>45352</v>
      </c>
      <c r="V1420" t="s">
        <v>2498</v>
      </c>
      <c r="W1420">
        <v>2024</v>
      </c>
    </row>
    <row r="1421" spans="1:23" x14ac:dyDescent="0.25">
      <c r="A1421" t="s">
        <v>1468</v>
      </c>
      <c r="B1421" s="1">
        <v>45307</v>
      </c>
      <c r="C1421" s="1">
        <v>45312</v>
      </c>
      <c r="D1421" t="s">
        <v>47</v>
      </c>
      <c r="E1421" t="s">
        <v>71</v>
      </c>
      <c r="F1421" t="s">
        <v>29</v>
      </c>
      <c r="G1421" t="s">
        <v>20</v>
      </c>
      <c r="H1421" t="s">
        <v>60</v>
      </c>
      <c r="I1421">
        <v>4</v>
      </c>
      <c r="J1421">
        <v>0</v>
      </c>
      <c r="K1421">
        <v>409.16</v>
      </c>
      <c r="L1421">
        <v>9.5</v>
      </c>
      <c r="M1421" t="s">
        <v>2469</v>
      </c>
      <c r="N1421" t="s">
        <v>2467</v>
      </c>
      <c r="O1421" t="s">
        <v>2468</v>
      </c>
      <c r="P1421">
        <v>54.95</v>
      </c>
      <c r="Q1421">
        <v>112.56</v>
      </c>
      <c r="R1421">
        <v>219.8</v>
      </c>
      <c r="S1421">
        <v>179.86</v>
      </c>
      <c r="T1421">
        <v>0.43958353700263958</v>
      </c>
      <c r="U1421" s="1">
        <v>45292</v>
      </c>
      <c r="V1421" t="s">
        <v>2499</v>
      </c>
      <c r="W1421">
        <v>2024</v>
      </c>
    </row>
    <row r="1422" spans="1:23" x14ac:dyDescent="0.25">
      <c r="A1422" t="s">
        <v>1469</v>
      </c>
      <c r="B1422" s="1">
        <v>45751</v>
      </c>
      <c r="C1422" s="1">
        <v>45752</v>
      </c>
      <c r="D1422" t="s">
        <v>13</v>
      </c>
      <c r="E1422" t="s">
        <v>19</v>
      </c>
      <c r="F1422" t="s">
        <v>15</v>
      </c>
      <c r="G1422" t="s">
        <v>16</v>
      </c>
      <c r="H1422" t="s">
        <v>39</v>
      </c>
      <c r="I1422">
        <v>4</v>
      </c>
      <c r="J1422">
        <v>0</v>
      </c>
      <c r="K1422">
        <v>779.08</v>
      </c>
      <c r="L1422">
        <v>5.7</v>
      </c>
      <c r="M1422" t="s">
        <v>2471</v>
      </c>
      <c r="N1422" t="s">
        <v>2467</v>
      </c>
      <c r="O1422" t="s">
        <v>2461</v>
      </c>
      <c r="P1422">
        <v>112.09</v>
      </c>
      <c r="Q1422">
        <v>192.47</v>
      </c>
      <c r="R1422">
        <v>448.36</v>
      </c>
      <c r="S1422">
        <v>325.02000000000004</v>
      </c>
      <c r="T1422">
        <v>0.41718437130975</v>
      </c>
      <c r="U1422" s="1">
        <v>45748</v>
      </c>
      <c r="V1422" t="s">
        <v>2499</v>
      </c>
      <c r="W1422">
        <v>2025</v>
      </c>
    </row>
    <row r="1423" spans="1:23" x14ac:dyDescent="0.25">
      <c r="A1423" t="s">
        <v>1470</v>
      </c>
      <c r="B1423" s="1">
        <v>45888</v>
      </c>
      <c r="C1423" s="1">
        <v>45892</v>
      </c>
      <c r="D1423" t="s">
        <v>23</v>
      </c>
      <c r="E1423" t="s">
        <v>43</v>
      </c>
      <c r="F1423" t="s">
        <v>29</v>
      </c>
      <c r="G1423" t="s">
        <v>26</v>
      </c>
      <c r="H1423" t="s">
        <v>41</v>
      </c>
      <c r="I1423">
        <v>23</v>
      </c>
      <c r="J1423">
        <v>0.1</v>
      </c>
      <c r="K1423">
        <v>122.49</v>
      </c>
      <c r="L1423">
        <v>14.85</v>
      </c>
      <c r="M1423" t="s">
        <v>2479</v>
      </c>
      <c r="N1423" t="s">
        <v>2474</v>
      </c>
      <c r="O1423" t="s">
        <v>2459</v>
      </c>
      <c r="P1423">
        <v>3.3</v>
      </c>
      <c r="Q1423">
        <v>6.13</v>
      </c>
      <c r="R1423">
        <v>75.899999999999991</v>
      </c>
      <c r="S1423">
        <v>31.740000000000002</v>
      </c>
      <c r="T1423">
        <v>0.25912319373010045</v>
      </c>
      <c r="U1423" s="1">
        <v>45870</v>
      </c>
      <c r="V1423" t="s">
        <v>2498</v>
      </c>
      <c r="W1423">
        <v>2025</v>
      </c>
    </row>
    <row r="1424" spans="1:23" x14ac:dyDescent="0.25">
      <c r="A1424" t="s">
        <v>1471</v>
      </c>
      <c r="B1424" s="1">
        <v>45295</v>
      </c>
      <c r="C1424" s="1">
        <v>45299</v>
      </c>
      <c r="D1424" t="s">
        <v>47</v>
      </c>
      <c r="E1424" t="s">
        <v>50</v>
      </c>
      <c r="F1424" t="s">
        <v>15</v>
      </c>
      <c r="G1424" t="s">
        <v>26</v>
      </c>
      <c r="H1424" t="s">
        <v>60</v>
      </c>
      <c r="I1424">
        <v>3</v>
      </c>
      <c r="J1424">
        <v>0</v>
      </c>
      <c r="K1424">
        <v>301.26</v>
      </c>
      <c r="L1424">
        <v>4.95</v>
      </c>
      <c r="M1424" t="s">
        <v>2469</v>
      </c>
      <c r="N1424" t="s">
        <v>2467</v>
      </c>
      <c r="O1424" t="s">
        <v>2468</v>
      </c>
      <c r="P1424">
        <v>54.95</v>
      </c>
      <c r="Q1424">
        <v>112.56</v>
      </c>
      <c r="R1424">
        <v>164.85000000000002</v>
      </c>
      <c r="S1424">
        <v>131.45999999999998</v>
      </c>
      <c r="T1424">
        <v>0.43636725751842259</v>
      </c>
      <c r="U1424" s="1">
        <v>45292</v>
      </c>
      <c r="V1424" t="s">
        <v>2499</v>
      </c>
      <c r="W1424">
        <v>2024</v>
      </c>
    </row>
    <row r="1425" spans="1:23" x14ac:dyDescent="0.25">
      <c r="A1425" t="s">
        <v>1472</v>
      </c>
      <c r="B1425" s="1">
        <v>45808</v>
      </c>
      <c r="C1425" s="1">
        <v>45810</v>
      </c>
      <c r="D1425" t="s">
        <v>47</v>
      </c>
      <c r="E1425" t="s">
        <v>48</v>
      </c>
      <c r="F1425" t="s">
        <v>15</v>
      </c>
      <c r="G1425" t="s">
        <v>20</v>
      </c>
      <c r="H1425" t="s">
        <v>21</v>
      </c>
      <c r="I1425">
        <v>4</v>
      </c>
      <c r="J1425">
        <v>0</v>
      </c>
      <c r="K1425">
        <v>434.06</v>
      </c>
      <c r="L1425">
        <v>13.7</v>
      </c>
      <c r="M1425" t="s">
        <v>2462</v>
      </c>
      <c r="N1425" t="s">
        <v>2458</v>
      </c>
      <c r="O1425" t="s">
        <v>2463</v>
      </c>
      <c r="P1425">
        <v>71.489999999999995</v>
      </c>
      <c r="Q1425">
        <v>112.88</v>
      </c>
      <c r="R1425">
        <v>285.95999999999998</v>
      </c>
      <c r="S1425">
        <v>134.40000000000003</v>
      </c>
      <c r="T1425">
        <v>0.30963461272635129</v>
      </c>
      <c r="U1425" s="1">
        <v>45778</v>
      </c>
      <c r="V1425" t="s">
        <v>2499</v>
      </c>
      <c r="W1425">
        <v>2025</v>
      </c>
    </row>
    <row r="1426" spans="1:23" x14ac:dyDescent="0.25">
      <c r="A1426" t="s">
        <v>1473</v>
      </c>
      <c r="B1426" s="1">
        <v>45587</v>
      </c>
      <c r="C1426" s="1">
        <v>45592</v>
      </c>
      <c r="D1426" t="s">
        <v>47</v>
      </c>
      <c r="E1426" t="s">
        <v>50</v>
      </c>
      <c r="F1426" t="s">
        <v>15</v>
      </c>
      <c r="G1426" t="s">
        <v>16</v>
      </c>
      <c r="H1426" t="s">
        <v>27</v>
      </c>
      <c r="I1426">
        <v>14</v>
      </c>
      <c r="J1426">
        <v>0</v>
      </c>
      <c r="K1426">
        <v>434.98</v>
      </c>
      <c r="L1426">
        <v>6.48</v>
      </c>
      <c r="M1426" t="s">
        <v>2478</v>
      </c>
      <c r="N1426" t="s">
        <v>2474</v>
      </c>
      <c r="O1426" t="s">
        <v>2463</v>
      </c>
      <c r="P1426">
        <v>16.760000000000002</v>
      </c>
      <c r="Q1426">
        <v>27.71</v>
      </c>
      <c r="R1426">
        <v>234.64000000000001</v>
      </c>
      <c r="S1426">
        <v>193.86</v>
      </c>
      <c r="T1426">
        <v>0.44567566324888502</v>
      </c>
      <c r="U1426" s="1">
        <v>45566</v>
      </c>
      <c r="V1426" t="s">
        <v>2499</v>
      </c>
      <c r="W1426">
        <v>2024</v>
      </c>
    </row>
    <row r="1427" spans="1:23" x14ac:dyDescent="0.25">
      <c r="A1427" t="s">
        <v>1474</v>
      </c>
      <c r="B1427" s="1">
        <v>45414</v>
      </c>
      <c r="C1427" s="1">
        <v>45415</v>
      </c>
      <c r="D1427" t="s">
        <v>47</v>
      </c>
      <c r="E1427" t="s">
        <v>71</v>
      </c>
      <c r="F1427" t="s">
        <v>15</v>
      </c>
      <c r="G1427" t="s">
        <v>16</v>
      </c>
      <c r="H1427" t="s">
        <v>34</v>
      </c>
      <c r="I1427">
        <v>2</v>
      </c>
      <c r="J1427">
        <v>0</v>
      </c>
      <c r="K1427">
        <v>417.78</v>
      </c>
      <c r="L1427">
        <v>9.1</v>
      </c>
      <c r="M1427" t="s">
        <v>2460</v>
      </c>
      <c r="N1427" t="s">
        <v>2458</v>
      </c>
      <c r="O1427" t="s">
        <v>2461</v>
      </c>
      <c r="P1427">
        <v>119.02</v>
      </c>
      <c r="Q1427">
        <v>205.39</v>
      </c>
      <c r="R1427">
        <v>238.04</v>
      </c>
      <c r="S1427">
        <v>170.64</v>
      </c>
      <c r="T1427">
        <v>0.40844463593278757</v>
      </c>
      <c r="U1427" s="1">
        <v>45413</v>
      </c>
      <c r="V1427" t="s">
        <v>2499</v>
      </c>
      <c r="W1427">
        <v>2024</v>
      </c>
    </row>
    <row r="1428" spans="1:23" x14ac:dyDescent="0.25">
      <c r="A1428" t="s">
        <v>1475</v>
      </c>
      <c r="B1428" s="1">
        <v>46004</v>
      </c>
      <c r="C1428" s="1">
        <v>46007</v>
      </c>
      <c r="D1428" t="s">
        <v>47</v>
      </c>
      <c r="E1428" t="s">
        <v>71</v>
      </c>
      <c r="F1428" t="s">
        <v>15</v>
      </c>
      <c r="G1428" t="s">
        <v>20</v>
      </c>
      <c r="H1428" t="s">
        <v>34</v>
      </c>
      <c r="I1428">
        <v>4</v>
      </c>
      <c r="J1428">
        <v>0.15</v>
      </c>
      <c r="K1428">
        <v>949.46</v>
      </c>
      <c r="L1428">
        <v>13.7</v>
      </c>
      <c r="M1428" t="s">
        <v>2460</v>
      </c>
      <c r="N1428" t="s">
        <v>2458</v>
      </c>
      <c r="O1428" t="s">
        <v>2461</v>
      </c>
      <c r="P1428">
        <v>119.02</v>
      </c>
      <c r="Q1428">
        <v>205.39</v>
      </c>
      <c r="R1428">
        <v>476.08</v>
      </c>
      <c r="S1428">
        <v>459.68000000000006</v>
      </c>
      <c r="T1428">
        <v>0.48414888462915767</v>
      </c>
      <c r="U1428" s="1">
        <v>45992</v>
      </c>
      <c r="V1428" t="s">
        <v>2500</v>
      </c>
      <c r="W1428">
        <v>2025</v>
      </c>
    </row>
    <row r="1429" spans="1:23" x14ac:dyDescent="0.25">
      <c r="A1429" t="s">
        <v>1476</v>
      </c>
      <c r="B1429" s="1">
        <v>45982</v>
      </c>
      <c r="C1429" s="1">
        <v>45988</v>
      </c>
      <c r="D1429" t="s">
        <v>23</v>
      </c>
      <c r="E1429" t="s">
        <v>43</v>
      </c>
      <c r="F1429" t="s">
        <v>15</v>
      </c>
      <c r="G1429" t="s">
        <v>26</v>
      </c>
      <c r="H1429" t="s">
        <v>30</v>
      </c>
      <c r="I1429">
        <v>11</v>
      </c>
      <c r="J1429">
        <v>0</v>
      </c>
      <c r="K1429">
        <v>87.04</v>
      </c>
      <c r="L1429">
        <v>9.4499999999999993</v>
      </c>
      <c r="M1429" t="s">
        <v>2473</v>
      </c>
      <c r="N1429" t="s">
        <v>2474</v>
      </c>
      <c r="O1429" t="s">
        <v>2463</v>
      </c>
      <c r="P1429">
        <v>3.62</v>
      </c>
      <c r="Q1429">
        <v>6.03</v>
      </c>
      <c r="R1429">
        <v>39.82</v>
      </c>
      <c r="S1429">
        <v>37.77000000000001</v>
      </c>
      <c r="T1429">
        <v>0.43393841911764713</v>
      </c>
      <c r="U1429" s="1">
        <v>45962</v>
      </c>
      <c r="V1429" t="s">
        <v>2499</v>
      </c>
      <c r="W1429">
        <v>2025</v>
      </c>
    </row>
    <row r="1430" spans="1:23" x14ac:dyDescent="0.25">
      <c r="A1430" t="s">
        <v>1477</v>
      </c>
      <c r="B1430" s="1">
        <v>45861</v>
      </c>
      <c r="C1430" s="1">
        <v>45866</v>
      </c>
      <c r="D1430" t="s">
        <v>13</v>
      </c>
      <c r="E1430" t="s">
        <v>19</v>
      </c>
      <c r="F1430" t="s">
        <v>29</v>
      </c>
      <c r="G1430" t="s">
        <v>16</v>
      </c>
      <c r="H1430" t="s">
        <v>37</v>
      </c>
      <c r="I1430">
        <v>4</v>
      </c>
      <c r="J1430">
        <v>0</v>
      </c>
      <c r="K1430">
        <v>382.59</v>
      </c>
      <c r="L1430">
        <v>8.2200000000000006</v>
      </c>
      <c r="M1430" t="s">
        <v>2464</v>
      </c>
      <c r="N1430" t="s">
        <v>2458</v>
      </c>
      <c r="O1430" t="s">
        <v>2465</v>
      </c>
      <c r="P1430">
        <v>63.6</v>
      </c>
      <c r="Q1430">
        <v>107.94</v>
      </c>
      <c r="R1430">
        <v>254.4</v>
      </c>
      <c r="S1430">
        <v>119.96999999999997</v>
      </c>
      <c r="T1430">
        <v>0.31357327687602909</v>
      </c>
      <c r="U1430" s="1">
        <v>45839</v>
      </c>
      <c r="V1430" t="s">
        <v>2499</v>
      </c>
      <c r="W1430">
        <v>2025</v>
      </c>
    </row>
    <row r="1431" spans="1:23" x14ac:dyDescent="0.25">
      <c r="A1431" t="s">
        <v>1478</v>
      </c>
      <c r="B1431" s="1">
        <v>45573</v>
      </c>
      <c r="C1431" s="1">
        <v>45577</v>
      </c>
      <c r="D1431" t="s">
        <v>13</v>
      </c>
      <c r="E1431" t="s">
        <v>19</v>
      </c>
      <c r="F1431" t="s">
        <v>15</v>
      </c>
      <c r="G1431" t="s">
        <v>26</v>
      </c>
      <c r="H1431" t="s">
        <v>21</v>
      </c>
      <c r="I1431">
        <v>1</v>
      </c>
      <c r="J1431">
        <v>0</v>
      </c>
      <c r="K1431">
        <v>135.87</v>
      </c>
      <c r="L1431">
        <v>4.08</v>
      </c>
      <c r="M1431" t="s">
        <v>2462</v>
      </c>
      <c r="N1431" t="s">
        <v>2458</v>
      </c>
      <c r="O1431" t="s">
        <v>2463</v>
      </c>
      <c r="P1431">
        <v>71.489999999999995</v>
      </c>
      <c r="Q1431">
        <v>112.88</v>
      </c>
      <c r="R1431">
        <v>71.489999999999995</v>
      </c>
      <c r="S1431">
        <v>60.300000000000011</v>
      </c>
      <c r="T1431">
        <v>0.44380657981894467</v>
      </c>
      <c r="U1431" s="1">
        <v>45566</v>
      </c>
      <c r="V1431" t="s">
        <v>2499</v>
      </c>
      <c r="W1431">
        <v>2024</v>
      </c>
    </row>
    <row r="1432" spans="1:23" x14ac:dyDescent="0.25">
      <c r="A1432" t="s">
        <v>1479</v>
      </c>
      <c r="B1432" s="1">
        <v>46011</v>
      </c>
      <c r="C1432" s="1">
        <v>46012</v>
      </c>
      <c r="D1432" t="s">
        <v>32</v>
      </c>
      <c r="E1432" t="s">
        <v>62</v>
      </c>
      <c r="F1432" t="s">
        <v>29</v>
      </c>
      <c r="G1432" t="s">
        <v>26</v>
      </c>
      <c r="H1432" t="s">
        <v>41</v>
      </c>
      <c r="I1432">
        <v>9</v>
      </c>
      <c r="J1432">
        <v>0.15</v>
      </c>
      <c r="K1432">
        <v>63.05</v>
      </c>
      <c r="L1432">
        <v>5.13</v>
      </c>
      <c r="M1432" t="s">
        <v>2479</v>
      </c>
      <c r="N1432" t="s">
        <v>2474</v>
      </c>
      <c r="O1432" t="s">
        <v>2459</v>
      </c>
      <c r="P1432">
        <v>3.3</v>
      </c>
      <c r="Q1432">
        <v>6.13</v>
      </c>
      <c r="R1432">
        <v>29.7</v>
      </c>
      <c r="S1432">
        <v>28.219999999999995</v>
      </c>
      <c r="T1432">
        <v>0.44758128469468672</v>
      </c>
      <c r="U1432" s="1">
        <v>45992</v>
      </c>
      <c r="V1432" t="s">
        <v>2500</v>
      </c>
      <c r="W1432">
        <v>2025</v>
      </c>
    </row>
    <row r="1433" spans="1:23" x14ac:dyDescent="0.25">
      <c r="A1433" t="s">
        <v>1480</v>
      </c>
      <c r="B1433" s="1">
        <v>45350</v>
      </c>
      <c r="C1433" s="1">
        <v>45355</v>
      </c>
      <c r="D1433" t="s">
        <v>13</v>
      </c>
      <c r="E1433" t="s">
        <v>36</v>
      </c>
      <c r="F1433" t="s">
        <v>29</v>
      </c>
      <c r="G1433" t="s">
        <v>26</v>
      </c>
      <c r="H1433" t="s">
        <v>65</v>
      </c>
      <c r="I1433">
        <v>1</v>
      </c>
      <c r="J1433">
        <v>0</v>
      </c>
      <c r="K1433">
        <v>270.33</v>
      </c>
      <c r="L1433">
        <v>4.08</v>
      </c>
      <c r="M1433" t="s">
        <v>2457</v>
      </c>
      <c r="N1433" t="s">
        <v>2458</v>
      </c>
      <c r="O1433" t="s">
        <v>2459</v>
      </c>
      <c r="P1433">
        <v>173.56</v>
      </c>
      <c r="Q1433">
        <v>286.14999999999998</v>
      </c>
      <c r="R1433">
        <v>173.56</v>
      </c>
      <c r="S1433">
        <v>92.689999999999984</v>
      </c>
      <c r="T1433">
        <v>0.34287722413346644</v>
      </c>
      <c r="U1433" s="1">
        <v>45323</v>
      </c>
      <c r="V1433" t="s">
        <v>2499</v>
      </c>
      <c r="W1433">
        <v>2024</v>
      </c>
    </row>
    <row r="1434" spans="1:23" x14ac:dyDescent="0.25">
      <c r="A1434" t="s">
        <v>1481</v>
      </c>
      <c r="B1434" s="1">
        <v>45660</v>
      </c>
      <c r="C1434" s="1">
        <v>45666</v>
      </c>
      <c r="D1434" t="s">
        <v>47</v>
      </c>
      <c r="E1434" t="s">
        <v>50</v>
      </c>
      <c r="F1434" t="s">
        <v>15</v>
      </c>
      <c r="G1434" t="s">
        <v>20</v>
      </c>
      <c r="H1434" t="s">
        <v>41</v>
      </c>
      <c r="I1434">
        <v>11</v>
      </c>
      <c r="J1434">
        <v>0.25</v>
      </c>
      <c r="K1434">
        <v>43.29</v>
      </c>
      <c r="L1434">
        <v>9.4499999999999993</v>
      </c>
      <c r="M1434" t="s">
        <v>2479</v>
      </c>
      <c r="N1434" t="s">
        <v>2474</v>
      </c>
      <c r="O1434" t="s">
        <v>2459</v>
      </c>
      <c r="P1434">
        <v>3.3</v>
      </c>
      <c r="Q1434">
        <v>6.13</v>
      </c>
      <c r="R1434">
        <v>36.299999999999997</v>
      </c>
      <c r="S1434">
        <v>-2.4599999999999973</v>
      </c>
      <c r="T1434">
        <v>-5.6826056826056764E-2</v>
      </c>
      <c r="U1434" s="1">
        <v>45658</v>
      </c>
      <c r="V1434" t="s">
        <v>2501</v>
      </c>
      <c r="W1434">
        <v>2025</v>
      </c>
    </row>
    <row r="1435" spans="1:23" x14ac:dyDescent="0.25">
      <c r="A1435" t="s">
        <v>1482</v>
      </c>
      <c r="B1435" s="1">
        <v>45397</v>
      </c>
      <c r="C1435" s="1">
        <v>45403</v>
      </c>
      <c r="D1435" t="s">
        <v>23</v>
      </c>
      <c r="E1435" t="s">
        <v>59</v>
      </c>
      <c r="F1435" t="s">
        <v>29</v>
      </c>
      <c r="G1435" t="s">
        <v>20</v>
      </c>
      <c r="H1435" t="s">
        <v>63</v>
      </c>
      <c r="I1435">
        <v>11</v>
      </c>
      <c r="J1435">
        <v>0.2</v>
      </c>
      <c r="K1435">
        <v>109.11</v>
      </c>
      <c r="L1435">
        <v>5.67</v>
      </c>
      <c r="M1435" t="s">
        <v>2477</v>
      </c>
      <c r="N1435" t="s">
        <v>2474</v>
      </c>
      <c r="O1435" t="s">
        <v>2468</v>
      </c>
      <c r="P1435">
        <v>6.33</v>
      </c>
      <c r="Q1435">
        <v>12.16</v>
      </c>
      <c r="R1435">
        <v>69.63</v>
      </c>
      <c r="S1435">
        <v>33.81</v>
      </c>
      <c r="T1435">
        <v>0.30987077261479246</v>
      </c>
      <c r="U1435" s="1">
        <v>45383</v>
      </c>
      <c r="V1435" t="s">
        <v>2500</v>
      </c>
      <c r="W1435">
        <v>2024</v>
      </c>
    </row>
    <row r="1436" spans="1:23" x14ac:dyDescent="0.25">
      <c r="A1436" t="s">
        <v>1483</v>
      </c>
      <c r="B1436" s="1">
        <v>45603</v>
      </c>
      <c r="C1436" s="1">
        <v>45609</v>
      </c>
      <c r="D1436" t="s">
        <v>23</v>
      </c>
      <c r="E1436" t="s">
        <v>24</v>
      </c>
      <c r="F1436" t="s">
        <v>15</v>
      </c>
      <c r="G1436" t="s">
        <v>26</v>
      </c>
      <c r="H1436" t="s">
        <v>68</v>
      </c>
      <c r="I1436">
        <v>4</v>
      </c>
      <c r="J1436">
        <v>0.05</v>
      </c>
      <c r="K1436">
        <v>254</v>
      </c>
      <c r="L1436">
        <v>9.5</v>
      </c>
      <c r="M1436" t="s">
        <v>2466</v>
      </c>
      <c r="N1436" t="s">
        <v>2467</v>
      </c>
      <c r="O1436" t="s">
        <v>2468</v>
      </c>
      <c r="P1436">
        <v>25.33</v>
      </c>
      <c r="Q1436">
        <v>51.56</v>
      </c>
      <c r="R1436">
        <v>101.32</v>
      </c>
      <c r="S1436">
        <v>143.18</v>
      </c>
      <c r="T1436">
        <v>0.56370078740157481</v>
      </c>
      <c r="U1436" s="1">
        <v>45597</v>
      </c>
      <c r="V1436" t="s">
        <v>2498</v>
      </c>
      <c r="W1436">
        <v>2024</v>
      </c>
    </row>
    <row r="1437" spans="1:23" x14ac:dyDescent="0.25">
      <c r="A1437" t="s">
        <v>1484</v>
      </c>
      <c r="B1437" s="1">
        <v>45846</v>
      </c>
      <c r="C1437" s="1">
        <v>45852</v>
      </c>
      <c r="D1437" t="s">
        <v>32</v>
      </c>
      <c r="E1437" t="s">
        <v>33</v>
      </c>
      <c r="F1437" t="s">
        <v>29</v>
      </c>
      <c r="G1437" t="s">
        <v>20</v>
      </c>
      <c r="H1437" t="s">
        <v>30</v>
      </c>
      <c r="I1437">
        <v>14</v>
      </c>
      <c r="J1437">
        <v>0</v>
      </c>
      <c r="K1437">
        <v>73.95</v>
      </c>
      <c r="L1437">
        <v>6.48</v>
      </c>
      <c r="M1437" t="s">
        <v>2473</v>
      </c>
      <c r="N1437" t="s">
        <v>2474</v>
      </c>
      <c r="O1437" t="s">
        <v>2463</v>
      </c>
      <c r="P1437">
        <v>3.62</v>
      </c>
      <c r="Q1437">
        <v>6.03</v>
      </c>
      <c r="R1437">
        <v>50.68</v>
      </c>
      <c r="S1437">
        <v>16.790000000000003</v>
      </c>
      <c r="T1437">
        <v>0.22704530087897232</v>
      </c>
      <c r="U1437" s="1">
        <v>45839</v>
      </c>
      <c r="V1437" t="s">
        <v>2499</v>
      </c>
      <c r="W1437">
        <v>2025</v>
      </c>
    </row>
    <row r="1438" spans="1:23" x14ac:dyDescent="0.25">
      <c r="A1438" t="s">
        <v>1485</v>
      </c>
      <c r="B1438" s="1">
        <v>45924</v>
      </c>
      <c r="C1438" s="1">
        <v>45925</v>
      </c>
      <c r="D1438" t="s">
        <v>23</v>
      </c>
      <c r="E1438" t="s">
        <v>43</v>
      </c>
      <c r="F1438" t="s">
        <v>25</v>
      </c>
      <c r="G1438" t="s">
        <v>16</v>
      </c>
      <c r="H1438" t="s">
        <v>30</v>
      </c>
      <c r="I1438">
        <v>16</v>
      </c>
      <c r="J1438">
        <v>0.05</v>
      </c>
      <c r="K1438">
        <v>93.78</v>
      </c>
      <c r="L1438">
        <v>11.7</v>
      </c>
      <c r="M1438" t="s">
        <v>2473</v>
      </c>
      <c r="N1438" t="s">
        <v>2474</v>
      </c>
      <c r="O1438" t="s">
        <v>2463</v>
      </c>
      <c r="P1438">
        <v>3.62</v>
      </c>
      <c r="Q1438">
        <v>6.03</v>
      </c>
      <c r="R1438">
        <v>57.92</v>
      </c>
      <c r="S1438">
        <v>24.16</v>
      </c>
      <c r="T1438">
        <v>0.25762422691405418</v>
      </c>
      <c r="U1438" s="1">
        <v>45901</v>
      </c>
      <c r="V1438" t="s">
        <v>2498</v>
      </c>
      <c r="W1438">
        <v>2025</v>
      </c>
    </row>
    <row r="1439" spans="1:23" x14ac:dyDescent="0.25">
      <c r="A1439" t="s">
        <v>1486</v>
      </c>
      <c r="B1439" s="1">
        <v>45664</v>
      </c>
      <c r="C1439" s="1">
        <v>45665</v>
      </c>
      <c r="D1439" t="s">
        <v>23</v>
      </c>
      <c r="E1439" t="s">
        <v>24</v>
      </c>
      <c r="F1439" t="s">
        <v>29</v>
      </c>
      <c r="G1439" t="s">
        <v>26</v>
      </c>
      <c r="H1439" t="s">
        <v>21</v>
      </c>
      <c r="I1439">
        <v>3</v>
      </c>
      <c r="J1439">
        <v>0</v>
      </c>
      <c r="K1439">
        <v>286.22000000000003</v>
      </c>
      <c r="L1439">
        <v>6.84</v>
      </c>
      <c r="M1439" t="s">
        <v>2462</v>
      </c>
      <c r="N1439" t="s">
        <v>2458</v>
      </c>
      <c r="O1439" t="s">
        <v>2463</v>
      </c>
      <c r="P1439">
        <v>71.489999999999995</v>
      </c>
      <c r="Q1439">
        <v>112.88</v>
      </c>
      <c r="R1439">
        <v>214.46999999999997</v>
      </c>
      <c r="S1439">
        <v>64.910000000000053</v>
      </c>
      <c r="T1439">
        <v>0.22678359304031881</v>
      </c>
      <c r="U1439" s="1">
        <v>45658</v>
      </c>
      <c r="V1439" t="s">
        <v>2499</v>
      </c>
      <c r="W1439">
        <v>2025</v>
      </c>
    </row>
    <row r="1440" spans="1:23" x14ac:dyDescent="0.25">
      <c r="A1440" t="s">
        <v>1487</v>
      </c>
      <c r="B1440" s="1">
        <v>45464</v>
      </c>
      <c r="C1440" s="1">
        <v>45466</v>
      </c>
      <c r="D1440" t="s">
        <v>32</v>
      </c>
      <c r="E1440" t="s">
        <v>62</v>
      </c>
      <c r="F1440" t="s">
        <v>25</v>
      </c>
      <c r="G1440" t="s">
        <v>20</v>
      </c>
      <c r="H1440" t="s">
        <v>51</v>
      </c>
      <c r="I1440">
        <v>12</v>
      </c>
      <c r="J1440">
        <v>0</v>
      </c>
      <c r="K1440">
        <v>183.68</v>
      </c>
      <c r="L1440">
        <v>5.94</v>
      </c>
      <c r="M1440" t="s">
        <v>2475</v>
      </c>
      <c r="N1440" t="s">
        <v>2474</v>
      </c>
      <c r="O1440" t="s">
        <v>2463</v>
      </c>
      <c r="P1440">
        <v>7.93</v>
      </c>
      <c r="Q1440">
        <v>14.78</v>
      </c>
      <c r="R1440">
        <v>95.16</v>
      </c>
      <c r="S1440">
        <v>82.580000000000013</v>
      </c>
      <c r="T1440">
        <v>0.44958623693379796</v>
      </c>
      <c r="U1440" s="1">
        <v>45444</v>
      </c>
      <c r="V1440" t="s">
        <v>2499</v>
      </c>
      <c r="W1440">
        <v>2024</v>
      </c>
    </row>
    <row r="1441" spans="1:23" x14ac:dyDescent="0.25">
      <c r="A1441" t="s">
        <v>1488</v>
      </c>
      <c r="B1441" s="1">
        <v>45876</v>
      </c>
      <c r="C1441" s="1">
        <v>45882</v>
      </c>
      <c r="D1441" t="s">
        <v>32</v>
      </c>
      <c r="E1441" t="s">
        <v>45</v>
      </c>
      <c r="F1441" t="s">
        <v>25</v>
      </c>
      <c r="G1441" t="s">
        <v>16</v>
      </c>
      <c r="H1441" t="s">
        <v>21</v>
      </c>
      <c r="I1441">
        <v>4</v>
      </c>
      <c r="J1441">
        <v>0</v>
      </c>
      <c r="K1441">
        <v>411.14</v>
      </c>
      <c r="L1441">
        <v>8.2200000000000006</v>
      </c>
      <c r="M1441" t="s">
        <v>2462</v>
      </c>
      <c r="N1441" t="s">
        <v>2458</v>
      </c>
      <c r="O1441" t="s">
        <v>2463</v>
      </c>
      <c r="P1441">
        <v>71.489999999999995</v>
      </c>
      <c r="Q1441">
        <v>112.88</v>
      </c>
      <c r="R1441">
        <v>285.95999999999998</v>
      </c>
      <c r="S1441">
        <v>116.96000000000001</v>
      </c>
      <c r="T1441">
        <v>0.2844773070000487</v>
      </c>
      <c r="U1441" s="1">
        <v>45870</v>
      </c>
      <c r="V1441" t="s">
        <v>2499</v>
      </c>
      <c r="W1441">
        <v>2025</v>
      </c>
    </row>
    <row r="1442" spans="1:23" x14ac:dyDescent="0.25">
      <c r="A1442" t="s">
        <v>1489</v>
      </c>
      <c r="B1442" s="1">
        <v>45819</v>
      </c>
      <c r="C1442" s="1">
        <v>45823</v>
      </c>
      <c r="D1442" t="s">
        <v>47</v>
      </c>
      <c r="E1442" t="s">
        <v>50</v>
      </c>
      <c r="F1442" t="s">
        <v>15</v>
      </c>
      <c r="G1442" t="s">
        <v>20</v>
      </c>
      <c r="H1442" t="s">
        <v>68</v>
      </c>
      <c r="I1442">
        <v>1</v>
      </c>
      <c r="J1442">
        <v>0.15</v>
      </c>
      <c r="K1442">
        <v>44.79</v>
      </c>
      <c r="L1442">
        <v>5.75</v>
      </c>
      <c r="M1442" t="s">
        <v>2466</v>
      </c>
      <c r="N1442" t="s">
        <v>2467</v>
      </c>
      <c r="O1442" t="s">
        <v>2468</v>
      </c>
      <c r="P1442">
        <v>25.33</v>
      </c>
      <c r="Q1442">
        <v>51.56</v>
      </c>
      <c r="R1442">
        <v>25.33</v>
      </c>
      <c r="S1442">
        <v>13.71</v>
      </c>
      <c r="T1442">
        <v>0.30609511051574012</v>
      </c>
      <c r="U1442" s="1">
        <v>45809</v>
      </c>
      <c r="V1442" t="s">
        <v>2500</v>
      </c>
      <c r="W1442">
        <v>2025</v>
      </c>
    </row>
    <row r="1443" spans="1:23" x14ac:dyDescent="0.25">
      <c r="A1443" t="s">
        <v>1490</v>
      </c>
      <c r="B1443" s="1">
        <v>45654</v>
      </c>
      <c r="C1443" s="1">
        <v>45658</v>
      </c>
      <c r="D1443" t="s">
        <v>23</v>
      </c>
      <c r="E1443" t="s">
        <v>59</v>
      </c>
      <c r="F1443" t="s">
        <v>25</v>
      </c>
      <c r="G1443" t="s">
        <v>26</v>
      </c>
      <c r="H1443" t="s">
        <v>87</v>
      </c>
      <c r="I1443">
        <v>12</v>
      </c>
      <c r="J1443">
        <v>0</v>
      </c>
      <c r="K1443">
        <v>140.41999999999999</v>
      </c>
      <c r="L1443">
        <v>5.94</v>
      </c>
      <c r="M1443" t="s">
        <v>2476</v>
      </c>
      <c r="N1443" t="s">
        <v>2474</v>
      </c>
      <c r="O1443" t="s">
        <v>2459</v>
      </c>
      <c r="P1443">
        <v>4.5</v>
      </c>
      <c r="Q1443">
        <v>8.2899999999999991</v>
      </c>
      <c r="R1443">
        <v>54</v>
      </c>
      <c r="S1443">
        <v>80.47999999999999</v>
      </c>
      <c r="T1443">
        <v>0.57313772966813847</v>
      </c>
      <c r="U1443" s="1">
        <v>45627</v>
      </c>
      <c r="V1443" t="s">
        <v>2499</v>
      </c>
      <c r="W1443">
        <v>2024</v>
      </c>
    </row>
    <row r="1444" spans="1:23" x14ac:dyDescent="0.25">
      <c r="A1444" t="s">
        <v>1491</v>
      </c>
      <c r="B1444" s="1">
        <v>45968</v>
      </c>
      <c r="C1444" s="1">
        <v>45974</v>
      </c>
      <c r="D1444" t="s">
        <v>32</v>
      </c>
      <c r="E1444" t="s">
        <v>62</v>
      </c>
      <c r="F1444" t="s">
        <v>15</v>
      </c>
      <c r="G1444" t="s">
        <v>16</v>
      </c>
      <c r="H1444" t="s">
        <v>68</v>
      </c>
      <c r="I1444">
        <v>2</v>
      </c>
      <c r="J1444">
        <v>0</v>
      </c>
      <c r="K1444">
        <v>140.71</v>
      </c>
      <c r="L1444">
        <v>7</v>
      </c>
      <c r="M1444" t="s">
        <v>2466</v>
      </c>
      <c r="N1444" t="s">
        <v>2467</v>
      </c>
      <c r="O1444" t="s">
        <v>2468</v>
      </c>
      <c r="P1444">
        <v>25.33</v>
      </c>
      <c r="Q1444">
        <v>51.56</v>
      </c>
      <c r="R1444">
        <v>50.66</v>
      </c>
      <c r="S1444">
        <v>83.050000000000011</v>
      </c>
      <c r="T1444">
        <v>0.59022102196005977</v>
      </c>
      <c r="U1444" s="1">
        <v>45962</v>
      </c>
      <c r="V1444" t="s">
        <v>2499</v>
      </c>
      <c r="W1444">
        <v>2025</v>
      </c>
    </row>
    <row r="1445" spans="1:23" x14ac:dyDescent="0.25">
      <c r="A1445" t="s">
        <v>1492</v>
      </c>
      <c r="B1445" s="1">
        <v>45601</v>
      </c>
      <c r="C1445" s="1">
        <v>45603</v>
      </c>
      <c r="D1445" t="s">
        <v>32</v>
      </c>
      <c r="E1445" t="s">
        <v>45</v>
      </c>
      <c r="F1445" t="s">
        <v>25</v>
      </c>
      <c r="G1445" t="s">
        <v>16</v>
      </c>
      <c r="H1445" t="s">
        <v>41</v>
      </c>
      <c r="I1445">
        <v>3</v>
      </c>
      <c r="J1445">
        <v>0.2</v>
      </c>
      <c r="K1445">
        <v>20.02</v>
      </c>
      <c r="L1445">
        <v>3.51</v>
      </c>
      <c r="M1445" t="s">
        <v>2479</v>
      </c>
      <c r="N1445" t="s">
        <v>2474</v>
      </c>
      <c r="O1445" t="s">
        <v>2459</v>
      </c>
      <c r="P1445">
        <v>3.3</v>
      </c>
      <c r="Q1445">
        <v>6.13</v>
      </c>
      <c r="R1445">
        <v>9.8999999999999986</v>
      </c>
      <c r="S1445">
        <v>6.6100000000000012</v>
      </c>
      <c r="T1445">
        <v>0.33016983016983026</v>
      </c>
      <c r="U1445" s="1">
        <v>45597</v>
      </c>
      <c r="V1445" t="s">
        <v>2500</v>
      </c>
      <c r="W1445">
        <v>2024</v>
      </c>
    </row>
    <row r="1446" spans="1:23" x14ac:dyDescent="0.25">
      <c r="A1446" t="s">
        <v>1493</v>
      </c>
      <c r="B1446" s="1">
        <v>45343</v>
      </c>
      <c r="C1446" s="1">
        <v>45345</v>
      </c>
      <c r="D1446" t="s">
        <v>47</v>
      </c>
      <c r="E1446" t="s">
        <v>48</v>
      </c>
      <c r="F1446" t="s">
        <v>15</v>
      </c>
      <c r="G1446" t="s">
        <v>26</v>
      </c>
      <c r="H1446" t="s">
        <v>34</v>
      </c>
      <c r="I1446">
        <v>1</v>
      </c>
      <c r="J1446">
        <v>0.15</v>
      </c>
      <c r="K1446">
        <v>163.46</v>
      </c>
      <c r="L1446">
        <v>4.08</v>
      </c>
      <c r="M1446" t="s">
        <v>2460</v>
      </c>
      <c r="N1446" t="s">
        <v>2458</v>
      </c>
      <c r="O1446" t="s">
        <v>2461</v>
      </c>
      <c r="P1446">
        <v>119.02</v>
      </c>
      <c r="Q1446">
        <v>205.39</v>
      </c>
      <c r="R1446">
        <v>119.02</v>
      </c>
      <c r="S1446">
        <v>40.360000000000014</v>
      </c>
      <c r="T1446">
        <v>0.24691055915820392</v>
      </c>
      <c r="U1446" s="1">
        <v>45323</v>
      </c>
      <c r="V1446" t="s">
        <v>2500</v>
      </c>
      <c r="W1446">
        <v>2024</v>
      </c>
    </row>
    <row r="1447" spans="1:23" x14ac:dyDescent="0.25">
      <c r="A1447" t="s">
        <v>1494</v>
      </c>
      <c r="B1447" s="1">
        <v>45501</v>
      </c>
      <c r="C1447" s="1">
        <v>45502</v>
      </c>
      <c r="D1447" t="s">
        <v>47</v>
      </c>
      <c r="E1447" t="s">
        <v>48</v>
      </c>
      <c r="F1447" t="s">
        <v>29</v>
      </c>
      <c r="G1447" t="s">
        <v>20</v>
      </c>
      <c r="H1447" t="s">
        <v>37</v>
      </c>
      <c r="I1447">
        <v>1</v>
      </c>
      <c r="J1447">
        <v>0</v>
      </c>
      <c r="K1447">
        <v>100.05</v>
      </c>
      <c r="L1447">
        <v>4.08</v>
      </c>
      <c r="M1447" t="s">
        <v>2464</v>
      </c>
      <c r="N1447" t="s">
        <v>2458</v>
      </c>
      <c r="O1447" t="s">
        <v>2465</v>
      </c>
      <c r="P1447">
        <v>63.6</v>
      </c>
      <c r="Q1447">
        <v>107.94</v>
      </c>
      <c r="R1447">
        <v>63.6</v>
      </c>
      <c r="S1447">
        <v>32.369999999999997</v>
      </c>
      <c r="T1447">
        <v>0.32353823088455769</v>
      </c>
      <c r="U1447" s="1">
        <v>45474</v>
      </c>
      <c r="V1447" t="s">
        <v>2499</v>
      </c>
      <c r="W1447">
        <v>2024</v>
      </c>
    </row>
    <row r="1448" spans="1:23" x14ac:dyDescent="0.25">
      <c r="A1448" t="s">
        <v>1495</v>
      </c>
      <c r="B1448" s="1">
        <v>45915</v>
      </c>
      <c r="C1448" s="1">
        <v>45917</v>
      </c>
      <c r="D1448" t="s">
        <v>13</v>
      </c>
      <c r="E1448" t="s">
        <v>36</v>
      </c>
      <c r="F1448" t="s">
        <v>15</v>
      </c>
      <c r="G1448" t="s">
        <v>16</v>
      </c>
      <c r="H1448" t="s">
        <v>37</v>
      </c>
      <c r="I1448">
        <v>3</v>
      </c>
      <c r="J1448">
        <v>0</v>
      </c>
      <c r="K1448">
        <v>355.7</v>
      </c>
      <c r="L1448">
        <v>11.4</v>
      </c>
      <c r="M1448" t="s">
        <v>2464</v>
      </c>
      <c r="N1448" t="s">
        <v>2458</v>
      </c>
      <c r="O1448" t="s">
        <v>2465</v>
      </c>
      <c r="P1448">
        <v>63.6</v>
      </c>
      <c r="Q1448">
        <v>107.94</v>
      </c>
      <c r="R1448">
        <v>190.8</v>
      </c>
      <c r="S1448">
        <v>153.49999999999997</v>
      </c>
      <c r="T1448">
        <v>0.43154343547933643</v>
      </c>
      <c r="U1448" s="1">
        <v>45901</v>
      </c>
      <c r="V1448" t="s">
        <v>2499</v>
      </c>
      <c r="W1448">
        <v>2025</v>
      </c>
    </row>
    <row r="1449" spans="1:23" x14ac:dyDescent="0.25">
      <c r="A1449" t="s">
        <v>1496</v>
      </c>
      <c r="B1449" s="1">
        <v>45921</v>
      </c>
      <c r="C1449" s="1">
        <v>45927</v>
      </c>
      <c r="D1449" t="s">
        <v>13</v>
      </c>
      <c r="E1449" t="s">
        <v>36</v>
      </c>
      <c r="F1449" t="s">
        <v>29</v>
      </c>
      <c r="G1449" t="s">
        <v>20</v>
      </c>
      <c r="H1449" t="s">
        <v>53</v>
      </c>
      <c r="I1449">
        <v>4</v>
      </c>
      <c r="J1449">
        <v>0</v>
      </c>
      <c r="K1449">
        <v>252.2</v>
      </c>
      <c r="L1449">
        <v>5.7</v>
      </c>
      <c r="M1449" t="s">
        <v>2470</v>
      </c>
      <c r="N1449" t="s">
        <v>2467</v>
      </c>
      <c r="O1449" t="s">
        <v>2459</v>
      </c>
      <c r="P1449">
        <v>31.34</v>
      </c>
      <c r="Q1449">
        <v>56.49</v>
      </c>
      <c r="R1449">
        <v>125.36</v>
      </c>
      <c r="S1449">
        <v>121.13999999999999</v>
      </c>
      <c r="T1449">
        <v>0.48033306899286277</v>
      </c>
      <c r="U1449" s="1">
        <v>45901</v>
      </c>
      <c r="V1449" t="s">
        <v>2499</v>
      </c>
      <c r="W1449">
        <v>2025</v>
      </c>
    </row>
    <row r="1450" spans="1:23" x14ac:dyDescent="0.25">
      <c r="A1450" t="s">
        <v>1497</v>
      </c>
      <c r="B1450" s="1">
        <v>45386</v>
      </c>
      <c r="C1450" s="1">
        <v>45388</v>
      </c>
      <c r="D1450" t="s">
        <v>32</v>
      </c>
      <c r="E1450" t="s">
        <v>45</v>
      </c>
      <c r="F1450" t="s">
        <v>15</v>
      </c>
      <c r="G1450" t="s">
        <v>16</v>
      </c>
      <c r="H1450" t="s">
        <v>68</v>
      </c>
      <c r="I1450">
        <v>2</v>
      </c>
      <c r="J1450">
        <v>0</v>
      </c>
      <c r="K1450">
        <v>102.78</v>
      </c>
      <c r="L1450">
        <v>4.2</v>
      </c>
      <c r="M1450" t="s">
        <v>2466</v>
      </c>
      <c r="N1450" t="s">
        <v>2467</v>
      </c>
      <c r="O1450" t="s">
        <v>2468</v>
      </c>
      <c r="P1450">
        <v>25.33</v>
      </c>
      <c r="Q1450">
        <v>51.56</v>
      </c>
      <c r="R1450">
        <v>50.66</v>
      </c>
      <c r="S1450">
        <v>47.92</v>
      </c>
      <c r="T1450">
        <v>0.46623856781474998</v>
      </c>
      <c r="U1450" s="1">
        <v>45383</v>
      </c>
      <c r="V1450" t="s">
        <v>2499</v>
      </c>
      <c r="W1450">
        <v>2024</v>
      </c>
    </row>
    <row r="1451" spans="1:23" x14ac:dyDescent="0.25">
      <c r="A1451" t="s">
        <v>1498</v>
      </c>
      <c r="B1451" s="1">
        <v>45578</v>
      </c>
      <c r="C1451" s="1">
        <v>45580</v>
      </c>
      <c r="D1451" t="s">
        <v>23</v>
      </c>
      <c r="E1451" t="s">
        <v>24</v>
      </c>
      <c r="F1451" t="s">
        <v>29</v>
      </c>
      <c r="G1451" t="s">
        <v>26</v>
      </c>
      <c r="H1451" t="s">
        <v>68</v>
      </c>
      <c r="I1451">
        <v>1</v>
      </c>
      <c r="J1451">
        <v>0.25</v>
      </c>
      <c r="K1451">
        <v>47.52</v>
      </c>
      <c r="L1451">
        <v>5.75</v>
      </c>
      <c r="M1451" t="s">
        <v>2466</v>
      </c>
      <c r="N1451" t="s">
        <v>2467</v>
      </c>
      <c r="O1451" t="s">
        <v>2468</v>
      </c>
      <c r="P1451">
        <v>25.33</v>
      </c>
      <c r="Q1451">
        <v>51.56</v>
      </c>
      <c r="R1451">
        <v>25.33</v>
      </c>
      <c r="S1451">
        <v>16.440000000000005</v>
      </c>
      <c r="T1451">
        <v>0.34595959595959602</v>
      </c>
      <c r="U1451" s="1">
        <v>45566</v>
      </c>
      <c r="V1451" t="s">
        <v>2501</v>
      </c>
      <c r="W1451">
        <v>2024</v>
      </c>
    </row>
    <row r="1452" spans="1:23" x14ac:dyDescent="0.25">
      <c r="A1452" t="s">
        <v>1499</v>
      </c>
      <c r="B1452" s="1">
        <v>45312</v>
      </c>
      <c r="C1452" s="1">
        <v>45314</v>
      </c>
      <c r="D1452" t="s">
        <v>47</v>
      </c>
      <c r="E1452" t="s">
        <v>71</v>
      </c>
      <c r="F1452" t="s">
        <v>29</v>
      </c>
      <c r="G1452" t="s">
        <v>20</v>
      </c>
      <c r="H1452" t="s">
        <v>17</v>
      </c>
      <c r="I1452">
        <v>2</v>
      </c>
      <c r="J1452">
        <v>0</v>
      </c>
      <c r="K1452">
        <v>212.43</v>
      </c>
      <c r="L1452">
        <v>4.2</v>
      </c>
      <c r="M1452" t="s">
        <v>2472</v>
      </c>
      <c r="N1452" t="s">
        <v>2467</v>
      </c>
      <c r="O1452" t="s">
        <v>2468</v>
      </c>
      <c r="P1452">
        <v>63.69</v>
      </c>
      <c r="Q1452">
        <v>125.5</v>
      </c>
      <c r="R1452">
        <v>127.38</v>
      </c>
      <c r="S1452">
        <v>80.850000000000009</v>
      </c>
      <c r="T1452">
        <v>0.38059596102245447</v>
      </c>
      <c r="U1452" s="1">
        <v>45292</v>
      </c>
      <c r="V1452" t="s">
        <v>2499</v>
      </c>
      <c r="W1452">
        <v>2024</v>
      </c>
    </row>
    <row r="1453" spans="1:23" x14ac:dyDescent="0.25">
      <c r="A1453" t="s">
        <v>1500</v>
      </c>
      <c r="B1453" s="1">
        <v>45757</v>
      </c>
      <c r="C1453" s="1">
        <v>45760</v>
      </c>
      <c r="D1453" t="s">
        <v>23</v>
      </c>
      <c r="E1453" t="s">
        <v>59</v>
      </c>
      <c r="F1453" t="s">
        <v>25</v>
      </c>
      <c r="G1453" t="s">
        <v>26</v>
      </c>
      <c r="H1453" t="s">
        <v>63</v>
      </c>
      <c r="I1453">
        <v>6</v>
      </c>
      <c r="J1453">
        <v>0</v>
      </c>
      <c r="K1453">
        <v>73.67</v>
      </c>
      <c r="L1453">
        <v>4.32</v>
      </c>
      <c r="M1453" t="s">
        <v>2477</v>
      </c>
      <c r="N1453" t="s">
        <v>2474</v>
      </c>
      <c r="O1453" t="s">
        <v>2468</v>
      </c>
      <c r="P1453">
        <v>6.33</v>
      </c>
      <c r="Q1453">
        <v>12.16</v>
      </c>
      <c r="R1453">
        <v>37.980000000000004</v>
      </c>
      <c r="S1453">
        <v>31.369999999999997</v>
      </c>
      <c r="T1453">
        <v>0.4258178362970001</v>
      </c>
      <c r="U1453" s="1">
        <v>45748</v>
      </c>
      <c r="V1453" t="s">
        <v>2499</v>
      </c>
      <c r="W1453">
        <v>2025</v>
      </c>
    </row>
    <row r="1454" spans="1:23" x14ac:dyDescent="0.25">
      <c r="A1454" t="s">
        <v>1501</v>
      </c>
      <c r="B1454" s="1">
        <v>45810</v>
      </c>
      <c r="C1454" s="1">
        <v>45812</v>
      </c>
      <c r="D1454" t="s">
        <v>23</v>
      </c>
      <c r="E1454" t="s">
        <v>43</v>
      </c>
      <c r="F1454" t="s">
        <v>15</v>
      </c>
      <c r="G1454" t="s">
        <v>16</v>
      </c>
      <c r="H1454" t="s">
        <v>63</v>
      </c>
      <c r="I1454">
        <v>12</v>
      </c>
      <c r="J1454">
        <v>0</v>
      </c>
      <c r="K1454">
        <v>157.03</v>
      </c>
      <c r="L1454">
        <v>5.94</v>
      </c>
      <c r="M1454" t="s">
        <v>2477</v>
      </c>
      <c r="N1454" t="s">
        <v>2474</v>
      </c>
      <c r="O1454" t="s">
        <v>2468</v>
      </c>
      <c r="P1454">
        <v>6.33</v>
      </c>
      <c r="Q1454">
        <v>12.16</v>
      </c>
      <c r="R1454">
        <v>75.960000000000008</v>
      </c>
      <c r="S1454">
        <v>75.13</v>
      </c>
      <c r="T1454">
        <v>0.47844360950136916</v>
      </c>
      <c r="U1454" s="1">
        <v>45809</v>
      </c>
      <c r="V1454" t="s">
        <v>2499</v>
      </c>
      <c r="W1454">
        <v>2025</v>
      </c>
    </row>
    <row r="1455" spans="1:23" x14ac:dyDescent="0.25">
      <c r="A1455" t="s">
        <v>1502</v>
      </c>
      <c r="B1455" s="1">
        <v>45382</v>
      </c>
      <c r="C1455" s="1">
        <v>45385</v>
      </c>
      <c r="D1455" t="s">
        <v>47</v>
      </c>
      <c r="E1455" t="s">
        <v>50</v>
      </c>
      <c r="F1455" t="s">
        <v>15</v>
      </c>
      <c r="G1455" t="s">
        <v>26</v>
      </c>
      <c r="H1455" t="s">
        <v>39</v>
      </c>
      <c r="I1455">
        <v>2</v>
      </c>
      <c r="J1455">
        <v>0</v>
      </c>
      <c r="K1455">
        <v>355.49</v>
      </c>
      <c r="L1455">
        <v>4.2</v>
      </c>
      <c r="M1455" t="s">
        <v>2471</v>
      </c>
      <c r="N1455" t="s">
        <v>2467</v>
      </c>
      <c r="O1455" t="s">
        <v>2461</v>
      </c>
      <c r="P1455">
        <v>112.09</v>
      </c>
      <c r="Q1455">
        <v>192.47</v>
      </c>
      <c r="R1455">
        <v>224.18</v>
      </c>
      <c r="S1455">
        <v>127.11</v>
      </c>
      <c r="T1455">
        <v>0.35756280064136825</v>
      </c>
      <c r="U1455" s="1">
        <v>45352</v>
      </c>
      <c r="V1455" t="s">
        <v>2499</v>
      </c>
      <c r="W1455">
        <v>2024</v>
      </c>
    </row>
    <row r="1456" spans="1:23" x14ac:dyDescent="0.25">
      <c r="A1456" t="s">
        <v>1503</v>
      </c>
      <c r="B1456" s="1">
        <v>45875</v>
      </c>
      <c r="C1456" s="1">
        <v>45876</v>
      </c>
      <c r="D1456" t="s">
        <v>13</v>
      </c>
      <c r="E1456" t="s">
        <v>19</v>
      </c>
      <c r="F1456" t="s">
        <v>25</v>
      </c>
      <c r="G1456" t="s">
        <v>20</v>
      </c>
      <c r="H1456" t="s">
        <v>53</v>
      </c>
      <c r="I1456">
        <v>2</v>
      </c>
      <c r="J1456">
        <v>0.15</v>
      </c>
      <c r="K1456">
        <v>89.54</v>
      </c>
      <c r="L1456">
        <v>7</v>
      </c>
      <c r="M1456" t="s">
        <v>2470</v>
      </c>
      <c r="N1456" t="s">
        <v>2467</v>
      </c>
      <c r="O1456" t="s">
        <v>2459</v>
      </c>
      <c r="P1456">
        <v>31.34</v>
      </c>
      <c r="Q1456">
        <v>56.49</v>
      </c>
      <c r="R1456">
        <v>62.68</v>
      </c>
      <c r="S1456">
        <v>19.860000000000007</v>
      </c>
      <c r="T1456">
        <v>0.22180031270940367</v>
      </c>
      <c r="U1456" s="1">
        <v>45870</v>
      </c>
      <c r="V1456" t="s">
        <v>2500</v>
      </c>
      <c r="W1456">
        <v>2025</v>
      </c>
    </row>
    <row r="1457" spans="1:23" x14ac:dyDescent="0.25">
      <c r="A1457" t="s">
        <v>1504</v>
      </c>
      <c r="B1457" s="1">
        <v>45632</v>
      </c>
      <c r="C1457" s="1">
        <v>45635</v>
      </c>
      <c r="D1457" t="s">
        <v>13</v>
      </c>
      <c r="E1457" t="s">
        <v>36</v>
      </c>
      <c r="F1457" t="s">
        <v>15</v>
      </c>
      <c r="G1457" t="s">
        <v>16</v>
      </c>
      <c r="H1457" t="s">
        <v>60</v>
      </c>
      <c r="I1457">
        <v>1</v>
      </c>
      <c r="J1457">
        <v>0</v>
      </c>
      <c r="K1457">
        <v>165.6</v>
      </c>
      <c r="L1457">
        <v>3.45</v>
      </c>
      <c r="M1457" t="s">
        <v>2469</v>
      </c>
      <c r="N1457" t="s">
        <v>2467</v>
      </c>
      <c r="O1457" t="s">
        <v>2468</v>
      </c>
      <c r="P1457">
        <v>54.95</v>
      </c>
      <c r="Q1457">
        <v>112.56</v>
      </c>
      <c r="R1457">
        <v>54.95</v>
      </c>
      <c r="S1457">
        <v>107.19999999999999</v>
      </c>
      <c r="T1457">
        <v>0.64734299516908211</v>
      </c>
      <c r="U1457" s="1">
        <v>45627</v>
      </c>
      <c r="V1457" t="s">
        <v>2499</v>
      </c>
      <c r="W1457">
        <v>2024</v>
      </c>
    </row>
    <row r="1458" spans="1:23" x14ac:dyDescent="0.25">
      <c r="A1458" t="s">
        <v>1505</v>
      </c>
      <c r="B1458" s="1">
        <v>45438</v>
      </c>
      <c r="C1458" s="1">
        <v>45444</v>
      </c>
      <c r="D1458" t="s">
        <v>23</v>
      </c>
      <c r="E1458" t="s">
        <v>24</v>
      </c>
      <c r="F1458" t="s">
        <v>29</v>
      </c>
      <c r="G1458" t="s">
        <v>26</v>
      </c>
      <c r="H1458" t="s">
        <v>39</v>
      </c>
      <c r="I1458">
        <v>7</v>
      </c>
      <c r="J1458">
        <v>0</v>
      </c>
      <c r="K1458">
        <v>1344.01</v>
      </c>
      <c r="L1458">
        <v>7.95</v>
      </c>
      <c r="M1458" t="s">
        <v>2471</v>
      </c>
      <c r="N1458" t="s">
        <v>2467</v>
      </c>
      <c r="O1458" t="s">
        <v>2461</v>
      </c>
      <c r="P1458">
        <v>112.09</v>
      </c>
      <c r="Q1458">
        <v>192.47</v>
      </c>
      <c r="R1458">
        <v>784.63</v>
      </c>
      <c r="S1458">
        <v>551.42999999999995</v>
      </c>
      <c r="T1458">
        <v>0.41028712583983745</v>
      </c>
      <c r="U1458" s="1">
        <v>45413</v>
      </c>
      <c r="V1458" t="s">
        <v>2499</v>
      </c>
      <c r="W1458">
        <v>2024</v>
      </c>
    </row>
    <row r="1459" spans="1:23" x14ac:dyDescent="0.25">
      <c r="A1459" t="s">
        <v>1506</v>
      </c>
      <c r="B1459" s="1">
        <v>45774</v>
      </c>
      <c r="C1459" s="1">
        <v>45780</v>
      </c>
      <c r="D1459" t="s">
        <v>23</v>
      </c>
      <c r="E1459" t="s">
        <v>59</v>
      </c>
      <c r="F1459" t="s">
        <v>29</v>
      </c>
      <c r="G1459" t="s">
        <v>26</v>
      </c>
      <c r="H1459" t="s">
        <v>60</v>
      </c>
      <c r="I1459">
        <v>2</v>
      </c>
      <c r="J1459">
        <v>0</v>
      </c>
      <c r="K1459">
        <v>216.95</v>
      </c>
      <c r="L1459">
        <v>7</v>
      </c>
      <c r="M1459" t="s">
        <v>2469</v>
      </c>
      <c r="N1459" t="s">
        <v>2467</v>
      </c>
      <c r="O1459" t="s">
        <v>2468</v>
      </c>
      <c r="P1459">
        <v>54.95</v>
      </c>
      <c r="Q1459">
        <v>112.56</v>
      </c>
      <c r="R1459">
        <v>109.9</v>
      </c>
      <c r="S1459">
        <v>100.04999999999998</v>
      </c>
      <c r="T1459">
        <v>0.46116616731965887</v>
      </c>
      <c r="U1459" s="1">
        <v>45748</v>
      </c>
      <c r="V1459" t="s">
        <v>2499</v>
      </c>
      <c r="W1459">
        <v>2025</v>
      </c>
    </row>
    <row r="1460" spans="1:23" x14ac:dyDescent="0.25">
      <c r="A1460" t="s">
        <v>1507</v>
      </c>
      <c r="B1460" s="1">
        <v>45592</v>
      </c>
      <c r="C1460" s="1">
        <v>45594</v>
      </c>
      <c r="D1460" t="s">
        <v>47</v>
      </c>
      <c r="E1460" t="s">
        <v>48</v>
      </c>
      <c r="F1460" t="s">
        <v>25</v>
      </c>
      <c r="G1460" t="s">
        <v>26</v>
      </c>
      <c r="H1460" t="s">
        <v>65</v>
      </c>
      <c r="I1460">
        <v>2</v>
      </c>
      <c r="J1460">
        <v>0.25</v>
      </c>
      <c r="K1460">
        <v>497.11</v>
      </c>
      <c r="L1460">
        <v>5.46</v>
      </c>
      <c r="M1460" t="s">
        <v>2457</v>
      </c>
      <c r="N1460" t="s">
        <v>2458</v>
      </c>
      <c r="O1460" t="s">
        <v>2459</v>
      </c>
      <c r="P1460">
        <v>173.56</v>
      </c>
      <c r="Q1460">
        <v>286.14999999999998</v>
      </c>
      <c r="R1460">
        <v>347.12</v>
      </c>
      <c r="S1460">
        <v>144.53</v>
      </c>
      <c r="T1460">
        <v>0.29074047997425118</v>
      </c>
      <c r="U1460" s="1">
        <v>45566</v>
      </c>
      <c r="V1460" t="s">
        <v>2501</v>
      </c>
      <c r="W1460">
        <v>2024</v>
      </c>
    </row>
    <row r="1461" spans="1:23" x14ac:dyDescent="0.25">
      <c r="A1461" t="s">
        <v>1508</v>
      </c>
      <c r="B1461" s="1">
        <v>45644</v>
      </c>
      <c r="C1461" s="1">
        <v>45645</v>
      </c>
      <c r="D1461" t="s">
        <v>32</v>
      </c>
      <c r="E1461" t="s">
        <v>62</v>
      </c>
      <c r="F1461" t="s">
        <v>29</v>
      </c>
      <c r="G1461" t="s">
        <v>16</v>
      </c>
      <c r="H1461" t="s">
        <v>30</v>
      </c>
      <c r="I1461">
        <v>10</v>
      </c>
      <c r="J1461">
        <v>0</v>
      </c>
      <c r="K1461">
        <v>90.2</v>
      </c>
      <c r="L1461">
        <v>5.4</v>
      </c>
      <c r="M1461" t="s">
        <v>2473</v>
      </c>
      <c r="N1461" t="s">
        <v>2474</v>
      </c>
      <c r="O1461" t="s">
        <v>2463</v>
      </c>
      <c r="P1461">
        <v>3.62</v>
      </c>
      <c r="Q1461">
        <v>6.03</v>
      </c>
      <c r="R1461">
        <v>36.200000000000003</v>
      </c>
      <c r="S1461">
        <v>48.6</v>
      </c>
      <c r="T1461">
        <v>0.53880266075388028</v>
      </c>
      <c r="U1461" s="1">
        <v>45627</v>
      </c>
      <c r="V1461" t="s">
        <v>2499</v>
      </c>
      <c r="W1461">
        <v>2024</v>
      </c>
    </row>
    <row r="1462" spans="1:23" x14ac:dyDescent="0.25">
      <c r="A1462" t="s">
        <v>1509</v>
      </c>
      <c r="B1462" s="1">
        <v>45666</v>
      </c>
      <c r="C1462" s="1">
        <v>45668</v>
      </c>
      <c r="D1462" t="s">
        <v>23</v>
      </c>
      <c r="E1462" t="s">
        <v>59</v>
      </c>
      <c r="F1462" t="s">
        <v>15</v>
      </c>
      <c r="G1462" t="s">
        <v>16</v>
      </c>
      <c r="H1462" t="s">
        <v>68</v>
      </c>
      <c r="I1462">
        <v>4</v>
      </c>
      <c r="J1462">
        <v>0.25</v>
      </c>
      <c r="K1462">
        <v>137.34</v>
      </c>
      <c r="L1462">
        <v>5.7</v>
      </c>
      <c r="M1462" t="s">
        <v>2466</v>
      </c>
      <c r="N1462" t="s">
        <v>2467</v>
      </c>
      <c r="O1462" t="s">
        <v>2468</v>
      </c>
      <c r="P1462">
        <v>25.33</v>
      </c>
      <c r="Q1462">
        <v>51.56</v>
      </c>
      <c r="R1462">
        <v>101.32</v>
      </c>
      <c r="S1462">
        <v>30.320000000000011</v>
      </c>
      <c r="T1462">
        <v>0.22076598223387223</v>
      </c>
      <c r="U1462" s="1">
        <v>45658</v>
      </c>
      <c r="V1462" t="s">
        <v>2501</v>
      </c>
      <c r="W1462">
        <v>2025</v>
      </c>
    </row>
    <row r="1463" spans="1:23" x14ac:dyDescent="0.25">
      <c r="A1463" t="s">
        <v>1510</v>
      </c>
      <c r="B1463" s="1">
        <v>45876</v>
      </c>
      <c r="C1463" s="1">
        <v>45879</v>
      </c>
      <c r="D1463" t="s">
        <v>23</v>
      </c>
      <c r="E1463" t="s">
        <v>43</v>
      </c>
      <c r="F1463" t="s">
        <v>25</v>
      </c>
      <c r="G1463" t="s">
        <v>16</v>
      </c>
      <c r="H1463" t="s">
        <v>60</v>
      </c>
      <c r="I1463">
        <v>5</v>
      </c>
      <c r="J1463">
        <v>0.15</v>
      </c>
      <c r="K1463">
        <v>470.01</v>
      </c>
      <c r="L1463">
        <v>6.45</v>
      </c>
      <c r="M1463" t="s">
        <v>2469</v>
      </c>
      <c r="N1463" t="s">
        <v>2467</v>
      </c>
      <c r="O1463" t="s">
        <v>2468</v>
      </c>
      <c r="P1463">
        <v>54.95</v>
      </c>
      <c r="Q1463">
        <v>112.56</v>
      </c>
      <c r="R1463">
        <v>274.75</v>
      </c>
      <c r="S1463">
        <v>188.81</v>
      </c>
      <c r="T1463">
        <v>0.40171485713069938</v>
      </c>
      <c r="U1463" s="1">
        <v>45870</v>
      </c>
      <c r="V1463" t="s">
        <v>2500</v>
      </c>
      <c r="W1463">
        <v>2025</v>
      </c>
    </row>
    <row r="1464" spans="1:23" x14ac:dyDescent="0.25">
      <c r="A1464" t="s">
        <v>1511</v>
      </c>
      <c r="B1464" s="1">
        <v>45965</v>
      </c>
      <c r="C1464" s="1">
        <v>45967</v>
      </c>
      <c r="D1464" t="s">
        <v>47</v>
      </c>
      <c r="E1464" t="s">
        <v>50</v>
      </c>
      <c r="F1464" t="s">
        <v>25</v>
      </c>
      <c r="G1464" t="s">
        <v>26</v>
      </c>
      <c r="H1464" t="s">
        <v>27</v>
      </c>
      <c r="I1464">
        <v>11</v>
      </c>
      <c r="J1464">
        <v>0.05</v>
      </c>
      <c r="K1464">
        <v>395.64</v>
      </c>
      <c r="L1464">
        <v>5.67</v>
      </c>
      <c r="M1464" t="s">
        <v>2478</v>
      </c>
      <c r="N1464" t="s">
        <v>2474</v>
      </c>
      <c r="O1464" t="s">
        <v>2463</v>
      </c>
      <c r="P1464">
        <v>16.760000000000002</v>
      </c>
      <c r="Q1464">
        <v>27.71</v>
      </c>
      <c r="R1464">
        <v>184.36</v>
      </c>
      <c r="S1464">
        <v>205.60999999999999</v>
      </c>
      <c r="T1464">
        <v>0.51968961682337478</v>
      </c>
      <c r="U1464" s="1">
        <v>45962</v>
      </c>
      <c r="V1464" t="s">
        <v>2498</v>
      </c>
      <c r="W1464">
        <v>2025</v>
      </c>
    </row>
    <row r="1465" spans="1:23" x14ac:dyDescent="0.25">
      <c r="A1465" t="s">
        <v>1512</v>
      </c>
      <c r="B1465" s="1">
        <v>45878</v>
      </c>
      <c r="C1465" s="1">
        <v>45884</v>
      </c>
      <c r="D1465" t="s">
        <v>47</v>
      </c>
      <c r="E1465" t="s">
        <v>50</v>
      </c>
      <c r="F1465" t="s">
        <v>15</v>
      </c>
      <c r="G1465" t="s">
        <v>16</v>
      </c>
      <c r="H1465" t="s">
        <v>53</v>
      </c>
      <c r="I1465">
        <v>4</v>
      </c>
      <c r="J1465">
        <v>0.15</v>
      </c>
      <c r="K1465">
        <v>185.56</v>
      </c>
      <c r="L1465">
        <v>5.7</v>
      </c>
      <c r="M1465" t="s">
        <v>2470</v>
      </c>
      <c r="N1465" t="s">
        <v>2467</v>
      </c>
      <c r="O1465" t="s">
        <v>2459</v>
      </c>
      <c r="P1465">
        <v>31.34</v>
      </c>
      <c r="Q1465">
        <v>56.49</v>
      </c>
      <c r="R1465">
        <v>125.36</v>
      </c>
      <c r="S1465">
        <v>54.5</v>
      </c>
      <c r="T1465">
        <v>0.29370553998706617</v>
      </c>
      <c r="U1465" s="1">
        <v>45870</v>
      </c>
      <c r="V1465" t="s">
        <v>2500</v>
      </c>
      <c r="W1465">
        <v>2025</v>
      </c>
    </row>
    <row r="1466" spans="1:23" x14ac:dyDescent="0.25">
      <c r="A1466" t="s">
        <v>1513</v>
      </c>
      <c r="B1466" s="1">
        <v>45435</v>
      </c>
      <c r="C1466" s="1">
        <v>45438</v>
      </c>
      <c r="D1466" t="s">
        <v>47</v>
      </c>
      <c r="E1466" t="s">
        <v>71</v>
      </c>
      <c r="F1466" t="s">
        <v>25</v>
      </c>
      <c r="G1466" t="s">
        <v>26</v>
      </c>
      <c r="H1466" t="s">
        <v>34</v>
      </c>
      <c r="I1466">
        <v>3</v>
      </c>
      <c r="J1466">
        <v>0</v>
      </c>
      <c r="K1466">
        <v>661.73</v>
      </c>
      <c r="L1466">
        <v>11.4</v>
      </c>
      <c r="M1466" t="s">
        <v>2460</v>
      </c>
      <c r="N1466" t="s">
        <v>2458</v>
      </c>
      <c r="O1466" t="s">
        <v>2461</v>
      </c>
      <c r="P1466">
        <v>119.02</v>
      </c>
      <c r="Q1466">
        <v>205.39</v>
      </c>
      <c r="R1466">
        <v>357.06</v>
      </c>
      <c r="S1466">
        <v>293.27000000000004</v>
      </c>
      <c r="T1466">
        <v>0.44318679824097446</v>
      </c>
      <c r="U1466" s="1">
        <v>45413</v>
      </c>
      <c r="V1466" t="s">
        <v>2499</v>
      </c>
      <c r="W1466">
        <v>2024</v>
      </c>
    </row>
    <row r="1467" spans="1:23" x14ac:dyDescent="0.25">
      <c r="A1467" t="s">
        <v>1514</v>
      </c>
      <c r="B1467" s="1">
        <v>45971</v>
      </c>
      <c r="C1467" s="1">
        <v>45975</v>
      </c>
      <c r="D1467" t="s">
        <v>47</v>
      </c>
      <c r="E1467" t="s">
        <v>71</v>
      </c>
      <c r="F1467" t="s">
        <v>15</v>
      </c>
      <c r="G1467" t="s">
        <v>16</v>
      </c>
      <c r="H1467" t="s">
        <v>39</v>
      </c>
      <c r="I1467">
        <v>3</v>
      </c>
      <c r="J1467">
        <v>0.05</v>
      </c>
      <c r="K1467">
        <v>771.28</v>
      </c>
      <c r="L1467">
        <v>8.25</v>
      </c>
      <c r="M1467" t="s">
        <v>2471</v>
      </c>
      <c r="N1467" t="s">
        <v>2467</v>
      </c>
      <c r="O1467" t="s">
        <v>2461</v>
      </c>
      <c r="P1467">
        <v>112.09</v>
      </c>
      <c r="Q1467">
        <v>192.47</v>
      </c>
      <c r="R1467">
        <v>336.27</v>
      </c>
      <c r="S1467">
        <v>426.76</v>
      </c>
      <c r="T1467">
        <v>0.55331397157971163</v>
      </c>
      <c r="U1467" s="1">
        <v>45962</v>
      </c>
      <c r="V1467" t="s">
        <v>2498</v>
      </c>
      <c r="W1467">
        <v>2025</v>
      </c>
    </row>
    <row r="1468" spans="1:23" x14ac:dyDescent="0.25">
      <c r="A1468" t="s">
        <v>1515</v>
      </c>
      <c r="B1468" s="1">
        <v>45914</v>
      </c>
      <c r="C1468" s="1">
        <v>45915</v>
      </c>
      <c r="D1468" t="s">
        <v>47</v>
      </c>
      <c r="E1468" t="s">
        <v>50</v>
      </c>
      <c r="F1468" t="s">
        <v>15</v>
      </c>
      <c r="G1468" t="s">
        <v>20</v>
      </c>
      <c r="H1468" t="s">
        <v>53</v>
      </c>
      <c r="I1468">
        <v>1</v>
      </c>
      <c r="J1468">
        <v>0.15</v>
      </c>
      <c r="K1468">
        <v>52.99</v>
      </c>
      <c r="L1468">
        <v>3.45</v>
      </c>
      <c r="M1468" t="s">
        <v>2470</v>
      </c>
      <c r="N1468" t="s">
        <v>2467</v>
      </c>
      <c r="O1468" t="s">
        <v>2459</v>
      </c>
      <c r="P1468">
        <v>31.34</v>
      </c>
      <c r="Q1468">
        <v>56.49</v>
      </c>
      <c r="R1468">
        <v>31.34</v>
      </c>
      <c r="S1468">
        <v>18.200000000000003</v>
      </c>
      <c r="T1468">
        <v>0.34346103038309117</v>
      </c>
      <c r="U1468" s="1">
        <v>45901</v>
      </c>
      <c r="V1468" t="s">
        <v>2500</v>
      </c>
      <c r="W1468">
        <v>2025</v>
      </c>
    </row>
    <row r="1469" spans="1:23" x14ac:dyDescent="0.25">
      <c r="A1469" t="s">
        <v>1516</v>
      </c>
      <c r="B1469" s="1">
        <v>45729</v>
      </c>
      <c r="C1469" s="1">
        <v>45734</v>
      </c>
      <c r="D1469" t="s">
        <v>47</v>
      </c>
      <c r="E1469" t="s">
        <v>50</v>
      </c>
      <c r="F1469" t="s">
        <v>15</v>
      </c>
      <c r="G1469" t="s">
        <v>16</v>
      </c>
      <c r="H1469" t="s">
        <v>60</v>
      </c>
      <c r="I1469">
        <v>3</v>
      </c>
      <c r="J1469">
        <v>0.1</v>
      </c>
      <c r="K1469">
        <v>275.83999999999997</v>
      </c>
      <c r="L1469">
        <v>8.25</v>
      </c>
      <c r="M1469" t="s">
        <v>2469</v>
      </c>
      <c r="N1469" t="s">
        <v>2467</v>
      </c>
      <c r="O1469" t="s">
        <v>2468</v>
      </c>
      <c r="P1469">
        <v>54.95</v>
      </c>
      <c r="Q1469">
        <v>112.56</v>
      </c>
      <c r="R1469">
        <v>164.85000000000002</v>
      </c>
      <c r="S1469">
        <v>102.73999999999995</v>
      </c>
      <c r="T1469">
        <v>0.37246229698375855</v>
      </c>
      <c r="U1469" s="1">
        <v>45717</v>
      </c>
      <c r="V1469" t="s">
        <v>2498</v>
      </c>
      <c r="W1469">
        <v>2025</v>
      </c>
    </row>
    <row r="1470" spans="1:23" x14ac:dyDescent="0.25">
      <c r="A1470" t="s">
        <v>1517</v>
      </c>
      <c r="B1470" s="1">
        <v>45760</v>
      </c>
      <c r="C1470" s="1">
        <v>45765</v>
      </c>
      <c r="D1470" t="s">
        <v>23</v>
      </c>
      <c r="E1470" t="s">
        <v>59</v>
      </c>
      <c r="F1470" t="s">
        <v>15</v>
      </c>
      <c r="G1470" t="s">
        <v>16</v>
      </c>
      <c r="H1470" t="s">
        <v>27</v>
      </c>
      <c r="I1470">
        <v>11</v>
      </c>
      <c r="J1470">
        <v>0</v>
      </c>
      <c r="K1470">
        <v>316.60000000000002</v>
      </c>
      <c r="L1470">
        <v>5.67</v>
      </c>
      <c r="M1470" t="s">
        <v>2478</v>
      </c>
      <c r="N1470" t="s">
        <v>2474</v>
      </c>
      <c r="O1470" t="s">
        <v>2463</v>
      </c>
      <c r="P1470">
        <v>16.760000000000002</v>
      </c>
      <c r="Q1470">
        <v>27.71</v>
      </c>
      <c r="R1470">
        <v>184.36</v>
      </c>
      <c r="S1470">
        <v>126.57000000000001</v>
      </c>
      <c r="T1470">
        <v>0.39977890082122552</v>
      </c>
      <c r="U1470" s="1">
        <v>45748</v>
      </c>
      <c r="V1470" t="s">
        <v>2499</v>
      </c>
      <c r="W1470">
        <v>2025</v>
      </c>
    </row>
    <row r="1471" spans="1:23" x14ac:dyDescent="0.25">
      <c r="A1471" t="s">
        <v>1518</v>
      </c>
      <c r="B1471" s="1">
        <v>45609</v>
      </c>
      <c r="C1471" s="1">
        <v>45613</v>
      </c>
      <c r="D1471" t="s">
        <v>23</v>
      </c>
      <c r="E1471" t="s">
        <v>24</v>
      </c>
      <c r="F1471" t="s">
        <v>25</v>
      </c>
      <c r="G1471" t="s">
        <v>20</v>
      </c>
      <c r="H1471" t="s">
        <v>63</v>
      </c>
      <c r="I1471">
        <v>5</v>
      </c>
      <c r="J1471">
        <v>0</v>
      </c>
      <c r="K1471">
        <v>86.71</v>
      </c>
      <c r="L1471">
        <v>6.75</v>
      </c>
      <c r="M1471" t="s">
        <v>2477</v>
      </c>
      <c r="N1471" t="s">
        <v>2474</v>
      </c>
      <c r="O1471" t="s">
        <v>2468</v>
      </c>
      <c r="P1471">
        <v>6.33</v>
      </c>
      <c r="Q1471">
        <v>12.16</v>
      </c>
      <c r="R1471">
        <v>31.65</v>
      </c>
      <c r="S1471">
        <v>48.309999999999995</v>
      </c>
      <c r="T1471">
        <v>0.5571445046707415</v>
      </c>
      <c r="U1471" s="1">
        <v>45597</v>
      </c>
      <c r="V1471" t="s">
        <v>2499</v>
      </c>
      <c r="W1471">
        <v>2024</v>
      </c>
    </row>
    <row r="1472" spans="1:23" x14ac:dyDescent="0.25">
      <c r="A1472" t="s">
        <v>1519</v>
      </c>
      <c r="B1472" s="1">
        <v>45900</v>
      </c>
      <c r="C1472" s="1">
        <v>45901</v>
      </c>
      <c r="D1472" t="s">
        <v>32</v>
      </c>
      <c r="E1472" t="s">
        <v>62</v>
      </c>
      <c r="F1472" t="s">
        <v>29</v>
      </c>
      <c r="G1472" t="s">
        <v>16</v>
      </c>
      <c r="H1472" t="s">
        <v>60</v>
      </c>
      <c r="I1472">
        <v>3</v>
      </c>
      <c r="J1472">
        <v>0</v>
      </c>
      <c r="K1472">
        <v>324.81</v>
      </c>
      <c r="L1472">
        <v>8.25</v>
      </c>
      <c r="M1472" t="s">
        <v>2469</v>
      </c>
      <c r="N1472" t="s">
        <v>2467</v>
      </c>
      <c r="O1472" t="s">
        <v>2468</v>
      </c>
      <c r="P1472">
        <v>54.95</v>
      </c>
      <c r="Q1472">
        <v>112.56</v>
      </c>
      <c r="R1472">
        <v>164.85000000000002</v>
      </c>
      <c r="S1472">
        <v>151.70999999999998</v>
      </c>
      <c r="T1472">
        <v>0.46707305809550193</v>
      </c>
      <c r="U1472" s="1">
        <v>45870</v>
      </c>
      <c r="V1472" t="s">
        <v>2499</v>
      </c>
      <c r="W1472">
        <v>2025</v>
      </c>
    </row>
    <row r="1473" spans="1:23" x14ac:dyDescent="0.25">
      <c r="A1473" t="s">
        <v>1520</v>
      </c>
      <c r="B1473" s="1">
        <v>45976</v>
      </c>
      <c r="C1473" s="1">
        <v>45979</v>
      </c>
      <c r="D1473" t="s">
        <v>13</v>
      </c>
      <c r="E1473" t="s">
        <v>19</v>
      </c>
      <c r="F1473" t="s">
        <v>25</v>
      </c>
      <c r="G1473" t="s">
        <v>16</v>
      </c>
      <c r="H1473" t="s">
        <v>63</v>
      </c>
      <c r="I1473">
        <v>7</v>
      </c>
      <c r="J1473">
        <v>0</v>
      </c>
      <c r="K1473">
        <v>108.22</v>
      </c>
      <c r="L1473">
        <v>7.65</v>
      </c>
      <c r="M1473" t="s">
        <v>2477</v>
      </c>
      <c r="N1473" t="s">
        <v>2474</v>
      </c>
      <c r="O1473" t="s">
        <v>2468</v>
      </c>
      <c r="P1473">
        <v>6.33</v>
      </c>
      <c r="Q1473">
        <v>12.16</v>
      </c>
      <c r="R1473">
        <v>44.31</v>
      </c>
      <c r="S1473">
        <v>56.26</v>
      </c>
      <c r="T1473">
        <v>0.51986693771946035</v>
      </c>
      <c r="U1473" s="1">
        <v>45962</v>
      </c>
      <c r="V1473" t="s">
        <v>2499</v>
      </c>
      <c r="W1473">
        <v>2025</v>
      </c>
    </row>
    <row r="1474" spans="1:23" x14ac:dyDescent="0.25">
      <c r="A1474" t="s">
        <v>1521</v>
      </c>
      <c r="B1474" s="1">
        <v>45945</v>
      </c>
      <c r="C1474" s="1">
        <v>45951</v>
      </c>
      <c r="D1474" t="s">
        <v>32</v>
      </c>
      <c r="E1474" t="s">
        <v>45</v>
      </c>
      <c r="F1474" t="s">
        <v>25</v>
      </c>
      <c r="G1474" t="s">
        <v>20</v>
      </c>
      <c r="H1474" t="s">
        <v>39</v>
      </c>
      <c r="I1474">
        <v>4</v>
      </c>
      <c r="J1474">
        <v>0</v>
      </c>
      <c r="K1474">
        <v>939.91</v>
      </c>
      <c r="L1474">
        <v>5.7</v>
      </c>
      <c r="M1474" t="s">
        <v>2471</v>
      </c>
      <c r="N1474" t="s">
        <v>2467</v>
      </c>
      <c r="O1474" t="s">
        <v>2461</v>
      </c>
      <c r="P1474">
        <v>112.09</v>
      </c>
      <c r="Q1474">
        <v>192.47</v>
      </c>
      <c r="R1474">
        <v>448.36</v>
      </c>
      <c r="S1474">
        <v>485.84999999999997</v>
      </c>
      <c r="T1474">
        <v>0.51691119362492155</v>
      </c>
      <c r="U1474" s="1">
        <v>45931</v>
      </c>
      <c r="V1474" t="s">
        <v>2499</v>
      </c>
      <c r="W1474">
        <v>2025</v>
      </c>
    </row>
    <row r="1475" spans="1:23" x14ac:dyDescent="0.25">
      <c r="A1475" t="s">
        <v>1522</v>
      </c>
      <c r="B1475" s="1">
        <v>45739</v>
      </c>
      <c r="C1475" s="1">
        <v>45741</v>
      </c>
      <c r="D1475" t="s">
        <v>13</v>
      </c>
      <c r="E1475" t="s">
        <v>14</v>
      </c>
      <c r="F1475" t="s">
        <v>25</v>
      </c>
      <c r="G1475" t="s">
        <v>26</v>
      </c>
      <c r="H1475" t="s">
        <v>53</v>
      </c>
      <c r="I1475">
        <v>4</v>
      </c>
      <c r="J1475">
        <v>0</v>
      </c>
      <c r="K1475">
        <v>221.67</v>
      </c>
      <c r="L1475">
        <v>9.5</v>
      </c>
      <c r="M1475" t="s">
        <v>2470</v>
      </c>
      <c r="N1475" t="s">
        <v>2467</v>
      </c>
      <c r="O1475" t="s">
        <v>2459</v>
      </c>
      <c r="P1475">
        <v>31.34</v>
      </c>
      <c r="Q1475">
        <v>56.49</v>
      </c>
      <c r="R1475">
        <v>125.36</v>
      </c>
      <c r="S1475">
        <v>86.809999999999988</v>
      </c>
      <c r="T1475">
        <v>0.39161817115532094</v>
      </c>
      <c r="U1475" s="1">
        <v>45717</v>
      </c>
      <c r="V1475" t="s">
        <v>2499</v>
      </c>
      <c r="W1475">
        <v>2025</v>
      </c>
    </row>
    <row r="1476" spans="1:23" x14ac:dyDescent="0.25">
      <c r="A1476" t="s">
        <v>1523</v>
      </c>
      <c r="B1476" s="1">
        <v>45447</v>
      </c>
      <c r="C1476" s="1">
        <v>45453</v>
      </c>
      <c r="D1476" t="s">
        <v>32</v>
      </c>
      <c r="E1476" t="s">
        <v>33</v>
      </c>
      <c r="F1476" t="s">
        <v>29</v>
      </c>
      <c r="G1476" t="s">
        <v>20</v>
      </c>
      <c r="H1476" t="s">
        <v>30</v>
      </c>
      <c r="I1476">
        <v>6</v>
      </c>
      <c r="J1476">
        <v>0.15</v>
      </c>
      <c r="K1476">
        <v>31.91</v>
      </c>
      <c r="L1476">
        <v>4.32</v>
      </c>
      <c r="M1476" t="s">
        <v>2473</v>
      </c>
      <c r="N1476" t="s">
        <v>2474</v>
      </c>
      <c r="O1476" t="s">
        <v>2463</v>
      </c>
      <c r="P1476">
        <v>3.62</v>
      </c>
      <c r="Q1476">
        <v>6.03</v>
      </c>
      <c r="R1476">
        <v>21.72</v>
      </c>
      <c r="S1476">
        <v>5.870000000000001</v>
      </c>
      <c r="T1476">
        <v>0.18395487308053904</v>
      </c>
      <c r="U1476" s="1">
        <v>45444</v>
      </c>
      <c r="V1476" t="s">
        <v>2500</v>
      </c>
      <c r="W1476">
        <v>2024</v>
      </c>
    </row>
    <row r="1477" spans="1:23" x14ac:dyDescent="0.25">
      <c r="A1477" t="s">
        <v>1524</v>
      </c>
      <c r="B1477" s="1">
        <v>45811</v>
      </c>
      <c r="C1477" s="1">
        <v>45817</v>
      </c>
      <c r="D1477" t="s">
        <v>47</v>
      </c>
      <c r="E1477" t="s">
        <v>48</v>
      </c>
      <c r="F1477" t="s">
        <v>25</v>
      </c>
      <c r="G1477" t="s">
        <v>20</v>
      </c>
      <c r="H1477" t="s">
        <v>60</v>
      </c>
      <c r="I1477">
        <v>4</v>
      </c>
      <c r="J1477">
        <v>0.05</v>
      </c>
      <c r="K1477">
        <v>460.96</v>
      </c>
      <c r="L1477">
        <v>9.5</v>
      </c>
      <c r="M1477" t="s">
        <v>2469</v>
      </c>
      <c r="N1477" t="s">
        <v>2467</v>
      </c>
      <c r="O1477" t="s">
        <v>2468</v>
      </c>
      <c r="P1477">
        <v>54.95</v>
      </c>
      <c r="Q1477">
        <v>112.56</v>
      </c>
      <c r="R1477">
        <v>219.8</v>
      </c>
      <c r="S1477">
        <v>231.65999999999997</v>
      </c>
      <c r="T1477">
        <v>0.50255987504338762</v>
      </c>
      <c r="U1477" s="1">
        <v>45809</v>
      </c>
      <c r="V1477" t="s">
        <v>2498</v>
      </c>
      <c r="W1477">
        <v>2025</v>
      </c>
    </row>
    <row r="1478" spans="1:23" x14ac:dyDescent="0.25">
      <c r="A1478" t="s">
        <v>1525</v>
      </c>
      <c r="B1478" s="1">
        <v>45923</v>
      </c>
      <c r="C1478" s="1">
        <v>45928</v>
      </c>
      <c r="D1478" t="s">
        <v>47</v>
      </c>
      <c r="E1478" t="s">
        <v>71</v>
      </c>
      <c r="F1478" t="s">
        <v>25</v>
      </c>
      <c r="G1478" t="s">
        <v>20</v>
      </c>
      <c r="H1478" t="s">
        <v>21</v>
      </c>
      <c r="I1478">
        <v>4</v>
      </c>
      <c r="J1478">
        <v>0</v>
      </c>
      <c r="K1478">
        <v>480.77</v>
      </c>
      <c r="L1478">
        <v>8.2200000000000006</v>
      </c>
      <c r="M1478" t="s">
        <v>2462</v>
      </c>
      <c r="N1478" t="s">
        <v>2458</v>
      </c>
      <c r="O1478" t="s">
        <v>2463</v>
      </c>
      <c r="P1478">
        <v>71.489999999999995</v>
      </c>
      <c r="Q1478">
        <v>112.88</v>
      </c>
      <c r="R1478">
        <v>285.95999999999998</v>
      </c>
      <c r="S1478">
        <v>186.59</v>
      </c>
      <c r="T1478">
        <v>0.3881065790294736</v>
      </c>
      <c r="U1478" s="1">
        <v>45901</v>
      </c>
      <c r="V1478" t="s">
        <v>2499</v>
      </c>
      <c r="W1478">
        <v>2025</v>
      </c>
    </row>
    <row r="1479" spans="1:23" x14ac:dyDescent="0.25">
      <c r="A1479" t="s">
        <v>1526</v>
      </c>
      <c r="B1479" s="1">
        <v>45865</v>
      </c>
      <c r="C1479" s="1">
        <v>45866</v>
      </c>
      <c r="D1479" t="s">
        <v>13</v>
      </c>
      <c r="E1479" t="s">
        <v>36</v>
      </c>
      <c r="F1479" t="s">
        <v>29</v>
      </c>
      <c r="G1479" t="s">
        <v>26</v>
      </c>
      <c r="H1479" t="s">
        <v>63</v>
      </c>
      <c r="I1479">
        <v>8</v>
      </c>
      <c r="J1479">
        <v>0.15</v>
      </c>
      <c r="K1479">
        <v>80.41</v>
      </c>
      <c r="L1479">
        <v>8.1</v>
      </c>
      <c r="M1479" t="s">
        <v>2477</v>
      </c>
      <c r="N1479" t="s">
        <v>2474</v>
      </c>
      <c r="O1479" t="s">
        <v>2468</v>
      </c>
      <c r="P1479">
        <v>6.33</v>
      </c>
      <c r="Q1479">
        <v>12.16</v>
      </c>
      <c r="R1479">
        <v>50.64</v>
      </c>
      <c r="S1479">
        <v>21.669999999999995</v>
      </c>
      <c r="T1479">
        <v>0.26949384404924753</v>
      </c>
      <c r="U1479" s="1">
        <v>45839</v>
      </c>
      <c r="V1479" t="s">
        <v>2500</v>
      </c>
      <c r="W1479">
        <v>2025</v>
      </c>
    </row>
    <row r="1480" spans="1:23" x14ac:dyDescent="0.25">
      <c r="A1480" t="s">
        <v>1527</v>
      </c>
      <c r="B1480" s="1">
        <v>45669</v>
      </c>
      <c r="C1480" s="1">
        <v>45672</v>
      </c>
      <c r="D1480" t="s">
        <v>13</v>
      </c>
      <c r="E1480" t="s">
        <v>14</v>
      </c>
      <c r="F1480" t="s">
        <v>29</v>
      </c>
      <c r="G1480" t="s">
        <v>20</v>
      </c>
      <c r="H1480" t="s">
        <v>21</v>
      </c>
      <c r="I1480">
        <v>3</v>
      </c>
      <c r="J1480">
        <v>0.05</v>
      </c>
      <c r="K1480">
        <v>292.83999999999997</v>
      </c>
      <c r="L1480">
        <v>6.84</v>
      </c>
      <c r="M1480" t="s">
        <v>2462</v>
      </c>
      <c r="N1480" t="s">
        <v>2458</v>
      </c>
      <c r="O1480" t="s">
        <v>2463</v>
      </c>
      <c r="P1480">
        <v>71.489999999999995</v>
      </c>
      <c r="Q1480">
        <v>112.88</v>
      </c>
      <c r="R1480">
        <v>214.46999999999997</v>
      </c>
      <c r="S1480">
        <v>71.53</v>
      </c>
      <c r="T1480">
        <v>0.24426307881436965</v>
      </c>
      <c r="U1480" s="1">
        <v>45658</v>
      </c>
      <c r="V1480" t="s">
        <v>2498</v>
      </c>
      <c r="W1480">
        <v>2025</v>
      </c>
    </row>
    <row r="1481" spans="1:23" x14ac:dyDescent="0.25">
      <c r="A1481" t="s">
        <v>1528</v>
      </c>
      <c r="B1481" s="1">
        <v>45493</v>
      </c>
      <c r="C1481" s="1">
        <v>45498</v>
      </c>
      <c r="D1481" t="s">
        <v>32</v>
      </c>
      <c r="E1481" t="s">
        <v>33</v>
      </c>
      <c r="F1481" t="s">
        <v>29</v>
      </c>
      <c r="G1481" t="s">
        <v>16</v>
      </c>
      <c r="H1481" t="s">
        <v>34</v>
      </c>
      <c r="I1481">
        <v>1</v>
      </c>
      <c r="J1481">
        <v>0</v>
      </c>
      <c r="K1481">
        <v>180.79</v>
      </c>
      <c r="L1481">
        <v>6.8</v>
      </c>
      <c r="M1481" t="s">
        <v>2460</v>
      </c>
      <c r="N1481" t="s">
        <v>2458</v>
      </c>
      <c r="O1481" t="s">
        <v>2461</v>
      </c>
      <c r="P1481">
        <v>119.02</v>
      </c>
      <c r="Q1481">
        <v>205.39</v>
      </c>
      <c r="R1481">
        <v>119.02</v>
      </c>
      <c r="S1481">
        <v>54.97</v>
      </c>
      <c r="T1481">
        <v>0.30405442778914765</v>
      </c>
      <c r="U1481" s="1">
        <v>45474</v>
      </c>
      <c r="V1481" t="s">
        <v>2499</v>
      </c>
      <c r="W1481">
        <v>2024</v>
      </c>
    </row>
    <row r="1482" spans="1:23" x14ac:dyDescent="0.25">
      <c r="A1482" t="s">
        <v>1529</v>
      </c>
      <c r="B1482" s="1">
        <v>45341</v>
      </c>
      <c r="C1482" s="1">
        <v>45344</v>
      </c>
      <c r="D1482" t="s">
        <v>13</v>
      </c>
      <c r="E1482" t="s">
        <v>14</v>
      </c>
      <c r="F1482" t="s">
        <v>29</v>
      </c>
      <c r="G1482" t="s">
        <v>20</v>
      </c>
      <c r="H1482" t="s">
        <v>37</v>
      </c>
      <c r="I1482">
        <v>2</v>
      </c>
      <c r="J1482">
        <v>0.25</v>
      </c>
      <c r="K1482">
        <v>149.4</v>
      </c>
      <c r="L1482">
        <v>9.1</v>
      </c>
      <c r="M1482" t="s">
        <v>2464</v>
      </c>
      <c r="N1482" t="s">
        <v>2458</v>
      </c>
      <c r="O1482" t="s">
        <v>2465</v>
      </c>
      <c r="P1482">
        <v>63.6</v>
      </c>
      <c r="Q1482">
        <v>107.94</v>
      </c>
      <c r="R1482">
        <v>127.2</v>
      </c>
      <c r="S1482">
        <v>13.100000000000003</v>
      </c>
      <c r="T1482">
        <v>8.7684069611780477E-2</v>
      </c>
      <c r="U1482" s="1">
        <v>45323</v>
      </c>
      <c r="V1482" t="s">
        <v>2501</v>
      </c>
      <c r="W1482">
        <v>2024</v>
      </c>
    </row>
    <row r="1483" spans="1:23" x14ac:dyDescent="0.25">
      <c r="A1483" t="s">
        <v>1530</v>
      </c>
      <c r="B1483" s="1">
        <v>45325</v>
      </c>
      <c r="C1483" s="1">
        <v>45331</v>
      </c>
      <c r="D1483" t="s">
        <v>32</v>
      </c>
      <c r="E1483" t="s">
        <v>45</v>
      </c>
      <c r="F1483" t="s">
        <v>25</v>
      </c>
      <c r="G1483" t="s">
        <v>16</v>
      </c>
      <c r="H1483" t="s">
        <v>60</v>
      </c>
      <c r="I1483">
        <v>2</v>
      </c>
      <c r="J1483">
        <v>0</v>
      </c>
      <c r="K1483">
        <v>208.08</v>
      </c>
      <c r="L1483">
        <v>4.2</v>
      </c>
      <c r="M1483" t="s">
        <v>2469</v>
      </c>
      <c r="N1483" t="s">
        <v>2467</v>
      </c>
      <c r="O1483" t="s">
        <v>2468</v>
      </c>
      <c r="P1483">
        <v>54.95</v>
      </c>
      <c r="Q1483">
        <v>112.56</v>
      </c>
      <c r="R1483">
        <v>109.9</v>
      </c>
      <c r="S1483">
        <v>93.98</v>
      </c>
      <c r="T1483">
        <v>0.45165321030372935</v>
      </c>
      <c r="U1483" s="1">
        <v>45323</v>
      </c>
      <c r="V1483" t="s">
        <v>2499</v>
      </c>
      <c r="W1483">
        <v>2024</v>
      </c>
    </row>
    <row r="1484" spans="1:23" x14ac:dyDescent="0.25">
      <c r="A1484" t="s">
        <v>1531</v>
      </c>
      <c r="B1484" s="1">
        <v>45753</v>
      </c>
      <c r="C1484" s="1">
        <v>45757</v>
      </c>
      <c r="D1484" t="s">
        <v>32</v>
      </c>
      <c r="E1484" t="s">
        <v>33</v>
      </c>
      <c r="F1484" t="s">
        <v>25</v>
      </c>
      <c r="G1484" t="s">
        <v>26</v>
      </c>
      <c r="H1484" t="s">
        <v>34</v>
      </c>
      <c r="I1484">
        <v>1</v>
      </c>
      <c r="J1484">
        <v>0</v>
      </c>
      <c r="K1484">
        <v>199.7</v>
      </c>
      <c r="L1484">
        <v>6.8</v>
      </c>
      <c r="M1484" t="s">
        <v>2460</v>
      </c>
      <c r="N1484" t="s">
        <v>2458</v>
      </c>
      <c r="O1484" t="s">
        <v>2461</v>
      </c>
      <c r="P1484">
        <v>119.02</v>
      </c>
      <c r="Q1484">
        <v>205.39</v>
      </c>
      <c r="R1484">
        <v>119.02</v>
      </c>
      <c r="S1484">
        <v>73.88</v>
      </c>
      <c r="T1484">
        <v>0.36995493239859789</v>
      </c>
      <c r="U1484" s="1">
        <v>45748</v>
      </c>
      <c r="V1484" t="s">
        <v>2499</v>
      </c>
      <c r="W1484">
        <v>2025</v>
      </c>
    </row>
    <row r="1485" spans="1:23" x14ac:dyDescent="0.25">
      <c r="A1485" t="s">
        <v>1532</v>
      </c>
      <c r="B1485" s="1">
        <v>45763</v>
      </c>
      <c r="C1485" s="1">
        <v>45765</v>
      </c>
      <c r="D1485" t="s">
        <v>47</v>
      </c>
      <c r="E1485" t="s">
        <v>48</v>
      </c>
      <c r="F1485" t="s">
        <v>29</v>
      </c>
      <c r="G1485" t="s">
        <v>16</v>
      </c>
      <c r="H1485" t="s">
        <v>27</v>
      </c>
      <c r="I1485">
        <v>10</v>
      </c>
      <c r="J1485">
        <v>0.05</v>
      </c>
      <c r="K1485">
        <v>244.97</v>
      </c>
      <c r="L1485">
        <v>9</v>
      </c>
      <c r="M1485" t="s">
        <v>2478</v>
      </c>
      <c r="N1485" t="s">
        <v>2474</v>
      </c>
      <c r="O1485" t="s">
        <v>2463</v>
      </c>
      <c r="P1485">
        <v>16.760000000000002</v>
      </c>
      <c r="Q1485">
        <v>27.71</v>
      </c>
      <c r="R1485">
        <v>167.60000000000002</v>
      </c>
      <c r="S1485">
        <v>68.369999999999976</v>
      </c>
      <c r="T1485">
        <v>0.27909539943666561</v>
      </c>
      <c r="U1485" s="1">
        <v>45748</v>
      </c>
      <c r="V1485" t="s">
        <v>2498</v>
      </c>
      <c r="W1485">
        <v>2025</v>
      </c>
    </row>
    <row r="1486" spans="1:23" x14ac:dyDescent="0.25">
      <c r="A1486" t="s">
        <v>1533</v>
      </c>
      <c r="B1486" s="1">
        <v>45621</v>
      </c>
      <c r="C1486" s="1">
        <v>45623</v>
      </c>
      <c r="D1486" t="s">
        <v>32</v>
      </c>
      <c r="E1486" t="s">
        <v>33</v>
      </c>
      <c r="F1486" t="s">
        <v>15</v>
      </c>
      <c r="G1486" t="s">
        <v>16</v>
      </c>
      <c r="H1486" t="s">
        <v>17</v>
      </c>
      <c r="I1486">
        <v>4</v>
      </c>
      <c r="J1486">
        <v>0</v>
      </c>
      <c r="K1486">
        <v>655.97</v>
      </c>
      <c r="L1486">
        <v>5.7</v>
      </c>
      <c r="M1486" t="s">
        <v>2472</v>
      </c>
      <c r="N1486" t="s">
        <v>2467</v>
      </c>
      <c r="O1486" t="s">
        <v>2468</v>
      </c>
      <c r="P1486">
        <v>63.69</v>
      </c>
      <c r="Q1486">
        <v>125.5</v>
      </c>
      <c r="R1486">
        <v>254.76</v>
      </c>
      <c r="S1486">
        <v>395.51000000000005</v>
      </c>
      <c r="T1486">
        <v>0.60293915880299409</v>
      </c>
      <c r="U1486" s="1">
        <v>45597</v>
      </c>
      <c r="V1486" t="s">
        <v>2499</v>
      </c>
      <c r="W1486">
        <v>2024</v>
      </c>
    </row>
    <row r="1487" spans="1:23" x14ac:dyDescent="0.25">
      <c r="A1487" t="s">
        <v>1534</v>
      </c>
      <c r="B1487" s="1">
        <v>45810</v>
      </c>
      <c r="C1487" s="1">
        <v>45814</v>
      </c>
      <c r="D1487" t="s">
        <v>47</v>
      </c>
      <c r="E1487" t="s">
        <v>48</v>
      </c>
      <c r="F1487" t="s">
        <v>15</v>
      </c>
      <c r="G1487" t="s">
        <v>20</v>
      </c>
      <c r="H1487" t="s">
        <v>41</v>
      </c>
      <c r="I1487">
        <v>23</v>
      </c>
      <c r="J1487">
        <v>0.1</v>
      </c>
      <c r="K1487">
        <v>134.97</v>
      </c>
      <c r="L1487">
        <v>8.91</v>
      </c>
      <c r="M1487" t="s">
        <v>2479</v>
      </c>
      <c r="N1487" t="s">
        <v>2474</v>
      </c>
      <c r="O1487" t="s">
        <v>2459</v>
      </c>
      <c r="P1487">
        <v>3.3</v>
      </c>
      <c r="Q1487">
        <v>6.13</v>
      </c>
      <c r="R1487">
        <v>75.899999999999991</v>
      </c>
      <c r="S1487">
        <v>50.160000000000011</v>
      </c>
      <c r="T1487">
        <v>0.37163814180929106</v>
      </c>
      <c r="U1487" s="1">
        <v>45809</v>
      </c>
      <c r="V1487" t="s">
        <v>2498</v>
      </c>
      <c r="W1487">
        <v>2025</v>
      </c>
    </row>
    <row r="1488" spans="1:23" x14ac:dyDescent="0.25">
      <c r="A1488" t="s">
        <v>1535</v>
      </c>
      <c r="B1488" s="1">
        <v>45978</v>
      </c>
      <c r="C1488" s="1">
        <v>45984</v>
      </c>
      <c r="D1488" t="s">
        <v>23</v>
      </c>
      <c r="E1488" t="s">
        <v>24</v>
      </c>
      <c r="F1488" t="s">
        <v>15</v>
      </c>
      <c r="G1488" t="s">
        <v>20</v>
      </c>
      <c r="H1488" t="s">
        <v>37</v>
      </c>
      <c r="I1488">
        <v>1</v>
      </c>
      <c r="J1488">
        <v>0.15</v>
      </c>
      <c r="K1488">
        <v>128.15</v>
      </c>
      <c r="L1488">
        <v>6.8</v>
      </c>
      <c r="M1488" t="s">
        <v>2464</v>
      </c>
      <c r="N1488" t="s">
        <v>2458</v>
      </c>
      <c r="O1488" t="s">
        <v>2465</v>
      </c>
      <c r="P1488">
        <v>63.6</v>
      </c>
      <c r="Q1488">
        <v>107.94</v>
      </c>
      <c r="R1488">
        <v>63.6</v>
      </c>
      <c r="S1488">
        <v>57.750000000000014</v>
      </c>
      <c r="T1488">
        <v>0.45064377682403445</v>
      </c>
      <c r="U1488" s="1">
        <v>45962</v>
      </c>
      <c r="V1488" t="s">
        <v>2500</v>
      </c>
      <c r="W1488">
        <v>2025</v>
      </c>
    </row>
    <row r="1489" spans="1:23" x14ac:dyDescent="0.25">
      <c r="A1489" t="s">
        <v>1536</v>
      </c>
      <c r="B1489" s="1">
        <v>45317</v>
      </c>
      <c r="C1489" s="1">
        <v>45323</v>
      </c>
      <c r="D1489" t="s">
        <v>23</v>
      </c>
      <c r="E1489" t="s">
        <v>59</v>
      </c>
      <c r="F1489" t="s">
        <v>15</v>
      </c>
      <c r="G1489" t="s">
        <v>26</v>
      </c>
      <c r="H1489" t="s">
        <v>27</v>
      </c>
      <c r="I1489">
        <v>4</v>
      </c>
      <c r="J1489">
        <v>0</v>
      </c>
      <c r="K1489">
        <v>92.36</v>
      </c>
      <c r="L1489">
        <v>6.3</v>
      </c>
      <c r="M1489" t="s">
        <v>2478</v>
      </c>
      <c r="N1489" t="s">
        <v>2474</v>
      </c>
      <c r="O1489" t="s">
        <v>2463</v>
      </c>
      <c r="P1489">
        <v>16.760000000000002</v>
      </c>
      <c r="Q1489">
        <v>27.71</v>
      </c>
      <c r="R1489">
        <v>67.040000000000006</v>
      </c>
      <c r="S1489">
        <v>19.019999999999992</v>
      </c>
      <c r="T1489">
        <v>0.20593330446080546</v>
      </c>
      <c r="U1489" s="1">
        <v>45292</v>
      </c>
      <c r="V1489" t="s">
        <v>2499</v>
      </c>
      <c r="W1489">
        <v>2024</v>
      </c>
    </row>
    <row r="1490" spans="1:23" x14ac:dyDescent="0.25">
      <c r="A1490" t="s">
        <v>1537</v>
      </c>
      <c r="B1490" s="1">
        <v>45661</v>
      </c>
      <c r="C1490" s="1">
        <v>45667</v>
      </c>
      <c r="D1490" t="s">
        <v>13</v>
      </c>
      <c r="E1490" t="s">
        <v>14</v>
      </c>
      <c r="F1490" t="s">
        <v>29</v>
      </c>
      <c r="G1490" t="s">
        <v>16</v>
      </c>
      <c r="H1490" t="s">
        <v>60</v>
      </c>
      <c r="I1490">
        <v>2</v>
      </c>
      <c r="J1490">
        <v>0</v>
      </c>
      <c r="K1490">
        <v>208.15</v>
      </c>
      <c r="L1490">
        <v>4.2</v>
      </c>
      <c r="M1490" t="s">
        <v>2469</v>
      </c>
      <c r="N1490" t="s">
        <v>2467</v>
      </c>
      <c r="O1490" t="s">
        <v>2468</v>
      </c>
      <c r="P1490">
        <v>54.95</v>
      </c>
      <c r="Q1490">
        <v>112.56</v>
      </c>
      <c r="R1490">
        <v>109.9</v>
      </c>
      <c r="S1490">
        <v>94.05</v>
      </c>
      <c r="T1490">
        <v>0.45183761710305065</v>
      </c>
      <c r="U1490" s="1">
        <v>45658</v>
      </c>
      <c r="V1490" t="s">
        <v>2499</v>
      </c>
      <c r="W1490">
        <v>2025</v>
      </c>
    </row>
    <row r="1491" spans="1:23" x14ac:dyDescent="0.25">
      <c r="A1491" t="s">
        <v>1538</v>
      </c>
      <c r="B1491" s="1">
        <v>45981</v>
      </c>
      <c r="C1491" s="1">
        <v>45982</v>
      </c>
      <c r="D1491" t="s">
        <v>32</v>
      </c>
      <c r="E1491" t="s">
        <v>33</v>
      </c>
      <c r="F1491" t="s">
        <v>15</v>
      </c>
      <c r="G1491" t="s">
        <v>16</v>
      </c>
      <c r="H1491" t="s">
        <v>51</v>
      </c>
      <c r="I1491">
        <v>22</v>
      </c>
      <c r="J1491">
        <v>0.15</v>
      </c>
      <c r="K1491">
        <v>393.06</v>
      </c>
      <c r="L1491">
        <v>8.64</v>
      </c>
      <c r="M1491" t="s">
        <v>2475</v>
      </c>
      <c r="N1491" t="s">
        <v>2474</v>
      </c>
      <c r="O1491" t="s">
        <v>2463</v>
      </c>
      <c r="P1491">
        <v>7.93</v>
      </c>
      <c r="Q1491">
        <v>14.78</v>
      </c>
      <c r="R1491">
        <v>174.45999999999998</v>
      </c>
      <c r="S1491">
        <v>209.96000000000004</v>
      </c>
      <c r="T1491">
        <v>0.53416781153004644</v>
      </c>
      <c r="U1491" s="1">
        <v>45962</v>
      </c>
      <c r="V1491" t="s">
        <v>2500</v>
      </c>
      <c r="W1491">
        <v>2025</v>
      </c>
    </row>
    <row r="1492" spans="1:23" x14ac:dyDescent="0.25">
      <c r="A1492" t="s">
        <v>1539</v>
      </c>
      <c r="B1492" s="1">
        <v>45824</v>
      </c>
      <c r="C1492" s="1">
        <v>45827</v>
      </c>
      <c r="D1492" t="s">
        <v>47</v>
      </c>
      <c r="E1492" t="s">
        <v>48</v>
      </c>
      <c r="F1492" t="s">
        <v>25</v>
      </c>
      <c r="G1492" t="s">
        <v>20</v>
      </c>
      <c r="H1492" t="s">
        <v>65</v>
      </c>
      <c r="I1492">
        <v>1</v>
      </c>
      <c r="J1492">
        <v>0.2</v>
      </c>
      <c r="K1492">
        <v>228.93</v>
      </c>
      <c r="L1492">
        <v>4.08</v>
      </c>
      <c r="M1492" t="s">
        <v>2457</v>
      </c>
      <c r="N1492" t="s">
        <v>2458</v>
      </c>
      <c r="O1492" t="s">
        <v>2459</v>
      </c>
      <c r="P1492">
        <v>173.56</v>
      </c>
      <c r="Q1492">
        <v>286.14999999999998</v>
      </c>
      <c r="R1492">
        <v>173.56</v>
      </c>
      <c r="S1492">
        <v>51.290000000000006</v>
      </c>
      <c r="T1492">
        <v>0.22404228366749662</v>
      </c>
      <c r="U1492" s="1">
        <v>45809</v>
      </c>
      <c r="V1492" t="s">
        <v>2500</v>
      </c>
      <c r="W1492">
        <v>2025</v>
      </c>
    </row>
    <row r="1493" spans="1:23" x14ac:dyDescent="0.25">
      <c r="A1493" t="s">
        <v>1540</v>
      </c>
      <c r="B1493" s="1">
        <v>45677</v>
      </c>
      <c r="C1493" s="1">
        <v>45680</v>
      </c>
      <c r="D1493" t="s">
        <v>13</v>
      </c>
      <c r="E1493" t="s">
        <v>36</v>
      </c>
      <c r="F1493" t="s">
        <v>29</v>
      </c>
      <c r="G1493" t="s">
        <v>16</v>
      </c>
      <c r="H1493" t="s">
        <v>87</v>
      </c>
      <c r="I1493">
        <v>14</v>
      </c>
      <c r="J1493">
        <v>0.2</v>
      </c>
      <c r="K1493">
        <v>83.95</v>
      </c>
      <c r="L1493">
        <v>10.8</v>
      </c>
      <c r="M1493" t="s">
        <v>2476</v>
      </c>
      <c r="N1493" t="s">
        <v>2474</v>
      </c>
      <c r="O1493" t="s">
        <v>2459</v>
      </c>
      <c r="P1493">
        <v>4.5</v>
      </c>
      <c r="Q1493">
        <v>8.2899999999999991</v>
      </c>
      <c r="R1493">
        <v>63</v>
      </c>
      <c r="S1493">
        <v>10.150000000000002</v>
      </c>
      <c r="T1493">
        <v>0.12090530077427042</v>
      </c>
      <c r="U1493" s="1">
        <v>45658</v>
      </c>
      <c r="V1493" t="s">
        <v>2500</v>
      </c>
      <c r="W1493">
        <v>2025</v>
      </c>
    </row>
    <row r="1494" spans="1:23" x14ac:dyDescent="0.25">
      <c r="A1494" t="s">
        <v>1541</v>
      </c>
      <c r="B1494" s="1">
        <v>45548</v>
      </c>
      <c r="C1494" s="1">
        <v>45552</v>
      </c>
      <c r="D1494" t="s">
        <v>23</v>
      </c>
      <c r="E1494" t="s">
        <v>59</v>
      </c>
      <c r="F1494" t="s">
        <v>15</v>
      </c>
      <c r="G1494" t="s">
        <v>26</v>
      </c>
      <c r="H1494" t="s">
        <v>34</v>
      </c>
      <c r="I1494">
        <v>2</v>
      </c>
      <c r="J1494">
        <v>0</v>
      </c>
      <c r="K1494">
        <v>467.98</v>
      </c>
      <c r="L1494">
        <v>5.46</v>
      </c>
      <c r="M1494" t="s">
        <v>2460</v>
      </c>
      <c r="N1494" t="s">
        <v>2458</v>
      </c>
      <c r="O1494" t="s">
        <v>2461</v>
      </c>
      <c r="P1494">
        <v>119.02</v>
      </c>
      <c r="Q1494">
        <v>205.39</v>
      </c>
      <c r="R1494">
        <v>238.04</v>
      </c>
      <c r="S1494">
        <v>224.48000000000002</v>
      </c>
      <c r="T1494">
        <v>0.47967861874439083</v>
      </c>
      <c r="U1494" s="1">
        <v>45536</v>
      </c>
      <c r="V1494" t="s">
        <v>2499</v>
      </c>
      <c r="W1494">
        <v>2024</v>
      </c>
    </row>
    <row r="1495" spans="1:23" x14ac:dyDescent="0.25">
      <c r="A1495" t="s">
        <v>1542</v>
      </c>
      <c r="B1495" s="1">
        <v>45658</v>
      </c>
      <c r="C1495" s="1">
        <v>45664</v>
      </c>
      <c r="D1495" t="s">
        <v>23</v>
      </c>
      <c r="E1495" t="s">
        <v>43</v>
      </c>
      <c r="F1495" t="s">
        <v>29</v>
      </c>
      <c r="G1495" t="s">
        <v>16</v>
      </c>
      <c r="H1495" t="s">
        <v>63</v>
      </c>
      <c r="I1495">
        <v>14</v>
      </c>
      <c r="J1495">
        <v>0.2</v>
      </c>
      <c r="K1495">
        <v>122.24</v>
      </c>
      <c r="L1495">
        <v>10.8</v>
      </c>
      <c r="M1495" t="s">
        <v>2477</v>
      </c>
      <c r="N1495" t="s">
        <v>2474</v>
      </c>
      <c r="O1495" t="s">
        <v>2468</v>
      </c>
      <c r="P1495">
        <v>6.33</v>
      </c>
      <c r="Q1495">
        <v>12.16</v>
      </c>
      <c r="R1495">
        <v>88.62</v>
      </c>
      <c r="S1495">
        <v>22.81999999999999</v>
      </c>
      <c r="T1495">
        <v>0.18668193717277479</v>
      </c>
      <c r="U1495" s="1">
        <v>45658</v>
      </c>
      <c r="V1495" t="s">
        <v>2500</v>
      </c>
      <c r="W1495">
        <v>2025</v>
      </c>
    </row>
    <row r="1496" spans="1:23" x14ac:dyDescent="0.25">
      <c r="A1496" t="s">
        <v>1543</v>
      </c>
      <c r="B1496" s="1">
        <v>45817</v>
      </c>
      <c r="C1496" s="1">
        <v>45821</v>
      </c>
      <c r="D1496" t="s">
        <v>23</v>
      </c>
      <c r="E1496" t="s">
        <v>59</v>
      </c>
      <c r="F1496" t="s">
        <v>29</v>
      </c>
      <c r="G1496" t="s">
        <v>16</v>
      </c>
      <c r="H1496" t="s">
        <v>17</v>
      </c>
      <c r="I1496">
        <v>3</v>
      </c>
      <c r="J1496">
        <v>0</v>
      </c>
      <c r="K1496">
        <v>395.84</v>
      </c>
      <c r="L1496">
        <v>4.95</v>
      </c>
      <c r="M1496" t="s">
        <v>2472</v>
      </c>
      <c r="N1496" t="s">
        <v>2467</v>
      </c>
      <c r="O1496" t="s">
        <v>2468</v>
      </c>
      <c r="P1496">
        <v>63.69</v>
      </c>
      <c r="Q1496">
        <v>125.5</v>
      </c>
      <c r="R1496">
        <v>191.07</v>
      </c>
      <c r="S1496">
        <v>199.82</v>
      </c>
      <c r="T1496">
        <v>0.50479991915925626</v>
      </c>
      <c r="U1496" s="1">
        <v>45809</v>
      </c>
      <c r="V1496" t="s">
        <v>2499</v>
      </c>
      <c r="W1496">
        <v>2025</v>
      </c>
    </row>
    <row r="1497" spans="1:23" x14ac:dyDescent="0.25">
      <c r="A1497" t="s">
        <v>1544</v>
      </c>
      <c r="B1497" s="1">
        <v>45444</v>
      </c>
      <c r="C1497" s="1">
        <v>45447</v>
      </c>
      <c r="D1497" t="s">
        <v>23</v>
      </c>
      <c r="E1497" t="s">
        <v>43</v>
      </c>
      <c r="F1497" t="s">
        <v>25</v>
      </c>
      <c r="G1497" t="s">
        <v>20</v>
      </c>
      <c r="H1497" t="s">
        <v>53</v>
      </c>
      <c r="I1497">
        <v>2</v>
      </c>
      <c r="J1497">
        <v>0.15</v>
      </c>
      <c r="K1497">
        <v>98.78</v>
      </c>
      <c r="L1497">
        <v>4.2</v>
      </c>
      <c r="M1497" t="s">
        <v>2470</v>
      </c>
      <c r="N1497" t="s">
        <v>2467</v>
      </c>
      <c r="O1497" t="s">
        <v>2459</v>
      </c>
      <c r="P1497">
        <v>31.34</v>
      </c>
      <c r="Q1497">
        <v>56.49</v>
      </c>
      <c r="R1497">
        <v>62.68</v>
      </c>
      <c r="S1497">
        <v>31.900000000000002</v>
      </c>
      <c r="T1497">
        <v>0.3229398663697105</v>
      </c>
      <c r="U1497" s="1">
        <v>45444</v>
      </c>
      <c r="V1497" t="s">
        <v>2500</v>
      </c>
      <c r="W1497">
        <v>2024</v>
      </c>
    </row>
    <row r="1498" spans="1:23" x14ac:dyDescent="0.25">
      <c r="A1498" t="s">
        <v>1545</v>
      </c>
      <c r="B1498" s="1">
        <v>45552</v>
      </c>
      <c r="C1498" s="1">
        <v>45556</v>
      </c>
      <c r="D1498" t="s">
        <v>32</v>
      </c>
      <c r="E1498" t="s">
        <v>62</v>
      </c>
      <c r="F1498" t="s">
        <v>29</v>
      </c>
      <c r="G1498" t="s">
        <v>20</v>
      </c>
      <c r="H1498" t="s">
        <v>37</v>
      </c>
      <c r="I1498">
        <v>3</v>
      </c>
      <c r="J1498">
        <v>0.25</v>
      </c>
      <c r="K1498">
        <v>270.7</v>
      </c>
      <c r="L1498">
        <v>6.84</v>
      </c>
      <c r="M1498" t="s">
        <v>2464</v>
      </c>
      <c r="N1498" t="s">
        <v>2458</v>
      </c>
      <c r="O1498" t="s">
        <v>2465</v>
      </c>
      <c r="P1498">
        <v>63.6</v>
      </c>
      <c r="Q1498">
        <v>107.94</v>
      </c>
      <c r="R1498">
        <v>190.8</v>
      </c>
      <c r="S1498">
        <v>73.059999999999974</v>
      </c>
      <c r="T1498">
        <v>0.26989287033616544</v>
      </c>
      <c r="U1498" s="1">
        <v>45536</v>
      </c>
      <c r="V1498" t="s">
        <v>2501</v>
      </c>
      <c r="W1498">
        <v>2024</v>
      </c>
    </row>
    <row r="1499" spans="1:23" x14ac:dyDescent="0.25">
      <c r="A1499" t="s">
        <v>1546</v>
      </c>
      <c r="B1499" s="1">
        <v>45572</v>
      </c>
      <c r="C1499" s="1">
        <v>45576</v>
      </c>
      <c r="D1499" t="s">
        <v>47</v>
      </c>
      <c r="E1499" t="s">
        <v>50</v>
      </c>
      <c r="F1499" t="s">
        <v>25</v>
      </c>
      <c r="G1499" t="s">
        <v>20</v>
      </c>
      <c r="H1499" t="s">
        <v>37</v>
      </c>
      <c r="I1499">
        <v>1</v>
      </c>
      <c r="J1499">
        <v>0</v>
      </c>
      <c r="K1499">
        <v>119.66</v>
      </c>
      <c r="L1499">
        <v>6.8</v>
      </c>
      <c r="M1499" t="s">
        <v>2464</v>
      </c>
      <c r="N1499" t="s">
        <v>2458</v>
      </c>
      <c r="O1499" t="s">
        <v>2465</v>
      </c>
      <c r="P1499">
        <v>63.6</v>
      </c>
      <c r="Q1499">
        <v>107.94</v>
      </c>
      <c r="R1499">
        <v>63.6</v>
      </c>
      <c r="S1499">
        <v>49.26</v>
      </c>
      <c r="T1499">
        <v>0.41166638809961559</v>
      </c>
      <c r="U1499" s="1">
        <v>45566</v>
      </c>
      <c r="V1499" t="s">
        <v>2499</v>
      </c>
      <c r="W1499">
        <v>2024</v>
      </c>
    </row>
    <row r="1500" spans="1:23" x14ac:dyDescent="0.25">
      <c r="A1500" t="s">
        <v>1547</v>
      </c>
      <c r="B1500" s="1">
        <v>45548</v>
      </c>
      <c r="C1500" s="1">
        <v>45553</v>
      </c>
      <c r="D1500" t="s">
        <v>23</v>
      </c>
      <c r="E1500" t="s">
        <v>43</v>
      </c>
      <c r="F1500" t="s">
        <v>15</v>
      </c>
      <c r="G1500" t="s">
        <v>26</v>
      </c>
      <c r="H1500" t="s">
        <v>34</v>
      </c>
      <c r="I1500">
        <v>1</v>
      </c>
      <c r="J1500">
        <v>0.05</v>
      </c>
      <c r="K1500">
        <v>202.62</v>
      </c>
      <c r="L1500">
        <v>6.8</v>
      </c>
      <c r="M1500" t="s">
        <v>2460</v>
      </c>
      <c r="N1500" t="s">
        <v>2458</v>
      </c>
      <c r="O1500" t="s">
        <v>2461</v>
      </c>
      <c r="P1500">
        <v>119.02</v>
      </c>
      <c r="Q1500">
        <v>205.39</v>
      </c>
      <c r="R1500">
        <v>119.02</v>
      </c>
      <c r="S1500">
        <v>76.800000000000011</v>
      </c>
      <c r="T1500">
        <v>0.37903464613562338</v>
      </c>
      <c r="U1500" s="1">
        <v>45536</v>
      </c>
      <c r="V1500" t="s">
        <v>2498</v>
      </c>
      <c r="W1500">
        <v>2024</v>
      </c>
    </row>
    <row r="1501" spans="1:23" x14ac:dyDescent="0.25">
      <c r="A1501" t="s">
        <v>1548</v>
      </c>
      <c r="B1501" s="1">
        <v>45613</v>
      </c>
      <c r="C1501" s="1">
        <v>45619</v>
      </c>
      <c r="D1501" t="s">
        <v>13</v>
      </c>
      <c r="E1501" t="s">
        <v>19</v>
      </c>
      <c r="F1501" t="s">
        <v>25</v>
      </c>
      <c r="G1501" t="s">
        <v>26</v>
      </c>
      <c r="H1501" t="s">
        <v>17</v>
      </c>
      <c r="I1501">
        <v>2</v>
      </c>
      <c r="J1501">
        <v>0</v>
      </c>
      <c r="K1501">
        <v>350.67</v>
      </c>
      <c r="L1501">
        <v>7</v>
      </c>
      <c r="M1501" t="s">
        <v>2472</v>
      </c>
      <c r="N1501" t="s">
        <v>2467</v>
      </c>
      <c r="O1501" t="s">
        <v>2468</v>
      </c>
      <c r="P1501">
        <v>63.69</v>
      </c>
      <c r="Q1501">
        <v>125.5</v>
      </c>
      <c r="R1501">
        <v>127.38</v>
      </c>
      <c r="S1501">
        <v>216.29000000000002</v>
      </c>
      <c r="T1501">
        <v>0.61679071491715864</v>
      </c>
      <c r="U1501" s="1">
        <v>45597</v>
      </c>
      <c r="V1501" t="s">
        <v>2499</v>
      </c>
      <c r="W1501">
        <v>2024</v>
      </c>
    </row>
    <row r="1502" spans="1:23" x14ac:dyDescent="0.25">
      <c r="A1502" t="s">
        <v>1549</v>
      </c>
      <c r="B1502" s="1">
        <v>45697</v>
      </c>
      <c r="C1502" s="1">
        <v>45702</v>
      </c>
      <c r="D1502" t="s">
        <v>32</v>
      </c>
      <c r="E1502" t="s">
        <v>33</v>
      </c>
      <c r="F1502" t="s">
        <v>15</v>
      </c>
      <c r="G1502" t="s">
        <v>16</v>
      </c>
      <c r="H1502" t="s">
        <v>17</v>
      </c>
      <c r="I1502">
        <v>4</v>
      </c>
      <c r="J1502">
        <v>0</v>
      </c>
      <c r="K1502">
        <v>470.59</v>
      </c>
      <c r="L1502">
        <v>5.7</v>
      </c>
      <c r="M1502" t="s">
        <v>2472</v>
      </c>
      <c r="N1502" t="s">
        <v>2467</v>
      </c>
      <c r="O1502" t="s">
        <v>2468</v>
      </c>
      <c r="P1502">
        <v>63.69</v>
      </c>
      <c r="Q1502">
        <v>125.5</v>
      </c>
      <c r="R1502">
        <v>254.76</v>
      </c>
      <c r="S1502">
        <v>210.13</v>
      </c>
      <c r="T1502">
        <v>0.44652457553284175</v>
      </c>
      <c r="U1502" s="1">
        <v>45689</v>
      </c>
      <c r="V1502" t="s">
        <v>2499</v>
      </c>
      <c r="W1502">
        <v>2025</v>
      </c>
    </row>
    <row r="1503" spans="1:23" x14ac:dyDescent="0.25">
      <c r="A1503" t="s">
        <v>1550</v>
      </c>
      <c r="B1503" s="1">
        <v>45871</v>
      </c>
      <c r="C1503" s="1">
        <v>45876</v>
      </c>
      <c r="D1503" t="s">
        <v>23</v>
      </c>
      <c r="E1503" t="s">
        <v>59</v>
      </c>
      <c r="F1503" t="s">
        <v>29</v>
      </c>
      <c r="G1503" t="s">
        <v>26</v>
      </c>
      <c r="H1503" t="s">
        <v>68</v>
      </c>
      <c r="I1503">
        <v>7</v>
      </c>
      <c r="J1503">
        <v>0.2</v>
      </c>
      <c r="K1503">
        <v>276.17</v>
      </c>
      <c r="L1503">
        <v>7.95</v>
      </c>
      <c r="M1503" t="s">
        <v>2466</v>
      </c>
      <c r="N1503" t="s">
        <v>2467</v>
      </c>
      <c r="O1503" t="s">
        <v>2468</v>
      </c>
      <c r="P1503">
        <v>25.33</v>
      </c>
      <c r="Q1503">
        <v>51.56</v>
      </c>
      <c r="R1503">
        <v>177.31</v>
      </c>
      <c r="S1503">
        <v>90.910000000000011</v>
      </c>
      <c r="T1503">
        <v>0.32918130137234314</v>
      </c>
      <c r="U1503" s="1">
        <v>45870</v>
      </c>
      <c r="V1503" t="s">
        <v>2500</v>
      </c>
      <c r="W1503">
        <v>2025</v>
      </c>
    </row>
    <row r="1504" spans="1:23" x14ac:dyDescent="0.25">
      <c r="A1504" t="s">
        <v>1551</v>
      </c>
      <c r="B1504" s="1">
        <v>45475</v>
      </c>
      <c r="C1504" s="1">
        <v>45481</v>
      </c>
      <c r="D1504" t="s">
        <v>13</v>
      </c>
      <c r="E1504" t="s">
        <v>19</v>
      </c>
      <c r="F1504" t="s">
        <v>15</v>
      </c>
      <c r="G1504" t="s">
        <v>26</v>
      </c>
      <c r="H1504" t="s">
        <v>21</v>
      </c>
      <c r="I1504">
        <v>2</v>
      </c>
      <c r="J1504">
        <v>0.15</v>
      </c>
      <c r="K1504">
        <v>171.9</v>
      </c>
      <c r="L1504">
        <v>9.1</v>
      </c>
      <c r="M1504" t="s">
        <v>2462</v>
      </c>
      <c r="N1504" t="s">
        <v>2458</v>
      </c>
      <c r="O1504" t="s">
        <v>2463</v>
      </c>
      <c r="P1504">
        <v>71.489999999999995</v>
      </c>
      <c r="Q1504">
        <v>112.88</v>
      </c>
      <c r="R1504">
        <v>142.97999999999999</v>
      </c>
      <c r="S1504">
        <v>19.820000000000014</v>
      </c>
      <c r="T1504">
        <v>0.11529959278650387</v>
      </c>
      <c r="U1504" s="1">
        <v>45474</v>
      </c>
      <c r="V1504" t="s">
        <v>2500</v>
      </c>
      <c r="W1504">
        <v>2024</v>
      </c>
    </row>
    <row r="1505" spans="1:23" x14ac:dyDescent="0.25">
      <c r="A1505" t="s">
        <v>1552</v>
      </c>
      <c r="B1505" s="1">
        <v>45359</v>
      </c>
      <c r="C1505" s="1">
        <v>45362</v>
      </c>
      <c r="D1505" t="s">
        <v>23</v>
      </c>
      <c r="E1505" t="s">
        <v>43</v>
      </c>
      <c r="F1505" t="s">
        <v>25</v>
      </c>
      <c r="G1505" t="s">
        <v>20</v>
      </c>
      <c r="H1505" t="s">
        <v>30</v>
      </c>
      <c r="I1505">
        <v>14</v>
      </c>
      <c r="J1505">
        <v>0</v>
      </c>
      <c r="K1505">
        <v>76.98</v>
      </c>
      <c r="L1505">
        <v>6.48</v>
      </c>
      <c r="M1505" t="s">
        <v>2473</v>
      </c>
      <c r="N1505" t="s">
        <v>2474</v>
      </c>
      <c r="O1505" t="s">
        <v>2463</v>
      </c>
      <c r="P1505">
        <v>3.62</v>
      </c>
      <c r="Q1505">
        <v>6.03</v>
      </c>
      <c r="R1505">
        <v>50.68</v>
      </c>
      <c r="S1505">
        <v>19.820000000000004</v>
      </c>
      <c r="T1505">
        <v>0.25746947259028324</v>
      </c>
      <c r="U1505" s="1">
        <v>45352</v>
      </c>
      <c r="V1505" t="s">
        <v>2499</v>
      </c>
      <c r="W1505">
        <v>2024</v>
      </c>
    </row>
    <row r="1506" spans="1:23" x14ac:dyDescent="0.25">
      <c r="A1506" t="s">
        <v>1553</v>
      </c>
      <c r="B1506" s="1">
        <v>45786</v>
      </c>
      <c r="C1506" s="1">
        <v>45787</v>
      </c>
      <c r="D1506" t="s">
        <v>23</v>
      </c>
      <c r="E1506" t="s">
        <v>24</v>
      </c>
      <c r="F1506" t="s">
        <v>25</v>
      </c>
      <c r="G1506" t="s">
        <v>26</v>
      </c>
      <c r="H1506" t="s">
        <v>87</v>
      </c>
      <c r="I1506">
        <v>9</v>
      </c>
      <c r="J1506">
        <v>0.25</v>
      </c>
      <c r="K1506">
        <v>56.01</v>
      </c>
      <c r="L1506">
        <v>5.13</v>
      </c>
      <c r="M1506" t="s">
        <v>2476</v>
      </c>
      <c r="N1506" t="s">
        <v>2474</v>
      </c>
      <c r="O1506" t="s">
        <v>2459</v>
      </c>
      <c r="P1506">
        <v>4.5</v>
      </c>
      <c r="Q1506">
        <v>8.2899999999999991</v>
      </c>
      <c r="R1506">
        <v>40.5</v>
      </c>
      <c r="S1506">
        <v>10.379999999999999</v>
      </c>
      <c r="T1506">
        <v>0.18532404927691482</v>
      </c>
      <c r="U1506" s="1">
        <v>45778</v>
      </c>
      <c r="V1506" t="s">
        <v>2501</v>
      </c>
      <c r="W1506">
        <v>2025</v>
      </c>
    </row>
    <row r="1507" spans="1:23" x14ac:dyDescent="0.25">
      <c r="A1507" t="s">
        <v>1554</v>
      </c>
      <c r="B1507" s="1">
        <v>45294</v>
      </c>
      <c r="C1507" s="1">
        <v>45300</v>
      </c>
      <c r="D1507" t="s">
        <v>47</v>
      </c>
      <c r="E1507" t="s">
        <v>48</v>
      </c>
      <c r="F1507" t="s">
        <v>15</v>
      </c>
      <c r="G1507" t="s">
        <v>20</v>
      </c>
      <c r="H1507" t="s">
        <v>37</v>
      </c>
      <c r="I1507">
        <v>4</v>
      </c>
      <c r="J1507">
        <v>0.15</v>
      </c>
      <c r="K1507">
        <v>309.77999999999997</v>
      </c>
      <c r="L1507">
        <v>8.2200000000000006</v>
      </c>
      <c r="M1507" t="s">
        <v>2464</v>
      </c>
      <c r="N1507" t="s">
        <v>2458</v>
      </c>
      <c r="O1507" t="s">
        <v>2465</v>
      </c>
      <c r="P1507">
        <v>63.6</v>
      </c>
      <c r="Q1507">
        <v>107.94</v>
      </c>
      <c r="R1507">
        <v>254.4</v>
      </c>
      <c r="S1507">
        <v>47.159999999999968</v>
      </c>
      <c r="T1507">
        <v>0.15223707147007545</v>
      </c>
      <c r="U1507" s="1">
        <v>45292</v>
      </c>
      <c r="V1507" t="s">
        <v>2500</v>
      </c>
      <c r="W1507">
        <v>2024</v>
      </c>
    </row>
    <row r="1508" spans="1:23" x14ac:dyDescent="0.25">
      <c r="A1508" t="s">
        <v>1555</v>
      </c>
      <c r="B1508" s="1">
        <v>45795</v>
      </c>
      <c r="C1508" s="1">
        <v>45796</v>
      </c>
      <c r="D1508" t="s">
        <v>13</v>
      </c>
      <c r="E1508" t="s">
        <v>19</v>
      </c>
      <c r="F1508" t="s">
        <v>25</v>
      </c>
      <c r="G1508" t="s">
        <v>26</v>
      </c>
      <c r="H1508" t="s">
        <v>37</v>
      </c>
      <c r="I1508">
        <v>4</v>
      </c>
      <c r="J1508">
        <v>0.15</v>
      </c>
      <c r="K1508">
        <v>394.02</v>
      </c>
      <c r="L1508">
        <v>13.7</v>
      </c>
      <c r="M1508" t="s">
        <v>2464</v>
      </c>
      <c r="N1508" t="s">
        <v>2458</v>
      </c>
      <c r="O1508" t="s">
        <v>2465</v>
      </c>
      <c r="P1508">
        <v>63.6</v>
      </c>
      <c r="Q1508">
        <v>107.94</v>
      </c>
      <c r="R1508">
        <v>254.4</v>
      </c>
      <c r="S1508">
        <v>125.91999999999997</v>
      </c>
      <c r="T1508">
        <v>0.31957768641185719</v>
      </c>
      <c r="U1508" s="1">
        <v>45778</v>
      </c>
      <c r="V1508" t="s">
        <v>2500</v>
      </c>
      <c r="W1508">
        <v>2025</v>
      </c>
    </row>
    <row r="1509" spans="1:23" x14ac:dyDescent="0.25">
      <c r="A1509" t="s">
        <v>1556</v>
      </c>
      <c r="B1509" s="1">
        <v>45809</v>
      </c>
      <c r="C1509" s="1">
        <v>45811</v>
      </c>
      <c r="D1509" t="s">
        <v>23</v>
      </c>
      <c r="E1509" t="s">
        <v>24</v>
      </c>
      <c r="F1509" t="s">
        <v>25</v>
      </c>
      <c r="G1509" t="s">
        <v>20</v>
      </c>
      <c r="H1509" t="s">
        <v>30</v>
      </c>
      <c r="I1509">
        <v>6</v>
      </c>
      <c r="J1509">
        <v>0</v>
      </c>
      <c r="K1509">
        <v>37.340000000000003</v>
      </c>
      <c r="L1509">
        <v>4.32</v>
      </c>
      <c r="M1509" t="s">
        <v>2473</v>
      </c>
      <c r="N1509" t="s">
        <v>2474</v>
      </c>
      <c r="O1509" t="s">
        <v>2463</v>
      </c>
      <c r="P1509">
        <v>3.62</v>
      </c>
      <c r="Q1509">
        <v>6.03</v>
      </c>
      <c r="R1509">
        <v>21.72</v>
      </c>
      <c r="S1509">
        <v>11.300000000000004</v>
      </c>
      <c r="T1509">
        <v>0.30262453133369049</v>
      </c>
      <c r="U1509" s="1">
        <v>45809</v>
      </c>
      <c r="V1509" t="s">
        <v>2499</v>
      </c>
      <c r="W1509">
        <v>2025</v>
      </c>
    </row>
    <row r="1510" spans="1:23" x14ac:dyDescent="0.25">
      <c r="A1510" t="s">
        <v>1557</v>
      </c>
      <c r="B1510" s="1">
        <v>45564</v>
      </c>
      <c r="C1510" s="1">
        <v>45567</v>
      </c>
      <c r="D1510" t="s">
        <v>47</v>
      </c>
      <c r="E1510" t="s">
        <v>48</v>
      </c>
      <c r="F1510" t="s">
        <v>25</v>
      </c>
      <c r="G1510" t="s">
        <v>26</v>
      </c>
      <c r="H1510" t="s">
        <v>87</v>
      </c>
      <c r="I1510">
        <v>7</v>
      </c>
      <c r="J1510">
        <v>0</v>
      </c>
      <c r="K1510">
        <v>59.51</v>
      </c>
      <c r="L1510">
        <v>7.65</v>
      </c>
      <c r="M1510" t="s">
        <v>2476</v>
      </c>
      <c r="N1510" t="s">
        <v>2474</v>
      </c>
      <c r="O1510" t="s">
        <v>2459</v>
      </c>
      <c r="P1510">
        <v>4.5</v>
      </c>
      <c r="Q1510">
        <v>8.2899999999999991</v>
      </c>
      <c r="R1510">
        <v>31.5</v>
      </c>
      <c r="S1510">
        <v>20.36</v>
      </c>
      <c r="T1510">
        <v>0.34212737355066375</v>
      </c>
      <c r="U1510" s="1">
        <v>45536</v>
      </c>
      <c r="V1510" t="s">
        <v>2499</v>
      </c>
      <c r="W1510">
        <v>2024</v>
      </c>
    </row>
    <row r="1511" spans="1:23" x14ac:dyDescent="0.25">
      <c r="A1511" t="s">
        <v>1558</v>
      </c>
      <c r="B1511" s="1">
        <v>46011</v>
      </c>
      <c r="C1511" s="1">
        <v>46013</v>
      </c>
      <c r="D1511" t="s">
        <v>13</v>
      </c>
      <c r="E1511" t="s">
        <v>36</v>
      </c>
      <c r="F1511" t="s">
        <v>15</v>
      </c>
      <c r="G1511" t="s">
        <v>16</v>
      </c>
      <c r="H1511" t="s">
        <v>34</v>
      </c>
      <c r="I1511">
        <v>2</v>
      </c>
      <c r="J1511">
        <v>0</v>
      </c>
      <c r="K1511">
        <v>567.57000000000005</v>
      </c>
      <c r="L1511">
        <v>9.1</v>
      </c>
      <c r="M1511" t="s">
        <v>2460</v>
      </c>
      <c r="N1511" t="s">
        <v>2458</v>
      </c>
      <c r="O1511" t="s">
        <v>2461</v>
      </c>
      <c r="P1511">
        <v>119.02</v>
      </c>
      <c r="Q1511">
        <v>205.39</v>
      </c>
      <c r="R1511">
        <v>238.04</v>
      </c>
      <c r="S1511">
        <v>320.43000000000006</v>
      </c>
      <c r="T1511">
        <v>0.56456472329404306</v>
      </c>
      <c r="U1511" s="1">
        <v>45992</v>
      </c>
      <c r="V1511" t="s">
        <v>2499</v>
      </c>
      <c r="W1511">
        <v>2025</v>
      </c>
    </row>
    <row r="1512" spans="1:23" x14ac:dyDescent="0.25">
      <c r="A1512" t="s">
        <v>1559</v>
      </c>
      <c r="B1512" s="1">
        <v>45770</v>
      </c>
      <c r="C1512" s="1">
        <v>45773</v>
      </c>
      <c r="D1512" t="s">
        <v>23</v>
      </c>
      <c r="E1512" t="s">
        <v>43</v>
      </c>
      <c r="F1512" t="s">
        <v>29</v>
      </c>
      <c r="G1512" t="s">
        <v>26</v>
      </c>
      <c r="H1512" t="s">
        <v>17</v>
      </c>
      <c r="I1512">
        <v>2</v>
      </c>
      <c r="J1512">
        <v>0.05</v>
      </c>
      <c r="K1512">
        <v>235.31</v>
      </c>
      <c r="L1512">
        <v>4.2</v>
      </c>
      <c r="M1512" t="s">
        <v>2472</v>
      </c>
      <c r="N1512" t="s">
        <v>2467</v>
      </c>
      <c r="O1512" t="s">
        <v>2468</v>
      </c>
      <c r="P1512">
        <v>63.69</v>
      </c>
      <c r="Q1512">
        <v>125.5</v>
      </c>
      <c r="R1512">
        <v>127.38</v>
      </c>
      <c r="S1512">
        <v>103.73</v>
      </c>
      <c r="T1512">
        <v>0.44082274446474862</v>
      </c>
      <c r="U1512" s="1">
        <v>45748</v>
      </c>
      <c r="V1512" t="s">
        <v>2498</v>
      </c>
      <c r="W1512">
        <v>2025</v>
      </c>
    </row>
    <row r="1513" spans="1:23" x14ac:dyDescent="0.25">
      <c r="A1513" t="s">
        <v>1560</v>
      </c>
      <c r="B1513" s="1">
        <v>45640</v>
      </c>
      <c r="C1513" s="1">
        <v>45646</v>
      </c>
      <c r="D1513" t="s">
        <v>13</v>
      </c>
      <c r="E1513" t="s">
        <v>36</v>
      </c>
      <c r="F1513" t="s">
        <v>29</v>
      </c>
      <c r="G1513" t="s">
        <v>16</v>
      </c>
      <c r="H1513" t="s">
        <v>27</v>
      </c>
      <c r="I1513">
        <v>7</v>
      </c>
      <c r="J1513">
        <v>0.05</v>
      </c>
      <c r="K1513">
        <v>276.83999999999997</v>
      </c>
      <c r="L1513">
        <v>4.59</v>
      </c>
      <c r="M1513" t="s">
        <v>2478</v>
      </c>
      <c r="N1513" t="s">
        <v>2474</v>
      </c>
      <c r="O1513" t="s">
        <v>2463</v>
      </c>
      <c r="P1513">
        <v>16.760000000000002</v>
      </c>
      <c r="Q1513">
        <v>27.71</v>
      </c>
      <c r="R1513">
        <v>117.32000000000001</v>
      </c>
      <c r="S1513">
        <v>154.92999999999998</v>
      </c>
      <c r="T1513">
        <v>0.55963733564513796</v>
      </c>
      <c r="U1513" s="1">
        <v>45627</v>
      </c>
      <c r="V1513" t="s">
        <v>2498</v>
      </c>
      <c r="W1513">
        <v>2024</v>
      </c>
    </row>
    <row r="1514" spans="1:23" x14ac:dyDescent="0.25">
      <c r="A1514" t="s">
        <v>1561</v>
      </c>
      <c r="B1514" s="1">
        <v>45743</v>
      </c>
      <c r="C1514" s="1">
        <v>45746</v>
      </c>
      <c r="D1514" t="s">
        <v>47</v>
      </c>
      <c r="E1514" t="s">
        <v>50</v>
      </c>
      <c r="F1514" t="s">
        <v>29</v>
      </c>
      <c r="G1514" t="s">
        <v>16</v>
      </c>
      <c r="H1514" t="s">
        <v>53</v>
      </c>
      <c r="I1514">
        <v>2</v>
      </c>
      <c r="J1514">
        <v>0</v>
      </c>
      <c r="K1514">
        <v>109.41</v>
      </c>
      <c r="L1514">
        <v>4.2</v>
      </c>
      <c r="M1514" t="s">
        <v>2470</v>
      </c>
      <c r="N1514" t="s">
        <v>2467</v>
      </c>
      <c r="O1514" t="s">
        <v>2459</v>
      </c>
      <c r="P1514">
        <v>31.34</v>
      </c>
      <c r="Q1514">
        <v>56.49</v>
      </c>
      <c r="R1514">
        <v>62.68</v>
      </c>
      <c r="S1514">
        <v>42.529999999999994</v>
      </c>
      <c r="T1514">
        <v>0.38872132346220634</v>
      </c>
      <c r="U1514" s="1">
        <v>45717</v>
      </c>
      <c r="V1514" t="s">
        <v>2499</v>
      </c>
      <c r="W1514">
        <v>2025</v>
      </c>
    </row>
    <row r="1515" spans="1:23" x14ac:dyDescent="0.25">
      <c r="A1515" t="s">
        <v>1562</v>
      </c>
      <c r="B1515" s="1">
        <v>45342</v>
      </c>
      <c r="C1515" s="1">
        <v>45343</v>
      </c>
      <c r="D1515" t="s">
        <v>47</v>
      </c>
      <c r="E1515" t="s">
        <v>48</v>
      </c>
      <c r="F1515" t="s">
        <v>15</v>
      </c>
      <c r="G1515" t="s">
        <v>16</v>
      </c>
      <c r="H1515" t="s">
        <v>27</v>
      </c>
      <c r="I1515">
        <v>11</v>
      </c>
      <c r="J1515">
        <v>0.1</v>
      </c>
      <c r="K1515">
        <v>258.69</v>
      </c>
      <c r="L1515">
        <v>5.67</v>
      </c>
      <c r="M1515" t="s">
        <v>2478</v>
      </c>
      <c r="N1515" t="s">
        <v>2474</v>
      </c>
      <c r="O1515" t="s">
        <v>2463</v>
      </c>
      <c r="P1515">
        <v>16.760000000000002</v>
      </c>
      <c r="Q1515">
        <v>27.71</v>
      </c>
      <c r="R1515">
        <v>184.36</v>
      </c>
      <c r="S1515">
        <v>68.659999999999982</v>
      </c>
      <c r="T1515">
        <v>0.26541420232710961</v>
      </c>
      <c r="U1515" s="1">
        <v>45323</v>
      </c>
      <c r="V1515" t="s">
        <v>2498</v>
      </c>
      <c r="W1515">
        <v>2024</v>
      </c>
    </row>
    <row r="1516" spans="1:23" x14ac:dyDescent="0.25">
      <c r="A1516" t="s">
        <v>1563</v>
      </c>
      <c r="B1516" s="1">
        <v>45827</v>
      </c>
      <c r="C1516" s="1">
        <v>45831</v>
      </c>
      <c r="D1516" t="s">
        <v>47</v>
      </c>
      <c r="E1516" t="s">
        <v>50</v>
      </c>
      <c r="F1516" t="s">
        <v>25</v>
      </c>
      <c r="G1516" t="s">
        <v>16</v>
      </c>
      <c r="H1516" t="s">
        <v>39</v>
      </c>
      <c r="I1516">
        <v>4</v>
      </c>
      <c r="J1516">
        <v>0</v>
      </c>
      <c r="K1516">
        <v>772.59</v>
      </c>
      <c r="L1516">
        <v>9.5</v>
      </c>
      <c r="M1516" t="s">
        <v>2471</v>
      </c>
      <c r="N1516" t="s">
        <v>2467</v>
      </c>
      <c r="O1516" t="s">
        <v>2461</v>
      </c>
      <c r="P1516">
        <v>112.09</v>
      </c>
      <c r="Q1516">
        <v>192.47</v>
      </c>
      <c r="R1516">
        <v>448.36</v>
      </c>
      <c r="S1516">
        <v>314.73</v>
      </c>
      <c r="T1516">
        <v>0.40737001514386673</v>
      </c>
      <c r="U1516" s="1">
        <v>45809</v>
      </c>
      <c r="V1516" t="s">
        <v>2499</v>
      </c>
      <c r="W1516">
        <v>2025</v>
      </c>
    </row>
    <row r="1517" spans="1:23" x14ac:dyDescent="0.25">
      <c r="A1517" t="s">
        <v>1564</v>
      </c>
      <c r="B1517" s="1">
        <v>45489</v>
      </c>
      <c r="C1517" s="1">
        <v>45493</v>
      </c>
      <c r="D1517" t="s">
        <v>23</v>
      </c>
      <c r="E1517" t="s">
        <v>24</v>
      </c>
      <c r="F1517" t="s">
        <v>15</v>
      </c>
      <c r="G1517" t="s">
        <v>16</v>
      </c>
      <c r="H1517" t="s">
        <v>68</v>
      </c>
      <c r="I1517">
        <v>4</v>
      </c>
      <c r="J1517">
        <v>0.2</v>
      </c>
      <c r="K1517">
        <v>146.77000000000001</v>
      </c>
      <c r="L1517">
        <v>5.7</v>
      </c>
      <c r="M1517" t="s">
        <v>2466</v>
      </c>
      <c r="N1517" t="s">
        <v>2467</v>
      </c>
      <c r="O1517" t="s">
        <v>2468</v>
      </c>
      <c r="P1517">
        <v>25.33</v>
      </c>
      <c r="Q1517">
        <v>51.56</v>
      </c>
      <c r="R1517">
        <v>101.32</v>
      </c>
      <c r="S1517">
        <v>39.750000000000014</v>
      </c>
      <c r="T1517">
        <v>0.27083191387885813</v>
      </c>
      <c r="U1517" s="1">
        <v>45474</v>
      </c>
      <c r="V1517" t="s">
        <v>2500</v>
      </c>
      <c r="W1517">
        <v>2024</v>
      </c>
    </row>
    <row r="1518" spans="1:23" x14ac:dyDescent="0.25">
      <c r="A1518" t="s">
        <v>1565</v>
      </c>
      <c r="B1518" s="1">
        <v>45787</v>
      </c>
      <c r="C1518" s="1">
        <v>45793</v>
      </c>
      <c r="D1518" t="s">
        <v>13</v>
      </c>
      <c r="E1518" t="s">
        <v>14</v>
      </c>
      <c r="F1518" t="s">
        <v>29</v>
      </c>
      <c r="G1518" t="s">
        <v>26</v>
      </c>
      <c r="H1518" t="s">
        <v>30</v>
      </c>
      <c r="I1518">
        <v>9</v>
      </c>
      <c r="J1518">
        <v>0.2</v>
      </c>
      <c r="K1518">
        <v>45.89</v>
      </c>
      <c r="L1518">
        <v>5.13</v>
      </c>
      <c r="M1518" t="s">
        <v>2473</v>
      </c>
      <c r="N1518" t="s">
        <v>2474</v>
      </c>
      <c r="O1518" t="s">
        <v>2463</v>
      </c>
      <c r="P1518">
        <v>3.62</v>
      </c>
      <c r="Q1518">
        <v>6.03</v>
      </c>
      <c r="R1518">
        <v>32.58</v>
      </c>
      <c r="S1518">
        <v>8.1800000000000033</v>
      </c>
      <c r="T1518">
        <v>0.17825234255829164</v>
      </c>
      <c r="U1518" s="1">
        <v>45778</v>
      </c>
      <c r="V1518" t="s">
        <v>2500</v>
      </c>
      <c r="W1518">
        <v>2025</v>
      </c>
    </row>
    <row r="1519" spans="1:23" x14ac:dyDescent="0.25">
      <c r="A1519" t="s">
        <v>1566</v>
      </c>
      <c r="B1519" s="1">
        <v>45994</v>
      </c>
      <c r="C1519" s="1">
        <v>45996</v>
      </c>
      <c r="D1519" t="s">
        <v>23</v>
      </c>
      <c r="E1519" t="s">
        <v>24</v>
      </c>
      <c r="F1519" t="s">
        <v>29</v>
      </c>
      <c r="G1519" t="s">
        <v>26</v>
      </c>
      <c r="H1519" t="s">
        <v>51</v>
      </c>
      <c r="I1519">
        <v>11</v>
      </c>
      <c r="J1519">
        <v>0.05</v>
      </c>
      <c r="K1519">
        <v>221.03</v>
      </c>
      <c r="L1519">
        <v>9.4499999999999993</v>
      </c>
      <c r="M1519" t="s">
        <v>2475</v>
      </c>
      <c r="N1519" t="s">
        <v>2474</v>
      </c>
      <c r="O1519" t="s">
        <v>2463</v>
      </c>
      <c r="P1519">
        <v>7.93</v>
      </c>
      <c r="Q1519">
        <v>14.78</v>
      </c>
      <c r="R1519">
        <v>87.22999999999999</v>
      </c>
      <c r="S1519">
        <v>124.35000000000001</v>
      </c>
      <c r="T1519">
        <v>0.56259331312491523</v>
      </c>
      <c r="U1519" s="1">
        <v>45992</v>
      </c>
      <c r="V1519" t="s">
        <v>2498</v>
      </c>
      <c r="W1519">
        <v>2025</v>
      </c>
    </row>
    <row r="1520" spans="1:23" x14ac:dyDescent="0.25">
      <c r="A1520" t="s">
        <v>1567</v>
      </c>
      <c r="B1520" s="1">
        <v>45763</v>
      </c>
      <c r="C1520" s="1">
        <v>45765</v>
      </c>
      <c r="D1520" t="s">
        <v>13</v>
      </c>
      <c r="E1520" t="s">
        <v>19</v>
      </c>
      <c r="F1520" t="s">
        <v>29</v>
      </c>
      <c r="G1520" t="s">
        <v>16</v>
      </c>
      <c r="H1520" t="s">
        <v>65</v>
      </c>
      <c r="I1520">
        <v>4</v>
      </c>
      <c r="J1520">
        <v>0.2</v>
      </c>
      <c r="K1520">
        <v>876.09</v>
      </c>
      <c r="L1520">
        <v>13.7</v>
      </c>
      <c r="M1520" t="s">
        <v>2457</v>
      </c>
      <c r="N1520" t="s">
        <v>2458</v>
      </c>
      <c r="O1520" t="s">
        <v>2459</v>
      </c>
      <c r="P1520">
        <v>173.56</v>
      </c>
      <c r="Q1520">
        <v>286.14999999999998</v>
      </c>
      <c r="R1520">
        <v>694.24</v>
      </c>
      <c r="S1520">
        <v>168.15000000000003</v>
      </c>
      <c r="T1520">
        <v>0.19193233571893301</v>
      </c>
      <c r="U1520" s="1">
        <v>45748</v>
      </c>
      <c r="V1520" t="s">
        <v>2500</v>
      </c>
      <c r="W1520">
        <v>2025</v>
      </c>
    </row>
    <row r="1521" spans="1:23" x14ac:dyDescent="0.25">
      <c r="A1521" t="s">
        <v>1568</v>
      </c>
      <c r="B1521" s="1">
        <v>45431</v>
      </c>
      <c r="C1521" s="1">
        <v>45436</v>
      </c>
      <c r="D1521" t="s">
        <v>13</v>
      </c>
      <c r="E1521" t="s">
        <v>14</v>
      </c>
      <c r="F1521" t="s">
        <v>29</v>
      </c>
      <c r="G1521" t="s">
        <v>20</v>
      </c>
      <c r="H1521" t="s">
        <v>21</v>
      </c>
      <c r="I1521">
        <v>4</v>
      </c>
      <c r="J1521">
        <v>0.2</v>
      </c>
      <c r="K1521">
        <v>346.88</v>
      </c>
      <c r="L1521">
        <v>13.7</v>
      </c>
      <c r="M1521" t="s">
        <v>2462</v>
      </c>
      <c r="N1521" t="s">
        <v>2458</v>
      </c>
      <c r="O1521" t="s">
        <v>2463</v>
      </c>
      <c r="P1521">
        <v>71.489999999999995</v>
      </c>
      <c r="Q1521">
        <v>112.88</v>
      </c>
      <c r="R1521">
        <v>285.95999999999998</v>
      </c>
      <c r="S1521">
        <v>47.220000000000013</v>
      </c>
      <c r="T1521">
        <v>0.1361277675276753</v>
      </c>
      <c r="U1521" s="1">
        <v>45413</v>
      </c>
      <c r="V1521" t="s">
        <v>2500</v>
      </c>
      <c r="W1521">
        <v>2024</v>
      </c>
    </row>
    <row r="1522" spans="1:23" x14ac:dyDescent="0.25">
      <c r="A1522" t="s">
        <v>1569</v>
      </c>
      <c r="B1522" s="1">
        <v>45608</v>
      </c>
      <c r="C1522" s="1">
        <v>45613</v>
      </c>
      <c r="D1522" t="s">
        <v>13</v>
      </c>
      <c r="E1522" t="s">
        <v>36</v>
      </c>
      <c r="F1522" t="s">
        <v>29</v>
      </c>
      <c r="G1522" t="s">
        <v>20</v>
      </c>
      <c r="H1522" t="s">
        <v>53</v>
      </c>
      <c r="I1522">
        <v>4</v>
      </c>
      <c r="J1522">
        <v>0.2</v>
      </c>
      <c r="K1522">
        <v>257.88</v>
      </c>
      <c r="L1522">
        <v>9.5</v>
      </c>
      <c r="M1522" t="s">
        <v>2470</v>
      </c>
      <c r="N1522" t="s">
        <v>2467</v>
      </c>
      <c r="O1522" t="s">
        <v>2459</v>
      </c>
      <c r="P1522">
        <v>31.34</v>
      </c>
      <c r="Q1522">
        <v>56.49</v>
      </c>
      <c r="R1522">
        <v>125.36</v>
      </c>
      <c r="S1522">
        <v>123.01999999999998</v>
      </c>
      <c r="T1522">
        <v>0.47704358616410725</v>
      </c>
      <c r="U1522" s="1">
        <v>45597</v>
      </c>
      <c r="V1522" t="s">
        <v>2500</v>
      </c>
      <c r="W1522">
        <v>2024</v>
      </c>
    </row>
    <row r="1523" spans="1:23" x14ac:dyDescent="0.25">
      <c r="A1523" t="s">
        <v>1570</v>
      </c>
      <c r="B1523" s="1">
        <v>45419</v>
      </c>
      <c r="C1523" s="1">
        <v>45424</v>
      </c>
      <c r="D1523" t="s">
        <v>13</v>
      </c>
      <c r="E1523" t="s">
        <v>14</v>
      </c>
      <c r="F1523" t="s">
        <v>15</v>
      </c>
      <c r="G1523" t="s">
        <v>16</v>
      </c>
      <c r="H1523" t="s">
        <v>41</v>
      </c>
      <c r="I1523">
        <v>9</v>
      </c>
      <c r="J1523">
        <v>0.15</v>
      </c>
      <c r="K1523">
        <v>49.28</v>
      </c>
      <c r="L1523">
        <v>5.13</v>
      </c>
      <c r="M1523" t="s">
        <v>2479</v>
      </c>
      <c r="N1523" t="s">
        <v>2474</v>
      </c>
      <c r="O1523" t="s">
        <v>2459</v>
      </c>
      <c r="P1523">
        <v>3.3</v>
      </c>
      <c r="Q1523">
        <v>6.13</v>
      </c>
      <c r="R1523">
        <v>29.7</v>
      </c>
      <c r="S1523">
        <v>14.450000000000003</v>
      </c>
      <c r="T1523">
        <v>0.29322240259740268</v>
      </c>
      <c r="U1523" s="1">
        <v>45413</v>
      </c>
      <c r="V1523" t="s">
        <v>2500</v>
      </c>
      <c r="W1523">
        <v>2024</v>
      </c>
    </row>
    <row r="1524" spans="1:23" x14ac:dyDescent="0.25">
      <c r="A1524" t="s">
        <v>1571</v>
      </c>
      <c r="B1524" s="1">
        <v>45480</v>
      </c>
      <c r="C1524" s="1">
        <v>45483</v>
      </c>
      <c r="D1524" t="s">
        <v>13</v>
      </c>
      <c r="E1524" t="s">
        <v>19</v>
      </c>
      <c r="F1524" t="s">
        <v>29</v>
      </c>
      <c r="G1524" t="s">
        <v>26</v>
      </c>
      <c r="H1524" t="s">
        <v>17</v>
      </c>
      <c r="I1524">
        <v>3</v>
      </c>
      <c r="J1524">
        <v>0</v>
      </c>
      <c r="K1524">
        <v>340.26</v>
      </c>
      <c r="L1524">
        <v>8.25</v>
      </c>
      <c r="M1524" t="s">
        <v>2472</v>
      </c>
      <c r="N1524" t="s">
        <v>2467</v>
      </c>
      <c r="O1524" t="s">
        <v>2468</v>
      </c>
      <c r="P1524">
        <v>63.69</v>
      </c>
      <c r="Q1524">
        <v>125.5</v>
      </c>
      <c r="R1524">
        <v>191.07</v>
      </c>
      <c r="S1524">
        <v>140.94</v>
      </c>
      <c r="T1524">
        <v>0.41421266090636571</v>
      </c>
      <c r="U1524" s="1">
        <v>45474</v>
      </c>
      <c r="V1524" t="s">
        <v>2499</v>
      </c>
      <c r="W1524">
        <v>2024</v>
      </c>
    </row>
    <row r="1525" spans="1:23" x14ac:dyDescent="0.25">
      <c r="A1525" t="s">
        <v>1572</v>
      </c>
      <c r="B1525" s="1">
        <v>45835</v>
      </c>
      <c r="C1525" s="1">
        <v>45840</v>
      </c>
      <c r="D1525" t="s">
        <v>23</v>
      </c>
      <c r="E1525" t="s">
        <v>43</v>
      </c>
      <c r="F1525" t="s">
        <v>29</v>
      </c>
      <c r="G1525" t="s">
        <v>26</v>
      </c>
      <c r="H1525" t="s">
        <v>60</v>
      </c>
      <c r="I1525">
        <v>3</v>
      </c>
      <c r="J1525">
        <v>0.15</v>
      </c>
      <c r="K1525">
        <v>281.82</v>
      </c>
      <c r="L1525">
        <v>4.95</v>
      </c>
      <c r="M1525" t="s">
        <v>2469</v>
      </c>
      <c r="N1525" t="s">
        <v>2467</v>
      </c>
      <c r="O1525" t="s">
        <v>2468</v>
      </c>
      <c r="P1525">
        <v>54.95</v>
      </c>
      <c r="Q1525">
        <v>112.56</v>
      </c>
      <c r="R1525">
        <v>164.85000000000002</v>
      </c>
      <c r="S1525">
        <v>112.01999999999997</v>
      </c>
      <c r="T1525">
        <v>0.39748775814349574</v>
      </c>
      <c r="U1525" s="1">
        <v>45809</v>
      </c>
      <c r="V1525" t="s">
        <v>2500</v>
      </c>
      <c r="W1525">
        <v>2025</v>
      </c>
    </row>
    <row r="1526" spans="1:23" x14ac:dyDescent="0.25">
      <c r="A1526" t="s">
        <v>1573</v>
      </c>
      <c r="B1526" s="1">
        <v>45592</v>
      </c>
      <c r="C1526" s="1">
        <v>45593</v>
      </c>
      <c r="D1526" t="s">
        <v>13</v>
      </c>
      <c r="E1526" t="s">
        <v>14</v>
      </c>
      <c r="F1526" t="s">
        <v>29</v>
      </c>
      <c r="G1526" t="s">
        <v>26</v>
      </c>
      <c r="H1526" t="s">
        <v>39</v>
      </c>
      <c r="I1526">
        <v>1</v>
      </c>
      <c r="J1526">
        <v>0</v>
      </c>
      <c r="K1526">
        <v>234.45</v>
      </c>
      <c r="L1526">
        <v>3.45</v>
      </c>
      <c r="M1526" t="s">
        <v>2471</v>
      </c>
      <c r="N1526" t="s">
        <v>2467</v>
      </c>
      <c r="O1526" t="s">
        <v>2461</v>
      </c>
      <c r="P1526">
        <v>112.09</v>
      </c>
      <c r="Q1526">
        <v>192.47</v>
      </c>
      <c r="R1526">
        <v>112.09</v>
      </c>
      <c r="S1526">
        <v>118.90999999999998</v>
      </c>
      <c r="T1526">
        <v>0.50718703348261884</v>
      </c>
      <c r="U1526" s="1">
        <v>45566</v>
      </c>
      <c r="V1526" t="s">
        <v>2499</v>
      </c>
      <c r="W1526">
        <v>2024</v>
      </c>
    </row>
    <row r="1527" spans="1:23" x14ac:dyDescent="0.25">
      <c r="A1527" t="s">
        <v>1574</v>
      </c>
      <c r="B1527" s="1">
        <v>45353</v>
      </c>
      <c r="C1527" s="1">
        <v>45356</v>
      </c>
      <c r="D1527" t="s">
        <v>23</v>
      </c>
      <c r="E1527" t="s">
        <v>59</v>
      </c>
      <c r="F1527" t="s">
        <v>25</v>
      </c>
      <c r="G1527" t="s">
        <v>16</v>
      </c>
      <c r="H1527" t="s">
        <v>37</v>
      </c>
      <c r="I1527">
        <v>4</v>
      </c>
      <c r="J1527">
        <v>0.05</v>
      </c>
      <c r="K1527">
        <v>384.97</v>
      </c>
      <c r="L1527">
        <v>13.7</v>
      </c>
      <c r="M1527" t="s">
        <v>2464</v>
      </c>
      <c r="N1527" t="s">
        <v>2458</v>
      </c>
      <c r="O1527" t="s">
        <v>2465</v>
      </c>
      <c r="P1527">
        <v>63.6</v>
      </c>
      <c r="Q1527">
        <v>107.94</v>
      </c>
      <c r="R1527">
        <v>254.4</v>
      </c>
      <c r="S1527">
        <v>116.87000000000002</v>
      </c>
      <c r="T1527">
        <v>0.30358209730628366</v>
      </c>
      <c r="U1527" s="1">
        <v>45352</v>
      </c>
      <c r="V1527" t="s">
        <v>2498</v>
      </c>
      <c r="W1527">
        <v>2024</v>
      </c>
    </row>
    <row r="1528" spans="1:23" x14ac:dyDescent="0.25">
      <c r="A1528" t="s">
        <v>1575</v>
      </c>
      <c r="B1528" s="1">
        <v>45608</v>
      </c>
      <c r="C1528" s="1">
        <v>45609</v>
      </c>
      <c r="D1528" t="s">
        <v>47</v>
      </c>
      <c r="E1528" t="s">
        <v>71</v>
      </c>
      <c r="F1528" t="s">
        <v>25</v>
      </c>
      <c r="G1528" t="s">
        <v>26</v>
      </c>
      <c r="H1528" t="s">
        <v>41</v>
      </c>
      <c r="I1528">
        <v>13</v>
      </c>
      <c r="J1528">
        <v>0</v>
      </c>
      <c r="K1528">
        <v>109.48</v>
      </c>
      <c r="L1528">
        <v>10.35</v>
      </c>
      <c r="M1528" t="s">
        <v>2479</v>
      </c>
      <c r="N1528" t="s">
        <v>2474</v>
      </c>
      <c r="O1528" t="s">
        <v>2459</v>
      </c>
      <c r="P1528">
        <v>3.3</v>
      </c>
      <c r="Q1528">
        <v>6.13</v>
      </c>
      <c r="R1528">
        <v>42.9</v>
      </c>
      <c r="S1528">
        <v>56.230000000000011</v>
      </c>
      <c r="T1528">
        <v>0.51360979174278421</v>
      </c>
      <c r="U1528" s="1">
        <v>45597</v>
      </c>
      <c r="V1528" t="s">
        <v>2499</v>
      </c>
      <c r="W1528">
        <v>2024</v>
      </c>
    </row>
    <row r="1529" spans="1:23" x14ac:dyDescent="0.25">
      <c r="A1529" t="s">
        <v>1576</v>
      </c>
      <c r="B1529" s="1">
        <v>45336</v>
      </c>
      <c r="C1529" s="1">
        <v>45338</v>
      </c>
      <c r="D1529" t="s">
        <v>32</v>
      </c>
      <c r="E1529" t="s">
        <v>62</v>
      </c>
      <c r="F1529" t="s">
        <v>15</v>
      </c>
      <c r="G1529" t="s">
        <v>16</v>
      </c>
      <c r="H1529" t="s">
        <v>87</v>
      </c>
      <c r="I1529">
        <v>9</v>
      </c>
      <c r="J1529">
        <v>0.1</v>
      </c>
      <c r="K1529">
        <v>64.06</v>
      </c>
      <c r="L1529">
        <v>5.13</v>
      </c>
      <c r="M1529" t="s">
        <v>2476</v>
      </c>
      <c r="N1529" t="s">
        <v>2474</v>
      </c>
      <c r="O1529" t="s">
        <v>2459</v>
      </c>
      <c r="P1529">
        <v>4.5</v>
      </c>
      <c r="Q1529">
        <v>8.2899999999999991</v>
      </c>
      <c r="R1529">
        <v>40.5</v>
      </c>
      <c r="S1529">
        <v>18.430000000000003</v>
      </c>
      <c r="T1529">
        <v>0.28769903215735254</v>
      </c>
      <c r="U1529" s="1">
        <v>45323</v>
      </c>
      <c r="V1529" t="s">
        <v>2498</v>
      </c>
      <c r="W1529">
        <v>2024</v>
      </c>
    </row>
    <row r="1530" spans="1:23" x14ac:dyDescent="0.25">
      <c r="A1530" t="s">
        <v>1577</v>
      </c>
      <c r="B1530" s="1">
        <v>45496</v>
      </c>
      <c r="C1530" s="1">
        <v>45502</v>
      </c>
      <c r="D1530" t="s">
        <v>13</v>
      </c>
      <c r="E1530" t="s">
        <v>19</v>
      </c>
      <c r="F1530" t="s">
        <v>25</v>
      </c>
      <c r="G1530" t="s">
        <v>20</v>
      </c>
      <c r="H1530" t="s">
        <v>53</v>
      </c>
      <c r="I1530">
        <v>7</v>
      </c>
      <c r="J1530">
        <v>0.25</v>
      </c>
      <c r="K1530">
        <v>277.43</v>
      </c>
      <c r="L1530">
        <v>13.25</v>
      </c>
      <c r="M1530" t="s">
        <v>2470</v>
      </c>
      <c r="N1530" t="s">
        <v>2467</v>
      </c>
      <c r="O1530" t="s">
        <v>2459</v>
      </c>
      <c r="P1530">
        <v>31.34</v>
      </c>
      <c r="Q1530">
        <v>56.49</v>
      </c>
      <c r="R1530">
        <v>219.38</v>
      </c>
      <c r="S1530">
        <v>44.800000000000011</v>
      </c>
      <c r="T1530">
        <v>0.16148217568395634</v>
      </c>
      <c r="U1530" s="1">
        <v>45474</v>
      </c>
      <c r="V1530" t="s">
        <v>2501</v>
      </c>
      <c r="W1530">
        <v>2024</v>
      </c>
    </row>
    <row r="1531" spans="1:23" x14ac:dyDescent="0.25">
      <c r="A1531" t="s">
        <v>1578</v>
      </c>
      <c r="B1531" s="1">
        <v>45860</v>
      </c>
      <c r="C1531" s="1">
        <v>45864</v>
      </c>
      <c r="D1531" t="s">
        <v>23</v>
      </c>
      <c r="E1531" t="s">
        <v>24</v>
      </c>
      <c r="F1531" t="s">
        <v>15</v>
      </c>
      <c r="G1531" t="s">
        <v>26</v>
      </c>
      <c r="H1531" t="s">
        <v>34</v>
      </c>
      <c r="I1531">
        <v>1</v>
      </c>
      <c r="J1531">
        <v>0</v>
      </c>
      <c r="K1531">
        <v>183.51</v>
      </c>
      <c r="L1531">
        <v>4.08</v>
      </c>
      <c r="M1531" t="s">
        <v>2460</v>
      </c>
      <c r="N1531" t="s">
        <v>2458</v>
      </c>
      <c r="O1531" t="s">
        <v>2461</v>
      </c>
      <c r="P1531">
        <v>119.02</v>
      </c>
      <c r="Q1531">
        <v>205.39</v>
      </c>
      <c r="R1531">
        <v>119.02</v>
      </c>
      <c r="S1531">
        <v>60.41</v>
      </c>
      <c r="T1531">
        <v>0.32919186965287994</v>
      </c>
      <c r="U1531" s="1">
        <v>45839</v>
      </c>
      <c r="V1531" t="s">
        <v>2499</v>
      </c>
      <c r="W1531">
        <v>2025</v>
      </c>
    </row>
    <row r="1532" spans="1:23" x14ac:dyDescent="0.25">
      <c r="A1532" t="s">
        <v>1579</v>
      </c>
      <c r="B1532" s="1">
        <v>46019</v>
      </c>
      <c r="C1532" s="1">
        <v>46022</v>
      </c>
      <c r="D1532" t="s">
        <v>47</v>
      </c>
      <c r="E1532" t="s">
        <v>48</v>
      </c>
      <c r="F1532" t="s">
        <v>15</v>
      </c>
      <c r="G1532" t="s">
        <v>20</v>
      </c>
      <c r="H1532" t="s">
        <v>51</v>
      </c>
      <c r="I1532">
        <v>11</v>
      </c>
      <c r="J1532">
        <v>0</v>
      </c>
      <c r="K1532">
        <v>243.02</v>
      </c>
      <c r="L1532">
        <v>5.67</v>
      </c>
      <c r="M1532" t="s">
        <v>2475</v>
      </c>
      <c r="N1532" t="s">
        <v>2474</v>
      </c>
      <c r="O1532" t="s">
        <v>2463</v>
      </c>
      <c r="P1532">
        <v>7.93</v>
      </c>
      <c r="Q1532">
        <v>14.78</v>
      </c>
      <c r="R1532">
        <v>87.22999999999999</v>
      </c>
      <c r="S1532">
        <v>150.12000000000003</v>
      </c>
      <c r="T1532">
        <v>0.61772693605464579</v>
      </c>
      <c r="U1532" s="1">
        <v>45992</v>
      </c>
      <c r="V1532" t="s">
        <v>2499</v>
      </c>
      <c r="W1532">
        <v>2025</v>
      </c>
    </row>
    <row r="1533" spans="1:23" x14ac:dyDescent="0.25">
      <c r="A1533" t="s">
        <v>1580</v>
      </c>
      <c r="B1533" s="1">
        <v>45714</v>
      </c>
      <c r="C1533" s="1">
        <v>45716</v>
      </c>
      <c r="D1533" t="s">
        <v>23</v>
      </c>
      <c r="E1533" t="s">
        <v>43</v>
      </c>
      <c r="F1533" t="s">
        <v>25</v>
      </c>
      <c r="G1533" t="s">
        <v>20</v>
      </c>
      <c r="H1533" t="s">
        <v>34</v>
      </c>
      <c r="I1533">
        <v>3</v>
      </c>
      <c r="J1533">
        <v>0</v>
      </c>
      <c r="K1533">
        <v>570.64</v>
      </c>
      <c r="L1533">
        <v>11.4</v>
      </c>
      <c r="M1533" t="s">
        <v>2460</v>
      </c>
      <c r="N1533" t="s">
        <v>2458</v>
      </c>
      <c r="O1533" t="s">
        <v>2461</v>
      </c>
      <c r="P1533">
        <v>119.02</v>
      </c>
      <c r="Q1533">
        <v>205.39</v>
      </c>
      <c r="R1533">
        <v>357.06</v>
      </c>
      <c r="S1533">
        <v>202.17999999999998</v>
      </c>
      <c r="T1533">
        <v>0.35430393943642224</v>
      </c>
      <c r="U1533" s="1">
        <v>45689</v>
      </c>
      <c r="V1533" t="s">
        <v>2499</v>
      </c>
      <c r="W1533">
        <v>2025</v>
      </c>
    </row>
    <row r="1534" spans="1:23" x14ac:dyDescent="0.25">
      <c r="A1534" t="s">
        <v>1581</v>
      </c>
      <c r="B1534" s="1">
        <v>45788</v>
      </c>
      <c r="C1534" s="1">
        <v>45792</v>
      </c>
      <c r="D1534" t="s">
        <v>23</v>
      </c>
      <c r="E1534" t="s">
        <v>59</v>
      </c>
      <c r="F1534" t="s">
        <v>15</v>
      </c>
      <c r="G1534" t="s">
        <v>16</v>
      </c>
      <c r="H1534" t="s">
        <v>51</v>
      </c>
      <c r="I1534">
        <v>16</v>
      </c>
      <c r="J1534">
        <v>0</v>
      </c>
      <c r="K1534">
        <v>252.16</v>
      </c>
      <c r="L1534">
        <v>11.7</v>
      </c>
      <c r="M1534" t="s">
        <v>2475</v>
      </c>
      <c r="N1534" t="s">
        <v>2474</v>
      </c>
      <c r="O1534" t="s">
        <v>2463</v>
      </c>
      <c r="P1534">
        <v>7.93</v>
      </c>
      <c r="Q1534">
        <v>14.78</v>
      </c>
      <c r="R1534">
        <v>126.88</v>
      </c>
      <c r="S1534">
        <v>113.58</v>
      </c>
      <c r="T1534">
        <v>0.45042829949238578</v>
      </c>
      <c r="U1534" s="1">
        <v>45778</v>
      </c>
      <c r="V1534" t="s">
        <v>2499</v>
      </c>
      <c r="W1534">
        <v>2025</v>
      </c>
    </row>
    <row r="1535" spans="1:23" x14ac:dyDescent="0.25">
      <c r="A1535" t="s">
        <v>1582</v>
      </c>
      <c r="B1535" s="1">
        <v>45475</v>
      </c>
      <c r="C1535" s="1">
        <v>45480</v>
      </c>
      <c r="D1535" t="s">
        <v>13</v>
      </c>
      <c r="E1535" t="s">
        <v>14</v>
      </c>
      <c r="F1535" t="s">
        <v>25</v>
      </c>
      <c r="G1535" t="s">
        <v>26</v>
      </c>
      <c r="H1535" t="s">
        <v>34</v>
      </c>
      <c r="I1535">
        <v>2</v>
      </c>
      <c r="J1535">
        <v>0</v>
      </c>
      <c r="K1535">
        <v>383.65</v>
      </c>
      <c r="L1535">
        <v>5.46</v>
      </c>
      <c r="M1535" t="s">
        <v>2460</v>
      </c>
      <c r="N1535" t="s">
        <v>2458</v>
      </c>
      <c r="O1535" t="s">
        <v>2461</v>
      </c>
      <c r="P1535">
        <v>119.02</v>
      </c>
      <c r="Q1535">
        <v>205.39</v>
      </c>
      <c r="R1535">
        <v>238.04</v>
      </c>
      <c r="S1535">
        <v>140.14999999999998</v>
      </c>
      <c r="T1535">
        <v>0.36530692037012896</v>
      </c>
      <c r="U1535" s="1">
        <v>45474</v>
      </c>
      <c r="V1535" t="s">
        <v>2499</v>
      </c>
      <c r="W1535">
        <v>2024</v>
      </c>
    </row>
    <row r="1536" spans="1:23" x14ac:dyDescent="0.25">
      <c r="A1536" t="s">
        <v>1583</v>
      </c>
      <c r="B1536" s="1">
        <v>45634</v>
      </c>
      <c r="C1536" s="1">
        <v>45637</v>
      </c>
      <c r="D1536" t="s">
        <v>32</v>
      </c>
      <c r="E1536" t="s">
        <v>33</v>
      </c>
      <c r="F1536" t="s">
        <v>25</v>
      </c>
      <c r="G1536" t="s">
        <v>16</v>
      </c>
      <c r="H1536" t="s">
        <v>37</v>
      </c>
      <c r="I1536">
        <v>3</v>
      </c>
      <c r="J1536">
        <v>0.2</v>
      </c>
      <c r="K1536">
        <v>374.81</v>
      </c>
      <c r="L1536">
        <v>11.4</v>
      </c>
      <c r="M1536" t="s">
        <v>2464</v>
      </c>
      <c r="N1536" t="s">
        <v>2458</v>
      </c>
      <c r="O1536" t="s">
        <v>2465</v>
      </c>
      <c r="P1536">
        <v>63.6</v>
      </c>
      <c r="Q1536">
        <v>107.94</v>
      </c>
      <c r="R1536">
        <v>190.8</v>
      </c>
      <c r="S1536">
        <v>172.60999999999999</v>
      </c>
      <c r="T1536">
        <v>0.46052666684453453</v>
      </c>
      <c r="U1536" s="1">
        <v>45627</v>
      </c>
      <c r="V1536" t="s">
        <v>2500</v>
      </c>
      <c r="W1536">
        <v>2024</v>
      </c>
    </row>
    <row r="1537" spans="1:23" x14ac:dyDescent="0.25">
      <c r="A1537" t="s">
        <v>1584</v>
      </c>
      <c r="B1537" s="1">
        <v>45583</v>
      </c>
      <c r="C1537" s="1">
        <v>45585</v>
      </c>
      <c r="D1537" t="s">
        <v>32</v>
      </c>
      <c r="E1537" t="s">
        <v>45</v>
      </c>
      <c r="F1537" t="s">
        <v>25</v>
      </c>
      <c r="G1537" t="s">
        <v>16</v>
      </c>
      <c r="H1537" t="s">
        <v>41</v>
      </c>
      <c r="I1537">
        <v>10</v>
      </c>
      <c r="J1537">
        <v>0.1</v>
      </c>
      <c r="K1537">
        <v>67.52</v>
      </c>
      <c r="L1537">
        <v>9</v>
      </c>
      <c r="M1537" t="s">
        <v>2479</v>
      </c>
      <c r="N1537" t="s">
        <v>2474</v>
      </c>
      <c r="O1537" t="s">
        <v>2459</v>
      </c>
      <c r="P1537">
        <v>3.3</v>
      </c>
      <c r="Q1537">
        <v>6.13</v>
      </c>
      <c r="R1537">
        <v>33</v>
      </c>
      <c r="S1537">
        <v>25.519999999999996</v>
      </c>
      <c r="T1537">
        <v>0.37796208530805686</v>
      </c>
      <c r="U1537" s="1">
        <v>45566</v>
      </c>
      <c r="V1537" t="s">
        <v>2498</v>
      </c>
      <c r="W1537">
        <v>2024</v>
      </c>
    </row>
    <row r="1538" spans="1:23" x14ac:dyDescent="0.25">
      <c r="A1538" t="s">
        <v>1585</v>
      </c>
      <c r="B1538" s="1">
        <v>46012</v>
      </c>
      <c r="C1538" s="1">
        <v>46018</v>
      </c>
      <c r="D1538" t="s">
        <v>47</v>
      </c>
      <c r="E1538" t="s">
        <v>48</v>
      </c>
      <c r="F1538" t="s">
        <v>29</v>
      </c>
      <c r="G1538" t="s">
        <v>26</v>
      </c>
      <c r="H1538" t="s">
        <v>34</v>
      </c>
      <c r="I1538">
        <v>4</v>
      </c>
      <c r="J1538">
        <v>0.15</v>
      </c>
      <c r="K1538">
        <v>977.93</v>
      </c>
      <c r="L1538">
        <v>8.2200000000000006</v>
      </c>
      <c r="M1538" t="s">
        <v>2460</v>
      </c>
      <c r="N1538" t="s">
        <v>2458</v>
      </c>
      <c r="O1538" t="s">
        <v>2461</v>
      </c>
      <c r="P1538">
        <v>119.02</v>
      </c>
      <c r="Q1538">
        <v>205.39</v>
      </c>
      <c r="R1538">
        <v>476.08</v>
      </c>
      <c r="S1538">
        <v>493.62999999999994</v>
      </c>
      <c r="T1538">
        <v>0.50477028008139635</v>
      </c>
      <c r="U1538" s="1">
        <v>45992</v>
      </c>
      <c r="V1538" t="s">
        <v>2500</v>
      </c>
      <c r="W1538">
        <v>2025</v>
      </c>
    </row>
    <row r="1539" spans="1:23" x14ac:dyDescent="0.25">
      <c r="A1539" t="s">
        <v>1586</v>
      </c>
      <c r="B1539" s="1">
        <v>45706</v>
      </c>
      <c r="C1539" s="1">
        <v>45709</v>
      </c>
      <c r="D1539" t="s">
        <v>47</v>
      </c>
      <c r="E1539" t="s">
        <v>50</v>
      </c>
      <c r="F1539" t="s">
        <v>25</v>
      </c>
      <c r="G1539" t="s">
        <v>20</v>
      </c>
      <c r="H1539" t="s">
        <v>34</v>
      </c>
      <c r="I1539">
        <v>1</v>
      </c>
      <c r="J1539">
        <v>0</v>
      </c>
      <c r="K1539">
        <v>185.4</v>
      </c>
      <c r="L1539">
        <v>6.8</v>
      </c>
      <c r="M1539" t="s">
        <v>2460</v>
      </c>
      <c r="N1539" t="s">
        <v>2458</v>
      </c>
      <c r="O1539" t="s">
        <v>2461</v>
      </c>
      <c r="P1539">
        <v>119.02</v>
      </c>
      <c r="Q1539">
        <v>205.39</v>
      </c>
      <c r="R1539">
        <v>119.02</v>
      </c>
      <c r="S1539">
        <v>59.580000000000013</v>
      </c>
      <c r="T1539">
        <v>0.32135922330097094</v>
      </c>
      <c r="U1539" s="1">
        <v>45689</v>
      </c>
      <c r="V1539" t="s">
        <v>2499</v>
      </c>
      <c r="W1539">
        <v>2025</v>
      </c>
    </row>
    <row r="1540" spans="1:23" x14ac:dyDescent="0.25">
      <c r="A1540" t="s">
        <v>1587</v>
      </c>
      <c r="B1540" s="1">
        <v>45550</v>
      </c>
      <c r="C1540" s="1">
        <v>45555</v>
      </c>
      <c r="D1540" t="s">
        <v>47</v>
      </c>
      <c r="E1540" t="s">
        <v>71</v>
      </c>
      <c r="F1540" t="s">
        <v>15</v>
      </c>
      <c r="G1540" t="s">
        <v>26</v>
      </c>
      <c r="H1540" t="s">
        <v>30</v>
      </c>
      <c r="I1540">
        <v>6</v>
      </c>
      <c r="J1540">
        <v>0.1</v>
      </c>
      <c r="K1540">
        <v>34.1</v>
      </c>
      <c r="L1540">
        <v>7.2</v>
      </c>
      <c r="M1540" t="s">
        <v>2473</v>
      </c>
      <c r="N1540" t="s">
        <v>2474</v>
      </c>
      <c r="O1540" t="s">
        <v>2463</v>
      </c>
      <c r="P1540">
        <v>3.62</v>
      </c>
      <c r="Q1540">
        <v>6.03</v>
      </c>
      <c r="R1540">
        <v>21.72</v>
      </c>
      <c r="S1540">
        <v>5.1800000000000024</v>
      </c>
      <c r="T1540">
        <v>0.15190615835777133</v>
      </c>
      <c r="U1540" s="1">
        <v>45536</v>
      </c>
      <c r="V1540" t="s">
        <v>2498</v>
      </c>
      <c r="W1540">
        <v>2024</v>
      </c>
    </row>
    <row r="1541" spans="1:23" x14ac:dyDescent="0.25">
      <c r="A1541" t="s">
        <v>1588</v>
      </c>
      <c r="B1541" s="1">
        <v>45353</v>
      </c>
      <c r="C1541" s="1">
        <v>45354</v>
      </c>
      <c r="D1541" t="s">
        <v>23</v>
      </c>
      <c r="E1541" t="s">
        <v>59</v>
      </c>
      <c r="F1541" t="s">
        <v>15</v>
      </c>
      <c r="G1541" t="s">
        <v>20</v>
      </c>
      <c r="H1541" t="s">
        <v>34</v>
      </c>
      <c r="I1541">
        <v>2</v>
      </c>
      <c r="J1541">
        <v>0</v>
      </c>
      <c r="K1541">
        <v>366.75</v>
      </c>
      <c r="L1541">
        <v>5.46</v>
      </c>
      <c r="M1541" t="s">
        <v>2460</v>
      </c>
      <c r="N1541" t="s">
        <v>2458</v>
      </c>
      <c r="O1541" t="s">
        <v>2461</v>
      </c>
      <c r="P1541">
        <v>119.02</v>
      </c>
      <c r="Q1541">
        <v>205.39</v>
      </c>
      <c r="R1541">
        <v>238.04</v>
      </c>
      <c r="S1541">
        <v>123.25000000000001</v>
      </c>
      <c r="T1541">
        <v>0.3360599863667349</v>
      </c>
      <c r="U1541" s="1">
        <v>45352</v>
      </c>
      <c r="V1541" t="s">
        <v>2499</v>
      </c>
      <c r="W1541">
        <v>2024</v>
      </c>
    </row>
    <row r="1542" spans="1:23" x14ac:dyDescent="0.25">
      <c r="A1542" t="s">
        <v>1589</v>
      </c>
      <c r="B1542" s="1">
        <v>45792</v>
      </c>
      <c r="C1542" s="1">
        <v>45795</v>
      </c>
      <c r="D1542" t="s">
        <v>13</v>
      </c>
      <c r="E1542" t="s">
        <v>36</v>
      </c>
      <c r="F1542" t="s">
        <v>29</v>
      </c>
      <c r="G1542" t="s">
        <v>26</v>
      </c>
      <c r="H1542" t="s">
        <v>53</v>
      </c>
      <c r="I1542">
        <v>2</v>
      </c>
      <c r="J1542">
        <v>0.15</v>
      </c>
      <c r="K1542">
        <v>94.3</v>
      </c>
      <c r="L1542">
        <v>7</v>
      </c>
      <c r="M1542" t="s">
        <v>2470</v>
      </c>
      <c r="N1542" t="s">
        <v>2467</v>
      </c>
      <c r="O1542" t="s">
        <v>2459</v>
      </c>
      <c r="P1542">
        <v>31.34</v>
      </c>
      <c r="Q1542">
        <v>56.49</v>
      </c>
      <c r="R1542">
        <v>62.68</v>
      </c>
      <c r="S1542">
        <v>24.619999999999997</v>
      </c>
      <c r="T1542">
        <v>0.26108165429480379</v>
      </c>
      <c r="U1542" s="1">
        <v>45778</v>
      </c>
      <c r="V1542" t="s">
        <v>2500</v>
      </c>
      <c r="W1542">
        <v>2025</v>
      </c>
    </row>
    <row r="1543" spans="1:23" x14ac:dyDescent="0.25">
      <c r="A1543" t="s">
        <v>1590</v>
      </c>
      <c r="B1543" s="1">
        <v>45386</v>
      </c>
      <c r="C1543" s="1">
        <v>45389</v>
      </c>
      <c r="D1543" t="s">
        <v>47</v>
      </c>
      <c r="E1543" t="s">
        <v>50</v>
      </c>
      <c r="F1543" t="s">
        <v>25</v>
      </c>
      <c r="G1543" t="s">
        <v>26</v>
      </c>
      <c r="H1543" t="s">
        <v>68</v>
      </c>
      <c r="I1543">
        <v>3</v>
      </c>
      <c r="J1543">
        <v>0.1</v>
      </c>
      <c r="K1543">
        <v>142.11000000000001</v>
      </c>
      <c r="L1543">
        <v>4.95</v>
      </c>
      <c r="M1543" t="s">
        <v>2466</v>
      </c>
      <c r="N1543" t="s">
        <v>2467</v>
      </c>
      <c r="O1543" t="s">
        <v>2468</v>
      </c>
      <c r="P1543">
        <v>25.33</v>
      </c>
      <c r="Q1543">
        <v>51.56</v>
      </c>
      <c r="R1543">
        <v>75.989999999999995</v>
      </c>
      <c r="S1543">
        <v>61.170000000000016</v>
      </c>
      <c r="T1543">
        <v>0.43044120751530512</v>
      </c>
      <c r="U1543" s="1">
        <v>45383</v>
      </c>
      <c r="V1543" t="s">
        <v>2498</v>
      </c>
      <c r="W1543">
        <v>2024</v>
      </c>
    </row>
    <row r="1544" spans="1:23" x14ac:dyDescent="0.25">
      <c r="A1544" t="s">
        <v>1591</v>
      </c>
      <c r="B1544" s="1">
        <v>45549</v>
      </c>
      <c r="C1544" s="1">
        <v>45550</v>
      </c>
      <c r="D1544" t="s">
        <v>47</v>
      </c>
      <c r="E1544" t="s">
        <v>71</v>
      </c>
      <c r="F1544" t="s">
        <v>25</v>
      </c>
      <c r="G1544" t="s">
        <v>16</v>
      </c>
      <c r="H1544" t="s">
        <v>53</v>
      </c>
      <c r="I1544">
        <v>1</v>
      </c>
      <c r="J1544">
        <v>0.25</v>
      </c>
      <c r="K1544">
        <v>45.31</v>
      </c>
      <c r="L1544">
        <v>5.75</v>
      </c>
      <c r="M1544" t="s">
        <v>2470</v>
      </c>
      <c r="N1544" t="s">
        <v>2467</v>
      </c>
      <c r="O1544" t="s">
        <v>2459</v>
      </c>
      <c r="P1544">
        <v>31.34</v>
      </c>
      <c r="Q1544">
        <v>56.49</v>
      </c>
      <c r="R1544">
        <v>31.34</v>
      </c>
      <c r="S1544">
        <v>8.2200000000000024</v>
      </c>
      <c r="T1544">
        <v>0.18141690576031785</v>
      </c>
      <c r="U1544" s="1">
        <v>45536</v>
      </c>
      <c r="V1544" t="s">
        <v>2501</v>
      </c>
      <c r="W1544">
        <v>2024</v>
      </c>
    </row>
    <row r="1545" spans="1:23" x14ac:dyDescent="0.25">
      <c r="A1545" t="s">
        <v>1592</v>
      </c>
      <c r="B1545" s="1">
        <v>45605</v>
      </c>
      <c r="C1545" s="1">
        <v>45608</v>
      </c>
      <c r="D1545" t="s">
        <v>47</v>
      </c>
      <c r="E1545" t="s">
        <v>71</v>
      </c>
      <c r="F1545" t="s">
        <v>25</v>
      </c>
      <c r="G1545" t="s">
        <v>26</v>
      </c>
      <c r="H1545" t="s">
        <v>37</v>
      </c>
      <c r="I1545">
        <v>1</v>
      </c>
      <c r="J1545">
        <v>0</v>
      </c>
      <c r="K1545">
        <v>151.27000000000001</v>
      </c>
      <c r="L1545">
        <v>4.08</v>
      </c>
      <c r="M1545" t="s">
        <v>2464</v>
      </c>
      <c r="N1545" t="s">
        <v>2458</v>
      </c>
      <c r="O1545" t="s">
        <v>2465</v>
      </c>
      <c r="P1545">
        <v>63.6</v>
      </c>
      <c r="Q1545">
        <v>107.94</v>
      </c>
      <c r="R1545">
        <v>63.6</v>
      </c>
      <c r="S1545">
        <v>83.590000000000018</v>
      </c>
      <c r="T1545">
        <v>0.5525880875256165</v>
      </c>
      <c r="U1545" s="1">
        <v>45597</v>
      </c>
      <c r="V1545" t="s">
        <v>2499</v>
      </c>
      <c r="W1545">
        <v>2024</v>
      </c>
    </row>
    <row r="1546" spans="1:23" x14ac:dyDescent="0.25">
      <c r="A1546" t="s">
        <v>1593</v>
      </c>
      <c r="B1546" s="1">
        <v>45647</v>
      </c>
      <c r="C1546" s="1">
        <v>45652</v>
      </c>
      <c r="D1546" t="s">
        <v>23</v>
      </c>
      <c r="E1546" t="s">
        <v>24</v>
      </c>
      <c r="F1546" t="s">
        <v>15</v>
      </c>
      <c r="G1546" t="s">
        <v>20</v>
      </c>
      <c r="H1546" t="s">
        <v>41</v>
      </c>
      <c r="I1546">
        <v>16</v>
      </c>
      <c r="J1546">
        <v>0</v>
      </c>
      <c r="K1546">
        <v>136.38</v>
      </c>
      <c r="L1546">
        <v>11.7</v>
      </c>
      <c r="M1546" t="s">
        <v>2479</v>
      </c>
      <c r="N1546" t="s">
        <v>2474</v>
      </c>
      <c r="O1546" t="s">
        <v>2459</v>
      </c>
      <c r="P1546">
        <v>3.3</v>
      </c>
      <c r="Q1546">
        <v>6.13</v>
      </c>
      <c r="R1546">
        <v>52.8</v>
      </c>
      <c r="S1546">
        <v>71.88</v>
      </c>
      <c r="T1546">
        <v>0.5270567531896172</v>
      </c>
      <c r="U1546" s="1">
        <v>45627</v>
      </c>
      <c r="V1546" t="s">
        <v>2499</v>
      </c>
      <c r="W1546">
        <v>2024</v>
      </c>
    </row>
    <row r="1547" spans="1:23" x14ac:dyDescent="0.25">
      <c r="A1547" t="s">
        <v>1594</v>
      </c>
      <c r="B1547" s="1">
        <v>45406</v>
      </c>
      <c r="C1547" s="1">
        <v>45412</v>
      </c>
      <c r="D1547" t="s">
        <v>23</v>
      </c>
      <c r="E1547" t="s">
        <v>59</v>
      </c>
      <c r="F1547" t="s">
        <v>29</v>
      </c>
      <c r="G1547" t="s">
        <v>26</v>
      </c>
      <c r="H1547" t="s">
        <v>87</v>
      </c>
      <c r="I1547">
        <v>10</v>
      </c>
      <c r="J1547">
        <v>0</v>
      </c>
      <c r="K1547">
        <v>83.61</v>
      </c>
      <c r="L1547">
        <v>9</v>
      </c>
      <c r="M1547" t="s">
        <v>2476</v>
      </c>
      <c r="N1547" t="s">
        <v>2474</v>
      </c>
      <c r="O1547" t="s">
        <v>2459</v>
      </c>
      <c r="P1547">
        <v>4.5</v>
      </c>
      <c r="Q1547">
        <v>8.2899999999999991</v>
      </c>
      <c r="R1547">
        <v>45</v>
      </c>
      <c r="S1547">
        <v>29.61</v>
      </c>
      <c r="T1547">
        <v>0.35414424111948334</v>
      </c>
      <c r="U1547" s="1">
        <v>45383</v>
      </c>
      <c r="V1547" t="s">
        <v>2499</v>
      </c>
      <c r="W1547">
        <v>2024</v>
      </c>
    </row>
    <row r="1548" spans="1:23" x14ac:dyDescent="0.25">
      <c r="A1548" t="s">
        <v>1595</v>
      </c>
      <c r="B1548" s="1">
        <v>45548</v>
      </c>
      <c r="C1548" s="1">
        <v>45554</v>
      </c>
      <c r="D1548" t="s">
        <v>23</v>
      </c>
      <c r="E1548" t="s">
        <v>24</v>
      </c>
      <c r="F1548" t="s">
        <v>25</v>
      </c>
      <c r="G1548" t="s">
        <v>26</v>
      </c>
      <c r="H1548" t="s">
        <v>41</v>
      </c>
      <c r="I1548">
        <v>14</v>
      </c>
      <c r="J1548">
        <v>0.25</v>
      </c>
      <c r="K1548">
        <v>65.5</v>
      </c>
      <c r="L1548">
        <v>10.8</v>
      </c>
      <c r="M1548" t="s">
        <v>2479</v>
      </c>
      <c r="N1548" t="s">
        <v>2474</v>
      </c>
      <c r="O1548" t="s">
        <v>2459</v>
      </c>
      <c r="P1548">
        <v>3.3</v>
      </c>
      <c r="Q1548">
        <v>6.13</v>
      </c>
      <c r="R1548">
        <v>46.199999999999996</v>
      </c>
      <c r="S1548">
        <v>8.5000000000000036</v>
      </c>
      <c r="T1548">
        <v>0.12977099236641226</v>
      </c>
      <c r="U1548" s="1">
        <v>45536</v>
      </c>
      <c r="V1548" t="s">
        <v>2501</v>
      </c>
      <c r="W1548">
        <v>2024</v>
      </c>
    </row>
    <row r="1549" spans="1:23" x14ac:dyDescent="0.25">
      <c r="A1549" t="s">
        <v>1596</v>
      </c>
      <c r="B1549" s="1">
        <v>45810</v>
      </c>
      <c r="C1549" s="1">
        <v>45816</v>
      </c>
      <c r="D1549" t="s">
        <v>23</v>
      </c>
      <c r="E1549" t="s">
        <v>59</v>
      </c>
      <c r="F1549" t="s">
        <v>25</v>
      </c>
      <c r="G1549" t="s">
        <v>20</v>
      </c>
      <c r="H1549" t="s">
        <v>87</v>
      </c>
      <c r="I1549">
        <v>5</v>
      </c>
      <c r="J1549">
        <v>0.25</v>
      </c>
      <c r="K1549">
        <v>32.03</v>
      </c>
      <c r="L1549">
        <v>4.05</v>
      </c>
      <c r="M1549" t="s">
        <v>2476</v>
      </c>
      <c r="N1549" t="s">
        <v>2474</v>
      </c>
      <c r="O1549" t="s">
        <v>2459</v>
      </c>
      <c r="P1549">
        <v>4.5</v>
      </c>
      <c r="Q1549">
        <v>8.2899999999999991</v>
      </c>
      <c r="R1549">
        <v>22.5</v>
      </c>
      <c r="S1549">
        <v>5.4800000000000013</v>
      </c>
      <c r="T1549">
        <v>0.17108960349672186</v>
      </c>
      <c r="U1549" s="1">
        <v>45809</v>
      </c>
      <c r="V1549" t="s">
        <v>2501</v>
      </c>
      <c r="W1549">
        <v>2025</v>
      </c>
    </row>
    <row r="1550" spans="1:23" x14ac:dyDescent="0.25">
      <c r="A1550" t="s">
        <v>1597</v>
      </c>
      <c r="B1550" s="1">
        <v>45908</v>
      </c>
      <c r="C1550" s="1">
        <v>45913</v>
      </c>
      <c r="D1550" t="s">
        <v>13</v>
      </c>
      <c r="E1550" t="s">
        <v>19</v>
      </c>
      <c r="F1550" t="s">
        <v>25</v>
      </c>
      <c r="G1550" t="s">
        <v>16</v>
      </c>
      <c r="H1550" t="s">
        <v>30</v>
      </c>
      <c r="I1550">
        <v>10</v>
      </c>
      <c r="J1550">
        <v>0</v>
      </c>
      <c r="K1550">
        <v>67.31</v>
      </c>
      <c r="L1550">
        <v>5.4</v>
      </c>
      <c r="M1550" t="s">
        <v>2473</v>
      </c>
      <c r="N1550" t="s">
        <v>2474</v>
      </c>
      <c r="O1550" t="s">
        <v>2463</v>
      </c>
      <c r="P1550">
        <v>3.62</v>
      </c>
      <c r="Q1550">
        <v>6.03</v>
      </c>
      <c r="R1550">
        <v>36.200000000000003</v>
      </c>
      <c r="S1550">
        <v>25.71</v>
      </c>
      <c r="T1550">
        <v>0.38196404694696184</v>
      </c>
      <c r="U1550" s="1">
        <v>45901</v>
      </c>
      <c r="V1550" t="s">
        <v>2499</v>
      </c>
      <c r="W1550">
        <v>2025</v>
      </c>
    </row>
    <row r="1551" spans="1:23" x14ac:dyDescent="0.25">
      <c r="A1551" t="s">
        <v>1598</v>
      </c>
      <c r="B1551" s="1">
        <v>45397</v>
      </c>
      <c r="C1551" s="1">
        <v>45398</v>
      </c>
      <c r="D1551" t="s">
        <v>47</v>
      </c>
      <c r="E1551" t="s">
        <v>50</v>
      </c>
      <c r="F1551" t="s">
        <v>29</v>
      </c>
      <c r="G1551" t="s">
        <v>20</v>
      </c>
      <c r="H1551" t="s">
        <v>39</v>
      </c>
      <c r="I1551">
        <v>1</v>
      </c>
      <c r="J1551">
        <v>0.05</v>
      </c>
      <c r="K1551">
        <v>183.4</v>
      </c>
      <c r="L1551">
        <v>3.45</v>
      </c>
      <c r="M1551" t="s">
        <v>2471</v>
      </c>
      <c r="N1551" t="s">
        <v>2467</v>
      </c>
      <c r="O1551" t="s">
        <v>2461</v>
      </c>
      <c r="P1551">
        <v>112.09</v>
      </c>
      <c r="Q1551">
        <v>192.47</v>
      </c>
      <c r="R1551">
        <v>112.09</v>
      </c>
      <c r="S1551">
        <v>67.86</v>
      </c>
      <c r="T1551">
        <v>0.37001090512540891</v>
      </c>
      <c r="U1551" s="1">
        <v>45383</v>
      </c>
      <c r="V1551" t="s">
        <v>2498</v>
      </c>
      <c r="W1551">
        <v>2024</v>
      </c>
    </row>
    <row r="1552" spans="1:23" x14ac:dyDescent="0.25">
      <c r="A1552" t="s">
        <v>1599</v>
      </c>
      <c r="B1552" s="1">
        <v>45787</v>
      </c>
      <c r="C1552" s="1">
        <v>45789</v>
      </c>
      <c r="D1552" t="s">
        <v>13</v>
      </c>
      <c r="E1552" t="s">
        <v>19</v>
      </c>
      <c r="F1552" t="s">
        <v>29</v>
      </c>
      <c r="G1552" t="s">
        <v>26</v>
      </c>
      <c r="H1552" t="s">
        <v>65</v>
      </c>
      <c r="I1552">
        <v>2</v>
      </c>
      <c r="J1552">
        <v>0.15</v>
      </c>
      <c r="K1552">
        <v>508.14</v>
      </c>
      <c r="L1552">
        <v>5.46</v>
      </c>
      <c r="M1552" t="s">
        <v>2457</v>
      </c>
      <c r="N1552" t="s">
        <v>2458</v>
      </c>
      <c r="O1552" t="s">
        <v>2459</v>
      </c>
      <c r="P1552">
        <v>173.56</v>
      </c>
      <c r="Q1552">
        <v>286.14999999999998</v>
      </c>
      <c r="R1552">
        <v>347.12</v>
      </c>
      <c r="S1552">
        <v>155.55999999999997</v>
      </c>
      <c r="T1552">
        <v>0.3061361042232455</v>
      </c>
      <c r="U1552" s="1">
        <v>45778</v>
      </c>
      <c r="V1552" t="s">
        <v>2500</v>
      </c>
      <c r="W1552">
        <v>2025</v>
      </c>
    </row>
    <row r="1553" spans="1:23" x14ac:dyDescent="0.25">
      <c r="A1553" t="s">
        <v>1600</v>
      </c>
      <c r="B1553" s="1">
        <v>45663</v>
      </c>
      <c r="C1553" s="1">
        <v>45664</v>
      </c>
      <c r="D1553" t="s">
        <v>23</v>
      </c>
      <c r="E1553" t="s">
        <v>59</v>
      </c>
      <c r="F1553" t="s">
        <v>25</v>
      </c>
      <c r="G1553" t="s">
        <v>16</v>
      </c>
      <c r="H1553" t="s">
        <v>34</v>
      </c>
      <c r="I1553">
        <v>3</v>
      </c>
      <c r="J1553">
        <v>0.25</v>
      </c>
      <c r="K1553">
        <v>390.17</v>
      </c>
      <c r="L1553">
        <v>6.84</v>
      </c>
      <c r="M1553" t="s">
        <v>2460</v>
      </c>
      <c r="N1553" t="s">
        <v>2458</v>
      </c>
      <c r="O1553" t="s">
        <v>2461</v>
      </c>
      <c r="P1553">
        <v>119.02</v>
      </c>
      <c r="Q1553">
        <v>205.39</v>
      </c>
      <c r="R1553">
        <v>357.06</v>
      </c>
      <c r="S1553">
        <v>26.270000000000014</v>
      </c>
      <c r="T1553">
        <v>6.7329625547838154E-2</v>
      </c>
      <c r="U1553" s="1">
        <v>45658</v>
      </c>
      <c r="V1553" t="s">
        <v>2501</v>
      </c>
      <c r="W1553">
        <v>2025</v>
      </c>
    </row>
    <row r="1554" spans="1:23" x14ac:dyDescent="0.25">
      <c r="A1554" t="s">
        <v>1601</v>
      </c>
      <c r="B1554" s="1">
        <v>45609</v>
      </c>
      <c r="C1554" s="1">
        <v>45614</v>
      </c>
      <c r="D1554" t="s">
        <v>47</v>
      </c>
      <c r="E1554" t="s">
        <v>48</v>
      </c>
      <c r="F1554" t="s">
        <v>29</v>
      </c>
      <c r="G1554" t="s">
        <v>20</v>
      </c>
      <c r="H1554" t="s">
        <v>39</v>
      </c>
      <c r="I1554">
        <v>1</v>
      </c>
      <c r="J1554">
        <v>0</v>
      </c>
      <c r="K1554">
        <v>260.24</v>
      </c>
      <c r="L1554">
        <v>3.45</v>
      </c>
      <c r="M1554" t="s">
        <v>2471</v>
      </c>
      <c r="N1554" t="s">
        <v>2467</v>
      </c>
      <c r="O1554" t="s">
        <v>2461</v>
      </c>
      <c r="P1554">
        <v>112.09</v>
      </c>
      <c r="Q1554">
        <v>192.47</v>
      </c>
      <c r="R1554">
        <v>112.09</v>
      </c>
      <c r="S1554">
        <v>144.70000000000002</v>
      </c>
      <c r="T1554">
        <v>0.55602520750076856</v>
      </c>
      <c r="U1554" s="1">
        <v>45597</v>
      </c>
      <c r="V1554" t="s">
        <v>2499</v>
      </c>
      <c r="W1554">
        <v>2024</v>
      </c>
    </row>
    <row r="1555" spans="1:23" x14ac:dyDescent="0.25">
      <c r="A1555" t="s">
        <v>1602</v>
      </c>
      <c r="B1555" s="1">
        <v>45719</v>
      </c>
      <c r="C1555" s="1">
        <v>45724</v>
      </c>
      <c r="D1555" t="s">
        <v>23</v>
      </c>
      <c r="E1555" t="s">
        <v>43</v>
      </c>
      <c r="F1555" t="s">
        <v>15</v>
      </c>
      <c r="G1555" t="s">
        <v>26</v>
      </c>
      <c r="H1555" t="s">
        <v>30</v>
      </c>
      <c r="I1555">
        <v>7</v>
      </c>
      <c r="J1555">
        <v>0</v>
      </c>
      <c r="K1555">
        <v>40.270000000000003</v>
      </c>
      <c r="L1555">
        <v>4.59</v>
      </c>
      <c r="M1555" t="s">
        <v>2473</v>
      </c>
      <c r="N1555" t="s">
        <v>2474</v>
      </c>
      <c r="O1555" t="s">
        <v>2463</v>
      </c>
      <c r="P1555">
        <v>3.62</v>
      </c>
      <c r="Q1555">
        <v>6.03</v>
      </c>
      <c r="R1555">
        <v>25.34</v>
      </c>
      <c r="S1555">
        <v>10.340000000000003</v>
      </c>
      <c r="T1555">
        <v>0.25676682393841577</v>
      </c>
      <c r="U1555" s="1">
        <v>45717</v>
      </c>
      <c r="V1555" t="s">
        <v>2499</v>
      </c>
      <c r="W1555">
        <v>2025</v>
      </c>
    </row>
    <row r="1556" spans="1:23" x14ac:dyDescent="0.25">
      <c r="A1556" t="s">
        <v>1603</v>
      </c>
      <c r="B1556" s="1">
        <v>45327</v>
      </c>
      <c r="C1556" s="1">
        <v>45331</v>
      </c>
      <c r="D1556" t="s">
        <v>13</v>
      </c>
      <c r="E1556" t="s">
        <v>14</v>
      </c>
      <c r="F1556" t="s">
        <v>25</v>
      </c>
      <c r="G1556" t="s">
        <v>16</v>
      </c>
      <c r="H1556" t="s">
        <v>51</v>
      </c>
      <c r="I1556">
        <v>9</v>
      </c>
      <c r="J1556">
        <v>0</v>
      </c>
      <c r="K1556">
        <v>124.38</v>
      </c>
      <c r="L1556">
        <v>8.5500000000000007</v>
      </c>
      <c r="M1556" t="s">
        <v>2475</v>
      </c>
      <c r="N1556" t="s">
        <v>2474</v>
      </c>
      <c r="O1556" t="s">
        <v>2463</v>
      </c>
      <c r="P1556">
        <v>7.93</v>
      </c>
      <c r="Q1556">
        <v>14.78</v>
      </c>
      <c r="R1556">
        <v>71.37</v>
      </c>
      <c r="S1556">
        <v>44.459999999999994</v>
      </c>
      <c r="T1556">
        <v>0.3574529667149059</v>
      </c>
      <c r="U1556" s="1">
        <v>45323</v>
      </c>
      <c r="V1556" t="s">
        <v>2499</v>
      </c>
      <c r="W1556">
        <v>2024</v>
      </c>
    </row>
    <row r="1557" spans="1:23" x14ac:dyDescent="0.25">
      <c r="A1557" t="s">
        <v>1604</v>
      </c>
      <c r="B1557" s="1">
        <v>45459</v>
      </c>
      <c r="C1557" s="1">
        <v>45463</v>
      </c>
      <c r="D1557" t="s">
        <v>32</v>
      </c>
      <c r="E1557" t="s">
        <v>33</v>
      </c>
      <c r="F1557" t="s">
        <v>25</v>
      </c>
      <c r="G1557" t="s">
        <v>16</v>
      </c>
      <c r="H1557" t="s">
        <v>63</v>
      </c>
      <c r="I1557">
        <v>3</v>
      </c>
      <c r="J1557">
        <v>0</v>
      </c>
      <c r="K1557">
        <v>37.58</v>
      </c>
      <c r="L1557">
        <v>5.85</v>
      </c>
      <c r="M1557" t="s">
        <v>2477</v>
      </c>
      <c r="N1557" t="s">
        <v>2474</v>
      </c>
      <c r="O1557" t="s">
        <v>2468</v>
      </c>
      <c r="P1557">
        <v>6.33</v>
      </c>
      <c r="Q1557">
        <v>12.16</v>
      </c>
      <c r="R1557">
        <v>18.990000000000002</v>
      </c>
      <c r="S1557">
        <v>12.739999999999997</v>
      </c>
      <c r="T1557">
        <v>0.33901011176157525</v>
      </c>
      <c r="U1557" s="1">
        <v>45444</v>
      </c>
      <c r="V1557" t="s">
        <v>2499</v>
      </c>
      <c r="W1557">
        <v>2024</v>
      </c>
    </row>
    <row r="1558" spans="1:23" x14ac:dyDescent="0.25">
      <c r="A1558" t="s">
        <v>1605</v>
      </c>
      <c r="B1558" s="1">
        <v>45508</v>
      </c>
      <c r="C1558" s="1">
        <v>45511</v>
      </c>
      <c r="D1558" t="s">
        <v>32</v>
      </c>
      <c r="E1558" t="s">
        <v>33</v>
      </c>
      <c r="F1558" t="s">
        <v>25</v>
      </c>
      <c r="G1558" t="s">
        <v>16</v>
      </c>
      <c r="H1558" t="s">
        <v>39</v>
      </c>
      <c r="I1558">
        <v>3</v>
      </c>
      <c r="J1558">
        <v>0</v>
      </c>
      <c r="K1558">
        <v>519.5</v>
      </c>
      <c r="L1558">
        <v>4.95</v>
      </c>
      <c r="M1558" t="s">
        <v>2471</v>
      </c>
      <c r="N1558" t="s">
        <v>2467</v>
      </c>
      <c r="O1558" t="s">
        <v>2461</v>
      </c>
      <c r="P1558">
        <v>112.09</v>
      </c>
      <c r="Q1558">
        <v>192.47</v>
      </c>
      <c r="R1558">
        <v>336.27</v>
      </c>
      <c r="S1558">
        <v>178.28000000000003</v>
      </c>
      <c r="T1558">
        <v>0.34317613089509147</v>
      </c>
      <c r="U1558" s="1">
        <v>45505</v>
      </c>
      <c r="V1558" t="s">
        <v>2499</v>
      </c>
      <c r="W1558">
        <v>2024</v>
      </c>
    </row>
    <row r="1559" spans="1:23" x14ac:dyDescent="0.25">
      <c r="A1559" t="s">
        <v>1606</v>
      </c>
      <c r="B1559" s="1">
        <v>45892</v>
      </c>
      <c r="C1559" s="1">
        <v>45897</v>
      </c>
      <c r="D1559" t="s">
        <v>47</v>
      </c>
      <c r="E1559" t="s">
        <v>50</v>
      </c>
      <c r="F1559" t="s">
        <v>29</v>
      </c>
      <c r="G1559" t="s">
        <v>26</v>
      </c>
      <c r="H1559" t="s">
        <v>37</v>
      </c>
      <c r="I1559">
        <v>4</v>
      </c>
      <c r="J1559">
        <v>0</v>
      </c>
      <c r="K1559">
        <v>427.12</v>
      </c>
      <c r="L1559">
        <v>13.7</v>
      </c>
      <c r="M1559" t="s">
        <v>2464</v>
      </c>
      <c r="N1559" t="s">
        <v>2458</v>
      </c>
      <c r="O1559" t="s">
        <v>2465</v>
      </c>
      <c r="P1559">
        <v>63.6</v>
      </c>
      <c r="Q1559">
        <v>107.94</v>
      </c>
      <c r="R1559">
        <v>254.4</v>
      </c>
      <c r="S1559">
        <v>159.02000000000001</v>
      </c>
      <c r="T1559">
        <v>0.37230754823000561</v>
      </c>
      <c r="U1559" s="1">
        <v>45870</v>
      </c>
      <c r="V1559" t="s">
        <v>2499</v>
      </c>
      <c r="W1559">
        <v>2025</v>
      </c>
    </row>
    <row r="1560" spans="1:23" x14ac:dyDescent="0.25">
      <c r="A1560" t="s">
        <v>1607</v>
      </c>
      <c r="B1560" s="1">
        <v>45435</v>
      </c>
      <c r="C1560" s="1">
        <v>45438</v>
      </c>
      <c r="D1560" t="s">
        <v>13</v>
      </c>
      <c r="E1560" t="s">
        <v>19</v>
      </c>
      <c r="F1560" t="s">
        <v>29</v>
      </c>
      <c r="G1560" t="s">
        <v>26</v>
      </c>
      <c r="H1560" t="s">
        <v>30</v>
      </c>
      <c r="I1560">
        <v>10</v>
      </c>
      <c r="J1560">
        <v>0.05</v>
      </c>
      <c r="K1560">
        <v>60.09</v>
      </c>
      <c r="L1560">
        <v>5.4</v>
      </c>
      <c r="M1560" t="s">
        <v>2473</v>
      </c>
      <c r="N1560" t="s">
        <v>2474</v>
      </c>
      <c r="O1560" t="s">
        <v>2463</v>
      </c>
      <c r="P1560">
        <v>3.62</v>
      </c>
      <c r="Q1560">
        <v>6.03</v>
      </c>
      <c r="R1560">
        <v>36.200000000000003</v>
      </c>
      <c r="S1560">
        <v>18.490000000000002</v>
      </c>
      <c r="T1560">
        <v>0.30770510900316195</v>
      </c>
      <c r="U1560" s="1">
        <v>45413</v>
      </c>
      <c r="V1560" t="s">
        <v>2498</v>
      </c>
      <c r="W1560">
        <v>2024</v>
      </c>
    </row>
    <row r="1561" spans="1:23" x14ac:dyDescent="0.25">
      <c r="A1561" t="s">
        <v>1608</v>
      </c>
      <c r="B1561" s="1">
        <v>45419</v>
      </c>
      <c r="C1561" s="1">
        <v>45424</v>
      </c>
      <c r="D1561" t="s">
        <v>23</v>
      </c>
      <c r="E1561" t="s">
        <v>59</v>
      </c>
      <c r="F1561" t="s">
        <v>29</v>
      </c>
      <c r="G1561" t="s">
        <v>26</v>
      </c>
      <c r="H1561" t="s">
        <v>34</v>
      </c>
      <c r="I1561">
        <v>1</v>
      </c>
      <c r="J1561">
        <v>0</v>
      </c>
      <c r="K1561">
        <v>207.88</v>
      </c>
      <c r="L1561">
        <v>4.08</v>
      </c>
      <c r="M1561" t="s">
        <v>2460</v>
      </c>
      <c r="N1561" t="s">
        <v>2458</v>
      </c>
      <c r="O1561" t="s">
        <v>2461</v>
      </c>
      <c r="P1561">
        <v>119.02</v>
      </c>
      <c r="Q1561">
        <v>205.39</v>
      </c>
      <c r="R1561">
        <v>119.02</v>
      </c>
      <c r="S1561">
        <v>84.78</v>
      </c>
      <c r="T1561">
        <v>0.40783144121608622</v>
      </c>
      <c r="U1561" s="1">
        <v>45413</v>
      </c>
      <c r="V1561" t="s">
        <v>2499</v>
      </c>
      <c r="W1561">
        <v>2024</v>
      </c>
    </row>
    <row r="1562" spans="1:23" x14ac:dyDescent="0.25">
      <c r="A1562" t="s">
        <v>1609</v>
      </c>
      <c r="B1562" s="1">
        <v>45698</v>
      </c>
      <c r="C1562" s="1">
        <v>45700</v>
      </c>
      <c r="D1562" t="s">
        <v>13</v>
      </c>
      <c r="E1562" t="s">
        <v>19</v>
      </c>
      <c r="F1562" t="s">
        <v>25</v>
      </c>
      <c r="G1562" t="s">
        <v>16</v>
      </c>
      <c r="H1562" t="s">
        <v>39</v>
      </c>
      <c r="I1562">
        <v>3</v>
      </c>
      <c r="J1562">
        <v>0</v>
      </c>
      <c r="K1562">
        <v>539.4</v>
      </c>
      <c r="L1562">
        <v>8.25</v>
      </c>
      <c r="M1562" t="s">
        <v>2471</v>
      </c>
      <c r="N1562" t="s">
        <v>2467</v>
      </c>
      <c r="O1562" t="s">
        <v>2461</v>
      </c>
      <c r="P1562">
        <v>112.09</v>
      </c>
      <c r="Q1562">
        <v>192.47</v>
      </c>
      <c r="R1562">
        <v>336.27</v>
      </c>
      <c r="S1562">
        <v>194.88</v>
      </c>
      <c r="T1562">
        <v>0.3612903225806452</v>
      </c>
      <c r="U1562" s="1">
        <v>45689</v>
      </c>
      <c r="V1562" t="s">
        <v>2499</v>
      </c>
      <c r="W1562">
        <v>2025</v>
      </c>
    </row>
    <row r="1563" spans="1:23" x14ac:dyDescent="0.25">
      <c r="A1563" t="s">
        <v>1610</v>
      </c>
      <c r="B1563" s="1">
        <v>45630</v>
      </c>
      <c r="C1563" s="1">
        <v>45634</v>
      </c>
      <c r="D1563" t="s">
        <v>13</v>
      </c>
      <c r="E1563" t="s">
        <v>19</v>
      </c>
      <c r="F1563" t="s">
        <v>15</v>
      </c>
      <c r="G1563" t="s">
        <v>16</v>
      </c>
      <c r="H1563" t="s">
        <v>65</v>
      </c>
      <c r="I1563">
        <v>4</v>
      </c>
      <c r="J1563">
        <v>0.1</v>
      </c>
      <c r="K1563">
        <v>1434.41</v>
      </c>
      <c r="L1563">
        <v>8.2200000000000006</v>
      </c>
      <c r="M1563" t="s">
        <v>2457</v>
      </c>
      <c r="N1563" t="s">
        <v>2458</v>
      </c>
      <c r="O1563" t="s">
        <v>2459</v>
      </c>
      <c r="P1563">
        <v>173.56</v>
      </c>
      <c r="Q1563">
        <v>286.14999999999998</v>
      </c>
      <c r="R1563">
        <v>694.24</v>
      </c>
      <c r="S1563">
        <v>731.95</v>
      </c>
      <c r="T1563">
        <v>0.51027948773363263</v>
      </c>
      <c r="U1563" s="1">
        <v>45627</v>
      </c>
      <c r="V1563" t="s">
        <v>2498</v>
      </c>
      <c r="W1563">
        <v>2024</v>
      </c>
    </row>
    <row r="1564" spans="1:23" x14ac:dyDescent="0.25">
      <c r="A1564" t="s">
        <v>1611</v>
      </c>
      <c r="B1564" s="1">
        <v>45529</v>
      </c>
      <c r="C1564" s="1">
        <v>45530</v>
      </c>
      <c r="D1564" t="s">
        <v>23</v>
      </c>
      <c r="E1564" t="s">
        <v>43</v>
      </c>
      <c r="F1564" t="s">
        <v>15</v>
      </c>
      <c r="G1564" t="s">
        <v>16</v>
      </c>
      <c r="H1564" t="s">
        <v>53</v>
      </c>
      <c r="I1564">
        <v>3</v>
      </c>
      <c r="J1564">
        <v>0</v>
      </c>
      <c r="K1564">
        <v>161.09</v>
      </c>
      <c r="L1564">
        <v>4.95</v>
      </c>
      <c r="M1564" t="s">
        <v>2470</v>
      </c>
      <c r="N1564" t="s">
        <v>2467</v>
      </c>
      <c r="O1564" t="s">
        <v>2459</v>
      </c>
      <c r="P1564">
        <v>31.34</v>
      </c>
      <c r="Q1564">
        <v>56.49</v>
      </c>
      <c r="R1564">
        <v>94.02</v>
      </c>
      <c r="S1564">
        <v>62.120000000000005</v>
      </c>
      <c r="T1564">
        <v>0.38562294369607053</v>
      </c>
      <c r="U1564" s="1">
        <v>45505</v>
      </c>
      <c r="V1564" t="s">
        <v>2499</v>
      </c>
      <c r="W1564">
        <v>2024</v>
      </c>
    </row>
    <row r="1565" spans="1:23" x14ac:dyDescent="0.25">
      <c r="A1565" t="s">
        <v>1612</v>
      </c>
      <c r="B1565" s="1">
        <v>45627</v>
      </c>
      <c r="C1565" s="1">
        <v>45629</v>
      </c>
      <c r="D1565" t="s">
        <v>13</v>
      </c>
      <c r="E1565" t="s">
        <v>36</v>
      </c>
      <c r="F1565" t="s">
        <v>15</v>
      </c>
      <c r="G1565" t="s">
        <v>16</v>
      </c>
      <c r="H1565" t="s">
        <v>21</v>
      </c>
      <c r="I1565">
        <v>1</v>
      </c>
      <c r="J1565">
        <v>0.05</v>
      </c>
      <c r="K1565">
        <v>159.22</v>
      </c>
      <c r="L1565">
        <v>4.08</v>
      </c>
      <c r="M1565" t="s">
        <v>2462</v>
      </c>
      <c r="N1565" t="s">
        <v>2458</v>
      </c>
      <c r="O1565" t="s">
        <v>2463</v>
      </c>
      <c r="P1565">
        <v>71.489999999999995</v>
      </c>
      <c r="Q1565">
        <v>112.88</v>
      </c>
      <c r="R1565">
        <v>71.489999999999995</v>
      </c>
      <c r="S1565">
        <v>83.65</v>
      </c>
      <c r="T1565">
        <v>0.52537369677176238</v>
      </c>
      <c r="U1565" s="1">
        <v>45627</v>
      </c>
      <c r="V1565" t="s">
        <v>2498</v>
      </c>
      <c r="W1565">
        <v>2024</v>
      </c>
    </row>
    <row r="1566" spans="1:23" x14ac:dyDescent="0.25">
      <c r="A1566" t="s">
        <v>1613</v>
      </c>
      <c r="B1566" s="1">
        <v>45722</v>
      </c>
      <c r="C1566" s="1">
        <v>45727</v>
      </c>
      <c r="D1566" t="s">
        <v>13</v>
      </c>
      <c r="E1566" t="s">
        <v>36</v>
      </c>
      <c r="F1566" t="s">
        <v>25</v>
      </c>
      <c r="G1566" t="s">
        <v>16</v>
      </c>
      <c r="H1566" t="s">
        <v>21</v>
      </c>
      <c r="I1566">
        <v>1</v>
      </c>
      <c r="J1566">
        <v>0</v>
      </c>
      <c r="K1566">
        <v>99.98</v>
      </c>
      <c r="L1566">
        <v>6.8</v>
      </c>
      <c r="M1566" t="s">
        <v>2462</v>
      </c>
      <c r="N1566" t="s">
        <v>2458</v>
      </c>
      <c r="O1566" t="s">
        <v>2463</v>
      </c>
      <c r="P1566">
        <v>71.489999999999995</v>
      </c>
      <c r="Q1566">
        <v>112.88</v>
      </c>
      <c r="R1566">
        <v>71.489999999999995</v>
      </c>
      <c r="S1566">
        <v>21.690000000000008</v>
      </c>
      <c r="T1566">
        <v>0.21694338867773563</v>
      </c>
      <c r="U1566" s="1">
        <v>45717</v>
      </c>
      <c r="V1566" t="s">
        <v>2499</v>
      </c>
      <c r="W1566">
        <v>2025</v>
      </c>
    </row>
    <row r="1567" spans="1:23" x14ac:dyDescent="0.25">
      <c r="A1567" t="s">
        <v>1614</v>
      </c>
      <c r="B1567" s="1">
        <v>45938</v>
      </c>
      <c r="C1567" s="1">
        <v>45944</v>
      </c>
      <c r="D1567" t="s">
        <v>13</v>
      </c>
      <c r="E1567" t="s">
        <v>19</v>
      </c>
      <c r="F1567" t="s">
        <v>25</v>
      </c>
      <c r="G1567" t="s">
        <v>26</v>
      </c>
      <c r="H1567" t="s">
        <v>60</v>
      </c>
      <c r="I1567">
        <v>1</v>
      </c>
      <c r="J1567">
        <v>0.25</v>
      </c>
      <c r="K1567">
        <v>95.07</v>
      </c>
      <c r="L1567">
        <v>3.45</v>
      </c>
      <c r="M1567" t="s">
        <v>2469</v>
      </c>
      <c r="N1567" t="s">
        <v>2467</v>
      </c>
      <c r="O1567" t="s">
        <v>2468</v>
      </c>
      <c r="P1567">
        <v>54.95</v>
      </c>
      <c r="Q1567">
        <v>112.56</v>
      </c>
      <c r="R1567">
        <v>54.95</v>
      </c>
      <c r="S1567">
        <v>36.669999999999987</v>
      </c>
      <c r="T1567">
        <v>0.38571578836646669</v>
      </c>
      <c r="U1567" s="1">
        <v>45931</v>
      </c>
      <c r="V1567" t="s">
        <v>2501</v>
      </c>
      <c r="W1567">
        <v>2025</v>
      </c>
    </row>
    <row r="1568" spans="1:23" x14ac:dyDescent="0.25">
      <c r="A1568" t="s">
        <v>1615</v>
      </c>
      <c r="B1568" s="1">
        <v>45633</v>
      </c>
      <c r="C1568" s="1">
        <v>45639</v>
      </c>
      <c r="D1568" t="s">
        <v>32</v>
      </c>
      <c r="E1568" t="s">
        <v>45</v>
      </c>
      <c r="F1568" t="s">
        <v>25</v>
      </c>
      <c r="G1568" t="s">
        <v>26</v>
      </c>
      <c r="H1568" t="s">
        <v>34</v>
      </c>
      <c r="I1568">
        <v>1</v>
      </c>
      <c r="J1568">
        <v>0</v>
      </c>
      <c r="K1568">
        <v>305.29000000000002</v>
      </c>
      <c r="L1568">
        <v>4.08</v>
      </c>
      <c r="M1568" t="s">
        <v>2460</v>
      </c>
      <c r="N1568" t="s">
        <v>2458</v>
      </c>
      <c r="O1568" t="s">
        <v>2461</v>
      </c>
      <c r="P1568">
        <v>119.02</v>
      </c>
      <c r="Q1568">
        <v>205.39</v>
      </c>
      <c r="R1568">
        <v>119.02</v>
      </c>
      <c r="S1568">
        <v>182.19000000000003</v>
      </c>
      <c r="T1568">
        <v>0.5967768351403584</v>
      </c>
      <c r="U1568" s="1">
        <v>45627</v>
      </c>
      <c r="V1568" t="s">
        <v>2499</v>
      </c>
      <c r="W1568">
        <v>2024</v>
      </c>
    </row>
    <row r="1569" spans="1:23" x14ac:dyDescent="0.25">
      <c r="A1569" t="s">
        <v>1616</v>
      </c>
      <c r="B1569" s="1">
        <v>45456</v>
      </c>
      <c r="C1569" s="1">
        <v>45462</v>
      </c>
      <c r="D1569" t="s">
        <v>23</v>
      </c>
      <c r="E1569" t="s">
        <v>59</v>
      </c>
      <c r="F1569" t="s">
        <v>29</v>
      </c>
      <c r="G1569" t="s">
        <v>26</v>
      </c>
      <c r="H1569" t="s">
        <v>30</v>
      </c>
      <c r="I1569">
        <v>4</v>
      </c>
      <c r="J1569">
        <v>0</v>
      </c>
      <c r="K1569">
        <v>23.67</v>
      </c>
      <c r="L1569">
        <v>6.3</v>
      </c>
      <c r="M1569" t="s">
        <v>2473</v>
      </c>
      <c r="N1569" t="s">
        <v>2474</v>
      </c>
      <c r="O1569" t="s">
        <v>2463</v>
      </c>
      <c r="P1569">
        <v>3.62</v>
      </c>
      <c r="Q1569">
        <v>6.03</v>
      </c>
      <c r="R1569">
        <v>14.48</v>
      </c>
      <c r="S1569">
        <v>2.8900000000000015</v>
      </c>
      <c r="T1569">
        <v>0.12209547950992823</v>
      </c>
      <c r="U1569" s="1">
        <v>45444</v>
      </c>
      <c r="V1569" t="s">
        <v>2499</v>
      </c>
      <c r="W1569">
        <v>2024</v>
      </c>
    </row>
    <row r="1570" spans="1:23" x14ac:dyDescent="0.25">
      <c r="A1570" t="s">
        <v>1617</v>
      </c>
      <c r="B1570" s="1">
        <v>45753</v>
      </c>
      <c r="C1570" s="1">
        <v>45755</v>
      </c>
      <c r="D1570" t="s">
        <v>47</v>
      </c>
      <c r="E1570" t="s">
        <v>71</v>
      </c>
      <c r="F1570" t="s">
        <v>15</v>
      </c>
      <c r="G1570" t="s">
        <v>20</v>
      </c>
      <c r="H1570" t="s">
        <v>68</v>
      </c>
      <c r="I1570">
        <v>3</v>
      </c>
      <c r="J1570">
        <v>0</v>
      </c>
      <c r="K1570">
        <v>143.57</v>
      </c>
      <c r="L1570">
        <v>8.25</v>
      </c>
      <c r="M1570" t="s">
        <v>2466</v>
      </c>
      <c r="N1570" t="s">
        <v>2467</v>
      </c>
      <c r="O1570" t="s">
        <v>2468</v>
      </c>
      <c r="P1570">
        <v>25.33</v>
      </c>
      <c r="Q1570">
        <v>51.56</v>
      </c>
      <c r="R1570">
        <v>75.989999999999995</v>
      </c>
      <c r="S1570">
        <v>59.33</v>
      </c>
      <c r="T1570">
        <v>0.41324789301386083</v>
      </c>
      <c r="U1570" s="1">
        <v>45748</v>
      </c>
      <c r="V1570" t="s">
        <v>2499</v>
      </c>
      <c r="W1570">
        <v>2025</v>
      </c>
    </row>
    <row r="1571" spans="1:23" x14ac:dyDescent="0.25">
      <c r="A1571" t="s">
        <v>1618</v>
      </c>
      <c r="B1571" s="1">
        <v>45707</v>
      </c>
      <c r="C1571" s="1">
        <v>45711</v>
      </c>
      <c r="D1571" t="s">
        <v>47</v>
      </c>
      <c r="E1571" t="s">
        <v>71</v>
      </c>
      <c r="F1571" t="s">
        <v>25</v>
      </c>
      <c r="G1571" t="s">
        <v>20</v>
      </c>
      <c r="H1571" t="s">
        <v>53</v>
      </c>
      <c r="I1571">
        <v>2</v>
      </c>
      <c r="J1571">
        <v>0</v>
      </c>
      <c r="K1571">
        <v>97.53</v>
      </c>
      <c r="L1571">
        <v>4.2</v>
      </c>
      <c r="M1571" t="s">
        <v>2470</v>
      </c>
      <c r="N1571" t="s">
        <v>2467</v>
      </c>
      <c r="O1571" t="s">
        <v>2459</v>
      </c>
      <c r="P1571">
        <v>31.34</v>
      </c>
      <c r="Q1571">
        <v>56.49</v>
      </c>
      <c r="R1571">
        <v>62.68</v>
      </c>
      <c r="S1571">
        <v>30.650000000000002</v>
      </c>
      <c r="T1571">
        <v>0.31426227827335179</v>
      </c>
      <c r="U1571" s="1">
        <v>45689</v>
      </c>
      <c r="V1571" t="s">
        <v>2499</v>
      </c>
      <c r="W1571">
        <v>2025</v>
      </c>
    </row>
    <row r="1572" spans="1:23" x14ac:dyDescent="0.25">
      <c r="A1572" t="s">
        <v>1619</v>
      </c>
      <c r="B1572" s="1">
        <v>45302</v>
      </c>
      <c r="C1572" s="1">
        <v>45304</v>
      </c>
      <c r="D1572" t="s">
        <v>13</v>
      </c>
      <c r="E1572" t="s">
        <v>19</v>
      </c>
      <c r="F1572" t="s">
        <v>29</v>
      </c>
      <c r="G1572" t="s">
        <v>16</v>
      </c>
      <c r="H1572" t="s">
        <v>65</v>
      </c>
      <c r="I1572">
        <v>1</v>
      </c>
      <c r="J1572">
        <v>0</v>
      </c>
      <c r="K1572">
        <v>261.94</v>
      </c>
      <c r="L1572">
        <v>4.08</v>
      </c>
      <c r="M1572" t="s">
        <v>2457</v>
      </c>
      <c r="N1572" t="s">
        <v>2458</v>
      </c>
      <c r="O1572" t="s">
        <v>2459</v>
      </c>
      <c r="P1572">
        <v>173.56</v>
      </c>
      <c r="Q1572">
        <v>286.14999999999998</v>
      </c>
      <c r="R1572">
        <v>173.56</v>
      </c>
      <c r="S1572">
        <v>84.3</v>
      </c>
      <c r="T1572">
        <v>0.32182942658624114</v>
      </c>
      <c r="U1572" s="1">
        <v>45292</v>
      </c>
      <c r="V1572" t="s">
        <v>2499</v>
      </c>
      <c r="W1572">
        <v>2024</v>
      </c>
    </row>
    <row r="1573" spans="1:23" x14ac:dyDescent="0.25">
      <c r="A1573" t="s">
        <v>1620</v>
      </c>
      <c r="B1573" s="1">
        <v>45780</v>
      </c>
      <c r="C1573" s="1">
        <v>45786</v>
      </c>
      <c r="D1573" t="s">
        <v>13</v>
      </c>
      <c r="E1573" t="s">
        <v>19</v>
      </c>
      <c r="F1573" t="s">
        <v>15</v>
      </c>
      <c r="G1573" t="s">
        <v>16</v>
      </c>
      <c r="H1573" t="s">
        <v>17</v>
      </c>
      <c r="I1573">
        <v>4</v>
      </c>
      <c r="J1573">
        <v>0.05</v>
      </c>
      <c r="K1573">
        <v>497.73</v>
      </c>
      <c r="L1573">
        <v>9.5</v>
      </c>
      <c r="M1573" t="s">
        <v>2472</v>
      </c>
      <c r="N1573" t="s">
        <v>2467</v>
      </c>
      <c r="O1573" t="s">
        <v>2468</v>
      </c>
      <c r="P1573">
        <v>63.69</v>
      </c>
      <c r="Q1573">
        <v>125.5</v>
      </c>
      <c r="R1573">
        <v>254.76</v>
      </c>
      <c r="S1573">
        <v>233.47000000000003</v>
      </c>
      <c r="T1573">
        <v>0.46906957587447012</v>
      </c>
      <c r="U1573" s="1">
        <v>45778</v>
      </c>
      <c r="V1573" t="s">
        <v>2498</v>
      </c>
      <c r="W1573">
        <v>2025</v>
      </c>
    </row>
    <row r="1574" spans="1:23" x14ac:dyDescent="0.25">
      <c r="A1574" t="s">
        <v>1621</v>
      </c>
      <c r="B1574" s="1">
        <v>45928</v>
      </c>
      <c r="C1574" s="1">
        <v>45929</v>
      </c>
      <c r="D1574" t="s">
        <v>47</v>
      </c>
      <c r="E1574" t="s">
        <v>48</v>
      </c>
      <c r="F1574" t="s">
        <v>25</v>
      </c>
      <c r="G1574" t="s">
        <v>26</v>
      </c>
      <c r="H1574" t="s">
        <v>21</v>
      </c>
      <c r="I1574">
        <v>1</v>
      </c>
      <c r="J1574">
        <v>0</v>
      </c>
      <c r="K1574">
        <v>117.4</v>
      </c>
      <c r="L1574">
        <v>4.08</v>
      </c>
      <c r="M1574" t="s">
        <v>2462</v>
      </c>
      <c r="N1574" t="s">
        <v>2458</v>
      </c>
      <c r="O1574" t="s">
        <v>2463</v>
      </c>
      <c r="P1574">
        <v>71.489999999999995</v>
      </c>
      <c r="Q1574">
        <v>112.88</v>
      </c>
      <c r="R1574">
        <v>71.489999999999995</v>
      </c>
      <c r="S1574">
        <v>41.830000000000013</v>
      </c>
      <c r="T1574">
        <v>0.35630323679727438</v>
      </c>
      <c r="U1574" s="1">
        <v>45901</v>
      </c>
      <c r="V1574" t="s">
        <v>2499</v>
      </c>
      <c r="W1574">
        <v>2025</v>
      </c>
    </row>
    <row r="1575" spans="1:23" x14ac:dyDescent="0.25">
      <c r="A1575" t="s">
        <v>1622</v>
      </c>
      <c r="B1575" s="1">
        <v>45965</v>
      </c>
      <c r="C1575" s="1">
        <v>45966</v>
      </c>
      <c r="D1575" t="s">
        <v>47</v>
      </c>
      <c r="E1575" t="s">
        <v>48</v>
      </c>
      <c r="F1575" t="s">
        <v>25</v>
      </c>
      <c r="G1575" t="s">
        <v>26</v>
      </c>
      <c r="H1575" t="s">
        <v>34</v>
      </c>
      <c r="I1575">
        <v>1</v>
      </c>
      <c r="J1575">
        <v>0</v>
      </c>
      <c r="K1575">
        <v>264.82</v>
      </c>
      <c r="L1575">
        <v>4.08</v>
      </c>
      <c r="M1575" t="s">
        <v>2460</v>
      </c>
      <c r="N1575" t="s">
        <v>2458</v>
      </c>
      <c r="O1575" t="s">
        <v>2461</v>
      </c>
      <c r="P1575">
        <v>119.02</v>
      </c>
      <c r="Q1575">
        <v>205.39</v>
      </c>
      <c r="R1575">
        <v>119.02</v>
      </c>
      <c r="S1575">
        <v>141.72</v>
      </c>
      <c r="T1575">
        <v>0.53515595498829394</v>
      </c>
      <c r="U1575" s="1">
        <v>45962</v>
      </c>
      <c r="V1575" t="s">
        <v>2499</v>
      </c>
      <c r="W1575">
        <v>2025</v>
      </c>
    </row>
    <row r="1576" spans="1:23" x14ac:dyDescent="0.25">
      <c r="A1576" t="s">
        <v>1623</v>
      </c>
      <c r="B1576" s="1">
        <v>45682</v>
      </c>
      <c r="C1576" s="1">
        <v>45686</v>
      </c>
      <c r="D1576" t="s">
        <v>47</v>
      </c>
      <c r="E1576" t="s">
        <v>71</v>
      </c>
      <c r="F1576" t="s">
        <v>25</v>
      </c>
      <c r="G1576" t="s">
        <v>16</v>
      </c>
      <c r="H1576" t="s">
        <v>68</v>
      </c>
      <c r="I1576">
        <v>4</v>
      </c>
      <c r="J1576">
        <v>0.15</v>
      </c>
      <c r="K1576">
        <v>161</v>
      </c>
      <c r="L1576">
        <v>5.7</v>
      </c>
      <c r="M1576" t="s">
        <v>2466</v>
      </c>
      <c r="N1576" t="s">
        <v>2467</v>
      </c>
      <c r="O1576" t="s">
        <v>2468</v>
      </c>
      <c r="P1576">
        <v>25.33</v>
      </c>
      <c r="Q1576">
        <v>51.56</v>
      </c>
      <c r="R1576">
        <v>101.32</v>
      </c>
      <c r="S1576">
        <v>53.980000000000004</v>
      </c>
      <c r="T1576">
        <v>0.33527950310559007</v>
      </c>
      <c r="U1576" s="1">
        <v>45658</v>
      </c>
      <c r="V1576" t="s">
        <v>2500</v>
      </c>
      <c r="W1576">
        <v>2025</v>
      </c>
    </row>
    <row r="1577" spans="1:23" x14ac:dyDescent="0.25">
      <c r="A1577" t="s">
        <v>1624</v>
      </c>
      <c r="B1577" s="1">
        <v>45596</v>
      </c>
      <c r="C1577" s="1">
        <v>45601</v>
      </c>
      <c r="D1577" t="s">
        <v>13</v>
      </c>
      <c r="E1577" t="s">
        <v>19</v>
      </c>
      <c r="F1577" t="s">
        <v>25</v>
      </c>
      <c r="G1577" t="s">
        <v>26</v>
      </c>
      <c r="H1577" t="s">
        <v>63</v>
      </c>
      <c r="I1577">
        <v>14</v>
      </c>
      <c r="J1577">
        <v>0</v>
      </c>
      <c r="K1577">
        <v>197.79</v>
      </c>
      <c r="L1577">
        <v>10.8</v>
      </c>
      <c r="M1577" t="s">
        <v>2477</v>
      </c>
      <c r="N1577" t="s">
        <v>2474</v>
      </c>
      <c r="O1577" t="s">
        <v>2468</v>
      </c>
      <c r="P1577">
        <v>6.33</v>
      </c>
      <c r="Q1577">
        <v>12.16</v>
      </c>
      <c r="R1577">
        <v>88.62</v>
      </c>
      <c r="S1577">
        <v>98.36999999999999</v>
      </c>
      <c r="T1577">
        <v>0.49734566964962834</v>
      </c>
      <c r="U1577" s="1">
        <v>45566</v>
      </c>
      <c r="V1577" t="s">
        <v>2499</v>
      </c>
      <c r="W1577">
        <v>2024</v>
      </c>
    </row>
    <row r="1578" spans="1:23" x14ac:dyDescent="0.25">
      <c r="A1578" t="s">
        <v>1625</v>
      </c>
      <c r="B1578" s="1">
        <v>45749</v>
      </c>
      <c r="C1578" s="1">
        <v>45752</v>
      </c>
      <c r="D1578" t="s">
        <v>23</v>
      </c>
      <c r="E1578" t="s">
        <v>59</v>
      </c>
      <c r="F1578" t="s">
        <v>15</v>
      </c>
      <c r="G1578" t="s">
        <v>20</v>
      </c>
      <c r="H1578" t="s">
        <v>65</v>
      </c>
      <c r="I1578">
        <v>1</v>
      </c>
      <c r="J1578">
        <v>0.1</v>
      </c>
      <c r="K1578">
        <v>257.87</v>
      </c>
      <c r="L1578">
        <v>4.08</v>
      </c>
      <c r="M1578" t="s">
        <v>2457</v>
      </c>
      <c r="N1578" t="s">
        <v>2458</v>
      </c>
      <c r="O1578" t="s">
        <v>2459</v>
      </c>
      <c r="P1578">
        <v>173.56</v>
      </c>
      <c r="Q1578">
        <v>286.14999999999998</v>
      </c>
      <c r="R1578">
        <v>173.56</v>
      </c>
      <c r="S1578">
        <v>80.23</v>
      </c>
      <c r="T1578">
        <v>0.31112576104238571</v>
      </c>
      <c r="U1578" s="1">
        <v>45748</v>
      </c>
      <c r="V1578" t="s">
        <v>2498</v>
      </c>
      <c r="W1578">
        <v>2025</v>
      </c>
    </row>
    <row r="1579" spans="1:23" x14ac:dyDescent="0.25">
      <c r="A1579" t="s">
        <v>1626</v>
      </c>
      <c r="B1579" s="1">
        <v>45819</v>
      </c>
      <c r="C1579" s="1">
        <v>45821</v>
      </c>
      <c r="D1579" t="s">
        <v>23</v>
      </c>
      <c r="E1579" t="s">
        <v>59</v>
      </c>
      <c r="F1579" t="s">
        <v>29</v>
      </c>
      <c r="G1579" t="s">
        <v>16</v>
      </c>
      <c r="H1579" t="s">
        <v>27</v>
      </c>
      <c r="I1579">
        <v>8</v>
      </c>
      <c r="J1579">
        <v>0.1</v>
      </c>
      <c r="K1579">
        <v>209.83</v>
      </c>
      <c r="L1579">
        <v>8.1</v>
      </c>
      <c r="M1579" t="s">
        <v>2478</v>
      </c>
      <c r="N1579" t="s">
        <v>2474</v>
      </c>
      <c r="O1579" t="s">
        <v>2463</v>
      </c>
      <c r="P1579">
        <v>16.760000000000002</v>
      </c>
      <c r="Q1579">
        <v>27.71</v>
      </c>
      <c r="R1579">
        <v>134.08000000000001</v>
      </c>
      <c r="S1579">
        <v>67.650000000000006</v>
      </c>
      <c r="T1579">
        <v>0.32240385073631034</v>
      </c>
      <c r="U1579" s="1">
        <v>45809</v>
      </c>
      <c r="V1579" t="s">
        <v>2498</v>
      </c>
      <c r="W1579">
        <v>2025</v>
      </c>
    </row>
    <row r="1580" spans="1:23" x14ac:dyDescent="0.25">
      <c r="A1580" t="s">
        <v>1627</v>
      </c>
      <c r="B1580" s="1">
        <v>45515</v>
      </c>
      <c r="C1580" s="1">
        <v>45519</v>
      </c>
      <c r="D1580" t="s">
        <v>23</v>
      </c>
      <c r="E1580" t="s">
        <v>43</v>
      </c>
      <c r="F1580" t="s">
        <v>15</v>
      </c>
      <c r="G1580" t="s">
        <v>26</v>
      </c>
      <c r="H1580" t="s">
        <v>27</v>
      </c>
      <c r="I1580">
        <v>12</v>
      </c>
      <c r="J1580">
        <v>0</v>
      </c>
      <c r="K1580">
        <v>303.56</v>
      </c>
      <c r="L1580">
        <v>5.94</v>
      </c>
      <c r="M1580" t="s">
        <v>2478</v>
      </c>
      <c r="N1580" t="s">
        <v>2474</v>
      </c>
      <c r="O1580" t="s">
        <v>2463</v>
      </c>
      <c r="P1580">
        <v>16.760000000000002</v>
      </c>
      <c r="Q1580">
        <v>27.71</v>
      </c>
      <c r="R1580">
        <v>201.12</v>
      </c>
      <c r="S1580">
        <v>96.5</v>
      </c>
      <c r="T1580">
        <v>0.31789432072736856</v>
      </c>
      <c r="U1580" s="1">
        <v>45505</v>
      </c>
      <c r="V1580" t="s">
        <v>2499</v>
      </c>
      <c r="W1580">
        <v>2024</v>
      </c>
    </row>
    <row r="1581" spans="1:23" x14ac:dyDescent="0.25">
      <c r="A1581" t="s">
        <v>1628</v>
      </c>
      <c r="B1581" s="1">
        <v>45606</v>
      </c>
      <c r="C1581" s="1">
        <v>45612</v>
      </c>
      <c r="D1581" t="s">
        <v>47</v>
      </c>
      <c r="E1581" t="s">
        <v>50</v>
      </c>
      <c r="F1581" t="s">
        <v>29</v>
      </c>
      <c r="G1581" t="s">
        <v>26</v>
      </c>
      <c r="H1581" t="s">
        <v>65</v>
      </c>
      <c r="I1581">
        <v>3</v>
      </c>
      <c r="J1581">
        <v>0.2</v>
      </c>
      <c r="K1581">
        <v>902.22</v>
      </c>
      <c r="L1581">
        <v>11.4</v>
      </c>
      <c r="M1581" t="s">
        <v>2457</v>
      </c>
      <c r="N1581" t="s">
        <v>2458</v>
      </c>
      <c r="O1581" t="s">
        <v>2459</v>
      </c>
      <c r="P1581">
        <v>173.56</v>
      </c>
      <c r="Q1581">
        <v>286.14999999999998</v>
      </c>
      <c r="R1581">
        <v>520.68000000000006</v>
      </c>
      <c r="S1581">
        <v>370.14</v>
      </c>
      <c r="T1581">
        <v>0.41025470506084988</v>
      </c>
      <c r="U1581" s="1">
        <v>45597</v>
      </c>
      <c r="V1581" t="s">
        <v>2500</v>
      </c>
      <c r="W1581">
        <v>2024</v>
      </c>
    </row>
    <row r="1582" spans="1:23" x14ac:dyDescent="0.25">
      <c r="A1582" t="s">
        <v>1629</v>
      </c>
      <c r="B1582" s="1">
        <v>45778</v>
      </c>
      <c r="C1582" s="1">
        <v>45781</v>
      </c>
      <c r="D1582" t="s">
        <v>47</v>
      </c>
      <c r="E1582" t="s">
        <v>71</v>
      </c>
      <c r="F1582" t="s">
        <v>15</v>
      </c>
      <c r="G1582" t="s">
        <v>16</v>
      </c>
      <c r="H1582" t="s">
        <v>27</v>
      </c>
      <c r="I1582">
        <v>3</v>
      </c>
      <c r="J1582">
        <v>0</v>
      </c>
      <c r="K1582">
        <v>85.62</v>
      </c>
      <c r="L1582">
        <v>5.85</v>
      </c>
      <c r="M1582" t="s">
        <v>2478</v>
      </c>
      <c r="N1582" t="s">
        <v>2474</v>
      </c>
      <c r="O1582" t="s">
        <v>2463</v>
      </c>
      <c r="P1582">
        <v>16.760000000000002</v>
      </c>
      <c r="Q1582">
        <v>27.71</v>
      </c>
      <c r="R1582">
        <v>50.28</v>
      </c>
      <c r="S1582">
        <v>29.490000000000002</v>
      </c>
      <c r="T1582">
        <v>0.34442887175893483</v>
      </c>
      <c r="U1582" s="1">
        <v>45778</v>
      </c>
      <c r="V1582" t="s">
        <v>2499</v>
      </c>
      <c r="W1582">
        <v>2025</v>
      </c>
    </row>
    <row r="1583" spans="1:23" x14ac:dyDescent="0.25">
      <c r="A1583" t="s">
        <v>1630</v>
      </c>
      <c r="B1583" s="1">
        <v>45865</v>
      </c>
      <c r="C1583" s="1">
        <v>45871</v>
      </c>
      <c r="D1583" t="s">
        <v>32</v>
      </c>
      <c r="E1583" t="s">
        <v>45</v>
      </c>
      <c r="F1583" t="s">
        <v>25</v>
      </c>
      <c r="G1583" t="s">
        <v>26</v>
      </c>
      <c r="H1583" t="s">
        <v>63</v>
      </c>
      <c r="I1583">
        <v>11</v>
      </c>
      <c r="J1583">
        <v>0</v>
      </c>
      <c r="K1583">
        <v>116.03</v>
      </c>
      <c r="L1583">
        <v>9.4499999999999993</v>
      </c>
      <c r="M1583" t="s">
        <v>2477</v>
      </c>
      <c r="N1583" t="s">
        <v>2474</v>
      </c>
      <c r="O1583" t="s">
        <v>2468</v>
      </c>
      <c r="P1583">
        <v>6.33</v>
      </c>
      <c r="Q1583">
        <v>12.16</v>
      </c>
      <c r="R1583">
        <v>69.63</v>
      </c>
      <c r="S1583">
        <v>36.950000000000003</v>
      </c>
      <c r="T1583">
        <v>0.31845212445057314</v>
      </c>
      <c r="U1583" s="1">
        <v>45839</v>
      </c>
      <c r="V1583" t="s">
        <v>2499</v>
      </c>
      <c r="W1583">
        <v>2025</v>
      </c>
    </row>
    <row r="1584" spans="1:23" x14ac:dyDescent="0.25">
      <c r="A1584" t="s">
        <v>1631</v>
      </c>
      <c r="B1584" s="1">
        <v>45602</v>
      </c>
      <c r="C1584" s="1">
        <v>45608</v>
      </c>
      <c r="D1584" t="s">
        <v>32</v>
      </c>
      <c r="E1584" t="s">
        <v>33</v>
      </c>
      <c r="F1584" t="s">
        <v>29</v>
      </c>
      <c r="G1584" t="s">
        <v>26</v>
      </c>
      <c r="H1584" t="s">
        <v>51</v>
      </c>
      <c r="I1584">
        <v>8</v>
      </c>
      <c r="J1584">
        <v>0</v>
      </c>
      <c r="K1584">
        <v>159.55000000000001</v>
      </c>
      <c r="L1584">
        <v>8.1</v>
      </c>
      <c r="M1584" t="s">
        <v>2475</v>
      </c>
      <c r="N1584" t="s">
        <v>2474</v>
      </c>
      <c r="O1584" t="s">
        <v>2463</v>
      </c>
      <c r="P1584">
        <v>7.93</v>
      </c>
      <c r="Q1584">
        <v>14.78</v>
      </c>
      <c r="R1584">
        <v>63.44</v>
      </c>
      <c r="S1584">
        <v>88.010000000000019</v>
      </c>
      <c r="T1584">
        <v>0.55161391413350058</v>
      </c>
      <c r="U1584" s="1">
        <v>45597</v>
      </c>
      <c r="V1584" t="s">
        <v>2499</v>
      </c>
      <c r="W1584">
        <v>2024</v>
      </c>
    </row>
    <row r="1585" spans="1:23" x14ac:dyDescent="0.25">
      <c r="A1585" t="s">
        <v>1632</v>
      </c>
      <c r="B1585" s="1">
        <v>45615</v>
      </c>
      <c r="C1585" s="1">
        <v>45616</v>
      </c>
      <c r="D1585" t="s">
        <v>13</v>
      </c>
      <c r="E1585" t="s">
        <v>14</v>
      </c>
      <c r="F1585" t="s">
        <v>25</v>
      </c>
      <c r="G1585" t="s">
        <v>26</v>
      </c>
      <c r="H1585" t="s">
        <v>60</v>
      </c>
      <c r="I1585">
        <v>7</v>
      </c>
      <c r="J1585">
        <v>0.1</v>
      </c>
      <c r="K1585">
        <v>1014.26</v>
      </c>
      <c r="L1585">
        <v>7.95</v>
      </c>
      <c r="M1585" t="s">
        <v>2469</v>
      </c>
      <c r="N1585" t="s">
        <v>2467</v>
      </c>
      <c r="O1585" t="s">
        <v>2468</v>
      </c>
      <c r="P1585">
        <v>54.95</v>
      </c>
      <c r="Q1585">
        <v>112.56</v>
      </c>
      <c r="R1585">
        <v>384.65000000000003</v>
      </c>
      <c r="S1585">
        <v>621.65999999999985</v>
      </c>
      <c r="T1585">
        <v>0.61291976416303495</v>
      </c>
      <c r="U1585" s="1">
        <v>45597</v>
      </c>
      <c r="V1585" t="s">
        <v>2498</v>
      </c>
      <c r="W1585">
        <v>2024</v>
      </c>
    </row>
    <row r="1586" spans="1:23" x14ac:dyDescent="0.25">
      <c r="A1586" t="s">
        <v>1633</v>
      </c>
      <c r="B1586" s="1">
        <v>45691</v>
      </c>
      <c r="C1586" s="1">
        <v>45695</v>
      </c>
      <c r="D1586" t="s">
        <v>47</v>
      </c>
      <c r="E1586" t="s">
        <v>71</v>
      </c>
      <c r="F1586" t="s">
        <v>15</v>
      </c>
      <c r="G1586" t="s">
        <v>26</v>
      </c>
      <c r="H1586" t="s">
        <v>17</v>
      </c>
      <c r="I1586">
        <v>4</v>
      </c>
      <c r="J1586">
        <v>0.05</v>
      </c>
      <c r="K1586">
        <v>425.53</v>
      </c>
      <c r="L1586">
        <v>9.5</v>
      </c>
      <c r="M1586" t="s">
        <v>2472</v>
      </c>
      <c r="N1586" t="s">
        <v>2467</v>
      </c>
      <c r="O1586" t="s">
        <v>2468</v>
      </c>
      <c r="P1586">
        <v>63.69</v>
      </c>
      <c r="Q1586">
        <v>125.5</v>
      </c>
      <c r="R1586">
        <v>254.76</v>
      </c>
      <c r="S1586">
        <v>161.26999999999998</v>
      </c>
      <c r="T1586">
        <v>0.37898620543792444</v>
      </c>
      <c r="U1586" s="1">
        <v>45689</v>
      </c>
      <c r="V1586" t="s">
        <v>2498</v>
      </c>
      <c r="W1586">
        <v>2025</v>
      </c>
    </row>
    <row r="1587" spans="1:23" x14ac:dyDescent="0.25">
      <c r="A1587" t="s">
        <v>1634</v>
      </c>
      <c r="B1587" s="1">
        <v>45542</v>
      </c>
      <c r="C1587" s="1">
        <v>45543</v>
      </c>
      <c r="D1587" t="s">
        <v>47</v>
      </c>
      <c r="E1587" t="s">
        <v>50</v>
      </c>
      <c r="F1587" t="s">
        <v>29</v>
      </c>
      <c r="G1587" t="s">
        <v>26</v>
      </c>
      <c r="H1587" t="s">
        <v>63</v>
      </c>
      <c r="I1587">
        <v>10</v>
      </c>
      <c r="J1587">
        <v>0</v>
      </c>
      <c r="K1587">
        <v>133.69999999999999</v>
      </c>
      <c r="L1587">
        <v>5.4</v>
      </c>
      <c r="M1587" t="s">
        <v>2477</v>
      </c>
      <c r="N1587" t="s">
        <v>2474</v>
      </c>
      <c r="O1587" t="s">
        <v>2468</v>
      </c>
      <c r="P1587">
        <v>6.33</v>
      </c>
      <c r="Q1587">
        <v>12.16</v>
      </c>
      <c r="R1587">
        <v>63.3</v>
      </c>
      <c r="S1587">
        <v>64.999999999999986</v>
      </c>
      <c r="T1587">
        <v>0.48616305160807771</v>
      </c>
      <c r="U1587" s="1">
        <v>45536</v>
      </c>
      <c r="V1587" t="s">
        <v>2499</v>
      </c>
      <c r="W1587">
        <v>2024</v>
      </c>
    </row>
    <row r="1588" spans="1:23" x14ac:dyDescent="0.25">
      <c r="A1588" t="s">
        <v>1635</v>
      </c>
      <c r="B1588" s="1">
        <v>45838</v>
      </c>
      <c r="C1588" s="1">
        <v>45843</v>
      </c>
      <c r="D1588" t="s">
        <v>47</v>
      </c>
      <c r="E1588" t="s">
        <v>71</v>
      </c>
      <c r="F1588" t="s">
        <v>29</v>
      </c>
      <c r="G1588" t="s">
        <v>16</v>
      </c>
      <c r="H1588" t="s">
        <v>17</v>
      </c>
      <c r="I1588">
        <v>3</v>
      </c>
      <c r="J1588">
        <v>0</v>
      </c>
      <c r="K1588">
        <v>374.53</v>
      </c>
      <c r="L1588">
        <v>4.95</v>
      </c>
      <c r="M1588" t="s">
        <v>2472</v>
      </c>
      <c r="N1588" t="s">
        <v>2467</v>
      </c>
      <c r="O1588" t="s">
        <v>2468</v>
      </c>
      <c r="P1588">
        <v>63.69</v>
      </c>
      <c r="Q1588">
        <v>125.5</v>
      </c>
      <c r="R1588">
        <v>191.07</v>
      </c>
      <c r="S1588">
        <v>178.51</v>
      </c>
      <c r="T1588">
        <v>0.47662403545777376</v>
      </c>
      <c r="U1588" s="1">
        <v>45809</v>
      </c>
      <c r="V1588" t="s">
        <v>2499</v>
      </c>
      <c r="W1588">
        <v>2025</v>
      </c>
    </row>
    <row r="1589" spans="1:23" x14ac:dyDescent="0.25">
      <c r="A1589" t="s">
        <v>1636</v>
      </c>
      <c r="B1589" s="1">
        <v>45985</v>
      </c>
      <c r="C1589" s="1">
        <v>45988</v>
      </c>
      <c r="D1589" t="s">
        <v>23</v>
      </c>
      <c r="E1589" t="s">
        <v>24</v>
      </c>
      <c r="F1589" t="s">
        <v>15</v>
      </c>
      <c r="G1589" t="s">
        <v>20</v>
      </c>
      <c r="H1589" t="s">
        <v>21</v>
      </c>
      <c r="I1589">
        <v>2</v>
      </c>
      <c r="J1589">
        <v>0</v>
      </c>
      <c r="K1589">
        <v>314.92</v>
      </c>
      <c r="L1589">
        <v>9.1</v>
      </c>
      <c r="M1589" t="s">
        <v>2462</v>
      </c>
      <c r="N1589" t="s">
        <v>2458</v>
      </c>
      <c r="O1589" t="s">
        <v>2463</v>
      </c>
      <c r="P1589">
        <v>71.489999999999995</v>
      </c>
      <c r="Q1589">
        <v>112.88</v>
      </c>
      <c r="R1589">
        <v>142.97999999999999</v>
      </c>
      <c r="S1589">
        <v>162.84000000000003</v>
      </c>
      <c r="T1589">
        <v>0.51708370379779001</v>
      </c>
      <c r="U1589" s="1">
        <v>45962</v>
      </c>
      <c r="V1589" t="s">
        <v>2499</v>
      </c>
      <c r="W1589">
        <v>2025</v>
      </c>
    </row>
    <row r="1590" spans="1:23" x14ac:dyDescent="0.25">
      <c r="A1590" t="s">
        <v>1637</v>
      </c>
      <c r="B1590" s="1">
        <v>45593</v>
      </c>
      <c r="C1590" s="1">
        <v>45597</v>
      </c>
      <c r="D1590" t="s">
        <v>47</v>
      </c>
      <c r="E1590" t="s">
        <v>71</v>
      </c>
      <c r="F1590" t="s">
        <v>15</v>
      </c>
      <c r="G1590" t="s">
        <v>26</v>
      </c>
      <c r="H1590" t="s">
        <v>37</v>
      </c>
      <c r="I1590">
        <v>4</v>
      </c>
      <c r="J1590">
        <v>0.1</v>
      </c>
      <c r="K1590">
        <v>470.18</v>
      </c>
      <c r="L1590">
        <v>8.2200000000000006</v>
      </c>
      <c r="M1590" t="s">
        <v>2464</v>
      </c>
      <c r="N1590" t="s">
        <v>2458</v>
      </c>
      <c r="O1590" t="s">
        <v>2465</v>
      </c>
      <c r="P1590">
        <v>63.6</v>
      </c>
      <c r="Q1590">
        <v>107.94</v>
      </c>
      <c r="R1590">
        <v>254.4</v>
      </c>
      <c r="S1590">
        <v>207.56</v>
      </c>
      <c r="T1590">
        <v>0.44144795610191839</v>
      </c>
      <c r="U1590" s="1">
        <v>45566</v>
      </c>
      <c r="V1590" t="s">
        <v>2498</v>
      </c>
      <c r="W1590">
        <v>2024</v>
      </c>
    </row>
    <row r="1591" spans="1:23" x14ac:dyDescent="0.25">
      <c r="A1591" t="s">
        <v>1638</v>
      </c>
      <c r="B1591" s="1">
        <v>45814</v>
      </c>
      <c r="C1591" s="1">
        <v>45820</v>
      </c>
      <c r="D1591" t="s">
        <v>23</v>
      </c>
      <c r="E1591" t="s">
        <v>43</v>
      </c>
      <c r="F1591" t="s">
        <v>15</v>
      </c>
      <c r="G1591" t="s">
        <v>16</v>
      </c>
      <c r="H1591" t="s">
        <v>87</v>
      </c>
      <c r="I1591">
        <v>3</v>
      </c>
      <c r="J1591">
        <v>0.15</v>
      </c>
      <c r="K1591">
        <v>22</v>
      </c>
      <c r="L1591">
        <v>3.51</v>
      </c>
      <c r="M1591" t="s">
        <v>2476</v>
      </c>
      <c r="N1591" t="s">
        <v>2474</v>
      </c>
      <c r="O1591" t="s">
        <v>2459</v>
      </c>
      <c r="P1591">
        <v>4.5</v>
      </c>
      <c r="Q1591">
        <v>8.2899999999999991</v>
      </c>
      <c r="R1591">
        <v>13.5</v>
      </c>
      <c r="S1591">
        <v>4.99</v>
      </c>
      <c r="T1591">
        <v>0.22681818181818184</v>
      </c>
      <c r="U1591" s="1">
        <v>45809</v>
      </c>
      <c r="V1591" t="s">
        <v>2500</v>
      </c>
      <c r="W1591">
        <v>2025</v>
      </c>
    </row>
    <row r="1592" spans="1:23" x14ac:dyDescent="0.25">
      <c r="A1592" t="s">
        <v>1639</v>
      </c>
      <c r="B1592" s="1">
        <v>45537</v>
      </c>
      <c r="C1592" s="1">
        <v>45538</v>
      </c>
      <c r="D1592" t="s">
        <v>32</v>
      </c>
      <c r="E1592" t="s">
        <v>45</v>
      </c>
      <c r="F1592" t="s">
        <v>25</v>
      </c>
      <c r="G1592" t="s">
        <v>26</v>
      </c>
      <c r="H1592" t="s">
        <v>60</v>
      </c>
      <c r="I1592">
        <v>4</v>
      </c>
      <c r="J1592">
        <v>0</v>
      </c>
      <c r="K1592">
        <v>493.04</v>
      </c>
      <c r="L1592">
        <v>5.7</v>
      </c>
      <c r="M1592" t="s">
        <v>2469</v>
      </c>
      <c r="N1592" t="s">
        <v>2467</v>
      </c>
      <c r="O1592" t="s">
        <v>2468</v>
      </c>
      <c r="P1592">
        <v>54.95</v>
      </c>
      <c r="Q1592">
        <v>112.56</v>
      </c>
      <c r="R1592">
        <v>219.8</v>
      </c>
      <c r="S1592">
        <v>267.54000000000002</v>
      </c>
      <c r="T1592">
        <v>0.54263345773162419</v>
      </c>
      <c r="U1592" s="1">
        <v>45536</v>
      </c>
      <c r="V1592" t="s">
        <v>2499</v>
      </c>
      <c r="W1592">
        <v>2024</v>
      </c>
    </row>
    <row r="1593" spans="1:23" x14ac:dyDescent="0.25">
      <c r="A1593" t="s">
        <v>1640</v>
      </c>
      <c r="B1593" s="1">
        <v>45520</v>
      </c>
      <c r="C1593" s="1">
        <v>45523</v>
      </c>
      <c r="D1593" t="s">
        <v>47</v>
      </c>
      <c r="E1593" t="s">
        <v>48</v>
      </c>
      <c r="F1593" t="s">
        <v>29</v>
      </c>
      <c r="G1593" t="s">
        <v>16</v>
      </c>
      <c r="H1593" t="s">
        <v>21</v>
      </c>
      <c r="I1593">
        <v>3</v>
      </c>
      <c r="J1593">
        <v>0.15</v>
      </c>
      <c r="K1593">
        <v>272.67</v>
      </c>
      <c r="L1593">
        <v>6.84</v>
      </c>
      <c r="M1593" t="s">
        <v>2462</v>
      </c>
      <c r="N1593" t="s">
        <v>2458</v>
      </c>
      <c r="O1593" t="s">
        <v>2463</v>
      </c>
      <c r="P1593">
        <v>71.489999999999995</v>
      </c>
      <c r="Q1593">
        <v>112.88</v>
      </c>
      <c r="R1593">
        <v>214.46999999999997</v>
      </c>
      <c r="S1593">
        <v>51.360000000000042</v>
      </c>
      <c r="T1593">
        <v>0.18835955550665653</v>
      </c>
      <c r="U1593" s="1">
        <v>45505</v>
      </c>
      <c r="V1593" t="s">
        <v>2500</v>
      </c>
      <c r="W1593">
        <v>2024</v>
      </c>
    </row>
    <row r="1594" spans="1:23" x14ac:dyDescent="0.25">
      <c r="A1594" t="s">
        <v>1641</v>
      </c>
      <c r="B1594" s="1">
        <v>45975</v>
      </c>
      <c r="C1594" s="1">
        <v>45976</v>
      </c>
      <c r="D1594" t="s">
        <v>13</v>
      </c>
      <c r="E1594" t="s">
        <v>19</v>
      </c>
      <c r="F1594" t="s">
        <v>25</v>
      </c>
      <c r="G1594" t="s">
        <v>20</v>
      </c>
      <c r="H1594" t="s">
        <v>30</v>
      </c>
      <c r="I1594">
        <v>8</v>
      </c>
      <c r="J1594">
        <v>0.2</v>
      </c>
      <c r="K1594">
        <v>53.34</v>
      </c>
      <c r="L1594">
        <v>4.8600000000000003</v>
      </c>
      <c r="M1594" t="s">
        <v>2473</v>
      </c>
      <c r="N1594" t="s">
        <v>2474</v>
      </c>
      <c r="O1594" t="s">
        <v>2463</v>
      </c>
      <c r="P1594">
        <v>3.62</v>
      </c>
      <c r="Q1594">
        <v>6.03</v>
      </c>
      <c r="R1594">
        <v>28.96</v>
      </c>
      <c r="S1594">
        <v>19.520000000000003</v>
      </c>
      <c r="T1594">
        <v>0.3659542557180353</v>
      </c>
      <c r="U1594" s="1">
        <v>45962</v>
      </c>
      <c r="V1594" t="s">
        <v>2500</v>
      </c>
      <c r="W1594">
        <v>2025</v>
      </c>
    </row>
    <row r="1595" spans="1:23" x14ac:dyDescent="0.25">
      <c r="A1595" t="s">
        <v>1642</v>
      </c>
      <c r="B1595" s="1">
        <v>45818</v>
      </c>
      <c r="C1595" s="1">
        <v>45822</v>
      </c>
      <c r="D1595" t="s">
        <v>13</v>
      </c>
      <c r="E1595" t="s">
        <v>36</v>
      </c>
      <c r="F1595" t="s">
        <v>15</v>
      </c>
      <c r="G1595" t="s">
        <v>20</v>
      </c>
      <c r="H1595" t="s">
        <v>30</v>
      </c>
      <c r="I1595">
        <v>12</v>
      </c>
      <c r="J1595">
        <v>0</v>
      </c>
      <c r="K1595">
        <v>79.58</v>
      </c>
      <c r="L1595">
        <v>5.94</v>
      </c>
      <c r="M1595" t="s">
        <v>2473</v>
      </c>
      <c r="N1595" t="s">
        <v>2474</v>
      </c>
      <c r="O1595" t="s">
        <v>2463</v>
      </c>
      <c r="P1595">
        <v>3.62</v>
      </c>
      <c r="Q1595">
        <v>6.03</v>
      </c>
      <c r="R1595">
        <v>43.44</v>
      </c>
      <c r="S1595">
        <v>30.2</v>
      </c>
      <c r="T1595">
        <v>0.37949233475747673</v>
      </c>
      <c r="U1595" s="1">
        <v>45809</v>
      </c>
      <c r="V1595" t="s">
        <v>2499</v>
      </c>
      <c r="W1595">
        <v>2025</v>
      </c>
    </row>
    <row r="1596" spans="1:23" x14ac:dyDescent="0.25">
      <c r="A1596" t="s">
        <v>1643</v>
      </c>
      <c r="B1596" s="1">
        <v>45506</v>
      </c>
      <c r="C1596" s="1">
        <v>45508</v>
      </c>
      <c r="D1596" t="s">
        <v>13</v>
      </c>
      <c r="E1596" t="s">
        <v>14</v>
      </c>
      <c r="F1596" t="s">
        <v>29</v>
      </c>
      <c r="G1596" t="s">
        <v>16</v>
      </c>
      <c r="H1596" t="s">
        <v>27</v>
      </c>
      <c r="I1596">
        <v>14</v>
      </c>
      <c r="J1596">
        <v>0</v>
      </c>
      <c r="K1596">
        <v>373.15</v>
      </c>
      <c r="L1596">
        <v>6.48</v>
      </c>
      <c r="M1596" t="s">
        <v>2478</v>
      </c>
      <c r="N1596" t="s">
        <v>2474</v>
      </c>
      <c r="O1596" t="s">
        <v>2463</v>
      </c>
      <c r="P1596">
        <v>16.760000000000002</v>
      </c>
      <c r="Q1596">
        <v>27.71</v>
      </c>
      <c r="R1596">
        <v>234.64000000000001</v>
      </c>
      <c r="S1596">
        <v>132.02999999999997</v>
      </c>
      <c r="T1596">
        <v>0.35382553932734823</v>
      </c>
      <c r="U1596" s="1">
        <v>45505</v>
      </c>
      <c r="V1596" t="s">
        <v>2499</v>
      </c>
      <c r="W1596">
        <v>2024</v>
      </c>
    </row>
    <row r="1597" spans="1:23" x14ac:dyDescent="0.25">
      <c r="A1597" t="s">
        <v>1644</v>
      </c>
      <c r="B1597" s="1">
        <v>45671</v>
      </c>
      <c r="C1597" s="1">
        <v>45674</v>
      </c>
      <c r="D1597" t="s">
        <v>47</v>
      </c>
      <c r="E1597" t="s">
        <v>71</v>
      </c>
      <c r="F1597" t="s">
        <v>15</v>
      </c>
      <c r="G1597" t="s">
        <v>16</v>
      </c>
      <c r="H1597" t="s">
        <v>63</v>
      </c>
      <c r="I1597">
        <v>8</v>
      </c>
      <c r="J1597">
        <v>0.25</v>
      </c>
      <c r="K1597">
        <v>62.79</v>
      </c>
      <c r="L1597">
        <v>8.1</v>
      </c>
      <c r="M1597" t="s">
        <v>2477</v>
      </c>
      <c r="N1597" t="s">
        <v>2474</v>
      </c>
      <c r="O1597" t="s">
        <v>2468</v>
      </c>
      <c r="P1597">
        <v>6.33</v>
      </c>
      <c r="Q1597">
        <v>12.16</v>
      </c>
      <c r="R1597">
        <v>50.64</v>
      </c>
      <c r="S1597">
        <v>4.0499999999999989</v>
      </c>
      <c r="T1597">
        <v>6.4500716674629699E-2</v>
      </c>
      <c r="U1597" s="1">
        <v>45658</v>
      </c>
      <c r="V1597" t="s">
        <v>2501</v>
      </c>
      <c r="W1597">
        <v>2025</v>
      </c>
    </row>
    <row r="1598" spans="1:23" x14ac:dyDescent="0.25">
      <c r="A1598" t="s">
        <v>1645</v>
      </c>
      <c r="B1598" s="1">
        <v>45741</v>
      </c>
      <c r="C1598" s="1">
        <v>45745</v>
      </c>
      <c r="D1598" t="s">
        <v>13</v>
      </c>
      <c r="E1598" t="s">
        <v>19</v>
      </c>
      <c r="F1598" t="s">
        <v>25</v>
      </c>
      <c r="G1598" t="s">
        <v>16</v>
      </c>
      <c r="H1598" t="s">
        <v>51</v>
      </c>
      <c r="I1598">
        <v>3</v>
      </c>
      <c r="J1598">
        <v>0.2</v>
      </c>
      <c r="K1598">
        <v>32.65</v>
      </c>
      <c r="L1598">
        <v>3.51</v>
      </c>
      <c r="M1598" t="s">
        <v>2475</v>
      </c>
      <c r="N1598" t="s">
        <v>2474</v>
      </c>
      <c r="O1598" t="s">
        <v>2463</v>
      </c>
      <c r="P1598">
        <v>7.93</v>
      </c>
      <c r="Q1598">
        <v>14.78</v>
      </c>
      <c r="R1598">
        <v>23.79</v>
      </c>
      <c r="S1598">
        <v>5.35</v>
      </c>
      <c r="T1598">
        <v>0.16385911179173046</v>
      </c>
      <c r="U1598" s="1">
        <v>45717</v>
      </c>
      <c r="V1598" t="s">
        <v>2500</v>
      </c>
      <c r="W1598">
        <v>2025</v>
      </c>
    </row>
    <row r="1599" spans="1:23" x14ac:dyDescent="0.25">
      <c r="A1599" t="s">
        <v>1646</v>
      </c>
      <c r="B1599" s="1">
        <v>45360</v>
      </c>
      <c r="C1599" s="1">
        <v>45362</v>
      </c>
      <c r="D1599" t="s">
        <v>13</v>
      </c>
      <c r="E1599" t="s">
        <v>36</v>
      </c>
      <c r="F1599" t="s">
        <v>29</v>
      </c>
      <c r="G1599" t="s">
        <v>16</v>
      </c>
      <c r="H1599" t="s">
        <v>34</v>
      </c>
      <c r="I1599">
        <v>1</v>
      </c>
      <c r="J1599">
        <v>0</v>
      </c>
      <c r="K1599">
        <v>193.3</v>
      </c>
      <c r="L1599">
        <v>4.08</v>
      </c>
      <c r="M1599" t="s">
        <v>2460</v>
      </c>
      <c r="N1599" t="s">
        <v>2458</v>
      </c>
      <c r="O1599" t="s">
        <v>2461</v>
      </c>
      <c r="P1599">
        <v>119.02</v>
      </c>
      <c r="Q1599">
        <v>205.39</v>
      </c>
      <c r="R1599">
        <v>119.02</v>
      </c>
      <c r="S1599">
        <v>70.200000000000017</v>
      </c>
      <c r="T1599">
        <v>0.36316606311433014</v>
      </c>
      <c r="U1599" s="1">
        <v>45352</v>
      </c>
      <c r="V1599" t="s">
        <v>2499</v>
      </c>
      <c r="W1599">
        <v>2024</v>
      </c>
    </row>
    <row r="1600" spans="1:23" x14ac:dyDescent="0.25">
      <c r="A1600" t="s">
        <v>1647</v>
      </c>
      <c r="B1600" s="1">
        <v>45633</v>
      </c>
      <c r="C1600" s="1">
        <v>45637</v>
      </c>
      <c r="D1600" t="s">
        <v>47</v>
      </c>
      <c r="E1600" t="s">
        <v>50</v>
      </c>
      <c r="F1600" t="s">
        <v>29</v>
      </c>
      <c r="G1600" t="s">
        <v>16</v>
      </c>
      <c r="H1600" t="s">
        <v>30</v>
      </c>
      <c r="I1600">
        <v>22</v>
      </c>
      <c r="J1600">
        <v>0.2</v>
      </c>
      <c r="K1600">
        <v>157.22</v>
      </c>
      <c r="L1600">
        <v>8.64</v>
      </c>
      <c r="M1600" t="s">
        <v>2473</v>
      </c>
      <c r="N1600" t="s">
        <v>2474</v>
      </c>
      <c r="O1600" t="s">
        <v>2463</v>
      </c>
      <c r="P1600">
        <v>3.62</v>
      </c>
      <c r="Q1600">
        <v>6.03</v>
      </c>
      <c r="R1600">
        <v>79.64</v>
      </c>
      <c r="S1600">
        <v>68.94</v>
      </c>
      <c r="T1600">
        <v>0.43849383030148836</v>
      </c>
      <c r="U1600" s="1">
        <v>45627</v>
      </c>
      <c r="V1600" t="s">
        <v>2500</v>
      </c>
      <c r="W1600">
        <v>2024</v>
      </c>
    </row>
    <row r="1601" spans="1:23" x14ac:dyDescent="0.25">
      <c r="A1601" t="s">
        <v>1648</v>
      </c>
      <c r="B1601" s="1">
        <v>45304</v>
      </c>
      <c r="C1601" s="1">
        <v>45310</v>
      </c>
      <c r="D1601" t="s">
        <v>32</v>
      </c>
      <c r="E1601" t="s">
        <v>45</v>
      </c>
      <c r="F1601" t="s">
        <v>15</v>
      </c>
      <c r="G1601" t="s">
        <v>26</v>
      </c>
      <c r="H1601" t="s">
        <v>60</v>
      </c>
      <c r="I1601">
        <v>2</v>
      </c>
      <c r="J1601">
        <v>0.05</v>
      </c>
      <c r="K1601">
        <v>190.04</v>
      </c>
      <c r="L1601">
        <v>4.2</v>
      </c>
      <c r="M1601" t="s">
        <v>2469</v>
      </c>
      <c r="N1601" t="s">
        <v>2467</v>
      </c>
      <c r="O1601" t="s">
        <v>2468</v>
      </c>
      <c r="P1601">
        <v>54.95</v>
      </c>
      <c r="Q1601">
        <v>112.56</v>
      </c>
      <c r="R1601">
        <v>109.9</v>
      </c>
      <c r="S1601">
        <v>75.939999999999984</v>
      </c>
      <c r="T1601">
        <v>0.39960008419280146</v>
      </c>
      <c r="U1601" s="1">
        <v>45292</v>
      </c>
      <c r="V1601" t="s">
        <v>2498</v>
      </c>
      <c r="W1601">
        <v>2024</v>
      </c>
    </row>
    <row r="1602" spans="1:23" x14ac:dyDescent="0.25">
      <c r="A1602" t="s">
        <v>1649</v>
      </c>
      <c r="B1602" s="1">
        <v>45307</v>
      </c>
      <c r="C1602" s="1">
        <v>45311</v>
      </c>
      <c r="D1602" t="s">
        <v>32</v>
      </c>
      <c r="E1602" t="s">
        <v>33</v>
      </c>
      <c r="F1602" t="s">
        <v>15</v>
      </c>
      <c r="G1602" t="s">
        <v>26</v>
      </c>
      <c r="H1602" t="s">
        <v>63</v>
      </c>
      <c r="I1602">
        <v>25</v>
      </c>
      <c r="J1602">
        <v>0</v>
      </c>
      <c r="K1602">
        <v>261.48</v>
      </c>
      <c r="L1602">
        <v>15.75</v>
      </c>
      <c r="M1602" t="s">
        <v>2477</v>
      </c>
      <c r="N1602" t="s">
        <v>2474</v>
      </c>
      <c r="O1602" t="s">
        <v>2468</v>
      </c>
      <c r="P1602">
        <v>6.33</v>
      </c>
      <c r="Q1602">
        <v>12.16</v>
      </c>
      <c r="R1602">
        <v>158.25</v>
      </c>
      <c r="S1602">
        <v>87.480000000000018</v>
      </c>
      <c r="T1602">
        <v>0.3345571363010556</v>
      </c>
      <c r="U1602" s="1">
        <v>45292</v>
      </c>
      <c r="V1602" t="s">
        <v>2499</v>
      </c>
      <c r="W1602">
        <v>2024</v>
      </c>
    </row>
    <row r="1603" spans="1:23" x14ac:dyDescent="0.25">
      <c r="A1603" t="s">
        <v>1650</v>
      </c>
      <c r="B1603" s="1">
        <v>45895</v>
      </c>
      <c r="C1603" s="1">
        <v>45898</v>
      </c>
      <c r="D1603" t="s">
        <v>13</v>
      </c>
      <c r="E1603" t="s">
        <v>14</v>
      </c>
      <c r="F1603" t="s">
        <v>25</v>
      </c>
      <c r="G1603" t="s">
        <v>26</v>
      </c>
      <c r="H1603" t="s">
        <v>17</v>
      </c>
      <c r="I1603">
        <v>3</v>
      </c>
      <c r="J1603">
        <v>0.2</v>
      </c>
      <c r="K1603">
        <v>288.27</v>
      </c>
      <c r="L1603">
        <v>8.25</v>
      </c>
      <c r="M1603" t="s">
        <v>2472</v>
      </c>
      <c r="N1603" t="s">
        <v>2467</v>
      </c>
      <c r="O1603" t="s">
        <v>2468</v>
      </c>
      <c r="P1603">
        <v>63.69</v>
      </c>
      <c r="Q1603">
        <v>125.5</v>
      </c>
      <c r="R1603">
        <v>191.07</v>
      </c>
      <c r="S1603">
        <v>88.949999999999989</v>
      </c>
      <c r="T1603">
        <v>0.30856488708502444</v>
      </c>
      <c r="U1603" s="1">
        <v>45870</v>
      </c>
      <c r="V1603" t="s">
        <v>2500</v>
      </c>
      <c r="W1603">
        <v>2025</v>
      </c>
    </row>
    <row r="1604" spans="1:23" x14ac:dyDescent="0.25">
      <c r="A1604" t="s">
        <v>1651</v>
      </c>
      <c r="B1604" s="1">
        <v>45874</v>
      </c>
      <c r="C1604" s="1">
        <v>45877</v>
      </c>
      <c r="D1604" t="s">
        <v>23</v>
      </c>
      <c r="E1604" t="s">
        <v>24</v>
      </c>
      <c r="F1604" t="s">
        <v>15</v>
      </c>
      <c r="G1604" t="s">
        <v>20</v>
      </c>
      <c r="H1604" t="s">
        <v>87</v>
      </c>
      <c r="I1604">
        <v>9</v>
      </c>
      <c r="J1604">
        <v>0</v>
      </c>
      <c r="K1604">
        <v>69.930000000000007</v>
      </c>
      <c r="L1604">
        <v>5.13</v>
      </c>
      <c r="M1604" t="s">
        <v>2476</v>
      </c>
      <c r="N1604" t="s">
        <v>2474</v>
      </c>
      <c r="O1604" t="s">
        <v>2459</v>
      </c>
      <c r="P1604">
        <v>4.5</v>
      </c>
      <c r="Q1604">
        <v>8.2899999999999991</v>
      </c>
      <c r="R1604">
        <v>40.5</v>
      </c>
      <c r="S1604">
        <v>24.300000000000008</v>
      </c>
      <c r="T1604">
        <v>0.34749034749034757</v>
      </c>
      <c r="U1604" s="1">
        <v>45870</v>
      </c>
      <c r="V1604" t="s">
        <v>2499</v>
      </c>
      <c r="W1604">
        <v>2025</v>
      </c>
    </row>
    <row r="1605" spans="1:23" x14ac:dyDescent="0.25">
      <c r="A1605" t="s">
        <v>1652</v>
      </c>
      <c r="B1605" s="1">
        <v>45585</v>
      </c>
      <c r="C1605" s="1">
        <v>45587</v>
      </c>
      <c r="D1605" t="s">
        <v>13</v>
      </c>
      <c r="E1605" t="s">
        <v>36</v>
      </c>
      <c r="F1605" t="s">
        <v>15</v>
      </c>
      <c r="G1605" t="s">
        <v>26</v>
      </c>
      <c r="H1605" t="s">
        <v>17</v>
      </c>
      <c r="I1605">
        <v>4</v>
      </c>
      <c r="J1605">
        <v>0</v>
      </c>
      <c r="K1605">
        <v>560.96</v>
      </c>
      <c r="L1605">
        <v>9.5</v>
      </c>
      <c r="M1605" t="s">
        <v>2472</v>
      </c>
      <c r="N1605" t="s">
        <v>2467</v>
      </c>
      <c r="O1605" t="s">
        <v>2468</v>
      </c>
      <c r="P1605">
        <v>63.69</v>
      </c>
      <c r="Q1605">
        <v>125.5</v>
      </c>
      <c r="R1605">
        <v>254.76</v>
      </c>
      <c r="S1605">
        <v>296.70000000000005</v>
      </c>
      <c r="T1605">
        <v>0.52891471762692532</v>
      </c>
      <c r="U1605" s="1">
        <v>45566</v>
      </c>
      <c r="V1605" t="s">
        <v>2499</v>
      </c>
      <c r="W1605">
        <v>2024</v>
      </c>
    </row>
    <row r="1606" spans="1:23" x14ac:dyDescent="0.25">
      <c r="A1606" t="s">
        <v>1653</v>
      </c>
      <c r="B1606" s="1">
        <v>45744</v>
      </c>
      <c r="C1606" s="1">
        <v>45748</v>
      </c>
      <c r="D1606" t="s">
        <v>47</v>
      </c>
      <c r="E1606" t="s">
        <v>48</v>
      </c>
      <c r="F1606" t="s">
        <v>25</v>
      </c>
      <c r="G1606" t="s">
        <v>16</v>
      </c>
      <c r="H1606" t="s">
        <v>34</v>
      </c>
      <c r="I1606">
        <v>1</v>
      </c>
      <c r="J1606">
        <v>0.1</v>
      </c>
      <c r="K1606">
        <v>171.73</v>
      </c>
      <c r="L1606">
        <v>4.08</v>
      </c>
      <c r="M1606" t="s">
        <v>2460</v>
      </c>
      <c r="N1606" t="s">
        <v>2458</v>
      </c>
      <c r="O1606" t="s">
        <v>2461</v>
      </c>
      <c r="P1606">
        <v>119.02</v>
      </c>
      <c r="Q1606">
        <v>205.39</v>
      </c>
      <c r="R1606">
        <v>119.02</v>
      </c>
      <c r="S1606">
        <v>48.629999999999995</v>
      </c>
      <c r="T1606">
        <v>0.28317708030047167</v>
      </c>
      <c r="U1606" s="1">
        <v>45717</v>
      </c>
      <c r="V1606" t="s">
        <v>2498</v>
      </c>
      <c r="W1606">
        <v>2025</v>
      </c>
    </row>
    <row r="1607" spans="1:23" x14ac:dyDescent="0.25">
      <c r="A1607" t="s">
        <v>1654</v>
      </c>
      <c r="B1607" s="1">
        <v>45320</v>
      </c>
      <c r="C1607" s="1">
        <v>45324</v>
      </c>
      <c r="D1607" t="s">
        <v>32</v>
      </c>
      <c r="E1607" t="s">
        <v>62</v>
      </c>
      <c r="F1607" t="s">
        <v>25</v>
      </c>
      <c r="G1607" t="s">
        <v>26</v>
      </c>
      <c r="H1607" t="s">
        <v>60</v>
      </c>
      <c r="I1607">
        <v>1</v>
      </c>
      <c r="J1607">
        <v>0</v>
      </c>
      <c r="K1607">
        <v>98.77</v>
      </c>
      <c r="L1607">
        <v>5.75</v>
      </c>
      <c r="M1607" t="s">
        <v>2469</v>
      </c>
      <c r="N1607" t="s">
        <v>2467</v>
      </c>
      <c r="O1607" t="s">
        <v>2468</v>
      </c>
      <c r="P1607">
        <v>54.95</v>
      </c>
      <c r="Q1607">
        <v>112.56</v>
      </c>
      <c r="R1607">
        <v>54.95</v>
      </c>
      <c r="S1607">
        <v>38.069999999999993</v>
      </c>
      <c r="T1607">
        <v>0.38544092335729468</v>
      </c>
      <c r="U1607" s="1">
        <v>45292</v>
      </c>
      <c r="V1607" t="s">
        <v>2499</v>
      </c>
      <c r="W1607">
        <v>2024</v>
      </c>
    </row>
    <row r="1608" spans="1:23" x14ac:dyDescent="0.25">
      <c r="A1608" t="s">
        <v>1655</v>
      </c>
      <c r="B1608" s="1">
        <v>46002</v>
      </c>
      <c r="C1608" s="1">
        <v>46006</v>
      </c>
      <c r="D1608" t="s">
        <v>47</v>
      </c>
      <c r="E1608" t="s">
        <v>48</v>
      </c>
      <c r="F1608" t="s">
        <v>15</v>
      </c>
      <c r="G1608" t="s">
        <v>20</v>
      </c>
      <c r="H1608" t="s">
        <v>41</v>
      </c>
      <c r="I1608">
        <v>25</v>
      </c>
      <c r="J1608">
        <v>0</v>
      </c>
      <c r="K1608">
        <v>213.23</v>
      </c>
      <c r="L1608">
        <v>15.75</v>
      </c>
      <c r="M1608" t="s">
        <v>2479</v>
      </c>
      <c r="N1608" t="s">
        <v>2474</v>
      </c>
      <c r="O1608" t="s">
        <v>2459</v>
      </c>
      <c r="P1608">
        <v>3.3</v>
      </c>
      <c r="Q1608">
        <v>6.13</v>
      </c>
      <c r="R1608">
        <v>82.5</v>
      </c>
      <c r="S1608">
        <v>114.97999999999999</v>
      </c>
      <c r="T1608">
        <v>0.5392299395019462</v>
      </c>
      <c r="U1608" s="1">
        <v>45992</v>
      </c>
      <c r="V1608" t="s">
        <v>2499</v>
      </c>
      <c r="W1608">
        <v>2025</v>
      </c>
    </row>
    <row r="1609" spans="1:23" x14ac:dyDescent="0.25">
      <c r="A1609" t="s">
        <v>1656</v>
      </c>
      <c r="B1609" s="1">
        <v>45295</v>
      </c>
      <c r="C1609" s="1">
        <v>45296</v>
      </c>
      <c r="D1609" t="s">
        <v>47</v>
      </c>
      <c r="E1609" t="s">
        <v>50</v>
      </c>
      <c r="F1609" t="s">
        <v>29</v>
      </c>
      <c r="G1609" t="s">
        <v>16</v>
      </c>
      <c r="H1609" t="s">
        <v>34</v>
      </c>
      <c r="I1609">
        <v>2</v>
      </c>
      <c r="J1609">
        <v>0</v>
      </c>
      <c r="K1609">
        <v>346.03</v>
      </c>
      <c r="L1609">
        <v>5.46</v>
      </c>
      <c r="M1609" t="s">
        <v>2460</v>
      </c>
      <c r="N1609" t="s">
        <v>2458</v>
      </c>
      <c r="O1609" t="s">
        <v>2461</v>
      </c>
      <c r="P1609">
        <v>119.02</v>
      </c>
      <c r="Q1609">
        <v>205.39</v>
      </c>
      <c r="R1609">
        <v>238.04</v>
      </c>
      <c r="S1609">
        <v>102.52999999999999</v>
      </c>
      <c r="T1609">
        <v>0.296303788688842</v>
      </c>
      <c r="U1609" s="1">
        <v>45292</v>
      </c>
      <c r="V1609" t="s">
        <v>2499</v>
      </c>
      <c r="W1609">
        <v>2024</v>
      </c>
    </row>
    <row r="1610" spans="1:23" x14ac:dyDescent="0.25">
      <c r="A1610" t="s">
        <v>1657</v>
      </c>
      <c r="B1610" s="1">
        <v>45318</v>
      </c>
      <c r="C1610" s="1">
        <v>45323</v>
      </c>
      <c r="D1610" t="s">
        <v>13</v>
      </c>
      <c r="E1610" t="s">
        <v>36</v>
      </c>
      <c r="F1610" t="s">
        <v>29</v>
      </c>
      <c r="G1610" t="s">
        <v>16</v>
      </c>
      <c r="H1610" t="s">
        <v>39</v>
      </c>
      <c r="I1610">
        <v>4</v>
      </c>
      <c r="J1610">
        <v>0</v>
      </c>
      <c r="K1610">
        <v>649.9</v>
      </c>
      <c r="L1610">
        <v>5.7</v>
      </c>
      <c r="M1610" t="s">
        <v>2471</v>
      </c>
      <c r="N1610" t="s">
        <v>2467</v>
      </c>
      <c r="O1610" t="s">
        <v>2461</v>
      </c>
      <c r="P1610">
        <v>112.09</v>
      </c>
      <c r="Q1610">
        <v>192.47</v>
      </c>
      <c r="R1610">
        <v>448.36</v>
      </c>
      <c r="S1610">
        <v>195.83999999999997</v>
      </c>
      <c r="T1610">
        <v>0.3013386674873057</v>
      </c>
      <c r="U1610" s="1">
        <v>45292</v>
      </c>
      <c r="V1610" t="s">
        <v>2499</v>
      </c>
      <c r="W1610">
        <v>2024</v>
      </c>
    </row>
    <row r="1611" spans="1:23" x14ac:dyDescent="0.25">
      <c r="A1611" t="s">
        <v>1658</v>
      </c>
      <c r="B1611" s="1">
        <v>45554</v>
      </c>
      <c r="C1611" s="1">
        <v>45559</v>
      </c>
      <c r="D1611" t="s">
        <v>13</v>
      </c>
      <c r="E1611" t="s">
        <v>14</v>
      </c>
      <c r="F1611" t="s">
        <v>15</v>
      </c>
      <c r="G1611" t="s">
        <v>20</v>
      </c>
      <c r="H1611" t="s">
        <v>68</v>
      </c>
      <c r="I1611">
        <v>2</v>
      </c>
      <c r="J1611">
        <v>0.15</v>
      </c>
      <c r="K1611">
        <v>98.65</v>
      </c>
      <c r="L1611">
        <v>4.2</v>
      </c>
      <c r="M1611" t="s">
        <v>2466</v>
      </c>
      <c r="N1611" t="s">
        <v>2467</v>
      </c>
      <c r="O1611" t="s">
        <v>2468</v>
      </c>
      <c r="P1611">
        <v>25.33</v>
      </c>
      <c r="Q1611">
        <v>51.56</v>
      </c>
      <c r="R1611">
        <v>50.66</v>
      </c>
      <c r="S1611">
        <v>43.790000000000006</v>
      </c>
      <c r="T1611">
        <v>0.4438925494171313</v>
      </c>
      <c r="U1611" s="1">
        <v>45536</v>
      </c>
      <c r="V1611" t="s">
        <v>2500</v>
      </c>
      <c r="W1611">
        <v>2024</v>
      </c>
    </row>
    <row r="1612" spans="1:23" x14ac:dyDescent="0.25">
      <c r="A1612" t="s">
        <v>1659</v>
      </c>
      <c r="B1612" s="1">
        <v>45749</v>
      </c>
      <c r="C1612" s="1">
        <v>45753</v>
      </c>
      <c r="D1612" t="s">
        <v>23</v>
      </c>
      <c r="E1612" t="s">
        <v>24</v>
      </c>
      <c r="F1612" t="s">
        <v>15</v>
      </c>
      <c r="G1612" t="s">
        <v>16</v>
      </c>
      <c r="H1612" t="s">
        <v>53</v>
      </c>
      <c r="I1612">
        <v>2</v>
      </c>
      <c r="J1612">
        <v>0</v>
      </c>
      <c r="K1612">
        <v>105.26</v>
      </c>
      <c r="L1612">
        <v>7</v>
      </c>
      <c r="M1612" t="s">
        <v>2470</v>
      </c>
      <c r="N1612" t="s">
        <v>2467</v>
      </c>
      <c r="O1612" t="s">
        <v>2459</v>
      </c>
      <c r="P1612">
        <v>31.34</v>
      </c>
      <c r="Q1612">
        <v>56.49</v>
      </c>
      <c r="R1612">
        <v>62.68</v>
      </c>
      <c r="S1612">
        <v>35.580000000000005</v>
      </c>
      <c r="T1612">
        <v>0.33802014060421814</v>
      </c>
      <c r="U1612" s="1">
        <v>45748</v>
      </c>
      <c r="V1612" t="s">
        <v>2499</v>
      </c>
      <c r="W1612">
        <v>2025</v>
      </c>
    </row>
    <row r="1613" spans="1:23" x14ac:dyDescent="0.25">
      <c r="A1613" t="s">
        <v>1660</v>
      </c>
      <c r="B1613" s="1">
        <v>45723</v>
      </c>
      <c r="C1613" s="1">
        <v>45728</v>
      </c>
      <c r="D1613" t="s">
        <v>32</v>
      </c>
      <c r="E1613" t="s">
        <v>33</v>
      </c>
      <c r="F1613" t="s">
        <v>15</v>
      </c>
      <c r="G1613" t="s">
        <v>16</v>
      </c>
      <c r="H1613" t="s">
        <v>27</v>
      </c>
      <c r="I1613">
        <v>10</v>
      </c>
      <c r="J1613">
        <v>0</v>
      </c>
      <c r="K1613">
        <v>268.39999999999998</v>
      </c>
      <c r="L1613">
        <v>5.4</v>
      </c>
      <c r="M1613" t="s">
        <v>2478</v>
      </c>
      <c r="N1613" t="s">
        <v>2474</v>
      </c>
      <c r="O1613" t="s">
        <v>2463</v>
      </c>
      <c r="P1613">
        <v>16.760000000000002</v>
      </c>
      <c r="Q1613">
        <v>27.71</v>
      </c>
      <c r="R1613">
        <v>167.60000000000002</v>
      </c>
      <c r="S1613">
        <v>95.399999999999949</v>
      </c>
      <c r="T1613">
        <v>0.35543964232488806</v>
      </c>
      <c r="U1613" s="1">
        <v>45717</v>
      </c>
      <c r="V1613" t="s">
        <v>2499</v>
      </c>
      <c r="W1613">
        <v>2025</v>
      </c>
    </row>
    <row r="1614" spans="1:23" x14ac:dyDescent="0.25">
      <c r="A1614" t="s">
        <v>1661</v>
      </c>
      <c r="B1614" s="1">
        <v>45599</v>
      </c>
      <c r="C1614" s="1">
        <v>45602</v>
      </c>
      <c r="D1614" t="s">
        <v>23</v>
      </c>
      <c r="E1614" t="s">
        <v>24</v>
      </c>
      <c r="F1614" t="s">
        <v>25</v>
      </c>
      <c r="G1614" t="s">
        <v>16</v>
      </c>
      <c r="H1614" t="s">
        <v>21</v>
      </c>
      <c r="I1614">
        <v>3</v>
      </c>
      <c r="J1614">
        <v>0.25</v>
      </c>
      <c r="K1614">
        <v>327.94</v>
      </c>
      <c r="L1614">
        <v>11.4</v>
      </c>
      <c r="M1614" t="s">
        <v>2462</v>
      </c>
      <c r="N1614" t="s">
        <v>2458</v>
      </c>
      <c r="O1614" t="s">
        <v>2463</v>
      </c>
      <c r="P1614">
        <v>71.489999999999995</v>
      </c>
      <c r="Q1614">
        <v>112.88</v>
      </c>
      <c r="R1614">
        <v>214.46999999999997</v>
      </c>
      <c r="S1614">
        <v>102.07000000000002</v>
      </c>
      <c r="T1614">
        <v>0.31124595962676105</v>
      </c>
      <c r="U1614" s="1">
        <v>45597</v>
      </c>
      <c r="V1614" t="s">
        <v>2501</v>
      </c>
      <c r="W1614">
        <v>2024</v>
      </c>
    </row>
    <row r="1615" spans="1:23" x14ac:dyDescent="0.25">
      <c r="A1615" t="s">
        <v>1662</v>
      </c>
      <c r="B1615" s="1">
        <v>45625</v>
      </c>
      <c r="C1615" s="1">
        <v>45628</v>
      </c>
      <c r="D1615" t="s">
        <v>47</v>
      </c>
      <c r="E1615" t="s">
        <v>50</v>
      </c>
      <c r="F1615" t="s">
        <v>25</v>
      </c>
      <c r="G1615" t="s">
        <v>20</v>
      </c>
      <c r="H1615" t="s">
        <v>60</v>
      </c>
      <c r="I1615">
        <v>1</v>
      </c>
      <c r="J1615">
        <v>0</v>
      </c>
      <c r="K1615">
        <v>157.96</v>
      </c>
      <c r="L1615">
        <v>5.75</v>
      </c>
      <c r="M1615" t="s">
        <v>2469</v>
      </c>
      <c r="N1615" t="s">
        <v>2467</v>
      </c>
      <c r="O1615" t="s">
        <v>2468</v>
      </c>
      <c r="P1615">
        <v>54.95</v>
      </c>
      <c r="Q1615">
        <v>112.56</v>
      </c>
      <c r="R1615">
        <v>54.95</v>
      </c>
      <c r="S1615">
        <v>97.26</v>
      </c>
      <c r="T1615">
        <v>0.61572550012661431</v>
      </c>
      <c r="U1615" s="1">
        <v>45597</v>
      </c>
      <c r="V1615" t="s">
        <v>2499</v>
      </c>
      <c r="W1615">
        <v>2024</v>
      </c>
    </row>
    <row r="1616" spans="1:23" x14ac:dyDescent="0.25">
      <c r="A1616" t="s">
        <v>1663</v>
      </c>
      <c r="B1616" s="1">
        <v>45471</v>
      </c>
      <c r="C1616" s="1">
        <v>45475</v>
      </c>
      <c r="D1616" t="s">
        <v>13</v>
      </c>
      <c r="E1616" t="s">
        <v>14</v>
      </c>
      <c r="F1616" t="s">
        <v>15</v>
      </c>
      <c r="G1616" t="s">
        <v>20</v>
      </c>
      <c r="H1616" t="s">
        <v>17</v>
      </c>
      <c r="I1616">
        <v>3</v>
      </c>
      <c r="J1616">
        <v>0.25</v>
      </c>
      <c r="K1616">
        <v>300.45</v>
      </c>
      <c r="L1616">
        <v>4.95</v>
      </c>
      <c r="M1616" t="s">
        <v>2472</v>
      </c>
      <c r="N1616" t="s">
        <v>2467</v>
      </c>
      <c r="O1616" t="s">
        <v>2468</v>
      </c>
      <c r="P1616">
        <v>63.69</v>
      </c>
      <c r="Q1616">
        <v>125.5</v>
      </c>
      <c r="R1616">
        <v>191.07</v>
      </c>
      <c r="S1616">
        <v>104.42999999999999</v>
      </c>
      <c r="T1616">
        <v>0.34757863205192213</v>
      </c>
      <c r="U1616" s="1">
        <v>45444</v>
      </c>
      <c r="V1616" t="s">
        <v>2501</v>
      </c>
      <c r="W1616">
        <v>2024</v>
      </c>
    </row>
    <row r="1617" spans="1:23" x14ac:dyDescent="0.25">
      <c r="A1617" t="s">
        <v>1664</v>
      </c>
      <c r="B1617" s="1">
        <v>45624</v>
      </c>
      <c r="C1617" s="1">
        <v>45629</v>
      </c>
      <c r="D1617" t="s">
        <v>23</v>
      </c>
      <c r="E1617" t="s">
        <v>59</v>
      </c>
      <c r="F1617" t="s">
        <v>25</v>
      </c>
      <c r="G1617" t="s">
        <v>16</v>
      </c>
      <c r="H1617" t="s">
        <v>53</v>
      </c>
      <c r="I1617">
        <v>4</v>
      </c>
      <c r="J1617">
        <v>0</v>
      </c>
      <c r="K1617">
        <v>290.94</v>
      </c>
      <c r="L1617">
        <v>5.7</v>
      </c>
      <c r="M1617" t="s">
        <v>2470</v>
      </c>
      <c r="N1617" t="s">
        <v>2467</v>
      </c>
      <c r="O1617" t="s">
        <v>2459</v>
      </c>
      <c r="P1617">
        <v>31.34</v>
      </c>
      <c r="Q1617">
        <v>56.49</v>
      </c>
      <c r="R1617">
        <v>125.36</v>
      </c>
      <c r="S1617">
        <v>159.88</v>
      </c>
      <c r="T1617">
        <v>0.54952911253179348</v>
      </c>
      <c r="U1617" s="1">
        <v>45597</v>
      </c>
      <c r="V1617" t="s">
        <v>2499</v>
      </c>
      <c r="W1617">
        <v>2024</v>
      </c>
    </row>
    <row r="1618" spans="1:23" x14ac:dyDescent="0.25">
      <c r="A1618" t="s">
        <v>1665</v>
      </c>
      <c r="B1618" s="1">
        <v>45968</v>
      </c>
      <c r="C1618" s="1">
        <v>45970</v>
      </c>
      <c r="D1618" t="s">
        <v>32</v>
      </c>
      <c r="E1618" t="s">
        <v>45</v>
      </c>
      <c r="F1618" t="s">
        <v>25</v>
      </c>
      <c r="G1618" t="s">
        <v>20</v>
      </c>
      <c r="H1618" t="s">
        <v>41</v>
      </c>
      <c r="I1618">
        <v>14</v>
      </c>
      <c r="J1618">
        <v>0.05</v>
      </c>
      <c r="K1618">
        <v>106.71</v>
      </c>
      <c r="L1618">
        <v>6.48</v>
      </c>
      <c r="M1618" t="s">
        <v>2479</v>
      </c>
      <c r="N1618" t="s">
        <v>2474</v>
      </c>
      <c r="O1618" t="s">
        <v>2459</v>
      </c>
      <c r="P1618">
        <v>3.3</v>
      </c>
      <c r="Q1618">
        <v>6.13</v>
      </c>
      <c r="R1618">
        <v>46.199999999999996</v>
      </c>
      <c r="S1618">
        <v>54.03</v>
      </c>
      <c r="T1618">
        <v>0.50632555524318246</v>
      </c>
      <c r="U1618" s="1">
        <v>45962</v>
      </c>
      <c r="V1618" t="s">
        <v>2498</v>
      </c>
      <c r="W1618">
        <v>2025</v>
      </c>
    </row>
    <row r="1619" spans="1:23" x14ac:dyDescent="0.25">
      <c r="A1619" t="s">
        <v>1666</v>
      </c>
      <c r="B1619" s="1">
        <v>45656</v>
      </c>
      <c r="C1619" s="1">
        <v>45657</v>
      </c>
      <c r="D1619" t="s">
        <v>13</v>
      </c>
      <c r="E1619" t="s">
        <v>19</v>
      </c>
      <c r="F1619" t="s">
        <v>15</v>
      </c>
      <c r="G1619" t="s">
        <v>16</v>
      </c>
      <c r="H1619" t="s">
        <v>37</v>
      </c>
      <c r="I1619">
        <v>4</v>
      </c>
      <c r="J1619">
        <v>0.15</v>
      </c>
      <c r="K1619">
        <v>543.09</v>
      </c>
      <c r="L1619">
        <v>8.2200000000000006</v>
      </c>
      <c r="M1619" t="s">
        <v>2464</v>
      </c>
      <c r="N1619" t="s">
        <v>2458</v>
      </c>
      <c r="O1619" t="s">
        <v>2465</v>
      </c>
      <c r="P1619">
        <v>63.6</v>
      </c>
      <c r="Q1619">
        <v>107.94</v>
      </c>
      <c r="R1619">
        <v>254.4</v>
      </c>
      <c r="S1619">
        <v>280.47000000000003</v>
      </c>
      <c r="T1619">
        <v>0.51643374026404465</v>
      </c>
      <c r="U1619" s="1">
        <v>45627</v>
      </c>
      <c r="V1619" t="s">
        <v>2500</v>
      </c>
      <c r="W1619">
        <v>2024</v>
      </c>
    </row>
    <row r="1620" spans="1:23" x14ac:dyDescent="0.25">
      <c r="A1620" t="s">
        <v>1667</v>
      </c>
      <c r="B1620" s="1">
        <v>45446</v>
      </c>
      <c r="C1620" s="1">
        <v>45449</v>
      </c>
      <c r="D1620" t="s">
        <v>13</v>
      </c>
      <c r="E1620" t="s">
        <v>14</v>
      </c>
      <c r="F1620" t="s">
        <v>15</v>
      </c>
      <c r="G1620" t="s">
        <v>16</v>
      </c>
      <c r="H1620" t="s">
        <v>68</v>
      </c>
      <c r="I1620">
        <v>4</v>
      </c>
      <c r="J1620">
        <v>0</v>
      </c>
      <c r="K1620">
        <v>217.07</v>
      </c>
      <c r="L1620">
        <v>9.5</v>
      </c>
      <c r="M1620" t="s">
        <v>2466</v>
      </c>
      <c r="N1620" t="s">
        <v>2467</v>
      </c>
      <c r="O1620" t="s">
        <v>2468</v>
      </c>
      <c r="P1620">
        <v>25.33</v>
      </c>
      <c r="Q1620">
        <v>51.56</v>
      </c>
      <c r="R1620">
        <v>101.32</v>
      </c>
      <c r="S1620">
        <v>106.25</v>
      </c>
      <c r="T1620">
        <v>0.48947344174690194</v>
      </c>
      <c r="U1620" s="1">
        <v>45444</v>
      </c>
      <c r="V1620" t="s">
        <v>2499</v>
      </c>
      <c r="W1620">
        <v>2024</v>
      </c>
    </row>
    <row r="1621" spans="1:23" x14ac:dyDescent="0.25">
      <c r="A1621" t="s">
        <v>1668</v>
      </c>
      <c r="B1621" s="1">
        <v>45595</v>
      </c>
      <c r="C1621" s="1">
        <v>45596</v>
      </c>
      <c r="D1621" t="s">
        <v>47</v>
      </c>
      <c r="E1621" t="s">
        <v>71</v>
      </c>
      <c r="F1621" t="s">
        <v>25</v>
      </c>
      <c r="G1621" t="s">
        <v>26</v>
      </c>
      <c r="H1621" t="s">
        <v>51</v>
      </c>
      <c r="I1621">
        <v>10</v>
      </c>
      <c r="J1621">
        <v>0.1</v>
      </c>
      <c r="K1621">
        <v>151.44</v>
      </c>
      <c r="L1621">
        <v>5.4</v>
      </c>
      <c r="M1621" t="s">
        <v>2475</v>
      </c>
      <c r="N1621" t="s">
        <v>2474</v>
      </c>
      <c r="O1621" t="s">
        <v>2463</v>
      </c>
      <c r="P1621">
        <v>7.93</v>
      </c>
      <c r="Q1621">
        <v>14.78</v>
      </c>
      <c r="R1621">
        <v>79.3</v>
      </c>
      <c r="S1621">
        <v>66.739999999999995</v>
      </c>
      <c r="T1621">
        <v>0.44070258848388799</v>
      </c>
      <c r="U1621" s="1">
        <v>45566</v>
      </c>
      <c r="V1621" t="s">
        <v>2498</v>
      </c>
      <c r="W1621">
        <v>2024</v>
      </c>
    </row>
    <row r="1622" spans="1:23" x14ac:dyDescent="0.25">
      <c r="A1622" t="s">
        <v>1669</v>
      </c>
      <c r="B1622" s="1">
        <v>45578</v>
      </c>
      <c r="C1622" s="1">
        <v>45580</v>
      </c>
      <c r="D1622" t="s">
        <v>47</v>
      </c>
      <c r="E1622" t="s">
        <v>71</v>
      </c>
      <c r="F1622" t="s">
        <v>29</v>
      </c>
      <c r="G1622" t="s">
        <v>20</v>
      </c>
      <c r="H1622" t="s">
        <v>63</v>
      </c>
      <c r="I1622">
        <v>10</v>
      </c>
      <c r="J1622">
        <v>0.2</v>
      </c>
      <c r="K1622">
        <v>110.31</v>
      </c>
      <c r="L1622">
        <v>5.4</v>
      </c>
      <c r="M1622" t="s">
        <v>2477</v>
      </c>
      <c r="N1622" t="s">
        <v>2474</v>
      </c>
      <c r="O1622" t="s">
        <v>2468</v>
      </c>
      <c r="P1622">
        <v>6.33</v>
      </c>
      <c r="Q1622">
        <v>12.16</v>
      </c>
      <c r="R1622">
        <v>63.3</v>
      </c>
      <c r="S1622">
        <v>41.610000000000007</v>
      </c>
      <c r="T1622">
        <v>0.37720968180582004</v>
      </c>
      <c r="U1622" s="1">
        <v>45566</v>
      </c>
      <c r="V1622" t="s">
        <v>2500</v>
      </c>
      <c r="W1622">
        <v>2024</v>
      </c>
    </row>
    <row r="1623" spans="1:23" x14ac:dyDescent="0.25">
      <c r="A1623" t="s">
        <v>1670</v>
      </c>
      <c r="B1623" s="1">
        <v>45618</v>
      </c>
      <c r="C1623" s="1">
        <v>45622</v>
      </c>
      <c r="D1623" t="s">
        <v>32</v>
      </c>
      <c r="E1623" t="s">
        <v>45</v>
      </c>
      <c r="F1623" t="s">
        <v>29</v>
      </c>
      <c r="G1623" t="s">
        <v>26</v>
      </c>
      <c r="H1623" t="s">
        <v>17</v>
      </c>
      <c r="I1623">
        <v>7</v>
      </c>
      <c r="J1623">
        <v>0.05</v>
      </c>
      <c r="K1623">
        <v>1137.8399999999999</v>
      </c>
      <c r="L1623">
        <v>7.95</v>
      </c>
      <c r="M1623" t="s">
        <v>2472</v>
      </c>
      <c r="N1623" t="s">
        <v>2467</v>
      </c>
      <c r="O1623" t="s">
        <v>2468</v>
      </c>
      <c r="P1623">
        <v>63.69</v>
      </c>
      <c r="Q1623">
        <v>125.5</v>
      </c>
      <c r="R1623">
        <v>445.83</v>
      </c>
      <c r="S1623">
        <v>684.06</v>
      </c>
      <c r="T1623">
        <v>0.60119173170217255</v>
      </c>
      <c r="U1623" s="1">
        <v>45597</v>
      </c>
      <c r="V1623" t="s">
        <v>2498</v>
      </c>
      <c r="W1623">
        <v>2024</v>
      </c>
    </row>
    <row r="1624" spans="1:23" x14ac:dyDescent="0.25">
      <c r="A1624" t="s">
        <v>1671</v>
      </c>
      <c r="B1624" s="1">
        <v>45792</v>
      </c>
      <c r="C1624" s="1">
        <v>45796</v>
      </c>
      <c r="D1624" t="s">
        <v>47</v>
      </c>
      <c r="E1624" t="s">
        <v>48</v>
      </c>
      <c r="F1624" t="s">
        <v>29</v>
      </c>
      <c r="G1624" t="s">
        <v>26</v>
      </c>
      <c r="H1624" t="s">
        <v>68</v>
      </c>
      <c r="I1624">
        <v>1</v>
      </c>
      <c r="J1624">
        <v>0</v>
      </c>
      <c r="K1624">
        <v>52.66</v>
      </c>
      <c r="L1624">
        <v>3.45</v>
      </c>
      <c r="M1624" t="s">
        <v>2466</v>
      </c>
      <c r="N1624" t="s">
        <v>2467</v>
      </c>
      <c r="O1624" t="s">
        <v>2468</v>
      </c>
      <c r="P1624">
        <v>25.33</v>
      </c>
      <c r="Q1624">
        <v>51.56</v>
      </c>
      <c r="R1624">
        <v>25.33</v>
      </c>
      <c r="S1624">
        <v>23.88</v>
      </c>
      <c r="T1624">
        <v>0.45347512343334601</v>
      </c>
      <c r="U1624" s="1">
        <v>45778</v>
      </c>
      <c r="V1624" t="s">
        <v>2499</v>
      </c>
      <c r="W1624">
        <v>2025</v>
      </c>
    </row>
    <row r="1625" spans="1:23" x14ac:dyDescent="0.25">
      <c r="A1625" t="s">
        <v>1672</v>
      </c>
      <c r="B1625" s="1">
        <v>45611</v>
      </c>
      <c r="C1625" s="1">
        <v>45613</v>
      </c>
      <c r="D1625" t="s">
        <v>32</v>
      </c>
      <c r="E1625" t="s">
        <v>33</v>
      </c>
      <c r="F1625" t="s">
        <v>29</v>
      </c>
      <c r="G1625" t="s">
        <v>20</v>
      </c>
      <c r="H1625" t="s">
        <v>17</v>
      </c>
      <c r="I1625">
        <v>3</v>
      </c>
      <c r="J1625">
        <v>0</v>
      </c>
      <c r="K1625">
        <v>512.89</v>
      </c>
      <c r="L1625">
        <v>4.95</v>
      </c>
      <c r="M1625" t="s">
        <v>2472</v>
      </c>
      <c r="N1625" t="s">
        <v>2467</v>
      </c>
      <c r="O1625" t="s">
        <v>2468</v>
      </c>
      <c r="P1625">
        <v>63.69</v>
      </c>
      <c r="Q1625">
        <v>125.5</v>
      </c>
      <c r="R1625">
        <v>191.07</v>
      </c>
      <c r="S1625">
        <v>316.87</v>
      </c>
      <c r="T1625">
        <v>0.61781278636744719</v>
      </c>
      <c r="U1625" s="1">
        <v>45597</v>
      </c>
      <c r="V1625" t="s">
        <v>2499</v>
      </c>
      <c r="W1625">
        <v>2024</v>
      </c>
    </row>
    <row r="1626" spans="1:23" x14ac:dyDescent="0.25">
      <c r="A1626" t="s">
        <v>1673</v>
      </c>
      <c r="B1626" s="1">
        <v>45582</v>
      </c>
      <c r="C1626" s="1">
        <v>45587</v>
      </c>
      <c r="D1626" t="s">
        <v>13</v>
      </c>
      <c r="E1626" t="s">
        <v>36</v>
      </c>
      <c r="F1626" t="s">
        <v>15</v>
      </c>
      <c r="G1626" t="s">
        <v>26</v>
      </c>
      <c r="H1626" t="s">
        <v>37</v>
      </c>
      <c r="I1626">
        <v>1</v>
      </c>
      <c r="J1626">
        <v>0</v>
      </c>
      <c r="K1626">
        <v>122.8</v>
      </c>
      <c r="L1626">
        <v>6.8</v>
      </c>
      <c r="M1626" t="s">
        <v>2464</v>
      </c>
      <c r="N1626" t="s">
        <v>2458</v>
      </c>
      <c r="O1626" t="s">
        <v>2465</v>
      </c>
      <c r="P1626">
        <v>63.6</v>
      </c>
      <c r="Q1626">
        <v>107.94</v>
      </c>
      <c r="R1626">
        <v>63.6</v>
      </c>
      <c r="S1626">
        <v>52.4</v>
      </c>
      <c r="T1626">
        <v>0.42671009771986973</v>
      </c>
      <c r="U1626" s="1">
        <v>45566</v>
      </c>
      <c r="V1626" t="s">
        <v>2499</v>
      </c>
      <c r="W1626">
        <v>2024</v>
      </c>
    </row>
    <row r="1627" spans="1:23" x14ac:dyDescent="0.25">
      <c r="A1627" t="s">
        <v>1674</v>
      </c>
      <c r="B1627" s="1">
        <v>45601</v>
      </c>
      <c r="C1627" s="1">
        <v>45603</v>
      </c>
      <c r="D1627" t="s">
        <v>23</v>
      </c>
      <c r="E1627" t="s">
        <v>59</v>
      </c>
      <c r="F1627" t="s">
        <v>15</v>
      </c>
      <c r="G1627" t="s">
        <v>16</v>
      </c>
      <c r="H1627" t="s">
        <v>51</v>
      </c>
      <c r="I1627">
        <v>9</v>
      </c>
      <c r="J1627">
        <v>0</v>
      </c>
      <c r="K1627">
        <v>179.02</v>
      </c>
      <c r="L1627">
        <v>8.5500000000000007</v>
      </c>
      <c r="M1627" t="s">
        <v>2475</v>
      </c>
      <c r="N1627" t="s">
        <v>2474</v>
      </c>
      <c r="O1627" t="s">
        <v>2463</v>
      </c>
      <c r="P1627">
        <v>7.93</v>
      </c>
      <c r="Q1627">
        <v>14.78</v>
      </c>
      <c r="R1627">
        <v>71.37</v>
      </c>
      <c r="S1627">
        <v>99.100000000000009</v>
      </c>
      <c r="T1627">
        <v>0.55356943358283994</v>
      </c>
      <c r="U1627" s="1">
        <v>45597</v>
      </c>
      <c r="V1627" t="s">
        <v>2499</v>
      </c>
      <c r="W1627">
        <v>2024</v>
      </c>
    </row>
    <row r="1628" spans="1:23" x14ac:dyDescent="0.25">
      <c r="A1628" t="s">
        <v>1675</v>
      </c>
      <c r="B1628" s="1">
        <v>45489</v>
      </c>
      <c r="C1628" s="1">
        <v>45495</v>
      </c>
      <c r="D1628" t="s">
        <v>32</v>
      </c>
      <c r="E1628" t="s">
        <v>33</v>
      </c>
      <c r="F1628" t="s">
        <v>15</v>
      </c>
      <c r="G1628" t="s">
        <v>26</v>
      </c>
      <c r="H1628" t="s">
        <v>41</v>
      </c>
      <c r="I1628">
        <v>12</v>
      </c>
      <c r="J1628">
        <v>0</v>
      </c>
      <c r="K1628">
        <v>69.930000000000007</v>
      </c>
      <c r="L1628">
        <v>5.94</v>
      </c>
      <c r="M1628" t="s">
        <v>2479</v>
      </c>
      <c r="N1628" t="s">
        <v>2474</v>
      </c>
      <c r="O1628" t="s">
        <v>2459</v>
      </c>
      <c r="P1628">
        <v>3.3</v>
      </c>
      <c r="Q1628">
        <v>6.13</v>
      </c>
      <c r="R1628">
        <v>39.599999999999994</v>
      </c>
      <c r="S1628">
        <v>24.390000000000011</v>
      </c>
      <c r="T1628">
        <v>0.34877734877734889</v>
      </c>
      <c r="U1628" s="1">
        <v>45474</v>
      </c>
      <c r="V1628" t="s">
        <v>2499</v>
      </c>
      <c r="W1628">
        <v>2024</v>
      </c>
    </row>
    <row r="1629" spans="1:23" x14ac:dyDescent="0.25">
      <c r="A1629" t="s">
        <v>1676</v>
      </c>
      <c r="B1629" s="1">
        <v>45709</v>
      </c>
      <c r="C1629" s="1">
        <v>45710</v>
      </c>
      <c r="D1629" t="s">
        <v>23</v>
      </c>
      <c r="E1629" t="s">
        <v>24</v>
      </c>
      <c r="F1629" t="s">
        <v>29</v>
      </c>
      <c r="G1629" t="s">
        <v>16</v>
      </c>
      <c r="H1629" t="s">
        <v>37</v>
      </c>
      <c r="I1629">
        <v>2</v>
      </c>
      <c r="J1629">
        <v>0</v>
      </c>
      <c r="K1629">
        <v>190.6</v>
      </c>
      <c r="L1629">
        <v>9.1</v>
      </c>
      <c r="M1629" t="s">
        <v>2464</v>
      </c>
      <c r="N1629" t="s">
        <v>2458</v>
      </c>
      <c r="O1629" t="s">
        <v>2465</v>
      </c>
      <c r="P1629">
        <v>63.6</v>
      </c>
      <c r="Q1629">
        <v>107.94</v>
      </c>
      <c r="R1629">
        <v>127.2</v>
      </c>
      <c r="S1629">
        <v>54.29999999999999</v>
      </c>
      <c r="T1629">
        <v>0.28488982161594961</v>
      </c>
      <c r="U1629" s="1">
        <v>45689</v>
      </c>
      <c r="V1629" t="s">
        <v>2499</v>
      </c>
      <c r="W1629">
        <v>2025</v>
      </c>
    </row>
    <row r="1630" spans="1:23" x14ac:dyDescent="0.25">
      <c r="A1630" t="s">
        <v>1677</v>
      </c>
      <c r="B1630" s="1">
        <v>45778</v>
      </c>
      <c r="C1630" s="1">
        <v>45782</v>
      </c>
      <c r="D1630" t="s">
        <v>47</v>
      </c>
      <c r="E1630" t="s">
        <v>50</v>
      </c>
      <c r="F1630" t="s">
        <v>15</v>
      </c>
      <c r="G1630" t="s">
        <v>16</v>
      </c>
      <c r="H1630" t="s">
        <v>21</v>
      </c>
      <c r="I1630">
        <v>5</v>
      </c>
      <c r="J1630">
        <v>0.25</v>
      </c>
      <c r="K1630">
        <v>431.53</v>
      </c>
      <c r="L1630">
        <v>16</v>
      </c>
      <c r="M1630" t="s">
        <v>2462</v>
      </c>
      <c r="N1630" t="s">
        <v>2458</v>
      </c>
      <c r="O1630" t="s">
        <v>2463</v>
      </c>
      <c r="P1630">
        <v>71.489999999999995</v>
      </c>
      <c r="Q1630">
        <v>112.88</v>
      </c>
      <c r="R1630">
        <v>357.45</v>
      </c>
      <c r="S1630">
        <v>58.079999999999984</v>
      </c>
      <c r="T1630">
        <v>0.13459087433086919</v>
      </c>
      <c r="U1630" s="1">
        <v>45778</v>
      </c>
      <c r="V1630" t="s">
        <v>2501</v>
      </c>
      <c r="W1630">
        <v>2025</v>
      </c>
    </row>
    <row r="1631" spans="1:23" x14ac:dyDescent="0.25">
      <c r="A1631" t="s">
        <v>1678</v>
      </c>
      <c r="B1631" s="1">
        <v>45364</v>
      </c>
      <c r="C1631" s="1">
        <v>45367</v>
      </c>
      <c r="D1631" t="s">
        <v>32</v>
      </c>
      <c r="E1631" t="s">
        <v>45</v>
      </c>
      <c r="F1631" t="s">
        <v>29</v>
      </c>
      <c r="G1631" t="s">
        <v>20</v>
      </c>
      <c r="H1631" t="s">
        <v>30</v>
      </c>
      <c r="I1631">
        <v>3</v>
      </c>
      <c r="J1631">
        <v>0</v>
      </c>
      <c r="K1631">
        <v>17.989999999999998</v>
      </c>
      <c r="L1631">
        <v>5.85</v>
      </c>
      <c r="M1631" t="s">
        <v>2473</v>
      </c>
      <c r="N1631" t="s">
        <v>2474</v>
      </c>
      <c r="O1631" t="s">
        <v>2463</v>
      </c>
      <c r="P1631">
        <v>3.62</v>
      </c>
      <c r="Q1631">
        <v>6.03</v>
      </c>
      <c r="R1631">
        <v>10.86</v>
      </c>
      <c r="S1631">
        <v>1.2799999999999994</v>
      </c>
      <c r="T1631">
        <v>7.1150639244024427E-2</v>
      </c>
      <c r="U1631" s="1">
        <v>45352</v>
      </c>
      <c r="V1631" t="s">
        <v>2499</v>
      </c>
      <c r="W1631">
        <v>2024</v>
      </c>
    </row>
    <row r="1632" spans="1:23" x14ac:dyDescent="0.25">
      <c r="A1632" t="s">
        <v>1679</v>
      </c>
      <c r="B1632" s="1">
        <v>45835</v>
      </c>
      <c r="C1632" s="1">
        <v>45838</v>
      </c>
      <c r="D1632" t="s">
        <v>13</v>
      </c>
      <c r="E1632" t="s">
        <v>36</v>
      </c>
      <c r="F1632" t="s">
        <v>29</v>
      </c>
      <c r="G1632" t="s">
        <v>20</v>
      </c>
      <c r="H1632" t="s">
        <v>30</v>
      </c>
      <c r="I1632">
        <v>6</v>
      </c>
      <c r="J1632">
        <v>0.15</v>
      </c>
      <c r="K1632">
        <v>32.159999999999997</v>
      </c>
      <c r="L1632">
        <v>7.2</v>
      </c>
      <c r="M1632" t="s">
        <v>2473</v>
      </c>
      <c r="N1632" t="s">
        <v>2474</v>
      </c>
      <c r="O1632" t="s">
        <v>2463</v>
      </c>
      <c r="P1632">
        <v>3.62</v>
      </c>
      <c r="Q1632">
        <v>6.03</v>
      </c>
      <c r="R1632">
        <v>21.72</v>
      </c>
      <c r="S1632">
        <v>3.2399999999999975</v>
      </c>
      <c r="T1632">
        <v>0.10074626865671635</v>
      </c>
      <c r="U1632" s="1">
        <v>45809</v>
      </c>
      <c r="V1632" t="s">
        <v>2500</v>
      </c>
      <c r="W1632">
        <v>2025</v>
      </c>
    </row>
    <row r="1633" spans="1:23" x14ac:dyDescent="0.25">
      <c r="A1633" t="s">
        <v>1680</v>
      </c>
      <c r="B1633" s="1">
        <v>45462</v>
      </c>
      <c r="C1633" s="1">
        <v>45463</v>
      </c>
      <c r="D1633" t="s">
        <v>13</v>
      </c>
      <c r="E1633" t="s">
        <v>19</v>
      </c>
      <c r="F1633" t="s">
        <v>25</v>
      </c>
      <c r="G1633" t="s">
        <v>16</v>
      </c>
      <c r="H1633" t="s">
        <v>87</v>
      </c>
      <c r="I1633">
        <v>4</v>
      </c>
      <c r="J1633">
        <v>0.2</v>
      </c>
      <c r="K1633">
        <v>28.73</v>
      </c>
      <c r="L1633">
        <v>6.3</v>
      </c>
      <c r="M1633" t="s">
        <v>2476</v>
      </c>
      <c r="N1633" t="s">
        <v>2474</v>
      </c>
      <c r="O1633" t="s">
        <v>2459</v>
      </c>
      <c r="P1633">
        <v>4.5</v>
      </c>
      <c r="Q1633">
        <v>8.2899999999999991</v>
      </c>
      <c r="R1633">
        <v>18</v>
      </c>
      <c r="S1633">
        <v>4.4300000000000006</v>
      </c>
      <c r="T1633">
        <v>0.15419422206752526</v>
      </c>
      <c r="U1633" s="1">
        <v>45444</v>
      </c>
      <c r="V1633" t="s">
        <v>2500</v>
      </c>
      <c r="W1633">
        <v>2024</v>
      </c>
    </row>
    <row r="1634" spans="1:23" x14ac:dyDescent="0.25">
      <c r="A1634" t="s">
        <v>1681</v>
      </c>
      <c r="B1634" s="1">
        <v>45296</v>
      </c>
      <c r="C1634" s="1">
        <v>45297</v>
      </c>
      <c r="D1634" t="s">
        <v>47</v>
      </c>
      <c r="E1634" t="s">
        <v>71</v>
      </c>
      <c r="F1634" t="s">
        <v>15</v>
      </c>
      <c r="G1634" t="s">
        <v>20</v>
      </c>
      <c r="H1634" t="s">
        <v>17</v>
      </c>
      <c r="I1634">
        <v>3</v>
      </c>
      <c r="J1634">
        <v>0.1</v>
      </c>
      <c r="K1634">
        <v>298.73</v>
      </c>
      <c r="L1634">
        <v>4.95</v>
      </c>
      <c r="M1634" t="s">
        <v>2472</v>
      </c>
      <c r="N1634" t="s">
        <v>2467</v>
      </c>
      <c r="O1634" t="s">
        <v>2468</v>
      </c>
      <c r="P1634">
        <v>63.69</v>
      </c>
      <c r="Q1634">
        <v>125.5</v>
      </c>
      <c r="R1634">
        <v>191.07</v>
      </c>
      <c r="S1634">
        <v>102.71000000000002</v>
      </c>
      <c r="T1634">
        <v>0.34382218056438929</v>
      </c>
      <c r="U1634" s="1">
        <v>45292</v>
      </c>
      <c r="V1634" t="s">
        <v>2498</v>
      </c>
      <c r="W1634">
        <v>2024</v>
      </c>
    </row>
    <row r="1635" spans="1:23" x14ac:dyDescent="0.25">
      <c r="A1635" t="s">
        <v>1682</v>
      </c>
      <c r="B1635" s="1">
        <v>45301</v>
      </c>
      <c r="C1635" s="1">
        <v>45305</v>
      </c>
      <c r="D1635" t="s">
        <v>32</v>
      </c>
      <c r="E1635" t="s">
        <v>45</v>
      </c>
      <c r="F1635" t="s">
        <v>15</v>
      </c>
      <c r="G1635" t="s">
        <v>16</v>
      </c>
      <c r="H1635" t="s">
        <v>27</v>
      </c>
      <c r="I1635">
        <v>5</v>
      </c>
      <c r="J1635">
        <v>0.15</v>
      </c>
      <c r="K1635">
        <v>102.13</v>
      </c>
      <c r="L1635">
        <v>4.05</v>
      </c>
      <c r="M1635" t="s">
        <v>2478</v>
      </c>
      <c r="N1635" t="s">
        <v>2474</v>
      </c>
      <c r="O1635" t="s">
        <v>2463</v>
      </c>
      <c r="P1635">
        <v>16.760000000000002</v>
      </c>
      <c r="Q1635">
        <v>27.71</v>
      </c>
      <c r="R1635">
        <v>83.800000000000011</v>
      </c>
      <c r="S1635">
        <v>14.279999999999983</v>
      </c>
      <c r="T1635">
        <v>0.1398217957505139</v>
      </c>
      <c r="U1635" s="1">
        <v>45292</v>
      </c>
      <c r="V1635" t="s">
        <v>2500</v>
      </c>
      <c r="W1635">
        <v>2024</v>
      </c>
    </row>
    <row r="1636" spans="1:23" x14ac:dyDescent="0.25">
      <c r="A1636" t="s">
        <v>1683</v>
      </c>
      <c r="B1636" s="1">
        <v>45855</v>
      </c>
      <c r="C1636" s="1">
        <v>45858</v>
      </c>
      <c r="D1636" t="s">
        <v>23</v>
      </c>
      <c r="E1636" t="s">
        <v>24</v>
      </c>
      <c r="F1636" t="s">
        <v>15</v>
      </c>
      <c r="G1636" t="s">
        <v>16</v>
      </c>
      <c r="H1636" t="s">
        <v>30</v>
      </c>
      <c r="I1636">
        <v>8</v>
      </c>
      <c r="J1636">
        <v>0</v>
      </c>
      <c r="K1636">
        <v>45.02</v>
      </c>
      <c r="L1636">
        <v>4.8600000000000003</v>
      </c>
      <c r="M1636" t="s">
        <v>2473</v>
      </c>
      <c r="N1636" t="s">
        <v>2474</v>
      </c>
      <c r="O1636" t="s">
        <v>2463</v>
      </c>
      <c r="P1636">
        <v>3.62</v>
      </c>
      <c r="Q1636">
        <v>6.03</v>
      </c>
      <c r="R1636">
        <v>28.96</v>
      </c>
      <c r="S1636">
        <v>11.200000000000003</v>
      </c>
      <c r="T1636">
        <v>0.24877832074633502</v>
      </c>
      <c r="U1636" s="1">
        <v>45839</v>
      </c>
      <c r="V1636" t="s">
        <v>2499</v>
      </c>
      <c r="W1636">
        <v>2025</v>
      </c>
    </row>
    <row r="1637" spans="1:23" x14ac:dyDescent="0.25">
      <c r="A1637" t="s">
        <v>1684</v>
      </c>
      <c r="B1637" s="1">
        <v>45546</v>
      </c>
      <c r="C1637" s="1">
        <v>45551</v>
      </c>
      <c r="D1637" t="s">
        <v>32</v>
      </c>
      <c r="E1637" t="s">
        <v>33</v>
      </c>
      <c r="F1637" t="s">
        <v>25</v>
      </c>
      <c r="G1637" t="s">
        <v>20</v>
      </c>
      <c r="H1637" t="s">
        <v>65</v>
      </c>
      <c r="I1637">
        <v>1</v>
      </c>
      <c r="J1637">
        <v>0.05</v>
      </c>
      <c r="K1637">
        <v>281.22000000000003</v>
      </c>
      <c r="L1637">
        <v>6.8</v>
      </c>
      <c r="M1637" t="s">
        <v>2457</v>
      </c>
      <c r="N1637" t="s">
        <v>2458</v>
      </c>
      <c r="O1637" t="s">
        <v>2459</v>
      </c>
      <c r="P1637">
        <v>173.56</v>
      </c>
      <c r="Q1637">
        <v>286.14999999999998</v>
      </c>
      <c r="R1637">
        <v>173.56</v>
      </c>
      <c r="S1637">
        <v>100.86000000000003</v>
      </c>
      <c r="T1637">
        <v>0.3586515895028804</v>
      </c>
      <c r="U1637" s="1">
        <v>45536</v>
      </c>
      <c r="V1637" t="s">
        <v>2498</v>
      </c>
      <c r="W1637">
        <v>2024</v>
      </c>
    </row>
    <row r="1638" spans="1:23" x14ac:dyDescent="0.25">
      <c r="A1638" t="s">
        <v>1685</v>
      </c>
      <c r="B1638" s="1">
        <v>45723</v>
      </c>
      <c r="C1638" s="1">
        <v>45727</v>
      </c>
      <c r="D1638" t="s">
        <v>13</v>
      </c>
      <c r="E1638" t="s">
        <v>36</v>
      </c>
      <c r="F1638" t="s">
        <v>15</v>
      </c>
      <c r="G1638" t="s">
        <v>16</v>
      </c>
      <c r="H1638" t="s">
        <v>51</v>
      </c>
      <c r="I1638">
        <v>9</v>
      </c>
      <c r="J1638">
        <v>0.05</v>
      </c>
      <c r="K1638">
        <v>117.91</v>
      </c>
      <c r="L1638">
        <v>8.5500000000000007</v>
      </c>
      <c r="M1638" t="s">
        <v>2475</v>
      </c>
      <c r="N1638" t="s">
        <v>2474</v>
      </c>
      <c r="O1638" t="s">
        <v>2463</v>
      </c>
      <c r="P1638">
        <v>7.93</v>
      </c>
      <c r="Q1638">
        <v>14.78</v>
      </c>
      <c r="R1638">
        <v>71.37</v>
      </c>
      <c r="S1638">
        <v>37.989999999999995</v>
      </c>
      <c r="T1638">
        <v>0.32219489441099142</v>
      </c>
      <c r="U1638" s="1">
        <v>45717</v>
      </c>
      <c r="V1638" t="s">
        <v>2498</v>
      </c>
      <c r="W1638">
        <v>2025</v>
      </c>
    </row>
    <row r="1639" spans="1:23" x14ac:dyDescent="0.25">
      <c r="A1639" t="s">
        <v>1686</v>
      </c>
      <c r="B1639" s="1">
        <v>45819</v>
      </c>
      <c r="C1639" s="1">
        <v>45822</v>
      </c>
      <c r="D1639" t="s">
        <v>23</v>
      </c>
      <c r="E1639" t="s">
        <v>24</v>
      </c>
      <c r="F1639" t="s">
        <v>15</v>
      </c>
      <c r="G1639" t="s">
        <v>26</v>
      </c>
      <c r="H1639" t="s">
        <v>41</v>
      </c>
      <c r="I1639">
        <v>11</v>
      </c>
      <c r="J1639">
        <v>0.05</v>
      </c>
      <c r="K1639">
        <v>63.41</v>
      </c>
      <c r="L1639">
        <v>5.67</v>
      </c>
      <c r="M1639" t="s">
        <v>2479</v>
      </c>
      <c r="N1639" t="s">
        <v>2474</v>
      </c>
      <c r="O1639" t="s">
        <v>2459</v>
      </c>
      <c r="P1639">
        <v>3.3</v>
      </c>
      <c r="Q1639">
        <v>6.13</v>
      </c>
      <c r="R1639">
        <v>36.299999999999997</v>
      </c>
      <c r="S1639">
        <v>21.439999999999998</v>
      </c>
      <c r="T1639">
        <v>0.33811701624349472</v>
      </c>
      <c r="U1639" s="1">
        <v>45809</v>
      </c>
      <c r="V1639" t="s">
        <v>2498</v>
      </c>
      <c r="W1639">
        <v>2025</v>
      </c>
    </row>
    <row r="1640" spans="1:23" x14ac:dyDescent="0.25">
      <c r="A1640" t="s">
        <v>1687</v>
      </c>
      <c r="B1640" s="1">
        <v>45558</v>
      </c>
      <c r="C1640" s="1">
        <v>45563</v>
      </c>
      <c r="D1640" t="s">
        <v>23</v>
      </c>
      <c r="E1640" t="s">
        <v>43</v>
      </c>
      <c r="F1640" t="s">
        <v>15</v>
      </c>
      <c r="G1640" t="s">
        <v>20</v>
      </c>
      <c r="H1640" t="s">
        <v>87</v>
      </c>
      <c r="I1640">
        <v>7</v>
      </c>
      <c r="J1640">
        <v>0</v>
      </c>
      <c r="K1640">
        <v>62.64</v>
      </c>
      <c r="L1640">
        <v>4.59</v>
      </c>
      <c r="M1640" t="s">
        <v>2476</v>
      </c>
      <c r="N1640" t="s">
        <v>2474</v>
      </c>
      <c r="O1640" t="s">
        <v>2459</v>
      </c>
      <c r="P1640">
        <v>4.5</v>
      </c>
      <c r="Q1640">
        <v>8.2899999999999991</v>
      </c>
      <c r="R1640">
        <v>31.5</v>
      </c>
      <c r="S1640">
        <v>26.55</v>
      </c>
      <c r="T1640">
        <v>0.4238505747126437</v>
      </c>
      <c r="U1640" s="1">
        <v>45536</v>
      </c>
      <c r="V1640" t="s">
        <v>2499</v>
      </c>
      <c r="W1640">
        <v>2024</v>
      </c>
    </row>
    <row r="1641" spans="1:23" x14ac:dyDescent="0.25">
      <c r="A1641" t="s">
        <v>1688</v>
      </c>
      <c r="B1641" s="1">
        <v>45553</v>
      </c>
      <c r="C1641" s="1">
        <v>45557</v>
      </c>
      <c r="D1641" t="s">
        <v>32</v>
      </c>
      <c r="E1641" t="s">
        <v>45</v>
      </c>
      <c r="F1641" t="s">
        <v>25</v>
      </c>
      <c r="G1641" t="s">
        <v>26</v>
      </c>
      <c r="H1641" t="s">
        <v>27</v>
      </c>
      <c r="I1641">
        <v>4</v>
      </c>
      <c r="J1641">
        <v>0.2</v>
      </c>
      <c r="K1641">
        <v>98.66</v>
      </c>
      <c r="L1641">
        <v>6.3</v>
      </c>
      <c r="M1641" t="s">
        <v>2478</v>
      </c>
      <c r="N1641" t="s">
        <v>2474</v>
      </c>
      <c r="O1641" t="s">
        <v>2463</v>
      </c>
      <c r="P1641">
        <v>16.760000000000002</v>
      </c>
      <c r="Q1641">
        <v>27.71</v>
      </c>
      <c r="R1641">
        <v>67.040000000000006</v>
      </c>
      <c r="S1641">
        <v>25.31999999999999</v>
      </c>
      <c r="T1641">
        <v>0.25663896209203313</v>
      </c>
      <c r="U1641" s="1">
        <v>45536</v>
      </c>
      <c r="V1641" t="s">
        <v>2500</v>
      </c>
      <c r="W1641">
        <v>2024</v>
      </c>
    </row>
    <row r="1642" spans="1:23" x14ac:dyDescent="0.25">
      <c r="A1642" t="s">
        <v>1689</v>
      </c>
      <c r="B1642" s="1">
        <v>45957</v>
      </c>
      <c r="C1642" s="1">
        <v>45958</v>
      </c>
      <c r="D1642" t="s">
        <v>47</v>
      </c>
      <c r="E1642" t="s">
        <v>71</v>
      </c>
      <c r="F1642" t="s">
        <v>15</v>
      </c>
      <c r="G1642" t="s">
        <v>16</v>
      </c>
      <c r="H1642" t="s">
        <v>63</v>
      </c>
      <c r="I1642">
        <v>9</v>
      </c>
      <c r="J1642">
        <v>0</v>
      </c>
      <c r="K1642">
        <v>129.13</v>
      </c>
      <c r="L1642">
        <v>8.5500000000000007</v>
      </c>
      <c r="M1642" t="s">
        <v>2477</v>
      </c>
      <c r="N1642" t="s">
        <v>2474</v>
      </c>
      <c r="O1642" t="s">
        <v>2468</v>
      </c>
      <c r="P1642">
        <v>6.33</v>
      </c>
      <c r="Q1642">
        <v>12.16</v>
      </c>
      <c r="R1642">
        <v>56.97</v>
      </c>
      <c r="S1642">
        <v>63.61</v>
      </c>
      <c r="T1642">
        <v>0.49260435220320609</v>
      </c>
      <c r="U1642" s="1">
        <v>45931</v>
      </c>
      <c r="V1642" t="s">
        <v>2499</v>
      </c>
      <c r="W1642">
        <v>2025</v>
      </c>
    </row>
    <row r="1643" spans="1:23" x14ac:dyDescent="0.25">
      <c r="A1643" t="s">
        <v>1690</v>
      </c>
      <c r="B1643" s="1">
        <v>45568</v>
      </c>
      <c r="C1643" s="1">
        <v>45571</v>
      </c>
      <c r="D1643" t="s">
        <v>13</v>
      </c>
      <c r="E1643" t="s">
        <v>19</v>
      </c>
      <c r="F1643" t="s">
        <v>25</v>
      </c>
      <c r="G1643" t="s">
        <v>20</v>
      </c>
      <c r="H1643" t="s">
        <v>37</v>
      </c>
      <c r="I1643">
        <v>2</v>
      </c>
      <c r="J1643">
        <v>0</v>
      </c>
      <c r="K1643">
        <v>248.54</v>
      </c>
      <c r="L1643">
        <v>5.46</v>
      </c>
      <c r="M1643" t="s">
        <v>2464</v>
      </c>
      <c r="N1643" t="s">
        <v>2458</v>
      </c>
      <c r="O1643" t="s">
        <v>2465</v>
      </c>
      <c r="P1643">
        <v>63.6</v>
      </c>
      <c r="Q1643">
        <v>107.94</v>
      </c>
      <c r="R1643">
        <v>127.2</v>
      </c>
      <c r="S1643">
        <v>115.88</v>
      </c>
      <c r="T1643">
        <v>0.46624285829242779</v>
      </c>
      <c r="U1643" s="1">
        <v>45566</v>
      </c>
      <c r="V1643" t="s">
        <v>2499</v>
      </c>
      <c r="W1643">
        <v>2024</v>
      </c>
    </row>
    <row r="1644" spans="1:23" x14ac:dyDescent="0.25">
      <c r="A1644" t="s">
        <v>1691</v>
      </c>
      <c r="B1644" s="1">
        <v>45751</v>
      </c>
      <c r="C1644" s="1">
        <v>45754</v>
      </c>
      <c r="D1644" t="s">
        <v>23</v>
      </c>
      <c r="E1644" t="s">
        <v>59</v>
      </c>
      <c r="F1644" t="s">
        <v>25</v>
      </c>
      <c r="G1644" t="s">
        <v>20</v>
      </c>
      <c r="H1644" t="s">
        <v>87</v>
      </c>
      <c r="I1644">
        <v>12</v>
      </c>
      <c r="J1644">
        <v>0.2</v>
      </c>
      <c r="K1644">
        <v>80.23</v>
      </c>
      <c r="L1644">
        <v>9.9</v>
      </c>
      <c r="M1644" t="s">
        <v>2476</v>
      </c>
      <c r="N1644" t="s">
        <v>2474</v>
      </c>
      <c r="O1644" t="s">
        <v>2459</v>
      </c>
      <c r="P1644">
        <v>4.5</v>
      </c>
      <c r="Q1644">
        <v>8.2899999999999991</v>
      </c>
      <c r="R1644">
        <v>54</v>
      </c>
      <c r="S1644">
        <v>16.330000000000005</v>
      </c>
      <c r="T1644">
        <v>0.20353982300884962</v>
      </c>
      <c r="U1644" s="1">
        <v>45748</v>
      </c>
      <c r="V1644" t="s">
        <v>2500</v>
      </c>
      <c r="W1644">
        <v>2025</v>
      </c>
    </row>
    <row r="1645" spans="1:23" x14ac:dyDescent="0.25">
      <c r="A1645" t="s">
        <v>1692</v>
      </c>
      <c r="B1645" s="1">
        <v>45924</v>
      </c>
      <c r="C1645" s="1">
        <v>45929</v>
      </c>
      <c r="D1645" t="s">
        <v>13</v>
      </c>
      <c r="E1645" t="s">
        <v>14</v>
      </c>
      <c r="F1645" t="s">
        <v>15</v>
      </c>
      <c r="G1645" t="s">
        <v>20</v>
      </c>
      <c r="H1645" t="s">
        <v>63</v>
      </c>
      <c r="I1645">
        <v>10</v>
      </c>
      <c r="J1645">
        <v>0</v>
      </c>
      <c r="K1645">
        <v>135.12</v>
      </c>
      <c r="L1645">
        <v>5.4</v>
      </c>
      <c r="M1645" t="s">
        <v>2477</v>
      </c>
      <c r="N1645" t="s">
        <v>2474</v>
      </c>
      <c r="O1645" t="s">
        <v>2468</v>
      </c>
      <c r="P1645">
        <v>6.33</v>
      </c>
      <c r="Q1645">
        <v>12.16</v>
      </c>
      <c r="R1645">
        <v>63.3</v>
      </c>
      <c r="S1645">
        <v>66.42</v>
      </c>
      <c r="T1645">
        <v>0.49156305506216696</v>
      </c>
      <c r="U1645" s="1">
        <v>45901</v>
      </c>
      <c r="V1645" t="s">
        <v>2499</v>
      </c>
      <c r="W1645">
        <v>2025</v>
      </c>
    </row>
    <row r="1646" spans="1:23" x14ac:dyDescent="0.25">
      <c r="A1646" t="s">
        <v>1693</v>
      </c>
      <c r="B1646" s="1">
        <v>45482</v>
      </c>
      <c r="C1646" s="1">
        <v>45483</v>
      </c>
      <c r="D1646" t="s">
        <v>32</v>
      </c>
      <c r="E1646" t="s">
        <v>62</v>
      </c>
      <c r="F1646" t="s">
        <v>25</v>
      </c>
      <c r="G1646" t="s">
        <v>26</v>
      </c>
      <c r="H1646" t="s">
        <v>65</v>
      </c>
      <c r="I1646">
        <v>2</v>
      </c>
      <c r="J1646">
        <v>0</v>
      </c>
      <c r="K1646">
        <v>529.78</v>
      </c>
      <c r="L1646">
        <v>9.1</v>
      </c>
      <c r="M1646" t="s">
        <v>2457</v>
      </c>
      <c r="N1646" t="s">
        <v>2458</v>
      </c>
      <c r="O1646" t="s">
        <v>2459</v>
      </c>
      <c r="P1646">
        <v>173.56</v>
      </c>
      <c r="Q1646">
        <v>286.14999999999998</v>
      </c>
      <c r="R1646">
        <v>347.12</v>
      </c>
      <c r="S1646">
        <v>173.55999999999997</v>
      </c>
      <c r="T1646">
        <v>0.32760768620936992</v>
      </c>
      <c r="U1646" s="1">
        <v>45474</v>
      </c>
      <c r="V1646" t="s">
        <v>2499</v>
      </c>
      <c r="W1646">
        <v>2024</v>
      </c>
    </row>
    <row r="1647" spans="1:23" x14ac:dyDescent="0.25">
      <c r="A1647" t="s">
        <v>1694</v>
      </c>
      <c r="B1647" s="1">
        <v>45856</v>
      </c>
      <c r="C1647" s="1">
        <v>45862</v>
      </c>
      <c r="D1647" t="s">
        <v>32</v>
      </c>
      <c r="E1647" t="s">
        <v>62</v>
      </c>
      <c r="F1647" t="s">
        <v>25</v>
      </c>
      <c r="G1647" t="s">
        <v>20</v>
      </c>
      <c r="H1647" t="s">
        <v>63</v>
      </c>
      <c r="I1647">
        <v>5</v>
      </c>
      <c r="J1647">
        <v>0</v>
      </c>
      <c r="K1647">
        <v>54.79</v>
      </c>
      <c r="L1647">
        <v>6.75</v>
      </c>
      <c r="M1647" t="s">
        <v>2477</v>
      </c>
      <c r="N1647" t="s">
        <v>2474</v>
      </c>
      <c r="O1647" t="s">
        <v>2468</v>
      </c>
      <c r="P1647">
        <v>6.33</v>
      </c>
      <c r="Q1647">
        <v>12.16</v>
      </c>
      <c r="R1647">
        <v>31.65</v>
      </c>
      <c r="S1647">
        <v>16.39</v>
      </c>
      <c r="T1647">
        <v>0.29914217922978648</v>
      </c>
      <c r="U1647" s="1">
        <v>45839</v>
      </c>
      <c r="V1647" t="s">
        <v>2499</v>
      </c>
      <c r="W1647">
        <v>2025</v>
      </c>
    </row>
    <row r="1648" spans="1:23" x14ac:dyDescent="0.25">
      <c r="A1648" t="s">
        <v>1695</v>
      </c>
      <c r="B1648" s="1">
        <v>45410</v>
      </c>
      <c r="C1648" s="1">
        <v>45415</v>
      </c>
      <c r="D1648" t="s">
        <v>32</v>
      </c>
      <c r="E1648" t="s">
        <v>45</v>
      </c>
      <c r="F1648" t="s">
        <v>29</v>
      </c>
      <c r="G1648" t="s">
        <v>20</v>
      </c>
      <c r="H1648" t="s">
        <v>63</v>
      </c>
      <c r="I1648">
        <v>9</v>
      </c>
      <c r="J1648">
        <v>0.2</v>
      </c>
      <c r="K1648">
        <v>84.7</v>
      </c>
      <c r="L1648">
        <v>8.5500000000000007</v>
      </c>
      <c r="M1648" t="s">
        <v>2477</v>
      </c>
      <c r="N1648" t="s">
        <v>2474</v>
      </c>
      <c r="O1648" t="s">
        <v>2468</v>
      </c>
      <c r="P1648">
        <v>6.33</v>
      </c>
      <c r="Q1648">
        <v>12.16</v>
      </c>
      <c r="R1648">
        <v>56.97</v>
      </c>
      <c r="S1648">
        <v>19.180000000000003</v>
      </c>
      <c r="T1648">
        <v>0.22644628099173555</v>
      </c>
      <c r="U1648" s="1">
        <v>45383</v>
      </c>
      <c r="V1648" t="s">
        <v>2500</v>
      </c>
      <c r="W1648">
        <v>2024</v>
      </c>
    </row>
    <row r="1649" spans="1:23" x14ac:dyDescent="0.25">
      <c r="A1649" t="s">
        <v>1696</v>
      </c>
      <c r="B1649" s="1">
        <v>45694</v>
      </c>
      <c r="C1649" s="1">
        <v>45695</v>
      </c>
      <c r="D1649" t="s">
        <v>13</v>
      </c>
      <c r="E1649" t="s">
        <v>14</v>
      </c>
      <c r="F1649" t="s">
        <v>15</v>
      </c>
      <c r="G1649" t="s">
        <v>16</v>
      </c>
      <c r="H1649" t="s">
        <v>65</v>
      </c>
      <c r="I1649">
        <v>4</v>
      </c>
      <c r="J1649">
        <v>0</v>
      </c>
      <c r="K1649">
        <v>1041.3399999999999</v>
      </c>
      <c r="L1649">
        <v>8.2200000000000006</v>
      </c>
      <c r="M1649" t="s">
        <v>2457</v>
      </c>
      <c r="N1649" t="s">
        <v>2458</v>
      </c>
      <c r="O1649" t="s">
        <v>2459</v>
      </c>
      <c r="P1649">
        <v>173.56</v>
      </c>
      <c r="Q1649">
        <v>286.14999999999998</v>
      </c>
      <c r="R1649">
        <v>694.24</v>
      </c>
      <c r="S1649">
        <v>338.87999999999988</v>
      </c>
      <c r="T1649">
        <v>0.32542685386137082</v>
      </c>
      <c r="U1649" s="1">
        <v>45689</v>
      </c>
      <c r="V1649" t="s">
        <v>2499</v>
      </c>
      <c r="W1649">
        <v>2025</v>
      </c>
    </row>
    <row r="1650" spans="1:23" x14ac:dyDescent="0.25">
      <c r="A1650" t="s">
        <v>1697</v>
      </c>
      <c r="B1650" s="1">
        <v>45766</v>
      </c>
      <c r="C1650" s="1">
        <v>45772</v>
      </c>
      <c r="D1650" t="s">
        <v>23</v>
      </c>
      <c r="E1650" t="s">
        <v>43</v>
      </c>
      <c r="F1650" t="s">
        <v>29</v>
      </c>
      <c r="G1650" t="s">
        <v>26</v>
      </c>
      <c r="H1650" t="s">
        <v>21</v>
      </c>
      <c r="I1650">
        <v>2</v>
      </c>
      <c r="J1650">
        <v>0.1</v>
      </c>
      <c r="K1650">
        <v>204.06</v>
      </c>
      <c r="L1650">
        <v>9.1</v>
      </c>
      <c r="M1650" t="s">
        <v>2462</v>
      </c>
      <c r="N1650" t="s">
        <v>2458</v>
      </c>
      <c r="O1650" t="s">
        <v>2463</v>
      </c>
      <c r="P1650">
        <v>71.489999999999995</v>
      </c>
      <c r="Q1650">
        <v>112.88</v>
      </c>
      <c r="R1650">
        <v>142.97999999999999</v>
      </c>
      <c r="S1650">
        <v>51.980000000000011</v>
      </c>
      <c r="T1650">
        <v>0.25472900127413511</v>
      </c>
      <c r="U1650" s="1">
        <v>45748</v>
      </c>
      <c r="V1650" t="s">
        <v>2498</v>
      </c>
      <c r="W1650">
        <v>2025</v>
      </c>
    </row>
    <row r="1651" spans="1:23" x14ac:dyDescent="0.25">
      <c r="A1651" t="s">
        <v>1698</v>
      </c>
      <c r="B1651" s="1">
        <v>45406</v>
      </c>
      <c r="C1651" s="1">
        <v>45407</v>
      </c>
      <c r="D1651" t="s">
        <v>23</v>
      </c>
      <c r="E1651" t="s">
        <v>24</v>
      </c>
      <c r="F1651" t="s">
        <v>15</v>
      </c>
      <c r="G1651" t="s">
        <v>20</v>
      </c>
      <c r="H1651" t="s">
        <v>41</v>
      </c>
      <c r="I1651">
        <v>8</v>
      </c>
      <c r="J1651">
        <v>0.25</v>
      </c>
      <c r="K1651">
        <v>37.840000000000003</v>
      </c>
      <c r="L1651">
        <v>8.1</v>
      </c>
      <c r="M1651" t="s">
        <v>2479</v>
      </c>
      <c r="N1651" t="s">
        <v>2474</v>
      </c>
      <c r="O1651" t="s">
        <v>2459</v>
      </c>
      <c r="P1651">
        <v>3.3</v>
      </c>
      <c r="Q1651">
        <v>6.13</v>
      </c>
      <c r="R1651">
        <v>26.4</v>
      </c>
      <c r="S1651">
        <v>3.3400000000000052</v>
      </c>
      <c r="T1651">
        <v>8.826638477801281E-2</v>
      </c>
      <c r="U1651" s="1">
        <v>45383</v>
      </c>
      <c r="V1651" t="s">
        <v>2501</v>
      </c>
      <c r="W1651">
        <v>2024</v>
      </c>
    </row>
    <row r="1652" spans="1:23" x14ac:dyDescent="0.25">
      <c r="A1652" t="s">
        <v>1699</v>
      </c>
      <c r="B1652" s="1">
        <v>45303</v>
      </c>
      <c r="C1652" s="1">
        <v>45306</v>
      </c>
      <c r="D1652" t="s">
        <v>47</v>
      </c>
      <c r="E1652" t="s">
        <v>48</v>
      </c>
      <c r="F1652" t="s">
        <v>15</v>
      </c>
      <c r="G1652" t="s">
        <v>16</v>
      </c>
      <c r="H1652" t="s">
        <v>41</v>
      </c>
      <c r="I1652">
        <v>7</v>
      </c>
      <c r="J1652">
        <v>0.25</v>
      </c>
      <c r="K1652">
        <v>26.99</v>
      </c>
      <c r="L1652">
        <v>4.59</v>
      </c>
      <c r="M1652" t="s">
        <v>2479</v>
      </c>
      <c r="N1652" t="s">
        <v>2474</v>
      </c>
      <c r="O1652" t="s">
        <v>2459</v>
      </c>
      <c r="P1652">
        <v>3.3</v>
      </c>
      <c r="Q1652">
        <v>6.13</v>
      </c>
      <c r="R1652">
        <v>23.099999999999998</v>
      </c>
      <c r="S1652">
        <v>-0.69999999999999929</v>
      </c>
      <c r="T1652">
        <v>-2.5935531678399383E-2</v>
      </c>
      <c r="U1652" s="1">
        <v>45292</v>
      </c>
      <c r="V1652" t="s">
        <v>2501</v>
      </c>
      <c r="W1652">
        <v>2024</v>
      </c>
    </row>
    <row r="1653" spans="1:23" x14ac:dyDescent="0.25">
      <c r="A1653" t="s">
        <v>1700</v>
      </c>
      <c r="B1653" s="1">
        <v>45703</v>
      </c>
      <c r="C1653" s="1">
        <v>45705</v>
      </c>
      <c r="D1653" t="s">
        <v>47</v>
      </c>
      <c r="E1653" t="s">
        <v>48</v>
      </c>
      <c r="F1653" t="s">
        <v>25</v>
      </c>
      <c r="G1653" t="s">
        <v>16</v>
      </c>
      <c r="H1653" t="s">
        <v>30</v>
      </c>
      <c r="I1653">
        <v>12</v>
      </c>
      <c r="J1653">
        <v>0.25</v>
      </c>
      <c r="K1653">
        <v>47.66</v>
      </c>
      <c r="L1653">
        <v>9.9</v>
      </c>
      <c r="M1653" t="s">
        <v>2473</v>
      </c>
      <c r="N1653" t="s">
        <v>2474</v>
      </c>
      <c r="O1653" t="s">
        <v>2463</v>
      </c>
      <c r="P1653">
        <v>3.62</v>
      </c>
      <c r="Q1653">
        <v>6.03</v>
      </c>
      <c r="R1653">
        <v>43.44</v>
      </c>
      <c r="S1653">
        <v>-5.6800000000000015</v>
      </c>
      <c r="T1653">
        <v>-0.11917750734368447</v>
      </c>
      <c r="U1653" s="1">
        <v>45689</v>
      </c>
      <c r="V1653" t="s">
        <v>2501</v>
      </c>
      <c r="W1653">
        <v>2025</v>
      </c>
    </row>
    <row r="1654" spans="1:23" x14ac:dyDescent="0.25">
      <c r="A1654" t="s">
        <v>1701</v>
      </c>
      <c r="B1654" s="1">
        <v>45699</v>
      </c>
      <c r="C1654" s="1">
        <v>45704</v>
      </c>
      <c r="D1654" t="s">
        <v>13</v>
      </c>
      <c r="E1654" t="s">
        <v>36</v>
      </c>
      <c r="F1654" t="s">
        <v>15</v>
      </c>
      <c r="G1654" t="s">
        <v>26</v>
      </c>
      <c r="H1654" t="s">
        <v>39</v>
      </c>
      <c r="I1654">
        <v>2</v>
      </c>
      <c r="J1654">
        <v>0.25</v>
      </c>
      <c r="K1654">
        <v>266.47000000000003</v>
      </c>
      <c r="L1654">
        <v>7</v>
      </c>
      <c r="M1654" t="s">
        <v>2471</v>
      </c>
      <c r="N1654" t="s">
        <v>2467</v>
      </c>
      <c r="O1654" t="s">
        <v>2461</v>
      </c>
      <c r="P1654">
        <v>112.09</v>
      </c>
      <c r="Q1654">
        <v>192.47</v>
      </c>
      <c r="R1654">
        <v>224.18</v>
      </c>
      <c r="S1654">
        <v>35.29000000000002</v>
      </c>
      <c r="T1654">
        <v>0.13243517093856727</v>
      </c>
      <c r="U1654" s="1">
        <v>45689</v>
      </c>
      <c r="V1654" t="s">
        <v>2501</v>
      </c>
      <c r="W1654">
        <v>2025</v>
      </c>
    </row>
    <row r="1655" spans="1:23" x14ac:dyDescent="0.25">
      <c r="A1655" t="s">
        <v>1702</v>
      </c>
      <c r="B1655" s="1">
        <v>45834</v>
      </c>
      <c r="C1655" s="1">
        <v>45839</v>
      </c>
      <c r="D1655" t="s">
        <v>32</v>
      </c>
      <c r="E1655" t="s">
        <v>62</v>
      </c>
      <c r="F1655" t="s">
        <v>25</v>
      </c>
      <c r="G1655" t="s">
        <v>20</v>
      </c>
      <c r="H1655" t="s">
        <v>68</v>
      </c>
      <c r="I1655">
        <v>2</v>
      </c>
      <c r="J1655">
        <v>0</v>
      </c>
      <c r="K1655">
        <v>112.05</v>
      </c>
      <c r="L1655">
        <v>4.2</v>
      </c>
      <c r="M1655" t="s">
        <v>2466</v>
      </c>
      <c r="N1655" t="s">
        <v>2467</v>
      </c>
      <c r="O1655" t="s">
        <v>2468</v>
      </c>
      <c r="P1655">
        <v>25.33</v>
      </c>
      <c r="Q1655">
        <v>51.56</v>
      </c>
      <c r="R1655">
        <v>50.66</v>
      </c>
      <c r="S1655">
        <v>57.19</v>
      </c>
      <c r="T1655">
        <v>0.51039714413208392</v>
      </c>
      <c r="U1655" s="1">
        <v>45809</v>
      </c>
      <c r="V1655" t="s">
        <v>2499</v>
      </c>
      <c r="W1655">
        <v>2025</v>
      </c>
    </row>
    <row r="1656" spans="1:23" x14ac:dyDescent="0.25">
      <c r="A1656" t="s">
        <v>1703</v>
      </c>
      <c r="B1656" s="1">
        <v>45470</v>
      </c>
      <c r="C1656" s="1">
        <v>45473</v>
      </c>
      <c r="D1656" t="s">
        <v>13</v>
      </c>
      <c r="E1656" t="s">
        <v>19</v>
      </c>
      <c r="F1656" t="s">
        <v>15</v>
      </c>
      <c r="G1656" t="s">
        <v>16</v>
      </c>
      <c r="H1656" t="s">
        <v>68</v>
      </c>
      <c r="I1656">
        <v>4</v>
      </c>
      <c r="J1656">
        <v>0.2</v>
      </c>
      <c r="K1656">
        <v>179.87</v>
      </c>
      <c r="L1656">
        <v>5.7</v>
      </c>
      <c r="M1656" t="s">
        <v>2466</v>
      </c>
      <c r="N1656" t="s">
        <v>2467</v>
      </c>
      <c r="O1656" t="s">
        <v>2468</v>
      </c>
      <c r="P1656">
        <v>25.33</v>
      </c>
      <c r="Q1656">
        <v>51.56</v>
      </c>
      <c r="R1656">
        <v>101.32</v>
      </c>
      <c r="S1656">
        <v>72.850000000000009</v>
      </c>
      <c r="T1656">
        <v>0.40501473286262302</v>
      </c>
      <c r="U1656" s="1">
        <v>45444</v>
      </c>
      <c r="V1656" t="s">
        <v>2500</v>
      </c>
      <c r="W1656">
        <v>2024</v>
      </c>
    </row>
    <row r="1657" spans="1:23" x14ac:dyDescent="0.25">
      <c r="A1657" t="s">
        <v>1704</v>
      </c>
      <c r="B1657" s="1">
        <v>45862</v>
      </c>
      <c r="C1657" s="1">
        <v>45864</v>
      </c>
      <c r="D1657" t="s">
        <v>47</v>
      </c>
      <c r="E1657" t="s">
        <v>48</v>
      </c>
      <c r="F1657" t="s">
        <v>25</v>
      </c>
      <c r="G1657" t="s">
        <v>20</v>
      </c>
      <c r="H1657" t="s">
        <v>21</v>
      </c>
      <c r="I1657">
        <v>1</v>
      </c>
      <c r="J1657">
        <v>0.25</v>
      </c>
      <c r="K1657">
        <v>79.239999999999995</v>
      </c>
      <c r="L1657">
        <v>6.8</v>
      </c>
      <c r="M1657" t="s">
        <v>2462</v>
      </c>
      <c r="N1657" t="s">
        <v>2458</v>
      </c>
      <c r="O1657" t="s">
        <v>2463</v>
      </c>
      <c r="P1657">
        <v>71.489999999999995</v>
      </c>
      <c r="Q1657">
        <v>112.88</v>
      </c>
      <c r="R1657">
        <v>71.489999999999995</v>
      </c>
      <c r="S1657">
        <v>0.95000000000000018</v>
      </c>
      <c r="T1657">
        <v>1.1988894497728423E-2</v>
      </c>
      <c r="U1657" s="1">
        <v>45839</v>
      </c>
      <c r="V1657" t="s">
        <v>2501</v>
      </c>
      <c r="W1657">
        <v>2025</v>
      </c>
    </row>
    <row r="1658" spans="1:23" x14ac:dyDescent="0.25">
      <c r="A1658" t="s">
        <v>1705</v>
      </c>
      <c r="B1658" s="1">
        <v>45820</v>
      </c>
      <c r="C1658" s="1">
        <v>45822</v>
      </c>
      <c r="D1658" t="s">
        <v>23</v>
      </c>
      <c r="E1658" t="s">
        <v>59</v>
      </c>
      <c r="F1658" t="s">
        <v>29</v>
      </c>
      <c r="G1658" t="s">
        <v>20</v>
      </c>
      <c r="H1658" t="s">
        <v>30</v>
      </c>
      <c r="I1658">
        <v>13</v>
      </c>
      <c r="J1658">
        <v>0.05</v>
      </c>
      <c r="K1658">
        <v>77.510000000000005</v>
      </c>
      <c r="L1658">
        <v>6.21</v>
      </c>
      <c r="M1658" t="s">
        <v>2473</v>
      </c>
      <c r="N1658" t="s">
        <v>2474</v>
      </c>
      <c r="O1658" t="s">
        <v>2463</v>
      </c>
      <c r="P1658">
        <v>3.62</v>
      </c>
      <c r="Q1658">
        <v>6.03</v>
      </c>
      <c r="R1658">
        <v>47.06</v>
      </c>
      <c r="S1658">
        <v>24.240000000000002</v>
      </c>
      <c r="T1658">
        <v>0.31273384079473615</v>
      </c>
      <c r="U1658" s="1">
        <v>45809</v>
      </c>
      <c r="V1658" t="s">
        <v>2498</v>
      </c>
      <c r="W1658">
        <v>2025</v>
      </c>
    </row>
    <row r="1659" spans="1:23" x14ac:dyDescent="0.25">
      <c r="A1659" t="s">
        <v>1706</v>
      </c>
      <c r="B1659" s="1">
        <v>45978</v>
      </c>
      <c r="C1659" s="1">
        <v>45984</v>
      </c>
      <c r="D1659" t="s">
        <v>47</v>
      </c>
      <c r="E1659" t="s">
        <v>48</v>
      </c>
      <c r="F1659" t="s">
        <v>29</v>
      </c>
      <c r="G1659" t="s">
        <v>20</v>
      </c>
      <c r="H1659" t="s">
        <v>39</v>
      </c>
      <c r="I1659">
        <v>1</v>
      </c>
      <c r="J1659">
        <v>0.05</v>
      </c>
      <c r="K1659">
        <v>255.67</v>
      </c>
      <c r="L1659">
        <v>5.75</v>
      </c>
      <c r="M1659" t="s">
        <v>2471</v>
      </c>
      <c r="N1659" t="s">
        <v>2467</v>
      </c>
      <c r="O1659" t="s">
        <v>2461</v>
      </c>
      <c r="P1659">
        <v>112.09</v>
      </c>
      <c r="Q1659">
        <v>192.47</v>
      </c>
      <c r="R1659">
        <v>112.09</v>
      </c>
      <c r="S1659">
        <v>137.82999999999998</v>
      </c>
      <c r="T1659">
        <v>0.53909336253764617</v>
      </c>
      <c r="U1659" s="1">
        <v>45962</v>
      </c>
      <c r="V1659" t="s">
        <v>2498</v>
      </c>
      <c r="W1659">
        <v>2025</v>
      </c>
    </row>
    <row r="1660" spans="1:23" x14ac:dyDescent="0.25">
      <c r="A1660" t="s">
        <v>1707</v>
      </c>
      <c r="B1660" s="1">
        <v>45964</v>
      </c>
      <c r="C1660" s="1">
        <v>45965</v>
      </c>
      <c r="D1660" t="s">
        <v>13</v>
      </c>
      <c r="E1660" t="s">
        <v>19</v>
      </c>
      <c r="F1660" t="s">
        <v>25</v>
      </c>
      <c r="G1660" t="s">
        <v>16</v>
      </c>
      <c r="H1660" t="s">
        <v>53</v>
      </c>
      <c r="I1660">
        <v>3</v>
      </c>
      <c r="J1660">
        <v>0</v>
      </c>
      <c r="K1660">
        <v>220.11</v>
      </c>
      <c r="L1660">
        <v>8.25</v>
      </c>
      <c r="M1660" t="s">
        <v>2470</v>
      </c>
      <c r="N1660" t="s">
        <v>2467</v>
      </c>
      <c r="O1660" t="s">
        <v>2459</v>
      </c>
      <c r="P1660">
        <v>31.34</v>
      </c>
      <c r="Q1660">
        <v>56.49</v>
      </c>
      <c r="R1660">
        <v>94.02</v>
      </c>
      <c r="S1660">
        <v>117.84000000000002</v>
      </c>
      <c r="T1660">
        <v>0.53536867929671528</v>
      </c>
      <c r="U1660" s="1">
        <v>45962</v>
      </c>
      <c r="V1660" t="s">
        <v>2499</v>
      </c>
      <c r="W1660">
        <v>2025</v>
      </c>
    </row>
    <row r="1661" spans="1:23" x14ac:dyDescent="0.25">
      <c r="A1661" t="s">
        <v>1708</v>
      </c>
      <c r="B1661" s="1">
        <v>45884</v>
      </c>
      <c r="C1661" s="1">
        <v>45886</v>
      </c>
      <c r="D1661" t="s">
        <v>23</v>
      </c>
      <c r="E1661" t="s">
        <v>59</v>
      </c>
      <c r="F1661" t="s">
        <v>29</v>
      </c>
      <c r="G1661" t="s">
        <v>26</v>
      </c>
      <c r="H1661" t="s">
        <v>39</v>
      </c>
      <c r="I1661">
        <v>4</v>
      </c>
      <c r="J1661">
        <v>0.25</v>
      </c>
      <c r="K1661">
        <v>546.99</v>
      </c>
      <c r="L1661">
        <v>5.7</v>
      </c>
      <c r="M1661" t="s">
        <v>2471</v>
      </c>
      <c r="N1661" t="s">
        <v>2467</v>
      </c>
      <c r="O1661" t="s">
        <v>2461</v>
      </c>
      <c r="P1661">
        <v>112.09</v>
      </c>
      <c r="Q1661">
        <v>192.47</v>
      </c>
      <c r="R1661">
        <v>448.36</v>
      </c>
      <c r="S1661">
        <v>92.929999999999993</v>
      </c>
      <c r="T1661">
        <v>0.16989341669865993</v>
      </c>
      <c r="U1661" s="1">
        <v>45870</v>
      </c>
      <c r="V1661" t="s">
        <v>2501</v>
      </c>
      <c r="W1661">
        <v>2025</v>
      </c>
    </row>
    <row r="1662" spans="1:23" x14ac:dyDescent="0.25">
      <c r="A1662" t="s">
        <v>1709</v>
      </c>
      <c r="B1662" s="1">
        <v>45545</v>
      </c>
      <c r="C1662" s="1">
        <v>45547</v>
      </c>
      <c r="D1662" t="s">
        <v>23</v>
      </c>
      <c r="E1662" t="s">
        <v>43</v>
      </c>
      <c r="F1662" t="s">
        <v>29</v>
      </c>
      <c r="G1662" t="s">
        <v>16</v>
      </c>
      <c r="H1662" t="s">
        <v>30</v>
      </c>
      <c r="I1662">
        <v>5</v>
      </c>
      <c r="J1662">
        <v>0.25</v>
      </c>
      <c r="K1662">
        <v>24.76</v>
      </c>
      <c r="L1662">
        <v>6.75</v>
      </c>
      <c r="M1662" t="s">
        <v>2473</v>
      </c>
      <c r="N1662" t="s">
        <v>2474</v>
      </c>
      <c r="O1662" t="s">
        <v>2463</v>
      </c>
      <c r="P1662">
        <v>3.62</v>
      </c>
      <c r="Q1662">
        <v>6.03</v>
      </c>
      <c r="R1662">
        <v>18.100000000000001</v>
      </c>
      <c r="S1662">
        <v>-8.9999999999999858E-2</v>
      </c>
      <c r="T1662">
        <v>-3.6348949919224496E-3</v>
      </c>
      <c r="U1662" s="1">
        <v>45536</v>
      </c>
      <c r="V1662" t="s">
        <v>2501</v>
      </c>
      <c r="W1662">
        <v>2024</v>
      </c>
    </row>
    <row r="1663" spans="1:23" x14ac:dyDescent="0.25">
      <c r="A1663" t="s">
        <v>1710</v>
      </c>
      <c r="B1663" s="1">
        <v>45342</v>
      </c>
      <c r="C1663" s="1">
        <v>45348</v>
      </c>
      <c r="D1663" t="s">
        <v>13</v>
      </c>
      <c r="E1663" t="s">
        <v>36</v>
      </c>
      <c r="F1663" t="s">
        <v>25</v>
      </c>
      <c r="G1663" t="s">
        <v>16</v>
      </c>
      <c r="H1663" t="s">
        <v>68</v>
      </c>
      <c r="I1663">
        <v>2</v>
      </c>
      <c r="J1663">
        <v>0</v>
      </c>
      <c r="K1663">
        <v>90.25</v>
      </c>
      <c r="L1663">
        <v>7</v>
      </c>
      <c r="M1663" t="s">
        <v>2466</v>
      </c>
      <c r="N1663" t="s">
        <v>2467</v>
      </c>
      <c r="O1663" t="s">
        <v>2468</v>
      </c>
      <c r="P1663">
        <v>25.33</v>
      </c>
      <c r="Q1663">
        <v>51.56</v>
      </c>
      <c r="R1663">
        <v>50.66</v>
      </c>
      <c r="S1663">
        <v>32.590000000000003</v>
      </c>
      <c r="T1663">
        <v>0.36110803324099727</v>
      </c>
      <c r="U1663" s="1">
        <v>45323</v>
      </c>
      <c r="V1663" t="s">
        <v>2499</v>
      </c>
      <c r="W1663">
        <v>2024</v>
      </c>
    </row>
    <row r="1664" spans="1:23" x14ac:dyDescent="0.25">
      <c r="A1664" t="s">
        <v>1711</v>
      </c>
      <c r="B1664" s="1">
        <v>45475</v>
      </c>
      <c r="C1664" s="1">
        <v>45476</v>
      </c>
      <c r="D1664" t="s">
        <v>23</v>
      </c>
      <c r="E1664" t="s">
        <v>43</v>
      </c>
      <c r="F1664" t="s">
        <v>29</v>
      </c>
      <c r="G1664" t="s">
        <v>26</v>
      </c>
      <c r="H1664" t="s">
        <v>68</v>
      </c>
      <c r="I1664">
        <v>4</v>
      </c>
      <c r="J1664">
        <v>0.15</v>
      </c>
      <c r="K1664">
        <v>152.12</v>
      </c>
      <c r="L1664">
        <v>9.5</v>
      </c>
      <c r="M1664" t="s">
        <v>2466</v>
      </c>
      <c r="N1664" t="s">
        <v>2467</v>
      </c>
      <c r="O1664" t="s">
        <v>2468</v>
      </c>
      <c r="P1664">
        <v>25.33</v>
      </c>
      <c r="Q1664">
        <v>51.56</v>
      </c>
      <c r="R1664">
        <v>101.32</v>
      </c>
      <c r="S1664">
        <v>41.300000000000011</v>
      </c>
      <c r="T1664">
        <v>0.27149618722061536</v>
      </c>
      <c r="U1664" s="1">
        <v>45474</v>
      </c>
      <c r="V1664" t="s">
        <v>2500</v>
      </c>
      <c r="W1664">
        <v>2024</v>
      </c>
    </row>
    <row r="1665" spans="1:23" x14ac:dyDescent="0.25">
      <c r="A1665" t="s">
        <v>1712</v>
      </c>
      <c r="B1665" s="1">
        <v>45787</v>
      </c>
      <c r="C1665" s="1">
        <v>45790</v>
      </c>
      <c r="D1665" t="s">
        <v>13</v>
      </c>
      <c r="E1665" t="s">
        <v>36</v>
      </c>
      <c r="F1665" t="s">
        <v>25</v>
      </c>
      <c r="G1665" t="s">
        <v>16</v>
      </c>
      <c r="H1665" t="s">
        <v>51</v>
      </c>
      <c r="I1665">
        <v>5</v>
      </c>
      <c r="J1665">
        <v>0.05</v>
      </c>
      <c r="K1665">
        <v>67.959999999999994</v>
      </c>
      <c r="L1665">
        <v>4.05</v>
      </c>
      <c r="M1665" t="s">
        <v>2475</v>
      </c>
      <c r="N1665" t="s">
        <v>2474</v>
      </c>
      <c r="O1665" t="s">
        <v>2463</v>
      </c>
      <c r="P1665">
        <v>7.93</v>
      </c>
      <c r="Q1665">
        <v>14.78</v>
      </c>
      <c r="R1665">
        <v>39.65</v>
      </c>
      <c r="S1665">
        <v>24.259999999999994</v>
      </c>
      <c r="T1665">
        <v>0.35697469099470269</v>
      </c>
      <c r="U1665" s="1">
        <v>45778</v>
      </c>
      <c r="V1665" t="s">
        <v>2498</v>
      </c>
      <c r="W1665">
        <v>2025</v>
      </c>
    </row>
    <row r="1666" spans="1:23" x14ac:dyDescent="0.25">
      <c r="A1666" t="s">
        <v>1713</v>
      </c>
      <c r="B1666" s="1">
        <v>45794</v>
      </c>
      <c r="C1666" s="1">
        <v>45800</v>
      </c>
      <c r="D1666" t="s">
        <v>13</v>
      </c>
      <c r="E1666" t="s">
        <v>36</v>
      </c>
      <c r="F1666" t="s">
        <v>29</v>
      </c>
      <c r="G1666" t="s">
        <v>26</v>
      </c>
      <c r="H1666" t="s">
        <v>34</v>
      </c>
      <c r="I1666">
        <v>1</v>
      </c>
      <c r="J1666">
        <v>0.1</v>
      </c>
      <c r="K1666">
        <v>183.16</v>
      </c>
      <c r="L1666">
        <v>4.08</v>
      </c>
      <c r="M1666" t="s">
        <v>2460</v>
      </c>
      <c r="N1666" t="s">
        <v>2458</v>
      </c>
      <c r="O1666" t="s">
        <v>2461</v>
      </c>
      <c r="P1666">
        <v>119.02</v>
      </c>
      <c r="Q1666">
        <v>205.39</v>
      </c>
      <c r="R1666">
        <v>119.02</v>
      </c>
      <c r="S1666">
        <v>60.06</v>
      </c>
      <c r="T1666">
        <v>0.32791002402271241</v>
      </c>
      <c r="U1666" s="1">
        <v>45778</v>
      </c>
      <c r="V1666" t="s">
        <v>2498</v>
      </c>
      <c r="W1666">
        <v>2025</v>
      </c>
    </row>
    <row r="1667" spans="1:23" x14ac:dyDescent="0.25">
      <c r="A1667" t="s">
        <v>1714</v>
      </c>
      <c r="B1667" s="1">
        <v>45992</v>
      </c>
      <c r="C1667" s="1">
        <v>45994</v>
      </c>
      <c r="D1667" t="s">
        <v>13</v>
      </c>
      <c r="E1667" t="s">
        <v>36</v>
      </c>
      <c r="F1667" t="s">
        <v>15</v>
      </c>
      <c r="G1667" t="s">
        <v>26</v>
      </c>
      <c r="H1667" t="s">
        <v>63</v>
      </c>
      <c r="I1667">
        <v>8</v>
      </c>
      <c r="J1667">
        <v>0</v>
      </c>
      <c r="K1667">
        <v>131.04</v>
      </c>
      <c r="L1667">
        <v>8.1</v>
      </c>
      <c r="M1667" t="s">
        <v>2477</v>
      </c>
      <c r="N1667" t="s">
        <v>2474</v>
      </c>
      <c r="O1667" t="s">
        <v>2468</v>
      </c>
      <c r="P1667">
        <v>6.33</v>
      </c>
      <c r="Q1667">
        <v>12.16</v>
      </c>
      <c r="R1667">
        <v>50.64</v>
      </c>
      <c r="S1667">
        <v>72.3</v>
      </c>
      <c r="T1667">
        <v>0.55173992673992678</v>
      </c>
      <c r="U1667" s="1">
        <v>45992</v>
      </c>
      <c r="V1667" t="s">
        <v>2499</v>
      </c>
      <c r="W1667">
        <v>2025</v>
      </c>
    </row>
    <row r="1668" spans="1:23" x14ac:dyDescent="0.25">
      <c r="A1668" t="s">
        <v>1715</v>
      </c>
      <c r="B1668" s="1">
        <v>45628</v>
      </c>
      <c r="C1668" s="1">
        <v>45629</v>
      </c>
      <c r="D1668" t="s">
        <v>13</v>
      </c>
      <c r="E1668" t="s">
        <v>14</v>
      </c>
      <c r="F1668" t="s">
        <v>25</v>
      </c>
      <c r="G1668" t="s">
        <v>26</v>
      </c>
      <c r="H1668" t="s">
        <v>65</v>
      </c>
      <c r="I1668">
        <v>1</v>
      </c>
      <c r="J1668">
        <v>0.2</v>
      </c>
      <c r="K1668">
        <v>329.46</v>
      </c>
      <c r="L1668">
        <v>4.08</v>
      </c>
      <c r="M1668" t="s">
        <v>2457</v>
      </c>
      <c r="N1668" t="s">
        <v>2458</v>
      </c>
      <c r="O1668" t="s">
        <v>2459</v>
      </c>
      <c r="P1668">
        <v>173.56</v>
      </c>
      <c r="Q1668">
        <v>286.14999999999998</v>
      </c>
      <c r="R1668">
        <v>173.56</v>
      </c>
      <c r="S1668">
        <v>151.81999999999996</v>
      </c>
      <c r="T1668">
        <v>0.460814666423845</v>
      </c>
      <c r="U1668" s="1">
        <v>45627</v>
      </c>
      <c r="V1668" t="s">
        <v>2500</v>
      </c>
      <c r="W1668">
        <v>2024</v>
      </c>
    </row>
    <row r="1669" spans="1:23" x14ac:dyDescent="0.25">
      <c r="A1669" t="s">
        <v>1716</v>
      </c>
      <c r="B1669" s="1">
        <v>45798</v>
      </c>
      <c r="C1669" s="1">
        <v>45804</v>
      </c>
      <c r="D1669" t="s">
        <v>32</v>
      </c>
      <c r="E1669" t="s">
        <v>33</v>
      </c>
      <c r="F1669" t="s">
        <v>29</v>
      </c>
      <c r="G1669" t="s">
        <v>20</v>
      </c>
      <c r="H1669" t="s">
        <v>27</v>
      </c>
      <c r="I1669">
        <v>5</v>
      </c>
      <c r="J1669">
        <v>0</v>
      </c>
      <c r="K1669">
        <v>140.22999999999999</v>
      </c>
      <c r="L1669">
        <v>4.05</v>
      </c>
      <c r="M1669" t="s">
        <v>2478</v>
      </c>
      <c r="N1669" t="s">
        <v>2474</v>
      </c>
      <c r="O1669" t="s">
        <v>2463</v>
      </c>
      <c r="P1669">
        <v>16.760000000000002</v>
      </c>
      <c r="Q1669">
        <v>27.71</v>
      </c>
      <c r="R1669">
        <v>83.800000000000011</v>
      </c>
      <c r="S1669">
        <v>52.379999999999981</v>
      </c>
      <c r="T1669">
        <v>0.37352920202524414</v>
      </c>
      <c r="U1669" s="1">
        <v>45778</v>
      </c>
      <c r="V1669" t="s">
        <v>2499</v>
      </c>
      <c r="W1669">
        <v>2025</v>
      </c>
    </row>
    <row r="1670" spans="1:23" x14ac:dyDescent="0.25">
      <c r="A1670" t="s">
        <v>1717</v>
      </c>
      <c r="B1670" s="1">
        <v>46003</v>
      </c>
      <c r="C1670" s="1">
        <v>46006</v>
      </c>
      <c r="D1670" t="s">
        <v>47</v>
      </c>
      <c r="E1670" t="s">
        <v>50</v>
      </c>
      <c r="F1670" t="s">
        <v>15</v>
      </c>
      <c r="G1670" t="s">
        <v>20</v>
      </c>
      <c r="H1670" t="s">
        <v>30</v>
      </c>
      <c r="I1670">
        <v>5</v>
      </c>
      <c r="J1670">
        <v>0</v>
      </c>
      <c r="K1670">
        <v>43.24</v>
      </c>
      <c r="L1670">
        <v>4.05</v>
      </c>
      <c r="M1670" t="s">
        <v>2473</v>
      </c>
      <c r="N1670" t="s">
        <v>2474</v>
      </c>
      <c r="O1670" t="s">
        <v>2463</v>
      </c>
      <c r="P1670">
        <v>3.62</v>
      </c>
      <c r="Q1670">
        <v>6.03</v>
      </c>
      <c r="R1670">
        <v>18.100000000000001</v>
      </c>
      <c r="S1670">
        <v>21.09</v>
      </c>
      <c r="T1670">
        <v>0.4877428307123034</v>
      </c>
      <c r="U1670" s="1">
        <v>45992</v>
      </c>
      <c r="V1670" t="s">
        <v>2499</v>
      </c>
      <c r="W1670">
        <v>2025</v>
      </c>
    </row>
    <row r="1671" spans="1:23" x14ac:dyDescent="0.25">
      <c r="A1671" t="s">
        <v>1718</v>
      </c>
      <c r="B1671" s="1">
        <v>45351</v>
      </c>
      <c r="C1671" s="1">
        <v>45355</v>
      </c>
      <c r="D1671" t="s">
        <v>32</v>
      </c>
      <c r="E1671" t="s">
        <v>33</v>
      </c>
      <c r="F1671" t="s">
        <v>25</v>
      </c>
      <c r="G1671" t="s">
        <v>20</v>
      </c>
      <c r="H1671" t="s">
        <v>68</v>
      </c>
      <c r="I1671">
        <v>4</v>
      </c>
      <c r="J1671">
        <v>0</v>
      </c>
      <c r="K1671">
        <v>192.56</v>
      </c>
      <c r="L1671">
        <v>5.7</v>
      </c>
      <c r="M1671" t="s">
        <v>2466</v>
      </c>
      <c r="N1671" t="s">
        <v>2467</v>
      </c>
      <c r="O1671" t="s">
        <v>2468</v>
      </c>
      <c r="P1671">
        <v>25.33</v>
      </c>
      <c r="Q1671">
        <v>51.56</v>
      </c>
      <c r="R1671">
        <v>101.32</v>
      </c>
      <c r="S1671">
        <v>85.54</v>
      </c>
      <c r="T1671">
        <v>0.44422517656834237</v>
      </c>
      <c r="U1671" s="1">
        <v>45323</v>
      </c>
      <c r="V1671" t="s">
        <v>2499</v>
      </c>
      <c r="W1671">
        <v>2024</v>
      </c>
    </row>
    <row r="1672" spans="1:23" x14ac:dyDescent="0.25">
      <c r="A1672" t="s">
        <v>1719</v>
      </c>
      <c r="B1672" s="1">
        <v>45993</v>
      </c>
      <c r="C1672" s="1">
        <v>45994</v>
      </c>
      <c r="D1672" t="s">
        <v>23</v>
      </c>
      <c r="E1672" t="s">
        <v>24</v>
      </c>
      <c r="F1672" t="s">
        <v>25</v>
      </c>
      <c r="G1672" t="s">
        <v>16</v>
      </c>
      <c r="H1672" t="s">
        <v>51</v>
      </c>
      <c r="I1672">
        <v>6</v>
      </c>
      <c r="J1672">
        <v>0</v>
      </c>
      <c r="K1672">
        <v>122.26</v>
      </c>
      <c r="L1672">
        <v>7.2</v>
      </c>
      <c r="M1672" t="s">
        <v>2475</v>
      </c>
      <c r="N1672" t="s">
        <v>2474</v>
      </c>
      <c r="O1672" t="s">
        <v>2463</v>
      </c>
      <c r="P1672">
        <v>7.93</v>
      </c>
      <c r="Q1672">
        <v>14.78</v>
      </c>
      <c r="R1672">
        <v>47.58</v>
      </c>
      <c r="S1672">
        <v>67.48</v>
      </c>
      <c r="T1672">
        <v>0.55193849173891707</v>
      </c>
      <c r="U1672" s="1">
        <v>45992</v>
      </c>
      <c r="V1672" t="s">
        <v>2499</v>
      </c>
      <c r="W1672">
        <v>2025</v>
      </c>
    </row>
    <row r="1673" spans="1:23" x14ac:dyDescent="0.25">
      <c r="A1673" t="s">
        <v>1720</v>
      </c>
      <c r="B1673" s="1">
        <v>45786</v>
      </c>
      <c r="C1673" s="1">
        <v>45788</v>
      </c>
      <c r="D1673" t="s">
        <v>47</v>
      </c>
      <c r="E1673" t="s">
        <v>71</v>
      </c>
      <c r="F1673" t="s">
        <v>25</v>
      </c>
      <c r="G1673" t="s">
        <v>20</v>
      </c>
      <c r="H1673" t="s">
        <v>41</v>
      </c>
      <c r="I1673">
        <v>12</v>
      </c>
      <c r="J1673">
        <v>0</v>
      </c>
      <c r="K1673">
        <v>73.36</v>
      </c>
      <c r="L1673">
        <v>9.9</v>
      </c>
      <c r="M1673" t="s">
        <v>2479</v>
      </c>
      <c r="N1673" t="s">
        <v>2474</v>
      </c>
      <c r="O1673" t="s">
        <v>2459</v>
      </c>
      <c r="P1673">
        <v>3.3</v>
      </c>
      <c r="Q1673">
        <v>6.13</v>
      </c>
      <c r="R1673">
        <v>39.599999999999994</v>
      </c>
      <c r="S1673">
        <v>23.860000000000007</v>
      </c>
      <c r="T1673">
        <v>0.32524536532170129</v>
      </c>
      <c r="U1673" s="1">
        <v>45778</v>
      </c>
      <c r="V1673" t="s">
        <v>2499</v>
      </c>
      <c r="W1673">
        <v>2025</v>
      </c>
    </row>
    <row r="1674" spans="1:23" x14ac:dyDescent="0.25">
      <c r="A1674" t="s">
        <v>1721</v>
      </c>
      <c r="B1674" s="1">
        <v>45737</v>
      </c>
      <c r="C1674" s="1">
        <v>45740</v>
      </c>
      <c r="D1674" t="s">
        <v>47</v>
      </c>
      <c r="E1674" t="s">
        <v>48</v>
      </c>
      <c r="F1674" t="s">
        <v>29</v>
      </c>
      <c r="G1674" t="s">
        <v>26</v>
      </c>
      <c r="H1674" t="s">
        <v>37</v>
      </c>
      <c r="I1674">
        <v>1</v>
      </c>
      <c r="J1674">
        <v>0.15</v>
      </c>
      <c r="K1674">
        <v>85.06</v>
      </c>
      <c r="L1674">
        <v>4.08</v>
      </c>
      <c r="M1674" t="s">
        <v>2464</v>
      </c>
      <c r="N1674" t="s">
        <v>2458</v>
      </c>
      <c r="O1674" t="s">
        <v>2465</v>
      </c>
      <c r="P1674">
        <v>63.6</v>
      </c>
      <c r="Q1674">
        <v>107.94</v>
      </c>
      <c r="R1674">
        <v>63.6</v>
      </c>
      <c r="S1674">
        <v>17.380000000000003</v>
      </c>
      <c r="T1674">
        <v>0.20432635786503647</v>
      </c>
      <c r="U1674" s="1">
        <v>45717</v>
      </c>
      <c r="V1674" t="s">
        <v>2500</v>
      </c>
      <c r="W1674">
        <v>2025</v>
      </c>
    </row>
    <row r="1675" spans="1:23" x14ac:dyDescent="0.25">
      <c r="A1675" t="s">
        <v>1722</v>
      </c>
      <c r="B1675" s="1">
        <v>45373</v>
      </c>
      <c r="C1675" s="1">
        <v>45377</v>
      </c>
      <c r="D1675" t="s">
        <v>13</v>
      </c>
      <c r="E1675" t="s">
        <v>19</v>
      </c>
      <c r="F1675" t="s">
        <v>25</v>
      </c>
      <c r="G1675" t="s">
        <v>20</v>
      </c>
      <c r="H1675" t="s">
        <v>39</v>
      </c>
      <c r="I1675">
        <v>3</v>
      </c>
      <c r="J1675">
        <v>0</v>
      </c>
      <c r="K1675">
        <v>532.92999999999995</v>
      </c>
      <c r="L1675">
        <v>8.25</v>
      </c>
      <c r="M1675" t="s">
        <v>2471</v>
      </c>
      <c r="N1675" t="s">
        <v>2467</v>
      </c>
      <c r="O1675" t="s">
        <v>2461</v>
      </c>
      <c r="P1675">
        <v>112.09</v>
      </c>
      <c r="Q1675">
        <v>192.47</v>
      </c>
      <c r="R1675">
        <v>336.27</v>
      </c>
      <c r="S1675">
        <v>188.40999999999997</v>
      </c>
      <c r="T1675">
        <v>0.35353611168446136</v>
      </c>
      <c r="U1675" s="1">
        <v>45352</v>
      </c>
      <c r="V1675" t="s">
        <v>2499</v>
      </c>
      <c r="W1675">
        <v>2024</v>
      </c>
    </row>
    <row r="1676" spans="1:23" x14ac:dyDescent="0.25">
      <c r="A1676" t="s">
        <v>1723</v>
      </c>
      <c r="B1676" s="1">
        <v>45905</v>
      </c>
      <c r="C1676" s="1">
        <v>45907</v>
      </c>
      <c r="D1676" t="s">
        <v>47</v>
      </c>
      <c r="E1676" t="s">
        <v>71</v>
      </c>
      <c r="F1676" t="s">
        <v>29</v>
      </c>
      <c r="G1676" t="s">
        <v>16</v>
      </c>
      <c r="H1676" t="s">
        <v>87</v>
      </c>
      <c r="I1676">
        <v>7</v>
      </c>
      <c r="J1676">
        <v>0</v>
      </c>
      <c r="K1676">
        <v>61.53</v>
      </c>
      <c r="L1676">
        <v>7.65</v>
      </c>
      <c r="M1676" t="s">
        <v>2476</v>
      </c>
      <c r="N1676" t="s">
        <v>2474</v>
      </c>
      <c r="O1676" t="s">
        <v>2459</v>
      </c>
      <c r="P1676">
        <v>4.5</v>
      </c>
      <c r="Q1676">
        <v>8.2899999999999991</v>
      </c>
      <c r="R1676">
        <v>31.5</v>
      </c>
      <c r="S1676">
        <v>22.380000000000003</v>
      </c>
      <c r="T1676">
        <v>0.36372501218917602</v>
      </c>
      <c r="U1676" s="1">
        <v>45901</v>
      </c>
      <c r="V1676" t="s">
        <v>2499</v>
      </c>
      <c r="W1676">
        <v>2025</v>
      </c>
    </row>
    <row r="1677" spans="1:23" x14ac:dyDescent="0.25">
      <c r="A1677" t="s">
        <v>1724</v>
      </c>
      <c r="B1677" s="1">
        <v>45584</v>
      </c>
      <c r="C1677" s="1">
        <v>45589</v>
      </c>
      <c r="D1677" t="s">
        <v>32</v>
      </c>
      <c r="E1677" t="s">
        <v>45</v>
      </c>
      <c r="F1677" t="s">
        <v>25</v>
      </c>
      <c r="G1677" t="s">
        <v>16</v>
      </c>
      <c r="H1677" t="s">
        <v>63</v>
      </c>
      <c r="I1677">
        <v>14</v>
      </c>
      <c r="J1677">
        <v>0</v>
      </c>
      <c r="K1677">
        <v>204.6</v>
      </c>
      <c r="L1677">
        <v>10.8</v>
      </c>
      <c r="M1677" t="s">
        <v>2477</v>
      </c>
      <c r="N1677" t="s">
        <v>2474</v>
      </c>
      <c r="O1677" t="s">
        <v>2468</v>
      </c>
      <c r="P1677">
        <v>6.33</v>
      </c>
      <c r="Q1677">
        <v>12.16</v>
      </c>
      <c r="R1677">
        <v>88.62</v>
      </c>
      <c r="S1677">
        <v>105.17999999999999</v>
      </c>
      <c r="T1677">
        <v>0.51407624633431082</v>
      </c>
      <c r="U1677" s="1">
        <v>45566</v>
      </c>
      <c r="V1677" t="s">
        <v>2499</v>
      </c>
      <c r="W1677">
        <v>2024</v>
      </c>
    </row>
    <row r="1678" spans="1:23" x14ac:dyDescent="0.25">
      <c r="A1678" t="s">
        <v>1725</v>
      </c>
      <c r="B1678" s="1">
        <v>45314</v>
      </c>
      <c r="C1678" s="1">
        <v>45316</v>
      </c>
      <c r="D1678" t="s">
        <v>13</v>
      </c>
      <c r="E1678" t="s">
        <v>36</v>
      </c>
      <c r="F1678" t="s">
        <v>25</v>
      </c>
      <c r="G1678" t="s">
        <v>20</v>
      </c>
      <c r="H1678" t="s">
        <v>30</v>
      </c>
      <c r="I1678">
        <v>20</v>
      </c>
      <c r="J1678">
        <v>0</v>
      </c>
      <c r="K1678">
        <v>101.61</v>
      </c>
      <c r="L1678">
        <v>8.1</v>
      </c>
      <c r="M1678" t="s">
        <v>2473</v>
      </c>
      <c r="N1678" t="s">
        <v>2474</v>
      </c>
      <c r="O1678" t="s">
        <v>2463</v>
      </c>
      <c r="P1678">
        <v>3.62</v>
      </c>
      <c r="Q1678">
        <v>6.03</v>
      </c>
      <c r="R1678">
        <v>72.400000000000006</v>
      </c>
      <c r="S1678">
        <v>21.109999999999992</v>
      </c>
      <c r="T1678">
        <v>0.20775514221041227</v>
      </c>
      <c r="U1678" s="1">
        <v>45292</v>
      </c>
      <c r="V1678" t="s">
        <v>2499</v>
      </c>
      <c r="W1678">
        <v>2024</v>
      </c>
    </row>
    <row r="1679" spans="1:23" x14ac:dyDescent="0.25">
      <c r="A1679" t="s">
        <v>1726</v>
      </c>
      <c r="B1679" s="1">
        <v>45698</v>
      </c>
      <c r="C1679" s="1">
        <v>45701</v>
      </c>
      <c r="D1679" t="s">
        <v>47</v>
      </c>
      <c r="E1679" t="s">
        <v>50</v>
      </c>
      <c r="F1679" t="s">
        <v>29</v>
      </c>
      <c r="G1679" t="s">
        <v>16</v>
      </c>
      <c r="H1679" t="s">
        <v>37</v>
      </c>
      <c r="I1679">
        <v>2</v>
      </c>
      <c r="J1679">
        <v>0</v>
      </c>
      <c r="K1679">
        <v>186.3</v>
      </c>
      <c r="L1679">
        <v>5.46</v>
      </c>
      <c r="M1679" t="s">
        <v>2464</v>
      </c>
      <c r="N1679" t="s">
        <v>2458</v>
      </c>
      <c r="O1679" t="s">
        <v>2465</v>
      </c>
      <c r="P1679">
        <v>63.6</v>
      </c>
      <c r="Q1679">
        <v>107.94</v>
      </c>
      <c r="R1679">
        <v>127.2</v>
      </c>
      <c r="S1679">
        <v>53.640000000000008</v>
      </c>
      <c r="T1679">
        <v>0.28792270531400971</v>
      </c>
      <c r="U1679" s="1">
        <v>45689</v>
      </c>
      <c r="V1679" t="s">
        <v>2499</v>
      </c>
      <c r="W1679">
        <v>2025</v>
      </c>
    </row>
    <row r="1680" spans="1:23" x14ac:dyDescent="0.25">
      <c r="A1680" t="s">
        <v>1727</v>
      </c>
      <c r="B1680" s="1">
        <v>45968</v>
      </c>
      <c r="C1680" s="1">
        <v>45971</v>
      </c>
      <c r="D1680" t="s">
        <v>13</v>
      </c>
      <c r="E1680" t="s">
        <v>14</v>
      </c>
      <c r="F1680" t="s">
        <v>25</v>
      </c>
      <c r="G1680" t="s">
        <v>20</v>
      </c>
      <c r="H1680" t="s">
        <v>63</v>
      </c>
      <c r="I1680">
        <v>9</v>
      </c>
      <c r="J1680">
        <v>0.1</v>
      </c>
      <c r="K1680">
        <v>125.51</v>
      </c>
      <c r="L1680">
        <v>5.13</v>
      </c>
      <c r="M1680" t="s">
        <v>2477</v>
      </c>
      <c r="N1680" t="s">
        <v>2474</v>
      </c>
      <c r="O1680" t="s">
        <v>2468</v>
      </c>
      <c r="P1680">
        <v>6.33</v>
      </c>
      <c r="Q1680">
        <v>12.16</v>
      </c>
      <c r="R1680">
        <v>56.97</v>
      </c>
      <c r="S1680">
        <v>63.410000000000004</v>
      </c>
      <c r="T1680">
        <v>0.50521870767269539</v>
      </c>
      <c r="U1680" s="1">
        <v>45962</v>
      </c>
      <c r="V1680" t="s">
        <v>2498</v>
      </c>
      <c r="W1680">
        <v>2025</v>
      </c>
    </row>
    <row r="1681" spans="1:23" x14ac:dyDescent="0.25">
      <c r="A1681" t="s">
        <v>1728</v>
      </c>
      <c r="B1681" s="1">
        <v>45827</v>
      </c>
      <c r="C1681" s="1">
        <v>45831</v>
      </c>
      <c r="D1681" t="s">
        <v>47</v>
      </c>
      <c r="E1681" t="s">
        <v>48</v>
      </c>
      <c r="F1681" t="s">
        <v>15</v>
      </c>
      <c r="G1681" t="s">
        <v>16</v>
      </c>
      <c r="H1681" t="s">
        <v>65</v>
      </c>
      <c r="I1681">
        <v>3</v>
      </c>
      <c r="J1681">
        <v>0.2</v>
      </c>
      <c r="K1681">
        <v>722.85</v>
      </c>
      <c r="L1681">
        <v>11.4</v>
      </c>
      <c r="M1681" t="s">
        <v>2457</v>
      </c>
      <c r="N1681" t="s">
        <v>2458</v>
      </c>
      <c r="O1681" t="s">
        <v>2459</v>
      </c>
      <c r="P1681">
        <v>173.56</v>
      </c>
      <c r="Q1681">
        <v>286.14999999999998</v>
      </c>
      <c r="R1681">
        <v>520.68000000000006</v>
      </c>
      <c r="S1681">
        <v>190.76999999999995</v>
      </c>
      <c r="T1681">
        <v>0.26391367503631452</v>
      </c>
      <c r="U1681" s="1">
        <v>45809</v>
      </c>
      <c r="V1681" t="s">
        <v>2500</v>
      </c>
      <c r="W1681">
        <v>2025</v>
      </c>
    </row>
    <row r="1682" spans="1:23" x14ac:dyDescent="0.25">
      <c r="A1682" t="s">
        <v>1729</v>
      </c>
      <c r="B1682" s="1">
        <v>45416</v>
      </c>
      <c r="C1682" s="1">
        <v>45418</v>
      </c>
      <c r="D1682" t="s">
        <v>23</v>
      </c>
      <c r="E1682" t="s">
        <v>43</v>
      </c>
      <c r="F1682" t="s">
        <v>15</v>
      </c>
      <c r="G1682" t="s">
        <v>26</v>
      </c>
      <c r="H1682" t="s">
        <v>87</v>
      </c>
      <c r="I1682">
        <v>11</v>
      </c>
      <c r="J1682">
        <v>0.05</v>
      </c>
      <c r="K1682">
        <v>92.96</v>
      </c>
      <c r="L1682">
        <v>5.67</v>
      </c>
      <c r="M1682" t="s">
        <v>2476</v>
      </c>
      <c r="N1682" t="s">
        <v>2474</v>
      </c>
      <c r="O1682" t="s">
        <v>2459</v>
      </c>
      <c r="P1682">
        <v>4.5</v>
      </c>
      <c r="Q1682">
        <v>8.2899999999999991</v>
      </c>
      <c r="R1682">
        <v>49.5</v>
      </c>
      <c r="S1682">
        <v>37.789999999999992</v>
      </c>
      <c r="T1682">
        <v>0.40651893287435448</v>
      </c>
      <c r="U1682" s="1">
        <v>45413</v>
      </c>
      <c r="V1682" t="s">
        <v>2498</v>
      </c>
      <c r="W1682">
        <v>2024</v>
      </c>
    </row>
    <row r="1683" spans="1:23" x14ac:dyDescent="0.25">
      <c r="A1683" t="s">
        <v>1730</v>
      </c>
      <c r="B1683" s="1">
        <v>45550</v>
      </c>
      <c r="C1683" s="1">
        <v>45555</v>
      </c>
      <c r="D1683" t="s">
        <v>47</v>
      </c>
      <c r="E1683" t="s">
        <v>48</v>
      </c>
      <c r="F1683" t="s">
        <v>15</v>
      </c>
      <c r="G1683" t="s">
        <v>16</v>
      </c>
      <c r="H1683" t="s">
        <v>30</v>
      </c>
      <c r="I1683">
        <v>11</v>
      </c>
      <c r="J1683">
        <v>0</v>
      </c>
      <c r="K1683">
        <v>69.44</v>
      </c>
      <c r="L1683">
        <v>5.67</v>
      </c>
      <c r="M1683" t="s">
        <v>2473</v>
      </c>
      <c r="N1683" t="s">
        <v>2474</v>
      </c>
      <c r="O1683" t="s">
        <v>2463</v>
      </c>
      <c r="P1683">
        <v>3.62</v>
      </c>
      <c r="Q1683">
        <v>6.03</v>
      </c>
      <c r="R1683">
        <v>39.82</v>
      </c>
      <c r="S1683">
        <v>23.949999999999996</v>
      </c>
      <c r="T1683">
        <v>0.34490207373271886</v>
      </c>
      <c r="U1683" s="1">
        <v>45536</v>
      </c>
      <c r="V1683" t="s">
        <v>2499</v>
      </c>
      <c r="W1683">
        <v>2024</v>
      </c>
    </row>
    <row r="1684" spans="1:23" x14ac:dyDescent="0.25">
      <c r="A1684" t="s">
        <v>1731</v>
      </c>
      <c r="B1684" s="1">
        <v>45351</v>
      </c>
      <c r="C1684" s="1">
        <v>45352</v>
      </c>
      <c r="D1684" t="s">
        <v>47</v>
      </c>
      <c r="E1684" t="s">
        <v>71</v>
      </c>
      <c r="F1684" t="s">
        <v>15</v>
      </c>
      <c r="G1684" t="s">
        <v>26</v>
      </c>
      <c r="H1684" t="s">
        <v>87</v>
      </c>
      <c r="I1684">
        <v>20</v>
      </c>
      <c r="J1684">
        <v>0</v>
      </c>
      <c r="K1684">
        <v>157.63999999999999</v>
      </c>
      <c r="L1684">
        <v>8.1</v>
      </c>
      <c r="M1684" t="s">
        <v>2476</v>
      </c>
      <c r="N1684" t="s">
        <v>2474</v>
      </c>
      <c r="O1684" t="s">
        <v>2459</v>
      </c>
      <c r="P1684">
        <v>4.5</v>
      </c>
      <c r="Q1684">
        <v>8.2899999999999991</v>
      </c>
      <c r="R1684">
        <v>90</v>
      </c>
      <c r="S1684">
        <v>59.539999999999985</v>
      </c>
      <c r="T1684">
        <v>0.37769601623953303</v>
      </c>
      <c r="U1684" s="1">
        <v>45323</v>
      </c>
      <c r="V1684" t="s">
        <v>2499</v>
      </c>
      <c r="W1684">
        <v>2024</v>
      </c>
    </row>
    <row r="1685" spans="1:23" x14ac:dyDescent="0.25">
      <c r="A1685" t="s">
        <v>1732</v>
      </c>
      <c r="B1685" s="1">
        <v>45625</v>
      </c>
      <c r="C1685" s="1">
        <v>45627</v>
      </c>
      <c r="D1685" t="s">
        <v>47</v>
      </c>
      <c r="E1685" t="s">
        <v>48</v>
      </c>
      <c r="F1685" t="s">
        <v>29</v>
      </c>
      <c r="G1685" t="s">
        <v>20</v>
      </c>
      <c r="H1685" t="s">
        <v>21</v>
      </c>
      <c r="I1685">
        <v>3</v>
      </c>
      <c r="J1685">
        <v>0</v>
      </c>
      <c r="K1685">
        <v>479.3</v>
      </c>
      <c r="L1685">
        <v>6.84</v>
      </c>
      <c r="M1685" t="s">
        <v>2462</v>
      </c>
      <c r="N1685" t="s">
        <v>2458</v>
      </c>
      <c r="O1685" t="s">
        <v>2463</v>
      </c>
      <c r="P1685">
        <v>71.489999999999995</v>
      </c>
      <c r="Q1685">
        <v>112.88</v>
      </c>
      <c r="R1685">
        <v>214.46999999999997</v>
      </c>
      <c r="S1685">
        <v>257.99000000000007</v>
      </c>
      <c r="T1685">
        <v>0.53826413519716265</v>
      </c>
      <c r="U1685" s="1">
        <v>45597</v>
      </c>
      <c r="V1685" t="s">
        <v>2499</v>
      </c>
      <c r="W1685">
        <v>2024</v>
      </c>
    </row>
    <row r="1686" spans="1:23" x14ac:dyDescent="0.25">
      <c r="A1686" t="s">
        <v>1733</v>
      </c>
      <c r="B1686" s="1">
        <v>45974</v>
      </c>
      <c r="C1686" s="1">
        <v>45978</v>
      </c>
      <c r="D1686" t="s">
        <v>13</v>
      </c>
      <c r="E1686" t="s">
        <v>14</v>
      </c>
      <c r="F1686" t="s">
        <v>29</v>
      </c>
      <c r="G1686" t="s">
        <v>20</v>
      </c>
      <c r="H1686" t="s">
        <v>53</v>
      </c>
      <c r="I1686">
        <v>2</v>
      </c>
      <c r="J1686">
        <v>0.25</v>
      </c>
      <c r="K1686">
        <v>115.51</v>
      </c>
      <c r="L1686">
        <v>7</v>
      </c>
      <c r="M1686" t="s">
        <v>2470</v>
      </c>
      <c r="N1686" t="s">
        <v>2467</v>
      </c>
      <c r="O1686" t="s">
        <v>2459</v>
      </c>
      <c r="P1686">
        <v>31.34</v>
      </c>
      <c r="Q1686">
        <v>56.49</v>
      </c>
      <c r="R1686">
        <v>62.68</v>
      </c>
      <c r="S1686">
        <v>45.830000000000005</v>
      </c>
      <c r="T1686">
        <v>0.39676218509219985</v>
      </c>
      <c r="U1686" s="1">
        <v>45962</v>
      </c>
      <c r="V1686" t="s">
        <v>2501</v>
      </c>
      <c r="W1686">
        <v>2025</v>
      </c>
    </row>
    <row r="1687" spans="1:23" x14ac:dyDescent="0.25">
      <c r="A1687" t="s">
        <v>1734</v>
      </c>
      <c r="B1687" s="1">
        <v>45488</v>
      </c>
      <c r="C1687" s="1">
        <v>45490</v>
      </c>
      <c r="D1687" t="s">
        <v>13</v>
      </c>
      <c r="E1687" t="s">
        <v>36</v>
      </c>
      <c r="F1687" t="s">
        <v>15</v>
      </c>
      <c r="G1687" t="s">
        <v>16</v>
      </c>
      <c r="H1687" t="s">
        <v>68</v>
      </c>
      <c r="I1687">
        <v>1</v>
      </c>
      <c r="J1687">
        <v>0</v>
      </c>
      <c r="K1687">
        <v>49.9</v>
      </c>
      <c r="L1687">
        <v>5.75</v>
      </c>
      <c r="M1687" t="s">
        <v>2466</v>
      </c>
      <c r="N1687" t="s">
        <v>2467</v>
      </c>
      <c r="O1687" t="s">
        <v>2468</v>
      </c>
      <c r="P1687">
        <v>25.33</v>
      </c>
      <c r="Q1687">
        <v>51.56</v>
      </c>
      <c r="R1687">
        <v>25.33</v>
      </c>
      <c r="S1687">
        <v>18.82</v>
      </c>
      <c r="T1687">
        <v>0.37715430861723448</v>
      </c>
      <c r="U1687" s="1">
        <v>45474</v>
      </c>
      <c r="V1687" t="s">
        <v>2499</v>
      </c>
      <c r="W1687">
        <v>2024</v>
      </c>
    </row>
    <row r="1688" spans="1:23" x14ac:dyDescent="0.25">
      <c r="A1688" t="s">
        <v>1735</v>
      </c>
      <c r="B1688" s="1">
        <v>45661</v>
      </c>
      <c r="C1688" s="1">
        <v>45666</v>
      </c>
      <c r="D1688" t="s">
        <v>47</v>
      </c>
      <c r="E1688" t="s">
        <v>48</v>
      </c>
      <c r="F1688" t="s">
        <v>29</v>
      </c>
      <c r="G1688" t="s">
        <v>26</v>
      </c>
      <c r="H1688" t="s">
        <v>17</v>
      </c>
      <c r="I1688">
        <v>1</v>
      </c>
      <c r="J1688">
        <v>0</v>
      </c>
      <c r="K1688">
        <v>115.14</v>
      </c>
      <c r="L1688">
        <v>5.75</v>
      </c>
      <c r="M1688" t="s">
        <v>2472</v>
      </c>
      <c r="N1688" t="s">
        <v>2467</v>
      </c>
      <c r="O1688" t="s">
        <v>2468</v>
      </c>
      <c r="P1688">
        <v>63.69</v>
      </c>
      <c r="Q1688">
        <v>125.5</v>
      </c>
      <c r="R1688">
        <v>63.69</v>
      </c>
      <c r="S1688">
        <v>45.7</v>
      </c>
      <c r="T1688">
        <v>0.39690811186381797</v>
      </c>
      <c r="U1688" s="1">
        <v>45658</v>
      </c>
      <c r="V1688" t="s">
        <v>2499</v>
      </c>
      <c r="W1688">
        <v>2025</v>
      </c>
    </row>
    <row r="1689" spans="1:23" x14ac:dyDescent="0.25">
      <c r="A1689" t="s">
        <v>1736</v>
      </c>
      <c r="B1689" s="1">
        <v>45415</v>
      </c>
      <c r="C1689" s="1">
        <v>45420</v>
      </c>
      <c r="D1689" t="s">
        <v>13</v>
      </c>
      <c r="E1689" t="s">
        <v>19</v>
      </c>
      <c r="F1689" t="s">
        <v>29</v>
      </c>
      <c r="G1689" t="s">
        <v>26</v>
      </c>
      <c r="H1689" t="s">
        <v>34</v>
      </c>
      <c r="I1689">
        <v>4</v>
      </c>
      <c r="J1689">
        <v>0</v>
      </c>
      <c r="K1689">
        <v>827.8</v>
      </c>
      <c r="L1689">
        <v>13.7</v>
      </c>
      <c r="M1689" t="s">
        <v>2460</v>
      </c>
      <c r="N1689" t="s">
        <v>2458</v>
      </c>
      <c r="O1689" t="s">
        <v>2461</v>
      </c>
      <c r="P1689">
        <v>119.02</v>
      </c>
      <c r="Q1689">
        <v>205.39</v>
      </c>
      <c r="R1689">
        <v>476.08</v>
      </c>
      <c r="S1689">
        <v>338.02</v>
      </c>
      <c r="T1689">
        <v>0.40833534670210198</v>
      </c>
      <c r="U1689" s="1">
        <v>45413</v>
      </c>
      <c r="V1689" t="s">
        <v>2499</v>
      </c>
      <c r="W1689">
        <v>2024</v>
      </c>
    </row>
    <row r="1690" spans="1:23" x14ac:dyDescent="0.25">
      <c r="A1690" t="s">
        <v>1737</v>
      </c>
      <c r="B1690" s="1">
        <v>45328</v>
      </c>
      <c r="C1690" s="1">
        <v>45333</v>
      </c>
      <c r="D1690" t="s">
        <v>13</v>
      </c>
      <c r="E1690" t="s">
        <v>14</v>
      </c>
      <c r="F1690" t="s">
        <v>25</v>
      </c>
      <c r="G1690" t="s">
        <v>26</v>
      </c>
      <c r="H1690" t="s">
        <v>60</v>
      </c>
      <c r="I1690">
        <v>4</v>
      </c>
      <c r="J1690">
        <v>0</v>
      </c>
      <c r="K1690">
        <v>387.47</v>
      </c>
      <c r="L1690">
        <v>9.5</v>
      </c>
      <c r="M1690" t="s">
        <v>2469</v>
      </c>
      <c r="N1690" t="s">
        <v>2467</v>
      </c>
      <c r="O1690" t="s">
        <v>2468</v>
      </c>
      <c r="P1690">
        <v>54.95</v>
      </c>
      <c r="Q1690">
        <v>112.56</v>
      </c>
      <c r="R1690">
        <v>219.8</v>
      </c>
      <c r="S1690">
        <v>158.17000000000002</v>
      </c>
      <c r="T1690">
        <v>0.40821224869022121</v>
      </c>
      <c r="U1690" s="1">
        <v>45323</v>
      </c>
      <c r="V1690" t="s">
        <v>2499</v>
      </c>
      <c r="W1690">
        <v>2024</v>
      </c>
    </row>
    <row r="1691" spans="1:23" x14ac:dyDescent="0.25">
      <c r="A1691" t="s">
        <v>1738</v>
      </c>
      <c r="B1691" s="1">
        <v>45503</v>
      </c>
      <c r="C1691" s="1">
        <v>45504</v>
      </c>
      <c r="D1691" t="s">
        <v>13</v>
      </c>
      <c r="E1691" t="s">
        <v>14</v>
      </c>
      <c r="F1691" t="s">
        <v>29</v>
      </c>
      <c r="G1691" t="s">
        <v>26</v>
      </c>
      <c r="H1691" t="s">
        <v>37</v>
      </c>
      <c r="I1691">
        <v>4</v>
      </c>
      <c r="J1691">
        <v>0.25</v>
      </c>
      <c r="K1691">
        <v>309.33</v>
      </c>
      <c r="L1691">
        <v>8.2200000000000006</v>
      </c>
      <c r="M1691" t="s">
        <v>2464</v>
      </c>
      <c r="N1691" t="s">
        <v>2458</v>
      </c>
      <c r="O1691" t="s">
        <v>2465</v>
      </c>
      <c r="P1691">
        <v>63.6</v>
      </c>
      <c r="Q1691">
        <v>107.94</v>
      </c>
      <c r="R1691">
        <v>254.4</v>
      </c>
      <c r="S1691">
        <v>46.70999999999998</v>
      </c>
      <c r="T1691">
        <v>0.15100378236834444</v>
      </c>
      <c r="U1691" s="1">
        <v>45474</v>
      </c>
      <c r="V1691" t="s">
        <v>2501</v>
      </c>
      <c r="W1691">
        <v>2024</v>
      </c>
    </row>
    <row r="1692" spans="1:23" x14ac:dyDescent="0.25">
      <c r="A1692" t="s">
        <v>1739</v>
      </c>
      <c r="B1692" s="1">
        <v>45619</v>
      </c>
      <c r="C1692" s="1">
        <v>45623</v>
      </c>
      <c r="D1692" t="s">
        <v>47</v>
      </c>
      <c r="E1692" t="s">
        <v>50</v>
      </c>
      <c r="F1692" t="s">
        <v>15</v>
      </c>
      <c r="G1692" t="s">
        <v>26</v>
      </c>
      <c r="H1692" t="s">
        <v>34</v>
      </c>
      <c r="I1692">
        <v>2</v>
      </c>
      <c r="J1692">
        <v>0</v>
      </c>
      <c r="K1692">
        <v>563.92999999999995</v>
      </c>
      <c r="L1692">
        <v>9.1</v>
      </c>
      <c r="M1692" t="s">
        <v>2460</v>
      </c>
      <c r="N1692" t="s">
        <v>2458</v>
      </c>
      <c r="O1692" t="s">
        <v>2461</v>
      </c>
      <c r="P1692">
        <v>119.02</v>
      </c>
      <c r="Q1692">
        <v>205.39</v>
      </c>
      <c r="R1692">
        <v>238.04</v>
      </c>
      <c r="S1692">
        <v>316.78999999999996</v>
      </c>
      <c r="T1692">
        <v>0.56175411841895273</v>
      </c>
      <c r="U1692" s="1">
        <v>45597</v>
      </c>
      <c r="V1692" t="s">
        <v>2499</v>
      </c>
      <c r="W1692">
        <v>2024</v>
      </c>
    </row>
    <row r="1693" spans="1:23" x14ac:dyDescent="0.25">
      <c r="A1693" t="s">
        <v>1740</v>
      </c>
      <c r="B1693" s="1">
        <v>45709</v>
      </c>
      <c r="C1693" s="1">
        <v>45715</v>
      </c>
      <c r="D1693" t="s">
        <v>23</v>
      </c>
      <c r="E1693" t="s">
        <v>59</v>
      </c>
      <c r="F1693" t="s">
        <v>29</v>
      </c>
      <c r="G1693" t="s">
        <v>26</v>
      </c>
      <c r="H1693" t="s">
        <v>53</v>
      </c>
      <c r="I1693">
        <v>3</v>
      </c>
      <c r="J1693">
        <v>0.15</v>
      </c>
      <c r="K1693">
        <v>136.47999999999999</v>
      </c>
      <c r="L1693">
        <v>8.25</v>
      </c>
      <c r="M1693" t="s">
        <v>2470</v>
      </c>
      <c r="N1693" t="s">
        <v>2467</v>
      </c>
      <c r="O1693" t="s">
        <v>2459</v>
      </c>
      <c r="P1693">
        <v>31.34</v>
      </c>
      <c r="Q1693">
        <v>56.49</v>
      </c>
      <c r="R1693">
        <v>94.02</v>
      </c>
      <c r="S1693">
        <v>34.209999999999994</v>
      </c>
      <c r="T1693">
        <v>0.25065943728018752</v>
      </c>
      <c r="U1693" s="1">
        <v>45689</v>
      </c>
      <c r="V1693" t="s">
        <v>2500</v>
      </c>
      <c r="W1693">
        <v>2025</v>
      </c>
    </row>
    <row r="1694" spans="1:23" x14ac:dyDescent="0.25">
      <c r="A1694" t="s">
        <v>1741</v>
      </c>
      <c r="B1694" s="1">
        <v>45341</v>
      </c>
      <c r="C1694" s="1">
        <v>45344</v>
      </c>
      <c r="D1694" t="s">
        <v>32</v>
      </c>
      <c r="E1694" t="s">
        <v>45</v>
      </c>
      <c r="F1694" t="s">
        <v>25</v>
      </c>
      <c r="G1694" t="s">
        <v>20</v>
      </c>
      <c r="H1694" t="s">
        <v>87</v>
      </c>
      <c r="I1694">
        <v>4</v>
      </c>
      <c r="J1694">
        <v>0.25</v>
      </c>
      <c r="K1694">
        <v>21.24</v>
      </c>
      <c r="L1694">
        <v>6.3</v>
      </c>
      <c r="M1694" t="s">
        <v>2476</v>
      </c>
      <c r="N1694" t="s">
        <v>2474</v>
      </c>
      <c r="O1694" t="s">
        <v>2459</v>
      </c>
      <c r="P1694">
        <v>4.5</v>
      </c>
      <c r="Q1694">
        <v>8.2899999999999991</v>
      </c>
      <c r="R1694">
        <v>18</v>
      </c>
      <c r="S1694">
        <v>-3.0600000000000014</v>
      </c>
      <c r="T1694">
        <v>-0.14406779661016958</v>
      </c>
      <c r="U1694" s="1">
        <v>45323</v>
      </c>
      <c r="V1694" t="s">
        <v>2501</v>
      </c>
      <c r="W1694">
        <v>2024</v>
      </c>
    </row>
    <row r="1695" spans="1:23" x14ac:dyDescent="0.25">
      <c r="A1695" t="s">
        <v>1742</v>
      </c>
      <c r="B1695" s="1">
        <v>45973</v>
      </c>
      <c r="C1695" s="1">
        <v>45976</v>
      </c>
      <c r="D1695" t="s">
        <v>13</v>
      </c>
      <c r="E1695" t="s">
        <v>14</v>
      </c>
      <c r="F1695" t="s">
        <v>25</v>
      </c>
      <c r="G1695" t="s">
        <v>16</v>
      </c>
      <c r="H1695" t="s">
        <v>30</v>
      </c>
      <c r="I1695">
        <v>12</v>
      </c>
      <c r="J1695">
        <v>0.25</v>
      </c>
      <c r="K1695">
        <v>77.34</v>
      </c>
      <c r="L1695">
        <v>5.94</v>
      </c>
      <c r="M1695" t="s">
        <v>2473</v>
      </c>
      <c r="N1695" t="s">
        <v>2474</v>
      </c>
      <c r="O1695" t="s">
        <v>2463</v>
      </c>
      <c r="P1695">
        <v>3.62</v>
      </c>
      <c r="Q1695">
        <v>6.03</v>
      </c>
      <c r="R1695">
        <v>43.44</v>
      </c>
      <c r="S1695">
        <v>27.960000000000004</v>
      </c>
      <c r="T1695">
        <v>0.3615205585725369</v>
      </c>
      <c r="U1695" s="1">
        <v>45962</v>
      </c>
      <c r="V1695" t="s">
        <v>2501</v>
      </c>
      <c r="W1695">
        <v>2025</v>
      </c>
    </row>
    <row r="1696" spans="1:23" x14ac:dyDescent="0.25">
      <c r="A1696" t="s">
        <v>1743</v>
      </c>
      <c r="B1696" s="1">
        <v>45530</v>
      </c>
      <c r="C1696" s="1">
        <v>45536</v>
      </c>
      <c r="D1696" t="s">
        <v>47</v>
      </c>
      <c r="E1696" t="s">
        <v>48</v>
      </c>
      <c r="F1696" t="s">
        <v>29</v>
      </c>
      <c r="G1696" t="s">
        <v>16</v>
      </c>
      <c r="H1696" t="s">
        <v>51</v>
      </c>
      <c r="I1696">
        <v>12</v>
      </c>
      <c r="J1696">
        <v>0.05</v>
      </c>
      <c r="K1696">
        <v>165.42</v>
      </c>
      <c r="L1696">
        <v>9.9</v>
      </c>
      <c r="M1696" t="s">
        <v>2475</v>
      </c>
      <c r="N1696" t="s">
        <v>2474</v>
      </c>
      <c r="O1696" t="s">
        <v>2463</v>
      </c>
      <c r="P1696">
        <v>7.93</v>
      </c>
      <c r="Q1696">
        <v>14.78</v>
      </c>
      <c r="R1696">
        <v>95.16</v>
      </c>
      <c r="S1696">
        <v>60.359999999999992</v>
      </c>
      <c r="T1696">
        <v>0.36488937250634745</v>
      </c>
      <c r="U1696" s="1">
        <v>45505</v>
      </c>
      <c r="V1696" t="s">
        <v>2498</v>
      </c>
      <c r="W1696">
        <v>2024</v>
      </c>
    </row>
    <row r="1697" spans="1:23" x14ac:dyDescent="0.25">
      <c r="A1697" t="s">
        <v>1744</v>
      </c>
      <c r="B1697" s="1">
        <v>45298</v>
      </c>
      <c r="C1697" s="1">
        <v>45302</v>
      </c>
      <c r="D1697" t="s">
        <v>47</v>
      </c>
      <c r="E1697" t="s">
        <v>48</v>
      </c>
      <c r="F1697" t="s">
        <v>29</v>
      </c>
      <c r="G1697" t="s">
        <v>26</v>
      </c>
      <c r="H1697" t="s">
        <v>60</v>
      </c>
      <c r="I1697">
        <v>4</v>
      </c>
      <c r="J1697">
        <v>0.05</v>
      </c>
      <c r="K1697">
        <v>386.73</v>
      </c>
      <c r="L1697">
        <v>9.5</v>
      </c>
      <c r="M1697" t="s">
        <v>2469</v>
      </c>
      <c r="N1697" t="s">
        <v>2467</v>
      </c>
      <c r="O1697" t="s">
        <v>2468</v>
      </c>
      <c r="P1697">
        <v>54.95</v>
      </c>
      <c r="Q1697">
        <v>112.56</v>
      </c>
      <c r="R1697">
        <v>219.8</v>
      </c>
      <c r="S1697">
        <v>157.43</v>
      </c>
      <c r="T1697">
        <v>0.40707987484808522</v>
      </c>
      <c r="U1697" s="1">
        <v>45292</v>
      </c>
      <c r="V1697" t="s">
        <v>2498</v>
      </c>
      <c r="W1697">
        <v>2024</v>
      </c>
    </row>
    <row r="1698" spans="1:23" x14ac:dyDescent="0.25">
      <c r="A1698" t="s">
        <v>1745</v>
      </c>
      <c r="B1698" s="1">
        <v>45356</v>
      </c>
      <c r="C1698" s="1">
        <v>45358</v>
      </c>
      <c r="D1698" t="s">
        <v>32</v>
      </c>
      <c r="E1698" t="s">
        <v>45</v>
      </c>
      <c r="F1698" t="s">
        <v>29</v>
      </c>
      <c r="G1698" t="s">
        <v>16</v>
      </c>
      <c r="H1698" t="s">
        <v>34</v>
      </c>
      <c r="I1698">
        <v>2</v>
      </c>
      <c r="J1698">
        <v>0.15</v>
      </c>
      <c r="K1698">
        <v>310.36</v>
      </c>
      <c r="L1698">
        <v>9.1</v>
      </c>
      <c r="M1698" t="s">
        <v>2460</v>
      </c>
      <c r="N1698" t="s">
        <v>2458</v>
      </c>
      <c r="O1698" t="s">
        <v>2461</v>
      </c>
      <c r="P1698">
        <v>119.02</v>
      </c>
      <c r="Q1698">
        <v>205.39</v>
      </c>
      <c r="R1698">
        <v>238.04</v>
      </c>
      <c r="S1698">
        <v>63.22000000000002</v>
      </c>
      <c r="T1698">
        <v>0.20369893027451996</v>
      </c>
      <c r="U1698" s="1">
        <v>45352</v>
      </c>
      <c r="V1698" t="s">
        <v>2500</v>
      </c>
      <c r="W1698">
        <v>2024</v>
      </c>
    </row>
    <row r="1699" spans="1:23" x14ac:dyDescent="0.25">
      <c r="A1699" t="s">
        <v>1746</v>
      </c>
      <c r="B1699" s="1">
        <v>45402</v>
      </c>
      <c r="C1699" s="1">
        <v>45404</v>
      </c>
      <c r="D1699" t="s">
        <v>47</v>
      </c>
      <c r="E1699" t="s">
        <v>48</v>
      </c>
      <c r="F1699" t="s">
        <v>25</v>
      </c>
      <c r="G1699" t="s">
        <v>26</v>
      </c>
      <c r="H1699" t="s">
        <v>60</v>
      </c>
      <c r="I1699">
        <v>3</v>
      </c>
      <c r="J1699">
        <v>0</v>
      </c>
      <c r="K1699">
        <v>337.75</v>
      </c>
      <c r="L1699">
        <v>4.95</v>
      </c>
      <c r="M1699" t="s">
        <v>2469</v>
      </c>
      <c r="N1699" t="s">
        <v>2467</v>
      </c>
      <c r="O1699" t="s">
        <v>2468</v>
      </c>
      <c r="P1699">
        <v>54.95</v>
      </c>
      <c r="Q1699">
        <v>112.56</v>
      </c>
      <c r="R1699">
        <v>164.85000000000002</v>
      </c>
      <c r="S1699">
        <v>167.95</v>
      </c>
      <c r="T1699">
        <v>0.49726128793486302</v>
      </c>
      <c r="U1699" s="1">
        <v>45383</v>
      </c>
      <c r="V1699" t="s">
        <v>2499</v>
      </c>
      <c r="W1699">
        <v>2024</v>
      </c>
    </row>
    <row r="1700" spans="1:23" x14ac:dyDescent="0.25">
      <c r="A1700" t="s">
        <v>1747</v>
      </c>
      <c r="B1700" s="1">
        <v>45454</v>
      </c>
      <c r="C1700" s="1">
        <v>45460</v>
      </c>
      <c r="D1700" t="s">
        <v>13</v>
      </c>
      <c r="E1700" t="s">
        <v>36</v>
      </c>
      <c r="F1700" t="s">
        <v>15</v>
      </c>
      <c r="G1700" t="s">
        <v>26</v>
      </c>
      <c r="H1700" t="s">
        <v>41</v>
      </c>
      <c r="I1700">
        <v>4</v>
      </c>
      <c r="J1700">
        <v>0.25</v>
      </c>
      <c r="K1700">
        <v>18.2</v>
      </c>
      <c r="L1700">
        <v>6.3</v>
      </c>
      <c r="M1700" t="s">
        <v>2479</v>
      </c>
      <c r="N1700" t="s">
        <v>2474</v>
      </c>
      <c r="O1700" t="s">
        <v>2459</v>
      </c>
      <c r="P1700">
        <v>3.3</v>
      </c>
      <c r="Q1700">
        <v>6.13</v>
      </c>
      <c r="R1700">
        <v>13.2</v>
      </c>
      <c r="S1700">
        <v>-1.2999999999999998</v>
      </c>
      <c r="T1700">
        <v>-7.1428571428571425E-2</v>
      </c>
      <c r="U1700" s="1">
        <v>45444</v>
      </c>
      <c r="V1700" t="s">
        <v>2501</v>
      </c>
      <c r="W1700">
        <v>2024</v>
      </c>
    </row>
    <row r="1701" spans="1:23" x14ac:dyDescent="0.25">
      <c r="A1701" t="s">
        <v>1748</v>
      </c>
      <c r="B1701" s="1">
        <v>45696</v>
      </c>
      <c r="C1701" s="1">
        <v>45698</v>
      </c>
      <c r="D1701" t="s">
        <v>47</v>
      </c>
      <c r="E1701" t="s">
        <v>50</v>
      </c>
      <c r="F1701" t="s">
        <v>25</v>
      </c>
      <c r="G1701" t="s">
        <v>16</v>
      </c>
      <c r="H1701" t="s">
        <v>51</v>
      </c>
      <c r="I1701">
        <v>10</v>
      </c>
      <c r="J1701">
        <v>0</v>
      </c>
      <c r="K1701">
        <v>130.68</v>
      </c>
      <c r="L1701">
        <v>5.4</v>
      </c>
      <c r="M1701" t="s">
        <v>2475</v>
      </c>
      <c r="N1701" t="s">
        <v>2474</v>
      </c>
      <c r="O1701" t="s">
        <v>2463</v>
      </c>
      <c r="P1701">
        <v>7.93</v>
      </c>
      <c r="Q1701">
        <v>14.78</v>
      </c>
      <c r="R1701">
        <v>79.3</v>
      </c>
      <c r="S1701">
        <v>45.980000000000011</v>
      </c>
      <c r="T1701">
        <v>0.35185185185185192</v>
      </c>
      <c r="U1701" s="1">
        <v>45689</v>
      </c>
      <c r="V1701" t="s">
        <v>2499</v>
      </c>
      <c r="W1701">
        <v>2025</v>
      </c>
    </row>
    <row r="1702" spans="1:23" x14ac:dyDescent="0.25">
      <c r="A1702" t="s">
        <v>1749</v>
      </c>
      <c r="B1702" s="1">
        <v>45883</v>
      </c>
      <c r="C1702" s="1">
        <v>45885</v>
      </c>
      <c r="D1702" t="s">
        <v>32</v>
      </c>
      <c r="E1702" t="s">
        <v>62</v>
      </c>
      <c r="F1702" t="s">
        <v>29</v>
      </c>
      <c r="G1702" t="s">
        <v>16</v>
      </c>
      <c r="H1702" t="s">
        <v>68</v>
      </c>
      <c r="I1702">
        <v>4</v>
      </c>
      <c r="J1702">
        <v>0</v>
      </c>
      <c r="K1702">
        <v>185.41</v>
      </c>
      <c r="L1702">
        <v>9.5</v>
      </c>
      <c r="M1702" t="s">
        <v>2466</v>
      </c>
      <c r="N1702" t="s">
        <v>2467</v>
      </c>
      <c r="O1702" t="s">
        <v>2468</v>
      </c>
      <c r="P1702">
        <v>25.33</v>
      </c>
      <c r="Q1702">
        <v>51.56</v>
      </c>
      <c r="R1702">
        <v>101.32</v>
      </c>
      <c r="S1702">
        <v>74.59</v>
      </c>
      <c r="T1702">
        <v>0.40229761070060949</v>
      </c>
      <c r="U1702" s="1">
        <v>45870</v>
      </c>
      <c r="V1702" t="s">
        <v>2499</v>
      </c>
      <c r="W1702">
        <v>2025</v>
      </c>
    </row>
    <row r="1703" spans="1:23" x14ac:dyDescent="0.25">
      <c r="A1703" t="s">
        <v>1750</v>
      </c>
      <c r="B1703" s="1">
        <v>45916</v>
      </c>
      <c r="C1703" s="1">
        <v>45918</v>
      </c>
      <c r="D1703" t="s">
        <v>13</v>
      </c>
      <c r="E1703" t="s">
        <v>36</v>
      </c>
      <c r="F1703" t="s">
        <v>15</v>
      </c>
      <c r="G1703" t="s">
        <v>26</v>
      </c>
      <c r="H1703" t="s">
        <v>21</v>
      </c>
      <c r="I1703">
        <v>4</v>
      </c>
      <c r="J1703">
        <v>0.15</v>
      </c>
      <c r="K1703">
        <v>431.49</v>
      </c>
      <c r="L1703">
        <v>13.7</v>
      </c>
      <c r="M1703" t="s">
        <v>2462</v>
      </c>
      <c r="N1703" t="s">
        <v>2458</v>
      </c>
      <c r="O1703" t="s">
        <v>2463</v>
      </c>
      <c r="P1703">
        <v>71.489999999999995</v>
      </c>
      <c r="Q1703">
        <v>112.88</v>
      </c>
      <c r="R1703">
        <v>285.95999999999998</v>
      </c>
      <c r="S1703">
        <v>131.83000000000004</v>
      </c>
      <c r="T1703">
        <v>0.3055227235857147</v>
      </c>
      <c r="U1703" s="1">
        <v>45901</v>
      </c>
      <c r="V1703" t="s">
        <v>2500</v>
      </c>
      <c r="W1703">
        <v>2025</v>
      </c>
    </row>
    <row r="1704" spans="1:23" x14ac:dyDescent="0.25">
      <c r="A1704" t="s">
        <v>1751</v>
      </c>
      <c r="B1704" s="1">
        <v>45490</v>
      </c>
      <c r="C1704" s="1">
        <v>45496</v>
      </c>
      <c r="D1704" t="s">
        <v>47</v>
      </c>
      <c r="E1704" t="s">
        <v>48</v>
      </c>
      <c r="F1704" t="s">
        <v>15</v>
      </c>
      <c r="G1704" t="s">
        <v>26</v>
      </c>
      <c r="H1704" t="s">
        <v>27</v>
      </c>
      <c r="I1704">
        <v>7</v>
      </c>
      <c r="J1704">
        <v>0</v>
      </c>
      <c r="K1704">
        <v>172.59</v>
      </c>
      <c r="L1704">
        <v>7.65</v>
      </c>
      <c r="M1704" t="s">
        <v>2478</v>
      </c>
      <c r="N1704" t="s">
        <v>2474</v>
      </c>
      <c r="O1704" t="s">
        <v>2463</v>
      </c>
      <c r="P1704">
        <v>16.760000000000002</v>
      </c>
      <c r="Q1704">
        <v>27.71</v>
      </c>
      <c r="R1704">
        <v>117.32000000000001</v>
      </c>
      <c r="S1704">
        <v>47.62</v>
      </c>
      <c r="T1704">
        <v>0.27591401587577497</v>
      </c>
      <c r="U1704" s="1">
        <v>45474</v>
      </c>
      <c r="V1704" t="s">
        <v>2499</v>
      </c>
      <c r="W1704">
        <v>2024</v>
      </c>
    </row>
    <row r="1705" spans="1:23" x14ac:dyDescent="0.25">
      <c r="A1705" t="s">
        <v>1752</v>
      </c>
      <c r="B1705" s="1">
        <v>45849</v>
      </c>
      <c r="C1705" s="1">
        <v>45855</v>
      </c>
      <c r="D1705" t="s">
        <v>47</v>
      </c>
      <c r="E1705" t="s">
        <v>50</v>
      </c>
      <c r="F1705" t="s">
        <v>25</v>
      </c>
      <c r="G1705" t="s">
        <v>20</v>
      </c>
      <c r="H1705" t="s">
        <v>63</v>
      </c>
      <c r="I1705">
        <v>9</v>
      </c>
      <c r="J1705">
        <v>0</v>
      </c>
      <c r="K1705">
        <v>102.31</v>
      </c>
      <c r="L1705">
        <v>5.13</v>
      </c>
      <c r="M1705" t="s">
        <v>2477</v>
      </c>
      <c r="N1705" t="s">
        <v>2474</v>
      </c>
      <c r="O1705" t="s">
        <v>2468</v>
      </c>
      <c r="P1705">
        <v>6.33</v>
      </c>
      <c r="Q1705">
        <v>12.16</v>
      </c>
      <c r="R1705">
        <v>56.97</v>
      </c>
      <c r="S1705">
        <v>40.21</v>
      </c>
      <c r="T1705">
        <v>0.39302121004789364</v>
      </c>
      <c r="U1705" s="1">
        <v>45839</v>
      </c>
      <c r="V1705" t="s">
        <v>2499</v>
      </c>
      <c r="W1705">
        <v>2025</v>
      </c>
    </row>
    <row r="1706" spans="1:23" x14ac:dyDescent="0.25">
      <c r="A1706" t="s">
        <v>1753</v>
      </c>
      <c r="B1706" s="1">
        <v>45701</v>
      </c>
      <c r="C1706" s="1">
        <v>45706</v>
      </c>
      <c r="D1706" t="s">
        <v>32</v>
      </c>
      <c r="E1706" t="s">
        <v>33</v>
      </c>
      <c r="F1706" t="s">
        <v>25</v>
      </c>
      <c r="G1706" t="s">
        <v>16</v>
      </c>
      <c r="H1706" t="s">
        <v>41</v>
      </c>
      <c r="I1706">
        <v>7</v>
      </c>
      <c r="J1706">
        <v>0</v>
      </c>
      <c r="K1706">
        <v>39.770000000000003</v>
      </c>
      <c r="L1706">
        <v>4.59</v>
      </c>
      <c r="M1706" t="s">
        <v>2479</v>
      </c>
      <c r="N1706" t="s">
        <v>2474</v>
      </c>
      <c r="O1706" t="s">
        <v>2459</v>
      </c>
      <c r="P1706">
        <v>3.3</v>
      </c>
      <c r="Q1706">
        <v>6.13</v>
      </c>
      <c r="R1706">
        <v>23.099999999999998</v>
      </c>
      <c r="S1706">
        <v>12.080000000000005</v>
      </c>
      <c r="T1706">
        <v>0.30374654262006551</v>
      </c>
      <c r="U1706" s="1">
        <v>45689</v>
      </c>
      <c r="V1706" t="s">
        <v>2499</v>
      </c>
      <c r="W1706">
        <v>2025</v>
      </c>
    </row>
    <row r="1707" spans="1:23" x14ac:dyDescent="0.25">
      <c r="A1707" t="s">
        <v>1754</v>
      </c>
      <c r="B1707" s="1">
        <v>45443</v>
      </c>
      <c r="C1707" s="1">
        <v>45444</v>
      </c>
      <c r="D1707" t="s">
        <v>47</v>
      </c>
      <c r="E1707" t="s">
        <v>48</v>
      </c>
      <c r="F1707" t="s">
        <v>15</v>
      </c>
      <c r="G1707" t="s">
        <v>16</v>
      </c>
      <c r="H1707" t="s">
        <v>17</v>
      </c>
      <c r="I1707">
        <v>1</v>
      </c>
      <c r="J1707">
        <v>0</v>
      </c>
      <c r="K1707">
        <v>132.47999999999999</v>
      </c>
      <c r="L1707">
        <v>3.45</v>
      </c>
      <c r="M1707" t="s">
        <v>2472</v>
      </c>
      <c r="N1707" t="s">
        <v>2467</v>
      </c>
      <c r="O1707" t="s">
        <v>2468</v>
      </c>
      <c r="P1707">
        <v>63.69</v>
      </c>
      <c r="Q1707">
        <v>125.5</v>
      </c>
      <c r="R1707">
        <v>63.69</v>
      </c>
      <c r="S1707">
        <v>65.339999999999989</v>
      </c>
      <c r="T1707">
        <v>0.49320652173913038</v>
      </c>
      <c r="U1707" s="1">
        <v>45413</v>
      </c>
      <c r="V1707" t="s">
        <v>2499</v>
      </c>
      <c r="W1707">
        <v>2024</v>
      </c>
    </row>
    <row r="1708" spans="1:23" x14ac:dyDescent="0.25">
      <c r="A1708" t="s">
        <v>1755</v>
      </c>
      <c r="B1708" s="1">
        <v>45846</v>
      </c>
      <c r="C1708" s="1">
        <v>45852</v>
      </c>
      <c r="D1708" t="s">
        <v>47</v>
      </c>
      <c r="E1708" t="s">
        <v>48</v>
      </c>
      <c r="F1708" t="s">
        <v>29</v>
      </c>
      <c r="G1708" t="s">
        <v>20</v>
      </c>
      <c r="H1708" t="s">
        <v>30</v>
      </c>
      <c r="I1708">
        <v>13</v>
      </c>
      <c r="J1708">
        <v>0</v>
      </c>
      <c r="K1708">
        <v>75.31</v>
      </c>
      <c r="L1708">
        <v>10.35</v>
      </c>
      <c r="M1708" t="s">
        <v>2473</v>
      </c>
      <c r="N1708" t="s">
        <v>2474</v>
      </c>
      <c r="O1708" t="s">
        <v>2463</v>
      </c>
      <c r="P1708">
        <v>3.62</v>
      </c>
      <c r="Q1708">
        <v>6.03</v>
      </c>
      <c r="R1708">
        <v>47.06</v>
      </c>
      <c r="S1708">
        <v>17.899999999999999</v>
      </c>
      <c r="T1708">
        <v>0.23768423848094539</v>
      </c>
      <c r="U1708" s="1">
        <v>45839</v>
      </c>
      <c r="V1708" t="s">
        <v>2499</v>
      </c>
      <c r="W1708">
        <v>2025</v>
      </c>
    </row>
    <row r="1709" spans="1:23" x14ac:dyDescent="0.25">
      <c r="A1709" t="s">
        <v>1756</v>
      </c>
      <c r="B1709" s="1">
        <v>45497</v>
      </c>
      <c r="C1709" s="1">
        <v>45498</v>
      </c>
      <c r="D1709" t="s">
        <v>32</v>
      </c>
      <c r="E1709" t="s">
        <v>45</v>
      </c>
      <c r="F1709" t="s">
        <v>25</v>
      </c>
      <c r="G1709" t="s">
        <v>26</v>
      </c>
      <c r="H1709" t="s">
        <v>41</v>
      </c>
      <c r="I1709">
        <v>14</v>
      </c>
      <c r="J1709">
        <v>0.2</v>
      </c>
      <c r="K1709">
        <v>64.36</v>
      </c>
      <c r="L1709">
        <v>6.48</v>
      </c>
      <c r="M1709" t="s">
        <v>2479</v>
      </c>
      <c r="N1709" t="s">
        <v>2474</v>
      </c>
      <c r="O1709" t="s">
        <v>2459</v>
      </c>
      <c r="P1709">
        <v>3.3</v>
      </c>
      <c r="Q1709">
        <v>6.13</v>
      </c>
      <c r="R1709">
        <v>46.199999999999996</v>
      </c>
      <c r="S1709">
        <v>11.680000000000003</v>
      </c>
      <c r="T1709">
        <v>0.18147917961466756</v>
      </c>
      <c r="U1709" s="1">
        <v>45474</v>
      </c>
      <c r="V1709" t="s">
        <v>2500</v>
      </c>
      <c r="W1709">
        <v>2024</v>
      </c>
    </row>
    <row r="1710" spans="1:23" x14ac:dyDescent="0.25">
      <c r="A1710" t="s">
        <v>1757</v>
      </c>
      <c r="B1710" s="1">
        <v>45599</v>
      </c>
      <c r="C1710" s="1">
        <v>45602</v>
      </c>
      <c r="D1710" t="s">
        <v>47</v>
      </c>
      <c r="E1710" t="s">
        <v>48</v>
      </c>
      <c r="F1710" t="s">
        <v>15</v>
      </c>
      <c r="G1710" t="s">
        <v>26</v>
      </c>
      <c r="H1710" t="s">
        <v>17</v>
      </c>
      <c r="I1710">
        <v>3</v>
      </c>
      <c r="J1710">
        <v>0</v>
      </c>
      <c r="K1710">
        <v>505.49</v>
      </c>
      <c r="L1710">
        <v>8.25</v>
      </c>
      <c r="M1710" t="s">
        <v>2472</v>
      </c>
      <c r="N1710" t="s">
        <v>2467</v>
      </c>
      <c r="O1710" t="s">
        <v>2468</v>
      </c>
      <c r="P1710">
        <v>63.69</v>
      </c>
      <c r="Q1710">
        <v>125.5</v>
      </c>
      <c r="R1710">
        <v>191.07</v>
      </c>
      <c r="S1710">
        <v>306.17</v>
      </c>
      <c r="T1710">
        <v>0.60568952897188866</v>
      </c>
      <c r="U1710" s="1">
        <v>45597</v>
      </c>
      <c r="V1710" t="s">
        <v>2499</v>
      </c>
      <c r="W1710">
        <v>2024</v>
      </c>
    </row>
    <row r="1711" spans="1:23" x14ac:dyDescent="0.25">
      <c r="A1711" t="s">
        <v>1758</v>
      </c>
      <c r="B1711" s="1">
        <v>45338</v>
      </c>
      <c r="C1711" s="1">
        <v>45339</v>
      </c>
      <c r="D1711" t="s">
        <v>23</v>
      </c>
      <c r="E1711" t="s">
        <v>24</v>
      </c>
      <c r="F1711" t="s">
        <v>29</v>
      </c>
      <c r="G1711" t="s">
        <v>16</v>
      </c>
      <c r="H1711" t="s">
        <v>68</v>
      </c>
      <c r="I1711">
        <v>1</v>
      </c>
      <c r="J1711">
        <v>0.25</v>
      </c>
      <c r="K1711">
        <v>36.85</v>
      </c>
      <c r="L1711">
        <v>3.45</v>
      </c>
      <c r="M1711" t="s">
        <v>2466</v>
      </c>
      <c r="N1711" t="s">
        <v>2467</v>
      </c>
      <c r="O1711" t="s">
        <v>2468</v>
      </c>
      <c r="P1711">
        <v>25.33</v>
      </c>
      <c r="Q1711">
        <v>51.56</v>
      </c>
      <c r="R1711">
        <v>25.33</v>
      </c>
      <c r="S1711">
        <v>8.0700000000000038</v>
      </c>
      <c r="T1711">
        <v>0.21899592944369073</v>
      </c>
      <c r="U1711" s="1">
        <v>45323</v>
      </c>
      <c r="V1711" t="s">
        <v>2501</v>
      </c>
      <c r="W1711">
        <v>2024</v>
      </c>
    </row>
    <row r="1712" spans="1:23" x14ac:dyDescent="0.25">
      <c r="A1712" t="s">
        <v>1759</v>
      </c>
      <c r="B1712" s="1">
        <v>45433</v>
      </c>
      <c r="C1712" s="1">
        <v>45435</v>
      </c>
      <c r="D1712" t="s">
        <v>32</v>
      </c>
      <c r="E1712" t="s">
        <v>33</v>
      </c>
      <c r="F1712" t="s">
        <v>29</v>
      </c>
      <c r="G1712" t="s">
        <v>20</v>
      </c>
      <c r="H1712" t="s">
        <v>53</v>
      </c>
      <c r="I1712">
        <v>3</v>
      </c>
      <c r="J1712">
        <v>0.2</v>
      </c>
      <c r="K1712">
        <v>130.24</v>
      </c>
      <c r="L1712">
        <v>4.95</v>
      </c>
      <c r="M1712" t="s">
        <v>2470</v>
      </c>
      <c r="N1712" t="s">
        <v>2467</v>
      </c>
      <c r="O1712" t="s">
        <v>2459</v>
      </c>
      <c r="P1712">
        <v>31.34</v>
      </c>
      <c r="Q1712">
        <v>56.49</v>
      </c>
      <c r="R1712">
        <v>94.02</v>
      </c>
      <c r="S1712">
        <v>31.270000000000014</v>
      </c>
      <c r="T1712">
        <v>0.24009520884520894</v>
      </c>
      <c r="U1712" s="1">
        <v>45413</v>
      </c>
      <c r="V1712" t="s">
        <v>2500</v>
      </c>
      <c r="W1712">
        <v>2024</v>
      </c>
    </row>
    <row r="1713" spans="1:23" x14ac:dyDescent="0.25">
      <c r="A1713" t="s">
        <v>1760</v>
      </c>
      <c r="B1713" s="1">
        <v>45961</v>
      </c>
      <c r="C1713" s="1">
        <v>45962</v>
      </c>
      <c r="D1713" t="s">
        <v>32</v>
      </c>
      <c r="E1713" t="s">
        <v>45</v>
      </c>
      <c r="F1713" t="s">
        <v>29</v>
      </c>
      <c r="G1713" t="s">
        <v>26</v>
      </c>
      <c r="H1713" t="s">
        <v>87</v>
      </c>
      <c r="I1713">
        <v>10</v>
      </c>
      <c r="J1713">
        <v>0</v>
      </c>
      <c r="K1713">
        <v>99.66</v>
      </c>
      <c r="L1713">
        <v>9</v>
      </c>
      <c r="M1713" t="s">
        <v>2476</v>
      </c>
      <c r="N1713" t="s">
        <v>2474</v>
      </c>
      <c r="O1713" t="s">
        <v>2459</v>
      </c>
      <c r="P1713">
        <v>4.5</v>
      </c>
      <c r="Q1713">
        <v>8.2899999999999991</v>
      </c>
      <c r="R1713">
        <v>45</v>
      </c>
      <c r="S1713">
        <v>45.66</v>
      </c>
      <c r="T1713">
        <v>0.45815773630343165</v>
      </c>
      <c r="U1713" s="1">
        <v>45931</v>
      </c>
      <c r="V1713" t="s">
        <v>2499</v>
      </c>
      <c r="W1713">
        <v>2025</v>
      </c>
    </row>
    <row r="1714" spans="1:23" x14ac:dyDescent="0.25">
      <c r="A1714" t="s">
        <v>1761</v>
      </c>
      <c r="B1714" s="1">
        <v>45341</v>
      </c>
      <c r="C1714" s="1">
        <v>45347</v>
      </c>
      <c r="D1714" t="s">
        <v>13</v>
      </c>
      <c r="E1714" t="s">
        <v>14</v>
      </c>
      <c r="F1714" t="s">
        <v>25</v>
      </c>
      <c r="G1714" t="s">
        <v>20</v>
      </c>
      <c r="H1714" t="s">
        <v>27</v>
      </c>
      <c r="I1714">
        <v>12</v>
      </c>
      <c r="J1714">
        <v>0</v>
      </c>
      <c r="K1714">
        <v>316.56</v>
      </c>
      <c r="L1714">
        <v>9.9</v>
      </c>
      <c r="M1714" t="s">
        <v>2478</v>
      </c>
      <c r="N1714" t="s">
        <v>2474</v>
      </c>
      <c r="O1714" t="s">
        <v>2463</v>
      </c>
      <c r="P1714">
        <v>16.760000000000002</v>
      </c>
      <c r="Q1714">
        <v>27.71</v>
      </c>
      <c r="R1714">
        <v>201.12</v>
      </c>
      <c r="S1714">
        <v>105.53999999999999</v>
      </c>
      <c r="T1714">
        <v>0.33339651250947683</v>
      </c>
      <c r="U1714" s="1">
        <v>45323</v>
      </c>
      <c r="V1714" t="s">
        <v>2499</v>
      </c>
      <c r="W1714">
        <v>2024</v>
      </c>
    </row>
    <row r="1715" spans="1:23" x14ac:dyDescent="0.25">
      <c r="A1715" t="s">
        <v>1762</v>
      </c>
      <c r="B1715" s="1">
        <v>45970</v>
      </c>
      <c r="C1715" s="1">
        <v>45971</v>
      </c>
      <c r="D1715" t="s">
        <v>13</v>
      </c>
      <c r="E1715" t="s">
        <v>14</v>
      </c>
      <c r="F1715" t="s">
        <v>15</v>
      </c>
      <c r="G1715" t="s">
        <v>16</v>
      </c>
      <c r="H1715" t="s">
        <v>63</v>
      </c>
      <c r="I1715">
        <v>12</v>
      </c>
      <c r="J1715">
        <v>0</v>
      </c>
      <c r="K1715">
        <v>187.67</v>
      </c>
      <c r="L1715">
        <v>9.9</v>
      </c>
      <c r="M1715" t="s">
        <v>2477</v>
      </c>
      <c r="N1715" t="s">
        <v>2474</v>
      </c>
      <c r="O1715" t="s">
        <v>2468</v>
      </c>
      <c r="P1715">
        <v>6.33</v>
      </c>
      <c r="Q1715">
        <v>12.16</v>
      </c>
      <c r="R1715">
        <v>75.960000000000008</v>
      </c>
      <c r="S1715">
        <v>101.80999999999997</v>
      </c>
      <c r="T1715">
        <v>0.54249480471039579</v>
      </c>
      <c r="U1715" s="1">
        <v>45962</v>
      </c>
      <c r="V1715" t="s">
        <v>2499</v>
      </c>
      <c r="W1715">
        <v>2025</v>
      </c>
    </row>
    <row r="1716" spans="1:23" x14ac:dyDescent="0.25">
      <c r="A1716" t="s">
        <v>1763</v>
      </c>
      <c r="B1716" s="1">
        <v>45641</v>
      </c>
      <c r="C1716" s="1">
        <v>45647</v>
      </c>
      <c r="D1716" t="s">
        <v>13</v>
      </c>
      <c r="E1716" t="s">
        <v>14</v>
      </c>
      <c r="F1716" t="s">
        <v>25</v>
      </c>
      <c r="G1716" t="s">
        <v>16</v>
      </c>
      <c r="H1716" t="s">
        <v>68</v>
      </c>
      <c r="I1716">
        <v>3</v>
      </c>
      <c r="J1716">
        <v>0</v>
      </c>
      <c r="K1716">
        <v>231.6</v>
      </c>
      <c r="L1716">
        <v>4.95</v>
      </c>
      <c r="M1716" t="s">
        <v>2466</v>
      </c>
      <c r="N1716" t="s">
        <v>2467</v>
      </c>
      <c r="O1716" t="s">
        <v>2468</v>
      </c>
      <c r="P1716">
        <v>25.33</v>
      </c>
      <c r="Q1716">
        <v>51.56</v>
      </c>
      <c r="R1716">
        <v>75.989999999999995</v>
      </c>
      <c r="S1716">
        <v>150.66000000000003</v>
      </c>
      <c r="T1716">
        <v>0.65051813471502606</v>
      </c>
      <c r="U1716" s="1">
        <v>45627</v>
      </c>
      <c r="V1716" t="s">
        <v>2499</v>
      </c>
      <c r="W1716">
        <v>2024</v>
      </c>
    </row>
    <row r="1717" spans="1:23" x14ac:dyDescent="0.25">
      <c r="A1717" t="s">
        <v>1764</v>
      </c>
      <c r="B1717" s="1">
        <v>45771</v>
      </c>
      <c r="C1717" s="1">
        <v>45776</v>
      </c>
      <c r="D1717" t="s">
        <v>47</v>
      </c>
      <c r="E1717" t="s">
        <v>50</v>
      </c>
      <c r="F1717" t="s">
        <v>15</v>
      </c>
      <c r="G1717" t="s">
        <v>16</v>
      </c>
      <c r="H1717" t="s">
        <v>87</v>
      </c>
      <c r="I1717">
        <v>9</v>
      </c>
      <c r="J1717">
        <v>0.15</v>
      </c>
      <c r="K1717">
        <v>64.91</v>
      </c>
      <c r="L1717">
        <v>5.13</v>
      </c>
      <c r="M1717" t="s">
        <v>2476</v>
      </c>
      <c r="N1717" t="s">
        <v>2474</v>
      </c>
      <c r="O1717" t="s">
        <v>2459</v>
      </c>
      <c r="P1717">
        <v>4.5</v>
      </c>
      <c r="Q1717">
        <v>8.2899999999999991</v>
      </c>
      <c r="R1717">
        <v>40.5</v>
      </c>
      <c r="S1717">
        <v>19.279999999999998</v>
      </c>
      <c r="T1717">
        <v>0.29702665228778308</v>
      </c>
      <c r="U1717" s="1">
        <v>45748</v>
      </c>
      <c r="V1717" t="s">
        <v>2500</v>
      </c>
      <c r="W1717">
        <v>2025</v>
      </c>
    </row>
    <row r="1718" spans="1:23" x14ac:dyDescent="0.25">
      <c r="A1718" t="s">
        <v>1765</v>
      </c>
      <c r="B1718" s="1">
        <v>45656</v>
      </c>
      <c r="C1718" s="1">
        <v>45659</v>
      </c>
      <c r="D1718" t="s">
        <v>13</v>
      </c>
      <c r="E1718" t="s">
        <v>14</v>
      </c>
      <c r="F1718" t="s">
        <v>15</v>
      </c>
      <c r="G1718" t="s">
        <v>26</v>
      </c>
      <c r="H1718" t="s">
        <v>87</v>
      </c>
      <c r="I1718">
        <v>20</v>
      </c>
      <c r="J1718">
        <v>0</v>
      </c>
      <c r="K1718">
        <v>233.91</v>
      </c>
      <c r="L1718">
        <v>8.1</v>
      </c>
      <c r="M1718" t="s">
        <v>2476</v>
      </c>
      <c r="N1718" t="s">
        <v>2474</v>
      </c>
      <c r="O1718" t="s">
        <v>2459</v>
      </c>
      <c r="P1718">
        <v>4.5</v>
      </c>
      <c r="Q1718">
        <v>8.2899999999999991</v>
      </c>
      <c r="R1718">
        <v>90</v>
      </c>
      <c r="S1718">
        <v>135.81</v>
      </c>
      <c r="T1718">
        <v>0.58060792612543288</v>
      </c>
      <c r="U1718" s="1">
        <v>45627</v>
      </c>
      <c r="V1718" t="s">
        <v>2499</v>
      </c>
      <c r="W1718">
        <v>2024</v>
      </c>
    </row>
    <row r="1719" spans="1:23" x14ac:dyDescent="0.25">
      <c r="A1719" t="s">
        <v>1766</v>
      </c>
      <c r="B1719" s="1">
        <v>45302</v>
      </c>
      <c r="C1719" s="1">
        <v>45306</v>
      </c>
      <c r="D1719" t="s">
        <v>32</v>
      </c>
      <c r="E1719" t="s">
        <v>33</v>
      </c>
      <c r="F1719" t="s">
        <v>29</v>
      </c>
      <c r="G1719" t="s">
        <v>20</v>
      </c>
      <c r="H1719" t="s">
        <v>37</v>
      </c>
      <c r="I1719">
        <v>3</v>
      </c>
      <c r="J1719">
        <v>0</v>
      </c>
      <c r="K1719">
        <v>290.23</v>
      </c>
      <c r="L1719">
        <v>6.84</v>
      </c>
      <c r="M1719" t="s">
        <v>2464</v>
      </c>
      <c r="N1719" t="s">
        <v>2458</v>
      </c>
      <c r="O1719" t="s">
        <v>2465</v>
      </c>
      <c r="P1719">
        <v>63.6</v>
      </c>
      <c r="Q1719">
        <v>107.94</v>
      </c>
      <c r="R1719">
        <v>190.8</v>
      </c>
      <c r="S1719">
        <v>92.59</v>
      </c>
      <c r="T1719">
        <v>0.31902284395134894</v>
      </c>
      <c r="U1719" s="1">
        <v>45292</v>
      </c>
      <c r="V1719" t="s">
        <v>2499</v>
      </c>
      <c r="W1719">
        <v>2024</v>
      </c>
    </row>
    <row r="1720" spans="1:23" x14ac:dyDescent="0.25">
      <c r="A1720" t="s">
        <v>1767</v>
      </c>
      <c r="B1720" s="1">
        <v>45566</v>
      </c>
      <c r="C1720" s="1">
        <v>45569</v>
      </c>
      <c r="D1720" t="s">
        <v>23</v>
      </c>
      <c r="E1720" t="s">
        <v>24</v>
      </c>
      <c r="F1720" t="s">
        <v>15</v>
      </c>
      <c r="G1720" t="s">
        <v>20</v>
      </c>
      <c r="H1720" t="s">
        <v>63</v>
      </c>
      <c r="I1720">
        <v>12</v>
      </c>
      <c r="J1720">
        <v>0.05</v>
      </c>
      <c r="K1720">
        <v>152.09</v>
      </c>
      <c r="L1720">
        <v>9.9</v>
      </c>
      <c r="M1720" t="s">
        <v>2477</v>
      </c>
      <c r="N1720" t="s">
        <v>2474</v>
      </c>
      <c r="O1720" t="s">
        <v>2468</v>
      </c>
      <c r="P1720">
        <v>6.33</v>
      </c>
      <c r="Q1720">
        <v>12.16</v>
      </c>
      <c r="R1720">
        <v>75.960000000000008</v>
      </c>
      <c r="S1720">
        <v>66.22999999999999</v>
      </c>
      <c r="T1720">
        <v>0.43546584259320131</v>
      </c>
      <c r="U1720" s="1">
        <v>45566</v>
      </c>
      <c r="V1720" t="s">
        <v>2498</v>
      </c>
      <c r="W1720">
        <v>2024</v>
      </c>
    </row>
    <row r="1721" spans="1:23" x14ac:dyDescent="0.25">
      <c r="A1721" t="s">
        <v>1768</v>
      </c>
      <c r="B1721" s="1">
        <v>45548</v>
      </c>
      <c r="C1721" s="1">
        <v>45552</v>
      </c>
      <c r="D1721" t="s">
        <v>13</v>
      </c>
      <c r="E1721" t="s">
        <v>36</v>
      </c>
      <c r="F1721" t="s">
        <v>29</v>
      </c>
      <c r="G1721" t="s">
        <v>26</v>
      </c>
      <c r="H1721" t="s">
        <v>65</v>
      </c>
      <c r="I1721">
        <v>1</v>
      </c>
      <c r="J1721">
        <v>0</v>
      </c>
      <c r="K1721">
        <v>314.68</v>
      </c>
      <c r="L1721">
        <v>6.8</v>
      </c>
      <c r="M1721" t="s">
        <v>2457</v>
      </c>
      <c r="N1721" t="s">
        <v>2458</v>
      </c>
      <c r="O1721" t="s">
        <v>2459</v>
      </c>
      <c r="P1721">
        <v>173.56</v>
      </c>
      <c r="Q1721">
        <v>286.14999999999998</v>
      </c>
      <c r="R1721">
        <v>173.56</v>
      </c>
      <c r="S1721">
        <v>134.32</v>
      </c>
      <c r="T1721">
        <v>0.42684632007118339</v>
      </c>
      <c r="U1721" s="1">
        <v>45536</v>
      </c>
      <c r="V1721" t="s">
        <v>2499</v>
      </c>
      <c r="W1721">
        <v>2024</v>
      </c>
    </row>
    <row r="1722" spans="1:23" x14ac:dyDescent="0.25">
      <c r="A1722" t="s">
        <v>1769</v>
      </c>
      <c r="B1722" s="1">
        <v>45515</v>
      </c>
      <c r="C1722" s="1">
        <v>45517</v>
      </c>
      <c r="D1722" t="s">
        <v>47</v>
      </c>
      <c r="E1722" t="s">
        <v>50</v>
      </c>
      <c r="F1722" t="s">
        <v>25</v>
      </c>
      <c r="G1722" t="s">
        <v>20</v>
      </c>
      <c r="H1722" t="s">
        <v>39</v>
      </c>
      <c r="I1722">
        <v>3</v>
      </c>
      <c r="J1722">
        <v>0</v>
      </c>
      <c r="K1722">
        <v>566.70000000000005</v>
      </c>
      <c r="L1722">
        <v>4.95</v>
      </c>
      <c r="M1722" t="s">
        <v>2471</v>
      </c>
      <c r="N1722" t="s">
        <v>2467</v>
      </c>
      <c r="O1722" t="s">
        <v>2461</v>
      </c>
      <c r="P1722">
        <v>112.09</v>
      </c>
      <c r="Q1722">
        <v>192.47</v>
      </c>
      <c r="R1722">
        <v>336.27</v>
      </c>
      <c r="S1722">
        <v>225.48000000000008</v>
      </c>
      <c r="T1722">
        <v>0.39788247750132355</v>
      </c>
      <c r="U1722" s="1">
        <v>45505</v>
      </c>
      <c r="V1722" t="s">
        <v>2499</v>
      </c>
      <c r="W1722">
        <v>2024</v>
      </c>
    </row>
    <row r="1723" spans="1:23" x14ac:dyDescent="0.25">
      <c r="A1723" t="s">
        <v>1770</v>
      </c>
      <c r="B1723" s="1">
        <v>45987</v>
      </c>
      <c r="C1723" s="1">
        <v>45992</v>
      </c>
      <c r="D1723" t="s">
        <v>47</v>
      </c>
      <c r="E1723" t="s">
        <v>50</v>
      </c>
      <c r="F1723" t="s">
        <v>25</v>
      </c>
      <c r="G1723" t="s">
        <v>26</v>
      </c>
      <c r="H1723" t="s">
        <v>30</v>
      </c>
      <c r="I1723">
        <v>11</v>
      </c>
      <c r="J1723">
        <v>0.25</v>
      </c>
      <c r="K1723">
        <v>69.73</v>
      </c>
      <c r="L1723">
        <v>5.67</v>
      </c>
      <c r="M1723" t="s">
        <v>2473</v>
      </c>
      <c r="N1723" t="s">
        <v>2474</v>
      </c>
      <c r="O1723" t="s">
        <v>2463</v>
      </c>
      <c r="P1723">
        <v>3.62</v>
      </c>
      <c r="Q1723">
        <v>6.03</v>
      </c>
      <c r="R1723">
        <v>39.82</v>
      </c>
      <c r="S1723">
        <v>24.240000000000002</v>
      </c>
      <c r="T1723">
        <v>0.34762655958697836</v>
      </c>
      <c r="U1723" s="1">
        <v>45962</v>
      </c>
      <c r="V1723" t="s">
        <v>2501</v>
      </c>
      <c r="W1723">
        <v>2025</v>
      </c>
    </row>
    <row r="1724" spans="1:23" x14ac:dyDescent="0.25">
      <c r="A1724" t="s">
        <v>1771</v>
      </c>
      <c r="B1724" s="1">
        <v>45479</v>
      </c>
      <c r="C1724" s="1">
        <v>45484</v>
      </c>
      <c r="D1724" t="s">
        <v>23</v>
      </c>
      <c r="E1724" t="s">
        <v>24</v>
      </c>
      <c r="F1724" t="s">
        <v>15</v>
      </c>
      <c r="G1724" t="s">
        <v>20</v>
      </c>
      <c r="H1724" t="s">
        <v>27</v>
      </c>
      <c r="I1724">
        <v>10</v>
      </c>
      <c r="J1724">
        <v>0</v>
      </c>
      <c r="K1724">
        <v>265.04000000000002</v>
      </c>
      <c r="L1724">
        <v>5.4</v>
      </c>
      <c r="M1724" t="s">
        <v>2478</v>
      </c>
      <c r="N1724" t="s">
        <v>2474</v>
      </c>
      <c r="O1724" t="s">
        <v>2463</v>
      </c>
      <c r="P1724">
        <v>16.760000000000002</v>
      </c>
      <c r="Q1724">
        <v>27.71</v>
      </c>
      <c r="R1724">
        <v>167.60000000000002</v>
      </c>
      <c r="S1724">
        <v>92.039999999999992</v>
      </c>
      <c r="T1724">
        <v>0.34726833685481429</v>
      </c>
      <c r="U1724" s="1">
        <v>45474</v>
      </c>
      <c r="V1724" t="s">
        <v>2499</v>
      </c>
      <c r="W1724">
        <v>2024</v>
      </c>
    </row>
    <row r="1725" spans="1:23" x14ac:dyDescent="0.25">
      <c r="A1725" t="s">
        <v>1772</v>
      </c>
      <c r="B1725" s="1">
        <v>45891</v>
      </c>
      <c r="C1725" s="1">
        <v>45896</v>
      </c>
      <c r="D1725" t="s">
        <v>13</v>
      </c>
      <c r="E1725" t="s">
        <v>36</v>
      </c>
      <c r="F1725" t="s">
        <v>15</v>
      </c>
      <c r="G1725" t="s">
        <v>20</v>
      </c>
      <c r="H1725" t="s">
        <v>63</v>
      </c>
      <c r="I1725">
        <v>25</v>
      </c>
      <c r="J1725">
        <v>0</v>
      </c>
      <c r="K1725">
        <v>272.45999999999998</v>
      </c>
      <c r="L1725">
        <v>15.75</v>
      </c>
      <c r="M1725" t="s">
        <v>2477</v>
      </c>
      <c r="N1725" t="s">
        <v>2474</v>
      </c>
      <c r="O1725" t="s">
        <v>2468</v>
      </c>
      <c r="P1725">
        <v>6.33</v>
      </c>
      <c r="Q1725">
        <v>12.16</v>
      </c>
      <c r="R1725">
        <v>158.25</v>
      </c>
      <c r="S1725">
        <v>98.45999999999998</v>
      </c>
      <c r="T1725">
        <v>0.36137414666373041</v>
      </c>
      <c r="U1725" s="1">
        <v>45870</v>
      </c>
      <c r="V1725" t="s">
        <v>2499</v>
      </c>
      <c r="W1725">
        <v>2025</v>
      </c>
    </row>
    <row r="1726" spans="1:23" x14ac:dyDescent="0.25">
      <c r="A1726" t="s">
        <v>1773</v>
      </c>
      <c r="B1726" s="1">
        <v>45465</v>
      </c>
      <c r="C1726" s="1">
        <v>45468</v>
      </c>
      <c r="D1726" t="s">
        <v>23</v>
      </c>
      <c r="E1726" t="s">
        <v>24</v>
      </c>
      <c r="F1726" t="s">
        <v>15</v>
      </c>
      <c r="G1726" t="s">
        <v>16</v>
      </c>
      <c r="H1726" t="s">
        <v>87</v>
      </c>
      <c r="I1726">
        <v>3</v>
      </c>
      <c r="J1726">
        <v>0</v>
      </c>
      <c r="K1726">
        <v>26.52</v>
      </c>
      <c r="L1726">
        <v>3.51</v>
      </c>
      <c r="M1726" t="s">
        <v>2476</v>
      </c>
      <c r="N1726" t="s">
        <v>2474</v>
      </c>
      <c r="O1726" t="s">
        <v>2459</v>
      </c>
      <c r="P1726">
        <v>4.5</v>
      </c>
      <c r="Q1726">
        <v>8.2899999999999991</v>
      </c>
      <c r="R1726">
        <v>13.5</v>
      </c>
      <c r="S1726">
        <v>9.51</v>
      </c>
      <c r="T1726">
        <v>0.35859728506787331</v>
      </c>
      <c r="U1726" s="1">
        <v>45444</v>
      </c>
      <c r="V1726" t="s">
        <v>2499</v>
      </c>
      <c r="W1726">
        <v>2024</v>
      </c>
    </row>
    <row r="1727" spans="1:23" x14ac:dyDescent="0.25">
      <c r="A1727" t="s">
        <v>1774</v>
      </c>
      <c r="B1727" s="1">
        <v>45783</v>
      </c>
      <c r="C1727" s="1">
        <v>45786</v>
      </c>
      <c r="D1727" t="s">
        <v>13</v>
      </c>
      <c r="E1727" t="s">
        <v>19</v>
      </c>
      <c r="F1727" t="s">
        <v>15</v>
      </c>
      <c r="G1727" t="s">
        <v>26</v>
      </c>
      <c r="H1727" t="s">
        <v>34</v>
      </c>
      <c r="I1727">
        <v>1</v>
      </c>
      <c r="J1727">
        <v>0</v>
      </c>
      <c r="K1727">
        <v>202.23</v>
      </c>
      <c r="L1727">
        <v>4.08</v>
      </c>
      <c r="M1727" t="s">
        <v>2460</v>
      </c>
      <c r="N1727" t="s">
        <v>2458</v>
      </c>
      <c r="O1727" t="s">
        <v>2461</v>
      </c>
      <c r="P1727">
        <v>119.02</v>
      </c>
      <c r="Q1727">
        <v>205.39</v>
      </c>
      <c r="R1727">
        <v>119.02</v>
      </c>
      <c r="S1727">
        <v>79.13</v>
      </c>
      <c r="T1727">
        <v>0.39128714829649408</v>
      </c>
      <c r="U1727" s="1">
        <v>45778</v>
      </c>
      <c r="V1727" t="s">
        <v>2499</v>
      </c>
      <c r="W1727">
        <v>2025</v>
      </c>
    </row>
    <row r="1728" spans="1:23" x14ac:dyDescent="0.25">
      <c r="A1728" t="s">
        <v>1775</v>
      </c>
      <c r="B1728" s="1">
        <v>45723</v>
      </c>
      <c r="C1728" s="1">
        <v>45729</v>
      </c>
      <c r="D1728" t="s">
        <v>13</v>
      </c>
      <c r="E1728" t="s">
        <v>19</v>
      </c>
      <c r="F1728" t="s">
        <v>15</v>
      </c>
      <c r="G1728" t="s">
        <v>16</v>
      </c>
      <c r="H1728" t="s">
        <v>68</v>
      </c>
      <c r="I1728">
        <v>2</v>
      </c>
      <c r="J1728">
        <v>0</v>
      </c>
      <c r="K1728">
        <v>92.79</v>
      </c>
      <c r="L1728">
        <v>4.2</v>
      </c>
      <c r="M1728" t="s">
        <v>2466</v>
      </c>
      <c r="N1728" t="s">
        <v>2467</v>
      </c>
      <c r="O1728" t="s">
        <v>2468</v>
      </c>
      <c r="P1728">
        <v>25.33</v>
      </c>
      <c r="Q1728">
        <v>51.56</v>
      </c>
      <c r="R1728">
        <v>50.66</v>
      </c>
      <c r="S1728">
        <v>37.930000000000007</v>
      </c>
      <c r="T1728">
        <v>0.40877249703631863</v>
      </c>
      <c r="U1728" s="1">
        <v>45717</v>
      </c>
      <c r="V1728" t="s">
        <v>2499</v>
      </c>
      <c r="W1728">
        <v>2025</v>
      </c>
    </row>
    <row r="1729" spans="1:23" x14ac:dyDescent="0.25">
      <c r="A1729" t="s">
        <v>1776</v>
      </c>
      <c r="B1729" s="1">
        <v>45367</v>
      </c>
      <c r="C1729" s="1">
        <v>45369</v>
      </c>
      <c r="D1729" t="s">
        <v>13</v>
      </c>
      <c r="E1729" t="s">
        <v>19</v>
      </c>
      <c r="F1729" t="s">
        <v>25</v>
      </c>
      <c r="G1729" t="s">
        <v>20</v>
      </c>
      <c r="H1729" t="s">
        <v>68</v>
      </c>
      <c r="I1729">
        <v>4</v>
      </c>
      <c r="J1729">
        <v>0</v>
      </c>
      <c r="K1729">
        <v>203.94</v>
      </c>
      <c r="L1729">
        <v>5.7</v>
      </c>
      <c r="M1729" t="s">
        <v>2466</v>
      </c>
      <c r="N1729" t="s">
        <v>2467</v>
      </c>
      <c r="O1729" t="s">
        <v>2468</v>
      </c>
      <c r="P1729">
        <v>25.33</v>
      </c>
      <c r="Q1729">
        <v>51.56</v>
      </c>
      <c r="R1729">
        <v>101.32</v>
      </c>
      <c r="S1729">
        <v>96.92</v>
      </c>
      <c r="T1729">
        <v>0.47523781504364032</v>
      </c>
      <c r="U1729" s="1">
        <v>45352</v>
      </c>
      <c r="V1729" t="s">
        <v>2499</v>
      </c>
      <c r="W1729">
        <v>2024</v>
      </c>
    </row>
    <row r="1730" spans="1:23" x14ac:dyDescent="0.25">
      <c r="A1730" t="s">
        <v>1777</v>
      </c>
      <c r="B1730" s="1">
        <v>45506</v>
      </c>
      <c r="C1730" s="1">
        <v>45512</v>
      </c>
      <c r="D1730" t="s">
        <v>13</v>
      </c>
      <c r="E1730" t="s">
        <v>36</v>
      </c>
      <c r="F1730" t="s">
        <v>29</v>
      </c>
      <c r="G1730" t="s">
        <v>20</v>
      </c>
      <c r="H1730" t="s">
        <v>60</v>
      </c>
      <c r="I1730">
        <v>4</v>
      </c>
      <c r="J1730">
        <v>0.1</v>
      </c>
      <c r="K1730">
        <v>379.5</v>
      </c>
      <c r="L1730">
        <v>9.5</v>
      </c>
      <c r="M1730" t="s">
        <v>2469</v>
      </c>
      <c r="N1730" t="s">
        <v>2467</v>
      </c>
      <c r="O1730" t="s">
        <v>2468</v>
      </c>
      <c r="P1730">
        <v>54.95</v>
      </c>
      <c r="Q1730">
        <v>112.56</v>
      </c>
      <c r="R1730">
        <v>219.8</v>
      </c>
      <c r="S1730">
        <v>150.19999999999999</v>
      </c>
      <c r="T1730">
        <v>0.39578392621870878</v>
      </c>
      <c r="U1730" s="1">
        <v>45505</v>
      </c>
      <c r="V1730" t="s">
        <v>2498</v>
      </c>
      <c r="W1730">
        <v>2024</v>
      </c>
    </row>
    <row r="1731" spans="1:23" x14ac:dyDescent="0.25">
      <c r="A1731" t="s">
        <v>1778</v>
      </c>
      <c r="B1731" s="1">
        <v>45909</v>
      </c>
      <c r="C1731" s="1">
        <v>45912</v>
      </c>
      <c r="D1731" t="s">
        <v>47</v>
      </c>
      <c r="E1731" t="s">
        <v>50</v>
      </c>
      <c r="F1731" t="s">
        <v>15</v>
      </c>
      <c r="G1731" t="s">
        <v>26</v>
      </c>
      <c r="H1731" t="s">
        <v>87</v>
      </c>
      <c r="I1731">
        <v>8</v>
      </c>
      <c r="J1731">
        <v>0.05</v>
      </c>
      <c r="K1731">
        <v>64.42</v>
      </c>
      <c r="L1731">
        <v>8.1</v>
      </c>
      <c r="M1731" t="s">
        <v>2476</v>
      </c>
      <c r="N1731" t="s">
        <v>2474</v>
      </c>
      <c r="O1731" t="s">
        <v>2459</v>
      </c>
      <c r="P1731">
        <v>4.5</v>
      </c>
      <c r="Q1731">
        <v>8.2899999999999991</v>
      </c>
      <c r="R1731">
        <v>36</v>
      </c>
      <c r="S1731">
        <v>20.32</v>
      </c>
      <c r="T1731">
        <v>0.31542999068612232</v>
      </c>
      <c r="U1731" s="1">
        <v>45901</v>
      </c>
      <c r="V1731" t="s">
        <v>2498</v>
      </c>
      <c r="W1731">
        <v>2025</v>
      </c>
    </row>
    <row r="1732" spans="1:23" x14ac:dyDescent="0.25">
      <c r="A1732" t="s">
        <v>1779</v>
      </c>
      <c r="B1732" s="1">
        <v>45677</v>
      </c>
      <c r="C1732" s="1">
        <v>45680</v>
      </c>
      <c r="D1732" t="s">
        <v>32</v>
      </c>
      <c r="E1732" t="s">
        <v>45</v>
      </c>
      <c r="F1732" t="s">
        <v>25</v>
      </c>
      <c r="G1732" t="s">
        <v>26</v>
      </c>
      <c r="H1732" t="s">
        <v>51</v>
      </c>
      <c r="I1732">
        <v>9</v>
      </c>
      <c r="J1732">
        <v>0.2</v>
      </c>
      <c r="K1732">
        <v>98.08</v>
      </c>
      <c r="L1732">
        <v>5.13</v>
      </c>
      <c r="M1732" t="s">
        <v>2475</v>
      </c>
      <c r="N1732" t="s">
        <v>2474</v>
      </c>
      <c r="O1732" t="s">
        <v>2463</v>
      </c>
      <c r="P1732">
        <v>7.93</v>
      </c>
      <c r="Q1732">
        <v>14.78</v>
      </c>
      <c r="R1732">
        <v>71.37</v>
      </c>
      <c r="S1732">
        <v>21.579999999999995</v>
      </c>
      <c r="T1732">
        <v>0.2200244698205546</v>
      </c>
      <c r="U1732" s="1">
        <v>45658</v>
      </c>
      <c r="V1732" t="s">
        <v>2500</v>
      </c>
      <c r="W1732">
        <v>2025</v>
      </c>
    </row>
    <row r="1733" spans="1:23" x14ac:dyDescent="0.25">
      <c r="A1733" t="s">
        <v>1780</v>
      </c>
      <c r="B1733" s="1">
        <v>45654</v>
      </c>
      <c r="C1733" s="1">
        <v>45657</v>
      </c>
      <c r="D1733" t="s">
        <v>23</v>
      </c>
      <c r="E1733" t="s">
        <v>24</v>
      </c>
      <c r="F1733" t="s">
        <v>15</v>
      </c>
      <c r="G1733" t="s">
        <v>26</v>
      </c>
      <c r="H1733" t="s">
        <v>30</v>
      </c>
      <c r="I1733">
        <v>23</v>
      </c>
      <c r="J1733">
        <v>0.2</v>
      </c>
      <c r="K1733">
        <v>167.84</v>
      </c>
      <c r="L1733">
        <v>14.85</v>
      </c>
      <c r="M1733" t="s">
        <v>2473</v>
      </c>
      <c r="N1733" t="s">
        <v>2474</v>
      </c>
      <c r="O1733" t="s">
        <v>2463</v>
      </c>
      <c r="P1733">
        <v>3.62</v>
      </c>
      <c r="Q1733">
        <v>6.03</v>
      </c>
      <c r="R1733">
        <v>83.26</v>
      </c>
      <c r="S1733">
        <v>69.73</v>
      </c>
      <c r="T1733">
        <v>0.41545519542421355</v>
      </c>
      <c r="U1733" s="1">
        <v>45627</v>
      </c>
      <c r="V1733" t="s">
        <v>2500</v>
      </c>
      <c r="W1733">
        <v>2024</v>
      </c>
    </row>
    <row r="1734" spans="1:23" x14ac:dyDescent="0.25">
      <c r="A1734" t="s">
        <v>1781</v>
      </c>
      <c r="B1734" s="1">
        <v>45472</v>
      </c>
      <c r="C1734" s="1">
        <v>45478</v>
      </c>
      <c r="D1734" t="s">
        <v>23</v>
      </c>
      <c r="E1734" t="s">
        <v>43</v>
      </c>
      <c r="F1734" t="s">
        <v>25</v>
      </c>
      <c r="G1734" t="s">
        <v>20</v>
      </c>
      <c r="H1734" t="s">
        <v>65</v>
      </c>
      <c r="I1734">
        <v>1</v>
      </c>
      <c r="J1734">
        <v>0.15</v>
      </c>
      <c r="K1734">
        <v>245.21</v>
      </c>
      <c r="L1734">
        <v>4.08</v>
      </c>
      <c r="M1734" t="s">
        <v>2457</v>
      </c>
      <c r="N1734" t="s">
        <v>2458</v>
      </c>
      <c r="O1734" t="s">
        <v>2459</v>
      </c>
      <c r="P1734">
        <v>173.56</v>
      </c>
      <c r="Q1734">
        <v>286.14999999999998</v>
      </c>
      <c r="R1734">
        <v>173.56</v>
      </c>
      <c r="S1734">
        <v>67.570000000000007</v>
      </c>
      <c r="T1734">
        <v>0.27555972431793158</v>
      </c>
      <c r="U1734" s="1">
        <v>45444</v>
      </c>
      <c r="V1734" t="s">
        <v>2500</v>
      </c>
      <c r="W1734">
        <v>2024</v>
      </c>
    </row>
    <row r="1735" spans="1:23" x14ac:dyDescent="0.25">
      <c r="A1735" t="s">
        <v>1782</v>
      </c>
      <c r="B1735" s="1">
        <v>45538</v>
      </c>
      <c r="C1735" s="1">
        <v>45541</v>
      </c>
      <c r="D1735" t="s">
        <v>23</v>
      </c>
      <c r="E1735" t="s">
        <v>24</v>
      </c>
      <c r="F1735" t="s">
        <v>25</v>
      </c>
      <c r="G1735" t="s">
        <v>26</v>
      </c>
      <c r="H1735" t="s">
        <v>37</v>
      </c>
      <c r="I1735">
        <v>2</v>
      </c>
      <c r="J1735">
        <v>0</v>
      </c>
      <c r="K1735">
        <v>221.63</v>
      </c>
      <c r="L1735">
        <v>5.46</v>
      </c>
      <c r="M1735" t="s">
        <v>2464</v>
      </c>
      <c r="N1735" t="s">
        <v>2458</v>
      </c>
      <c r="O1735" t="s">
        <v>2465</v>
      </c>
      <c r="P1735">
        <v>63.6</v>
      </c>
      <c r="Q1735">
        <v>107.94</v>
      </c>
      <c r="R1735">
        <v>127.2</v>
      </c>
      <c r="S1735">
        <v>88.97</v>
      </c>
      <c r="T1735">
        <v>0.40143482380544149</v>
      </c>
      <c r="U1735" s="1">
        <v>45536</v>
      </c>
      <c r="V1735" t="s">
        <v>2499</v>
      </c>
      <c r="W1735">
        <v>2024</v>
      </c>
    </row>
    <row r="1736" spans="1:23" x14ac:dyDescent="0.25">
      <c r="A1736" t="s">
        <v>1783</v>
      </c>
      <c r="B1736" s="1">
        <v>45791</v>
      </c>
      <c r="C1736" s="1">
        <v>45794</v>
      </c>
      <c r="D1736" t="s">
        <v>32</v>
      </c>
      <c r="E1736" t="s">
        <v>62</v>
      </c>
      <c r="F1736" t="s">
        <v>25</v>
      </c>
      <c r="G1736" t="s">
        <v>26</v>
      </c>
      <c r="H1736" t="s">
        <v>63</v>
      </c>
      <c r="I1736">
        <v>11</v>
      </c>
      <c r="J1736">
        <v>0</v>
      </c>
      <c r="K1736">
        <v>137.22</v>
      </c>
      <c r="L1736">
        <v>5.67</v>
      </c>
      <c r="M1736" t="s">
        <v>2477</v>
      </c>
      <c r="N1736" t="s">
        <v>2474</v>
      </c>
      <c r="O1736" t="s">
        <v>2468</v>
      </c>
      <c r="P1736">
        <v>6.33</v>
      </c>
      <c r="Q1736">
        <v>12.16</v>
      </c>
      <c r="R1736">
        <v>69.63</v>
      </c>
      <c r="S1736">
        <v>61.92</v>
      </c>
      <c r="T1736">
        <v>0.45124617402710976</v>
      </c>
      <c r="U1736" s="1">
        <v>45778</v>
      </c>
      <c r="V1736" t="s">
        <v>2499</v>
      </c>
      <c r="W1736">
        <v>2025</v>
      </c>
    </row>
    <row r="1737" spans="1:23" x14ac:dyDescent="0.25">
      <c r="A1737" t="s">
        <v>1784</v>
      </c>
      <c r="B1737" s="1">
        <v>45592</v>
      </c>
      <c r="C1737" s="1">
        <v>45594</v>
      </c>
      <c r="D1737" t="s">
        <v>23</v>
      </c>
      <c r="E1737" t="s">
        <v>24</v>
      </c>
      <c r="F1737" t="s">
        <v>15</v>
      </c>
      <c r="G1737" t="s">
        <v>16</v>
      </c>
      <c r="H1737" t="s">
        <v>17</v>
      </c>
      <c r="I1737">
        <v>3</v>
      </c>
      <c r="J1737">
        <v>0.15</v>
      </c>
      <c r="K1737">
        <v>388.55</v>
      </c>
      <c r="L1737">
        <v>4.95</v>
      </c>
      <c r="M1737" t="s">
        <v>2472</v>
      </c>
      <c r="N1737" t="s">
        <v>2467</v>
      </c>
      <c r="O1737" t="s">
        <v>2468</v>
      </c>
      <c r="P1737">
        <v>63.69</v>
      </c>
      <c r="Q1737">
        <v>125.5</v>
      </c>
      <c r="R1737">
        <v>191.07</v>
      </c>
      <c r="S1737">
        <v>192.53000000000003</v>
      </c>
      <c r="T1737">
        <v>0.49550894350791408</v>
      </c>
      <c r="U1737" s="1">
        <v>45566</v>
      </c>
      <c r="V1737" t="s">
        <v>2500</v>
      </c>
      <c r="W1737">
        <v>2024</v>
      </c>
    </row>
    <row r="1738" spans="1:23" x14ac:dyDescent="0.25">
      <c r="A1738" t="s">
        <v>1785</v>
      </c>
      <c r="B1738" s="1">
        <v>45629</v>
      </c>
      <c r="C1738" s="1">
        <v>45633</v>
      </c>
      <c r="D1738" t="s">
        <v>23</v>
      </c>
      <c r="E1738" t="s">
        <v>43</v>
      </c>
      <c r="F1738" t="s">
        <v>15</v>
      </c>
      <c r="G1738" t="s">
        <v>16</v>
      </c>
      <c r="H1738" t="s">
        <v>17</v>
      </c>
      <c r="I1738">
        <v>4</v>
      </c>
      <c r="J1738">
        <v>0.1</v>
      </c>
      <c r="K1738">
        <v>647.21</v>
      </c>
      <c r="L1738">
        <v>5.7</v>
      </c>
      <c r="M1738" t="s">
        <v>2472</v>
      </c>
      <c r="N1738" t="s">
        <v>2467</v>
      </c>
      <c r="O1738" t="s">
        <v>2468</v>
      </c>
      <c r="P1738">
        <v>63.69</v>
      </c>
      <c r="Q1738">
        <v>125.5</v>
      </c>
      <c r="R1738">
        <v>254.76</v>
      </c>
      <c r="S1738">
        <v>386.75000000000006</v>
      </c>
      <c r="T1738">
        <v>0.59756493255666632</v>
      </c>
      <c r="U1738" s="1">
        <v>45627</v>
      </c>
      <c r="V1738" t="s">
        <v>2498</v>
      </c>
      <c r="W1738">
        <v>2024</v>
      </c>
    </row>
    <row r="1739" spans="1:23" x14ac:dyDescent="0.25">
      <c r="A1739" t="s">
        <v>1786</v>
      </c>
      <c r="B1739" s="1">
        <v>45672</v>
      </c>
      <c r="C1739" s="1">
        <v>45678</v>
      </c>
      <c r="D1739" t="s">
        <v>32</v>
      </c>
      <c r="E1739" t="s">
        <v>62</v>
      </c>
      <c r="F1739" t="s">
        <v>25</v>
      </c>
      <c r="G1739" t="s">
        <v>16</v>
      </c>
      <c r="H1739" t="s">
        <v>68</v>
      </c>
      <c r="I1739">
        <v>3</v>
      </c>
      <c r="J1739">
        <v>0.1</v>
      </c>
      <c r="K1739">
        <v>129.77000000000001</v>
      </c>
      <c r="L1739">
        <v>8.25</v>
      </c>
      <c r="M1739" t="s">
        <v>2466</v>
      </c>
      <c r="N1739" t="s">
        <v>2467</v>
      </c>
      <c r="O1739" t="s">
        <v>2468</v>
      </c>
      <c r="P1739">
        <v>25.33</v>
      </c>
      <c r="Q1739">
        <v>51.56</v>
      </c>
      <c r="R1739">
        <v>75.989999999999995</v>
      </c>
      <c r="S1739">
        <v>45.530000000000015</v>
      </c>
      <c r="T1739">
        <v>0.35085150651152047</v>
      </c>
      <c r="U1739" s="1">
        <v>45658</v>
      </c>
      <c r="V1739" t="s">
        <v>2498</v>
      </c>
      <c r="W1739">
        <v>2025</v>
      </c>
    </row>
    <row r="1740" spans="1:23" x14ac:dyDescent="0.25">
      <c r="A1740" t="s">
        <v>1787</v>
      </c>
      <c r="B1740" s="1">
        <v>45808</v>
      </c>
      <c r="C1740" s="1">
        <v>45813</v>
      </c>
      <c r="D1740" t="s">
        <v>13</v>
      </c>
      <c r="E1740" t="s">
        <v>36</v>
      </c>
      <c r="F1740" t="s">
        <v>29</v>
      </c>
      <c r="G1740" t="s">
        <v>20</v>
      </c>
      <c r="H1740" t="s">
        <v>63</v>
      </c>
      <c r="I1740">
        <v>11</v>
      </c>
      <c r="J1740">
        <v>0.25</v>
      </c>
      <c r="K1740">
        <v>107.33</v>
      </c>
      <c r="L1740">
        <v>5.67</v>
      </c>
      <c r="M1740" t="s">
        <v>2477</v>
      </c>
      <c r="N1740" t="s">
        <v>2474</v>
      </c>
      <c r="O1740" t="s">
        <v>2468</v>
      </c>
      <c r="P1740">
        <v>6.33</v>
      </c>
      <c r="Q1740">
        <v>12.16</v>
      </c>
      <c r="R1740">
        <v>69.63</v>
      </c>
      <c r="S1740">
        <v>32.03</v>
      </c>
      <c r="T1740">
        <v>0.29842541693841423</v>
      </c>
      <c r="U1740" s="1">
        <v>45778</v>
      </c>
      <c r="V1740" t="s">
        <v>2501</v>
      </c>
      <c r="W1740">
        <v>2025</v>
      </c>
    </row>
    <row r="1741" spans="1:23" x14ac:dyDescent="0.25">
      <c r="A1741" t="s">
        <v>1788</v>
      </c>
      <c r="B1741" s="1">
        <v>45425</v>
      </c>
      <c r="C1741" s="1">
        <v>45430</v>
      </c>
      <c r="D1741" t="s">
        <v>47</v>
      </c>
      <c r="E1741" t="s">
        <v>71</v>
      </c>
      <c r="F1741" t="s">
        <v>29</v>
      </c>
      <c r="G1741" t="s">
        <v>16</v>
      </c>
      <c r="H1741" t="s">
        <v>17</v>
      </c>
      <c r="I1741">
        <v>4</v>
      </c>
      <c r="J1741">
        <v>0</v>
      </c>
      <c r="K1741">
        <v>511.44</v>
      </c>
      <c r="L1741">
        <v>5.7</v>
      </c>
      <c r="M1741" t="s">
        <v>2472</v>
      </c>
      <c r="N1741" t="s">
        <v>2467</v>
      </c>
      <c r="O1741" t="s">
        <v>2468</v>
      </c>
      <c r="P1741">
        <v>63.69</v>
      </c>
      <c r="Q1741">
        <v>125.5</v>
      </c>
      <c r="R1741">
        <v>254.76</v>
      </c>
      <c r="S1741">
        <v>250.98000000000002</v>
      </c>
      <c r="T1741">
        <v>0.49073205068043174</v>
      </c>
      <c r="U1741" s="1">
        <v>45413</v>
      </c>
      <c r="V1741" t="s">
        <v>2499</v>
      </c>
      <c r="W1741">
        <v>2024</v>
      </c>
    </row>
    <row r="1742" spans="1:23" x14ac:dyDescent="0.25">
      <c r="A1742" t="s">
        <v>1789</v>
      </c>
      <c r="B1742" s="1">
        <v>45974</v>
      </c>
      <c r="C1742" s="1">
        <v>45978</v>
      </c>
      <c r="D1742" t="s">
        <v>13</v>
      </c>
      <c r="E1742" t="s">
        <v>19</v>
      </c>
      <c r="F1742" t="s">
        <v>25</v>
      </c>
      <c r="G1742" t="s">
        <v>16</v>
      </c>
      <c r="H1742" t="s">
        <v>27</v>
      </c>
      <c r="I1742">
        <v>7</v>
      </c>
      <c r="J1742">
        <v>0</v>
      </c>
      <c r="K1742">
        <v>249.13</v>
      </c>
      <c r="L1742">
        <v>4.59</v>
      </c>
      <c r="M1742" t="s">
        <v>2478</v>
      </c>
      <c r="N1742" t="s">
        <v>2474</v>
      </c>
      <c r="O1742" t="s">
        <v>2463</v>
      </c>
      <c r="P1742">
        <v>16.760000000000002</v>
      </c>
      <c r="Q1742">
        <v>27.71</v>
      </c>
      <c r="R1742">
        <v>117.32000000000001</v>
      </c>
      <c r="S1742">
        <v>127.22</v>
      </c>
      <c r="T1742">
        <v>0.51065708666158227</v>
      </c>
      <c r="U1742" s="1">
        <v>45962</v>
      </c>
      <c r="V1742" t="s">
        <v>2499</v>
      </c>
      <c r="W1742">
        <v>2025</v>
      </c>
    </row>
    <row r="1743" spans="1:23" x14ac:dyDescent="0.25">
      <c r="A1743" t="s">
        <v>1790</v>
      </c>
      <c r="B1743" s="1">
        <v>45330</v>
      </c>
      <c r="C1743" s="1">
        <v>45333</v>
      </c>
      <c r="D1743" t="s">
        <v>32</v>
      </c>
      <c r="E1743" t="s">
        <v>45</v>
      </c>
      <c r="F1743" t="s">
        <v>29</v>
      </c>
      <c r="G1743" t="s">
        <v>20</v>
      </c>
      <c r="H1743" t="s">
        <v>21</v>
      </c>
      <c r="I1743">
        <v>3</v>
      </c>
      <c r="J1743">
        <v>0.2</v>
      </c>
      <c r="K1743">
        <v>235.36</v>
      </c>
      <c r="L1743">
        <v>11.4</v>
      </c>
      <c r="M1743" t="s">
        <v>2462</v>
      </c>
      <c r="N1743" t="s">
        <v>2458</v>
      </c>
      <c r="O1743" t="s">
        <v>2463</v>
      </c>
      <c r="P1743">
        <v>71.489999999999995</v>
      </c>
      <c r="Q1743">
        <v>112.88</v>
      </c>
      <c r="R1743">
        <v>214.46999999999997</v>
      </c>
      <c r="S1743">
        <v>9.4900000000000428</v>
      </c>
      <c r="T1743">
        <v>4.0321210061183048E-2</v>
      </c>
      <c r="U1743" s="1">
        <v>45323</v>
      </c>
      <c r="V1743" t="s">
        <v>2500</v>
      </c>
      <c r="W1743">
        <v>2024</v>
      </c>
    </row>
    <row r="1744" spans="1:23" x14ac:dyDescent="0.25">
      <c r="A1744" t="s">
        <v>1791</v>
      </c>
      <c r="B1744" s="1">
        <v>45944</v>
      </c>
      <c r="C1744" s="1">
        <v>45948</v>
      </c>
      <c r="D1744" t="s">
        <v>47</v>
      </c>
      <c r="E1744" t="s">
        <v>48</v>
      </c>
      <c r="F1744" t="s">
        <v>29</v>
      </c>
      <c r="G1744" t="s">
        <v>26</v>
      </c>
      <c r="H1744" t="s">
        <v>27</v>
      </c>
      <c r="I1744">
        <v>12</v>
      </c>
      <c r="J1744">
        <v>0.2</v>
      </c>
      <c r="K1744">
        <v>300.48</v>
      </c>
      <c r="L1744">
        <v>9.9</v>
      </c>
      <c r="M1744" t="s">
        <v>2478</v>
      </c>
      <c r="N1744" t="s">
        <v>2474</v>
      </c>
      <c r="O1744" t="s">
        <v>2463</v>
      </c>
      <c r="P1744">
        <v>16.760000000000002</v>
      </c>
      <c r="Q1744">
        <v>27.71</v>
      </c>
      <c r="R1744">
        <v>201.12</v>
      </c>
      <c r="S1744">
        <v>89.460000000000008</v>
      </c>
      <c r="T1744">
        <v>0.29772364217252395</v>
      </c>
      <c r="U1744" s="1">
        <v>45931</v>
      </c>
      <c r="V1744" t="s">
        <v>2500</v>
      </c>
      <c r="W1744">
        <v>2025</v>
      </c>
    </row>
    <row r="1745" spans="1:23" x14ac:dyDescent="0.25">
      <c r="A1745" t="s">
        <v>1792</v>
      </c>
      <c r="B1745" s="1">
        <v>45967</v>
      </c>
      <c r="C1745" s="1">
        <v>45968</v>
      </c>
      <c r="D1745" t="s">
        <v>23</v>
      </c>
      <c r="E1745" t="s">
        <v>24</v>
      </c>
      <c r="F1745" t="s">
        <v>29</v>
      </c>
      <c r="G1745" t="s">
        <v>16</v>
      </c>
      <c r="H1745" t="s">
        <v>30</v>
      </c>
      <c r="I1745">
        <v>5</v>
      </c>
      <c r="J1745">
        <v>0.15</v>
      </c>
      <c r="K1745">
        <v>35.65</v>
      </c>
      <c r="L1745">
        <v>4.05</v>
      </c>
      <c r="M1745" t="s">
        <v>2473</v>
      </c>
      <c r="N1745" t="s">
        <v>2474</v>
      </c>
      <c r="O1745" t="s">
        <v>2463</v>
      </c>
      <c r="P1745">
        <v>3.62</v>
      </c>
      <c r="Q1745">
        <v>6.03</v>
      </c>
      <c r="R1745">
        <v>18.100000000000001</v>
      </c>
      <c r="S1745">
        <v>13.499999999999996</v>
      </c>
      <c r="T1745">
        <v>0.37868162692847118</v>
      </c>
      <c r="U1745" s="1">
        <v>45962</v>
      </c>
      <c r="V1745" t="s">
        <v>2500</v>
      </c>
      <c r="W1745">
        <v>2025</v>
      </c>
    </row>
    <row r="1746" spans="1:23" x14ac:dyDescent="0.25">
      <c r="A1746" t="s">
        <v>1793</v>
      </c>
      <c r="B1746" s="1">
        <v>45416</v>
      </c>
      <c r="C1746" s="1">
        <v>45419</v>
      </c>
      <c r="D1746" t="s">
        <v>32</v>
      </c>
      <c r="E1746" t="s">
        <v>45</v>
      </c>
      <c r="F1746" t="s">
        <v>15</v>
      </c>
      <c r="G1746" t="s">
        <v>26</v>
      </c>
      <c r="H1746" t="s">
        <v>41</v>
      </c>
      <c r="I1746">
        <v>6</v>
      </c>
      <c r="J1746">
        <v>0.1</v>
      </c>
      <c r="K1746">
        <v>34.86</v>
      </c>
      <c r="L1746">
        <v>7.2</v>
      </c>
      <c r="M1746" t="s">
        <v>2479</v>
      </c>
      <c r="N1746" t="s">
        <v>2474</v>
      </c>
      <c r="O1746" t="s">
        <v>2459</v>
      </c>
      <c r="P1746">
        <v>3.3</v>
      </c>
      <c r="Q1746">
        <v>6.13</v>
      </c>
      <c r="R1746">
        <v>19.799999999999997</v>
      </c>
      <c r="S1746">
        <v>7.8600000000000021</v>
      </c>
      <c r="T1746">
        <v>0.2254733218588641</v>
      </c>
      <c r="U1746" s="1">
        <v>45413</v>
      </c>
      <c r="V1746" t="s">
        <v>2498</v>
      </c>
      <c r="W1746">
        <v>2024</v>
      </c>
    </row>
    <row r="1747" spans="1:23" x14ac:dyDescent="0.25">
      <c r="A1747" t="s">
        <v>1794</v>
      </c>
      <c r="B1747" s="1">
        <v>45527</v>
      </c>
      <c r="C1747" s="1">
        <v>45532</v>
      </c>
      <c r="D1747" t="s">
        <v>47</v>
      </c>
      <c r="E1747" t="s">
        <v>71</v>
      </c>
      <c r="F1747" t="s">
        <v>25</v>
      </c>
      <c r="G1747" t="s">
        <v>26</v>
      </c>
      <c r="H1747" t="s">
        <v>27</v>
      </c>
      <c r="I1747">
        <v>14</v>
      </c>
      <c r="J1747">
        <v>0</v>
      </c>
      <c r="K1747">
        <v>350.97</v>
      </c>
      <c r="L1747">
        <v>10.8</v>
      </c>
      <c r="M1747" t="s">
        <v>2478</v>
      </c>
      <c r="N1747" t="s">
        <v>2474</v>
      </c>
      <c r="O1747" t="s">
        <v>2463</v>
      </c>
      <c r="P1747">
        <v>16.760000000000002</v>
      </c>
      <c r="Q1747">
        <v>27.71</v>
      </c>
      <c r="R1747">
        <v>234.64000000000001</v>
      </c>
      <c r="S1747">
        <v>105.53000000000002</v>
      </c>
      <c r="T1747">
        <v>0.30068096988346582</v>
      </c>
      <c r="U1747" s="1">
        <v>45505</v>
      </c>
      <c r="V1747" t="s">
        <v>2499</v>
      </c>
      <c r="W1747">
        <v>2024</v>
      </c>
    </row>
    <row r="1748" spans="1:23" x14ac:dyDescent="0.25">
      <c r="A1748" t="s">
        <v>1795</v>
      </c>
      <c r="B1748" s="1">
        <v>45990</v>
      </c>
      <c r="C1748" s="1">
        <v>45993</v>
      </c>
      <c r="D1748" t="s">
        <v>23</v>
      </c>
      <c r="E1748" t="s">
        <v>43</v>
      </c>
      <c r="F1748" t="s">
        <v>29</v>
      </c>
      <c r="G1748" t="s">
        <v>20</v>
      </c>
      <c r="H1748" t="s">
        <v>65</v>
      </c>
      <c r="I1748">
        <v>3</v>
      </c>
      <c r="J1748">
        <v>0.25</v>
      </c>
      <c r="K1748">
        <v>854.49</v>
      </c>
      <c r="L1748">
        <v>6.84</v>
      </c>
      <c r="M1748" t="s">
        <v>2457</v>
      </c>
      <c r="N1748" t="s">
        <v>2458</v>
      </c>
      <c r="O1748" t="s">
        <v>2459</v>
      </c>
      <c r="P1748">
        <v>173.56</v>
      </c>
      <c r="Q1748">
        <v>286.14999999999998</v>
      </c>
      <c r="R1748">
        <v>520.68000000000006</v>
      </c>
      <c r="S1748">
        <v>326.96999999999997</v>
      </c>
      <c r="T1748">
        <v>0.38264929958220689</v>
      </c>
      <c r="U1748" s="1">
        <v>45962</v>
      </c>
      <c r="V1748" t="s">
        <v>2501</v>
      </c>
      <c r="W1748">
        <v>2025</v>
      </c>
    </row>
    <row r="1749" spans="1:23" x14ac:dyDescent="0.25">
      <c r="A1749" t="s">
        <v>1796</v>
      </c>
      <c r="B1749" s="1">
        <v>45349</v>
      </c>
      <c r="C1749" s="1">
        <v>45350</v>
      </c>
      <c r="D1749" t="s">
        <v>32</v>
      </c>
      <c r="E1749" t="s">
        <v>62</v>
      </c>
      <c r="F1749" t="s">
        <v>15</v>
      </c>
      <c r="G1749" t="s">
        <v>16</v>
      </c>
      <c r="H1749" t="s">
        <v>51</v>
      </c>
      <c r="I1749">
        <v>16</v>
      </c>
      <c r="J1749">
        <v>0.2</v>
      </c>
      <c r="K1749">
        <v>179.97</v>
      </c>
      <c r="L1749">
        <v>11.7</v>
      </c>
      <c r="M1749" t="s">
        <v>2475</v>
      </c>
      <c r="N1749" t="s">
        <v>2474</v>
      </c>
      <c r="O1749" t="s">
        <v>2463</v>
      </c>
      <c r="P1749">
        <v>7.93</v>
      </c>
      <c r="Q1749">
        <v>14.78</v>
      </c>
      <c r="R1749">
        <v>126.88</v>
      </c>
      <c r="S1749">
        <v>41.39</v>
      </c>
      <c r="T1749">
        <v>0.22998277490692895</v>
      </c>
      <c r="U1749" s="1">
        <v>45323</v>
      </c>
      <c r="V1749" t="s">
        <v>2500</v>
      </c>
      <c r="W1749">
        <v>2024</v>
      </c>
    </row>
    <row r="1750" spans="1:23" x14ac:dyDescent="0.25">
      <c r="A1750" t="s">
        <v>1797</v>
      </c>
      <c r="B1750" s="1">
        <v>45708</v>
      </c>
      <c r="C1750" s="1">
        <v>45712</v>
      </c>
      <c r="D1750" t="s">
        <v>32</v>
      </c>
      <c r="E1750" t="s">
        <v>62</v>
      </c>
      <c r="F1750" t="s">
        <v>15</v>
      </c>
      <c r="G1750" t="s">
        <v>20</v>
      </c>
      <c r="H1750" t="s">
        <v>51</v>
      </c>
      <c r="I1750">
        <v>12</v>
      </c>
      <c r="J1750">
        <v>0.05</v>
      </c>
      <c r="K1750">
        <v>160.66</v>
      </c>
      <c r="L1750">
        <v>9.9</v>
      </c>
      <c r="M1750" t="s">
        <v>2475</v>
      </c>
      <c r="N1750" t="s">
        <v>2474</v>
      </c>
      <c r="O1750" t="s">
        <v>2463</v>
      </c>
      <c r="P1750">
        <v>7.93</v>
      </c>
      <c r="Q1750">
        <v>14.78</v>
      </c>
      <c r="R1750">
        <v>95.16</v>
      </c>
      <c r="S1750">
        <v>55.6</v>
      </c>
      <c r="T1750">
        <v>0.34607245113905144</v>
      </c>
      <c r="U1750" s="1">
        <v>45689</v>
      </c>
      <c r="V1750" t="s">
        <v>2498</v>
      </c>
      <c r="W1750">
        <v>2025</v>
      </c>
    </row>
    <row r="1751" spans="1:23" x14ac:dyDescent="0.25">
      <c r="A1751" t="s">
        <v>1798</v>
      </c>
      <c r="B1751" s="1">
        <v>45847</v>
      </c>
      <c r="C1751" s="1">
        <v>45848</v>
      </c>
      <c r="D1751" t="s">
        <v>47</v>
      </c>
      <c r="E1751" t="s">
        <v>50</v>
      </c>
      <c r="F1751" t="s">
        <v>15</v>
      </c>
      <c r="G1751" t="s">
        <v>20</v>
      </c>
      <c r="H1751" t="s">
        <v>51</v>
      </c>
      <c r="I1751">
        <v>14</v>
      </c>
      <c r="J1751">
        <v>0</v>
      </c>
      <c r="K1751">
        <v>182.66</v>
      </c>
      <c r="L1751">
        <v>6.48</v>
      </c>
      <c r="M1751" t="s">
        <v>2475</v>
      </c>
      <c r="N1751" t="s">
        <v>2474</v>
      </c>
      <c r="O1751" t="s">
        <v>2463</v>
      </c>
      <c r="P1751">
        <v>7.93</v>
      </c>
      <c r="Q1751">
        <v>14.78</v>
      </c>
      <c r="R1751">
        <v>111.02</v>
      </c>
      <c r="S1751">
        <v>65.16</v>
      </c>
      <c r="T1751">
        <v>0.35672834774991785</v>
      </c>
      <c r="U1751" s="1">
        <v>45839</v>
      </c>
      <c r="V1751" t="s">
        <v>2499</v>
      </c>
      <c r="W1751">
        <v>2025</v>
      </c>
    </row>
    <row r="1752" spans="1:23" x14ac:dyDescent="0.25">
      <c r="A1752" t="s">
        <v>1799</v>
      </c>
      <c r="B1752" s="1">
        <v>45515</v>
      </c>
      <c r="C1752" s="1">
        <v>45516</v>
      </c>
      <c r="D1752" t="s">
        <v>13</v>
      </c>
      <c r="E1752" t="s">
        <v>19</v>
      </c>
      <c r="F1752" t="s">
        <v>15</v>
      </c>
      <c r="G1752" t="s">
        <v>26</v>
      </c>
      <c r="H1752" t="s">
        <v>53</v>
      </c>
      <c r="I1752">
        <v>2</v>
      </c>
      <c r="J1752">
        <v>0.05</v>
      </c>
      <c r="K1752">
        <v>97.96</v>
      </c>
      <c r="L1752">
        <v>4.2</v>
      </c>
      <c r="M1752" t="s">
        <v>2470</v>
      </c>
      <c r="N1752" t="s">
        <v>2467</v>
      </c>
      <c r="O1752" t="s">
        <v>2459</v>
      </c>
      <c r="P1752">
        <v>31.34</v>
      </c>
      <c r="Q1752">
        <v>56.49</v>
      </c>
      <c r="R1752">
        <v>62.68</v>
      </c>
      <c r="S1752">
        <v>31.079999999999995</v>
      </c>
      <c r="T1752">
        <v>0.31727235606369941</v>
      </c>
      <c r="U1752" s="1">
        <v>45505</v>
      </c>
      <c r="V1752" t="s">
        <v>2498</v>
      </c>
      <c r="W1752">
        <v>2024</v>
      </c>
    </row>
    <row r="1753" spans="1:23" x14ac:dyDescent="0.25">
      <c r="A1753" t="s">
        <v>1800</v>
      </c>
      <c r="B1753" s="1">
        <v>45332</v>
      </c>
      <c r="C1753" s="1">
        <v>45334</v>
      </c>
      <c r="D1753" t="s">
        <v>13</v>
      </c>
      <c r="E1753" t="s">
        <v>19</v>
      </c>
      <c r="F1753" t="s">
        <v>15</v>
      </c>
      <c r="G1753" t="s">
        <v>20</v>
      </c>
      <c r="H1753" t="s">
        <v>51</v>
      </c>
      <c r="I1753">
        <v>13</v>
      </c>
      <c r="J1753">
        <v>0.1</v>
      </c>
      <c r="K1753">
        <v>159.04</v>
      </c>
      <c r="L1753">
        <v>10.35</v>
      </c>
      <c r="M1753" t="s">
        <v>2475</v>
      </c>
      <c r="N1753" t="s">
        <v>2474</v>
      </c>
      <c r="O1753" t="s">
        <v>2463</v>
      </c>
      <c r="P1753">
        <v>7.93</v>
      </c>
      <c r="Q1753">
        <v>14.78</v>
      </c>
      <c r="R1753">
        <v>103.09</v>
      </c>
      <c r="S1753">
        <v>45.599999999999987</v>
      </c>
      <c r="T1753">
        <v>0.28672032193158947</v>
      </c>
      <c r="U1753" s="1">
        <v>45323</v>
      </c>
      <c r="V1753" t="s">
        <v>2498</v>
      </c>
      <c r="W1753">
        <v>2024</v>
      </c>
    </row>
    <row r="1754" spans="1:23" x14ac:dyDescent="0.25">
      <c r="A1754" t="s">
        <v>1801</v>
      </c>
      <c r="B1754" s="1">
        <v>45662</v>
      </c>
      <c r="C1754" s="1">
        <v>45664</v>
      </c>
      <c r="D1754" t="s">
        <v>13</v>
      </c>
      <c r="E1754" t="s">
        <v>36</v>
      </c>
      <c r="F1754" t="s">
        <v>25</v>
      </c>
      <c r="G1754" t="s">
        <v>26</v>
      </c>
      <c r="H1754" t="s">
        <v>30</v>
      </c>
      <c r="I1754">
        <v>20</v>
      </c>
      <c r="J1754">
        <v>0.15</v>
      </c>
      <c r="K1754">
        <v>93.28</v>
      </c>
      <c r="L1754">
        <v>13.5</v>
      </c>
      <c r="M1754" t="s">
        <v>2473</v>
      </c>
      <c r="N1754" t="s">
        <v>2474</v>
      </c>
      <c r="O1754" t="s">
        <v>2463</v>
      </c>
      <c r="P1754">
        <v>3.62</v>
      </c>
      <c r="Q1754">
        <v>6.03</v>
      </c>
      <c r="R1754">
        <v>72.400000000000006</v>
      </c>
      <c r="S1754">
        <v>7.3799999999999955</v>
      </c>
      <c r="T1754">
        <v>7.9116638078902179E-2</v>
      </c>
      <c r="U1754" s="1">
        <v>45658</v>
      </c>
      <c r="V1754" t="s">
        <v>2500</v>
      </c>
      <c r="W1754">
        <v>2025</v>
      </c>
    </row>
    <row r="1755" spans="1:23" x14ac:dyDescent="0.25">
      <c r="A1755" t="s">
        <v>1802</v>
      </c>
      <c r="B1755" s="1">
        <v>45312</v>
      </c>
      <c r="C1755" s="1">
        <v>45313</v>
      </c>
      <c r="D1755" t="s">
        <v>32</v>
      </c>
      <c r="E1755" t="s">
        <v>45</v>
      </c>
      <c r="F1755" t="s">
        <v>29</v>
      </c>
      <c r="G1755" t="s">
        <v>16</v>
      </c>
      <c r="H1755" t="s">
        <v>21</v>
      </c>
      <c r="I1755">
        <v>5</v>
      </c>
      <c r="J1755">
        <v>0.2</v>
      </c>
      <c r="K1755">
        <v>379.67</v>
      </c>
      <c r="L1755">
        <v>9.6</v>
      </c>
      <c r="M1755" t="s">
        <v>2462</v>
      </c>
      <c r="N1755" t="s">
        <v>2458</v>
      </c>
      <c r="O1755" t="s">
        <v>2463</v>
      </c>
      <c r="P1755">
        <v>71.489999999999995</v>
      </c>
      <c r="Q1755">
        <v>112.88</v>
      </c>
      <c r="R1755">
        <v>357.45</v>
      </c>
      <c r="S1755">
        <v>12.620000000000028</v>
      </c>
      <c r="T1755">
        <v>3.3239392103669045E-2</v>
      </c>
      <c r="U1755" s="1">
        <v>45292</v>
      </c>
      <c r="V1755" t="s">
        <v>2500</v>
      </c>
      <c r="W1755">
        <v>2024</v>
      </c>
    </row>
    <row r="1756" spans="1:23" x14ac:dyDescent="0.25">
      <c r="A1756" t="s">
        <v>1803</v>
      </c>
      <c r="B1756" s="1">
        <v>45968</v>
      </c>
      <c r="C1756" s="1">
        <v>45974</v>
      </c>
      <c r="D1756" t="s">
        <v>23</v>
      </c>
      <c r="E1756" t="s">
        <v>43</v>
      </c>
      <c r="F1756" t="s">
        <v>29</v>
      </c>
      <c r="G1756" t="s">
        <v>20</v>
      </c>
      <c r="H1756" t="s">
        <v>51</v>
      </c>
      <c r="I1756">
        <v>6</v>
      </c>
      <c r="J1756">
        <v>0.25</v>
      </c>
      <c r="K1756">
        <v>87.95</v>
      </c>
      <c r="L1756">
        <v>7.2</v>
      </c>
      <c r="M1756" t="s">
        <v>2475</v>
      </c>
      <c r="N1756" t="s">
        <v>2474</v>
      </c>
      <c r="O1756" t="s">
        <v>2463</v>
      </c>
      <c r="P1756">
        <v>7.93</v>
      </c>
      <c r="Q1756">
        <v>14.78</v>
      </c>
      <c r="R1756">
        <v>47.58</v>
      </c>
      <c r="S1756">
        <v>33.17</v>
      </c>
      <c r="T1756">
        <v>0.37714610574189883</v>
      </c>
      <c r="U1756" s="1">
        <v>45962</v>
      </c>
      <c r="V1756" t="s">
        <v>2501</v>
      </c>
      <c r="W1756">
        <v>2025</v>
      </c>
    </row>
    <row r="1757" spans="1:23" x14ac:dyDescent="0.25">
      <c r="A1757" t="s">
        <v>1804</v>
      </c>
      <c r="B1757" s="1">
        <v>45637</v>
      </c>
      <c r="C1757" s="1">
        <v>45642</v>
      </c>
      <c r="D1757" t="s">
        <v>23</v>
      </c>
      <c r="E1757" t="s">
        <v>24</v>
      </c>
      <c r="F1757" t="s">
        <v>29</v>
      </c>
      <c r="G1757" t="s">
        <v>20</v>
      </c>
      <c r="H1757" t="s">
        <v>51</v>
      </c>
      <c r="I1757">
        <v>12</v>
      </c>
      <c r="J1757">
        <v>0</v>
      </c>
      <c r="K1757">
        <v>263.70999999999998</v>
      </c>
      <c r="L1757">
        <v>5.94</v>
      </c>
      <c r="M1757" t="s">
        <v>2475</v>
      </c>
      <c r="N1757" t="s">
        <v>2474</v>
      </c>
      <c r="O1757" t="s">
        <v>2463</v>
      </c>
      <c r="P1757">
        <v>7.93</v>
      </c>
      <c r="Q1757">
        <v>14.78</v>
      </c>
      <c r="R1757">
        <v>95.16</v>
      </c>
      <c r="S1757">
        <v>162.60999999999999</v>
      </c>
      <c r="T1757">
        <v>0.61662432217208296</v>
      </c>
      <c r="U1757" s="1">
        <v>45627</v>
      </c>
      <c r="V1757" t="s">
        <v>2499</v>
      </c>
      <c r="W1757">
        <v>2024</v>
      </c>
    </row>
    <row r="1758" spans="1:23" x14ac:dyDescent="0.25">
      <c r="A1758" t="s">
        <v>1805</v>
      </c>
      <c r="B1758" s="1">
        <v>45992</v>
      </c>
      <c r="C1758" s="1">
        <v>45994</v>
      </c>
      <c r="D1758" t="s">
        <v>13</v>
      </c>
      <c r="E1758" t="s">
        <v>36</v>
      </c>
      <c r="F1758" t="s">
        <v>15</v>
      </c>
      <c r="G1758" t="s">
        <v>26</v>
      </c>
      <c r="H1758" t="s">
        <v>53</v>
      </c>
      <c r="I1758">
        <v>1</v>
      </c>
      <c r="J1758">
        <v>0</v>
      </c>
      <c r="K1758">
        <v>80.290000000000006</v>
      </c>
      <c r="L1758">
        <v>5.75</v>
      </c>
      <c r="M1758" t="s">
        <v>2470</v>
      </c>
      <c r="N1758" t="s">
        <v>2467</v>
      </c>
      <c r="O1758" t="s">
        <v>2459</v>
      </c>
      <c r="P1758">
        <v>31.34</v>
      </c>
      <c r="Q1758">
        <v>56.49</v>
      </c>
      <c r="R1758">
        <v>31.34</v>
      </c>
      <c r="S1758">
        <v>43.2</v>
      </c>
      <c r="T1758">
        <v>0.53804957030763478</v>
      </c>
      <c r="U1758" s="1">
        <v>45992</v>
      </c>
      <c r="V1758" t="s">
        <v>2499</v>
      </c>
      <c r="W1758">
        <v>2025</v>
      </c>
    </row>
    <row r="1759" spans="1:23" x14ac:dyDescent="0.25">
      <c r="A1759" t="s">
        <v>1806</v>
      </c>
      <c r="B1759" s="1">
        <v>45951</v>
      </c>
      <c r="C1759" s="1">
        <v>45953</v>
      </c>
      <c r="D1759" t="s">
        <v>13</v>
      </c>
      <c r="E1759" t="s">
        <v>19</v>
      </c>
      <c r="F1759" t="s">
        <v>29</v>
      </c>
      <c r="G1759" t="s">
        <v>20</v>
      </c>
      <c r="H1759" t="s">
        <v>65</v>
      </c>
      <c r="I1759">
        <v>3</v>
      </c>
      <c r="J1759">
        <v>0</v>
      </c>
      <c r="K1759">
        <v>978.09</v>
      </c>
      <c r="L1759">
        <v>6.84</v>
      </c>
      <c r="M1759" t="s">
        <v>2457</v>
      </c>
      <c r="N1759" t="s">
        <v>2458</v>
      </c>
      <c r="O1759" t="s">
        <v>2459</v>
      </c>
      <c r="P1759">
        <v>173.56</v>
      </c>
      <c r="Q1759">
        <v>286.14999999999998</v>
      </c>
      <c r="R1759">
        <v>520.68000000000006</v>
      </c>
      <c r="S1759">
        <v>450.57</v>
      </c>
      <c r="T1759">
        <v>0.46066312915989321</v>
      </c>
      <c r="U1759" s="1">
        <v>45931</v>
      </c>
      <c r="V1759" t="s">
        <v>2499</v>
      </c>
      <c r="W1759">
        <v>2025</v>
      </c>
    </row>
    <row r="1760" spans="1:23" x14ac:dyDescent="0.25">
      <c r="A1760" t="s">
        <v>1807</v>
      </c>
      <c r="B1760" s="1">
        <v>45550</v>
      </c>
      <c r="C1760" s="1">
        <v>45552</v>
      </c>
      <c r="D1760" t="s">
        <v>13</v>
      </c>
      <c r="E1760" t="s">
        <v>19</v>
      </c>
      <c r="F1760" t="s">
        <v>25</v>
      </c>
      <c r="G1760" t="s">
        <v>26</v>
      </c>
      <c r="H1760" t="s">
        <v>30</v>
      </c>
      <c r="I1760">
        <v>10</v>
      </c>
      <c r="J1760">
        <v>0</v>
      </c>
      <c r="K1760">
        <v>61.58</v>
      </c>
      <c r="L1760">
        <v>9</v>
      </c>
      <c r="M1760" t="s">
        <v>2473</v>
      </c>
      <c r="N1760" t="s">
        <v>2474</v>
      </c>
      <c r="O1760" t="s">
        <v>2463</v>
      </c>
      <c r="P1760">
        <v>3.62</v>
      </c>
      <c r="Q1760">
        <v>6.03</v>
      </c>
      <c r="R1760">
        <v>36.200000000000003</v>
      </c>
      <c r="S1760">
        <v>16.379999999999995</v>
      </c>
      <c r="T1760">
        <v>0.26599545306917821</v>
      </c>
      <c r="U1760" s="1">
        <v>45536</v>
      </c>
      <c r="V1760" t="s">
        <v>2499</v>
      </c>
      <c r="W1760">
        <v>2024</v>
      </c>
    </row>
    <row r="1761" spans="1:23" x14ac:dyDescent="0.25">
      <c r="A1761" t="s">
        <v>1808</v>
      </c>
      <c r="B1761" s="1">
        <v>45835</v>
      </c>
      <c r="C1761" s="1">
        <v>45838</v>
      </c>
      <c r="D1761" t="s">
        <v>32</v>
      </c>
      <c r="E1761" t="s">
        <v>33</v>
      </c>
      <c r="F1761" t="s">
        <v>15</v>
      </c>
      <c r="G1761" t="s">
        <v>26</v>
      </c>
      <c r="H1761" t="s">
        <v>27</v>
      </c>
      <c r="I1761">
        <v>12</v>
      </c>
      <c r="J1761">
        <v>0.2</v>
      </c>
      <c r="K1761">
        <v>271.77</v>
      </c>
      <c r="L1761">
        <v>9.9</v>
      </c>
      <c r="M1761" t="s">
        <v>2478</v>
      </c>
      <c r="N1761" t="s">
        <v>2474</v>
      </c>
      <c r="O1761" t="s">
        <v>2463</v>
      </c>
      <c r="P1761">
        <v>16.760000000000002</v>
      </c>
      <c r="Q1761">
        <v>27.71</v>
      </c>
      <c r="R1761">
        <v>201.12</v>
      </c>
      <c r="S1761">
        <v>60.749999999999979</v>
      </c>
      <c r="T1761">
        <v>0.2235346064687051</v>
      </c>
      <c r="U1761" s="1">
        <v>45809</v>
      </c>
      <c r="V1761" t="s">
        <v>2500</v>
      </c>
      <c r="W1761">
        <v>2025</v>
      </c>
    </row>
    <row r="1762" spans="1:23" x14ac:dyDescent="0.25">
      <c r="A1762" t="s">
        <v>1809</v>
      </c>
      <c r="B1762" s="1">
        <v>45968</v>
      </c>
      <c r="C1762" s="1">
        <v>45972</v>
      </c>
      <c r="D1762" t="s">
        <v>32</v>
      </c>
      <c r="E1762" t="s">
        <v>45</v>
      </c>
      <c r="F1762" t="s">
        <v>25</v>
      </c>
      <c r="G1762" t="s">
        <v>26</v>
      </c>
      <c r="H1762" t="s">
        <v>27</v>
      </c>
      <c r="I1762">
        <v>9</v>
      </c>
      <c r="J1762">
        <v>0</v>
      </c>
      <c r="K1762">
        <v>328.4</v>
      </c>
      <c r="L1762">
        <v>5.13</v>
      </c>
      <c r="M1762" t="s">
        <v>2478</v>
      </c>
      <c r="N1762" t="s">
        <v>2474</v>
      </c>
      <c r="O1762" t="s">
        <v>2463</v>
      </c>
      <c r="P1762">
        <v>16.760000000000002</v>
      </c>
      <c r="Q1762">
        <v>27.71</v>
      </c>
      <c r="R1762">
        <v>150.84</v>
      </c>
      <c r="S1762">
        <v>172.42999999999998</v>
      </c>
      <c r="T1762">
        <v>0.52506090133982941</v>
      </c>
      <c r="U1762" s="1">
        <v>45962</v>
      </c>
      <c r="V1762" t="s">
        <v>2499</v>
      </c>
      <c r="W1762">
        <v>2025</v>
      </c>
    </row>
    <row r="1763" spans="1:23" x14ac:dyDescent="0.25">
      <c r="A1763" t="s">
        <v>1810</v>
      </c>
      <c r="B1763" s="1">
        <v>45549</v>
      </c>
      <c r="C1763" s="1">
        <v>45555</v>
      </c>
      <c r="D1763" t="s">
        <v>23</v>
      </c>
      <c r="E1763" t="s">
        <v>43</v>
      </c>
      <c r="F1763" t="s">
        <v>25</v>
      </c>
      <c r="G1763" t="s">
        <v>26</v>
      </c>
      <c r="H1763" t="s">
        <v>21</v>
      </c>
      <c r="I1763">
        <v>1</v>
      </c>
      <c r="J1763">
        <v>0.15</v>
      </c>
      <c r="K1763">
        <v>106.01</v>
      </c>
      <c r="L1763">
        <v>4.08</v>
      </c>
      <c r="M1763" t="s">
        <v>2462</v>
      </c>
      <c r="N1763" t="s">
        <v>2458</v>
      </c>
      <c r="O1763" t="s">
        <v>2463</v>
      </c>
      <c r="P1763">
        <v>71.489999999999995</v>
      </c>
      <c r="Q1763">
        <v>112.88</v>
      </c>
      <c r="R1763">
        <v>71.489999999999995</v>
      </c>
      <c r="S1763">
        <v>30.440000000000012</v>
      </c>
      <c r="T1763">
        <v>0.2871427223846808</v>
      </c>
      <c r="U1763" s="1">
        <v>45536</v>
      </c>
      <c r="V1763" t="s">
        <v>2500</v>
      </c>
      <c r="W1763">
        <v>2024</v>
      </c>
    </row>
    <row r="1764" spans="1:23" x14ac:dyDescent="0.25">
      <c r="A1764" t="s">
        <v>1811</v>
      </c>
      <c r="B1764" s="1">
        <v>45473</v>
      </c>
      <c r="C1764" s="1">
        <v>45477</v>
      </c>
      <c r="D1764" t="s">
        <v>47</v>
      </c>
      <c r="E1764" t="s">
        <v>71</v>
      </c>
      <c r="F1764" t="s">
        <v>25</v>
      </c>
      <c r="G1764" t="s">
        <v>16</v>
      </c>
      <c r="H1764" t="s">
        <v>17</v>
      </c>
      <c r="I1764">
        <v>2</v>
      </c>
      <c r="J1764">
        <v>0.1</v>
      </c>
      <c r="K1764">
        <v>229.62</v>
      </c>
      <c r="L1764">
        <v>7</v>
      </c>
      <c r="M1764" t="s">
        <v>2472</v>
      </c>
      <c r="N1764" t="s">
        <v>2467</v>
      </c>
      <c r="O1764" t="s">
        <v>2468</v>
      </c>
      <c r="P1764">
        <v>63.69</v>
      </c>
      <c r="Q1764">
        <v>125.5</v>
      </c>
      <c r="R1764">
        <v>127.38</v>
      </c>
      <c r="S1764">
        <v>95.240000000000009</v>
      </c>
      <c r="T1764">
        <v>0.41477223238393873</v>
      </c>
      <c r="U1764" s="1">
        <v>45444</v>
      </c>
      <c r="V1764" t="s">
        <v>2498</v>
      </c>
      <c r="W1764">
        <v>2024</v>
      </c>
    </row>
    <row r="1765" spans="1:23" x14ac:dyDescent="0.25">
      <c r="A1765" t="s">
        <v>1812</v>
      </c>
      <c r="B1765" s="1">
        <v>45731</v>
      </c>
      <c r="C1765" s="1">
        <v>45737</v>
      </c>
      <c r="D1765" t="s">
        <v>23</v>
      </c>
      <c r="E1765" t="s">
        <v>24</v>
      </c>
      <c r="F1765" t="s">
        <v>25</v>
      </c>
      <c r="G1765" t="s">
        <v>16</v>
      </c>
      <c r="H1765" t="s">
        <v>37</v>
      </c>
      <c r="I1765">
        <v>4</v>
      </c>
      <c r="J1765">
        <v>0</v>
      </c>
      <c r="K1765">
        <v>408.22</v>
      </c>
      <c r="L1765">
        <v>8.2200000000000006</v>
      </c>
      <c r="M1765" t="s">
        <v>2464</v>
      </c>
      <c r="N1765" t="s">
        <v>2458</v>
      </c>
      <c r="O1765" t="s">
        <v>2465</v>
      </c>
      <c r="P1765">
        <v>63.6</v>
      </c>
      <c r="Q1765">
        <v>107.94</v>
      </c>
      <c r="R1765">
        <v>254.4</v>
      </c>
      <c r="S1765">
        <v>145.60000000000002</v>
      </c>
      <c r="T1765">
        <v>0.35667042281122929</v>
      </c>
      <c r="U1765" s="1">
        <v>45717</v>
      </c>
      <c r="V1765" t="s">
        <v>2499</v>
      </c>
      <c r="W1765">
        <v>2025</v>
      </c>
    </row>
    <row r="1766" spans="1:23" x14ac:dyDescent="0.25">
      <c r="A1766" t="s">
        <v>1813</v>
      </c>
      <c r="B1766" s="1">
        <v>45872</v>
      </c>
      <c r="C1766" s="1">
        <v>45873</v>
      </c>
      <c r="D1766" t="s">
        <v>23</v>
      </c>
      <c r="E1766" t="s">
        <v>24</v>
      </c>
      <c r="F1766" t="s">
        <v>15</v>
      </c>
      <c r="G1766" t="s">
        <v>26</v>
      </c>
      <c r="H1766" t="s">
        <v>53</v>
      </c>
      <c r="I1766">
        <v>3</v>
      </c>
      <c r="J1766">
        <v>0</v>
      </c>
      <c r="K1766">
        <v>159.91</v>
      </c>
      <c r="L1766">
        <v>4.95</v>
      </c>
      <c r="M1766" t="s">
        <v>2470</v>
      </c>
      <c r="N1766" t="s">
        <v>2467</v>
      </c>
      <c r="O1766" t="s">
        <v>2459</v>
      </c>
      <c r="P1766">
        <v>31.34</v>
      </c>
      <c r="Q1766">
        <v>56.49</v>
      </c>
      <c r="R1766">
        <v>94.02</v>
      </c>
      <c r="S1766">
        <v>60.94</v>
      </c>
      <c r="T1766">
        <v>0.38108936276655619</v>
      </c>
      <c r="U1766" s="1">
        <v>45870</v>
      </c>
      <c r="V1766" t="s">
        <v>2499</v>
      </c>
      <c r="W1766">
        <v>2025</v>
      </c>
    </row>
    <row r="1767" spans="1:23" x14ac:dyDescent="0.25">
      <c r="A1767" t="s">
        <v>1814</v>
      </c>
      <c r="B1767" s="1">
        <v>45643</v>
      </c>
      <c r="C1767" s="1">
        <v>45645</v>
      </c>
      <c r="D1767" t="s">
        <v>32</v>
      </c>
      <c r="E1767" t="s">
        <v>62</v>
      </c>
      <c r="F1767" t="s">
        <v>15</v>
      </c>
      <c r="G1767" t="s">
        <v>16</v>
      </c>
      <c r="H1767" t="s">
        <v>65</v>
      </c>
      <c r="I1767">
        <v>2</v>
      </c>
      <c r="J1767">
        <v>0.1</v>
      </c>
      <c r="K1767">
        <v>717.56</v>
      </c>
      <c r="L1767">
        <v>9.1</v>
      </c>
      <c r="M1767" t="s">
        <v>2457</v>
      </c>
      <c r="N1767" t="s">
        <v>2458</v>
      </c>
      <c r="O1767" t="s">
        <v>2459</v>
      </c>
      <c r="P1767">
        <v>173.56</v>
      </c>
      <c r="Q1767">
        <v>286.14999999999998</v>
      </c>
      <c r="R1767">
        <v>347.12</v>
      </c>
      <c r="S1767">
        <v>361.33999999999992</v>
      </c>
      <c r="T1767">
        <v>0.50356764591114322</v>
      </c>
      <c r="U1767" s="1">
        <v>45627</v>
      </c>
      <c r="V1767" t="s">
        <v>2498</v>
      </c>
      <c r="W1767">
        <v>2024</v>
      </c>
    </row>
    <row r="1768" spans="1:23" x14ac:dyDescent="0.25">
      <c r="A1768" t="s">
        <v>1815</v>
      </c>
      <c r="B1768" s="1">
        <v>45320</v>
      </c>
      <c r="C1768" s="1">
        <v>45323</v>
      </c>
      <c r="D1768" t="s">
        <v>23</v>
      </c>
      <c r="E1768" t="s">
        <v>43</v>
      </c>
      <c r="F1768" t="s">
        <v>29</v>
      </c>
      <c r="G1768" t="s">
        <v>26</v>
      </c>
      <c r="H1768" t="s">
        <v>17</v>
      </c>
      <c r="I1768">
        <v>4</v>
      </c>
      <c r="J1768">
        <v>0</v>
      </c>
      <c r="K1768">
        <v>415.52</v>
      </c>
      <c r="L1768">
        <v>9.5</v>
      </c>
      <c r="M1768" t="s">
        <v>2472</v>
      </c>
      <c r="N1768" t="s">
        <v>2467</v>
      </c>
      <c r="O1768" t="s">
        <v>2468</v>
      </c>
      <c r="P1768">
        <v>63.69</v>
      </c>
      <c r="Q1768">
        <v>125.5</v>
      </c>
      <c r="R1768">
        <v>254.76</v>
      </c>
      <c r="S1768">
        <v>151.26</v>
      </c>
      <c r="T1768">
        <v>0.3640257989988448</v>
      </c>
      <c r="U1768" s="1">
        <v>45292</v>
      </c>
      <c r="V1768" t="s">
        <v>2499</v>
      </c>
      <c r="W1768">
        <v>2024</v>
      </c>
    </row>
    <row r="1769" spans="1:23" x14ac:dyDescent="0.25">
      <c r="A1769" t="s">
        <v>1816</v>
      </c>
      <c r="B1769" s="1">
        <v>45628</v>
      </c>
      <c r="C1769" s="1">
        <v>45631</v>
      </c>
      <c r="D1769" t="s">
        <v>13</v>
      </c>
      <c r="E1769" t="s">
        <v>14</v>
      </c>
      <c r="F1769" t="s">
        <v>29</v>
      </c>
      <c r="G1769" t="s">
        <v>16</v>
      </c>
      <c r="H1769" t="s">
        <v>41</v>
      </c>
      <c r="I1769">
        <v>12</v>
      </c>
      <c r="J1769">
        <v>0</v>
      </c>
      <c r="K1769">
        <v>110.82</v>
      </c>
      <c r="L1769">
        <v>9.9</v>
      </c>
      <c r="M1769" t="s">
        <v>2479</v>
      </c>
      <c r="N1769" t="s">
        <v>2474</v>
      </c>
      <c r="O1769" t="s">
        <v>2459</v>
      </c>
      <c r="P1769">
        <v>3.3</v>
      </c>
      <c r="Q1769">
        <v>6.13</v>
      </c>
      <c r="R1769">
        <v>39.599999999999994</v>
      </c>
      <c r="S1769">
        <v>61.32</v>
      </c>
      <c r="T1769">
        <v>0.55332972387655666</v>
      </c>
      <c r="U1769" s="1">
        <v>45627</v>
      </c>
      <c r="V1769" t="s">
        <v>2499</v>
      </c>
      <c r="W1769">
        <v>2024</v>
      </c>
    </row>
    <row r="1770" spans="1:23" x14ac:dyDescent="0.25">
      <c r="A1770" t="s">
        <v>1817</v>
      </c>
      <c r="B1770" s="1">
        <v>45516</v>
      </c>
      <c r="C1770" s="1">
        <v>45520</v>
      </c>
      <c r="D1770" t="s">
        <v>23</v>
      </c>
      <c r="E1770" t="s">
        <v>43</v>
      </c>
      <c r="F1770" t="s">
        <v>25</v>
      </c>
      <c r="G1770" t="s">
        <v>26</v>
      </c>
      <c r="H1770" t="s">
        <v>65</v>
      </c>
      <c r="I1770">
        <v>1</v>
      </c>
      <c r="J1770">
        <v>0.1</v>
      </c>
      <c r="K1770">
        <v>248.32</v>
      </c>
      <c r="L1770">
        <v>6.8</v>
      </c>
      <c r="M1770" t="s">
        <v>2457</v>
      </c>
      <c r="N1770" t="s">
        <v>2458</v>
      </c>
      <c r="O1770" t="s">
        <v>2459</v>
      </c>
      <c r="P1770">
        <v>173.56</v>
      </c>
      <c r="Q1770">
        <v>286.14999999999998</v>
      </c>
      <c r="R1770">
        <v>173.56</v>
      </c>
      <c r="S1770">
        <v>67.959999999999994</v>
      </c>
      <c r="T1770">
        <v>0.27367912371134018</v>
      </c>
      <c r="U1770" s="1">
        <v>45505</v>
      </c>
      <c r="V1770" t="s">
        <v>2498</v>
      </c>
      <c r="W1770">
        <v>2024</v>
      </c>
    </row>
    <row r="1771" spans="1:23" x14ac:dyDescent="0.25">
      <c r="A1771" t="s">
        <v>1818</v>
      </c>
      <c r="B1771" s="1">
        <v>45971</v>
      </c>
      <c r="C1771" s="1">
        <v>45976</v>
      </c>
      <c r="D1771" t="s">
        <v>13</v>
      </c>
      <c r="E1771" t="s">
        <v>36</v>
      </c>
      <c r="F1771" t="s">
        <v>25</v>
      </c>
      <c r="G1771" t="s">
        <v>16</v>
      </c>
      <c r="H1771" t="s">
        <v>37</v>
      </c>
      <c r="I1771">
        <v>2</v>
      </c>
      <c r="J1771">
        <v>0</v>
      </c>
      <c r="K1771">
        <v>282.39</v>
      </c>
      <c r="L1771">
        <v>5.46</v>
      </c>
      <c r="M1771" t="s">
        <v>2464</v>
      </c>
      <c r="N1771" t="s">
        <v>2458</v>
      </c>
      <c r="O1771" t="s">
        <v>2465</v>
      </c>
      <c r="P1771">
        <v>63.6</v>
      </c>
      <c r="Q1771">
        <v>107.94</v>
      </c>
      <c r="R1771">
        <v>127.2</v>
      </c>
      <c r="S1771">
        <v>149.72999999999999</v>
      </c>
      <c r="T1771">
        <v>0.53022415807925205</v>
      </c>
      <c r="U1771" s="1">
        <v>45962</v>
      </c>
      <c r="V1771" t="s">
        <v>2499</v>
      </c>
      <c r="W1771">
        <v>2025</v>
      </c>
    </row>
    <row r="1772" spans="1:23" x14ac:dyDescent="0.25">
      <c r="A1772" t="s">
        <v>1819</v>
      </c>
      <c r="B1772" s="1">
        <v>45923</v>
      </c>
      <c r="C1772" s="1">
        <v>45925</v>
      </c>
      <c r="D1772" t="s">
        <v>32</v>
      </c>
      <c r="E1772" t="s">
        <v>62</v>
      </c>
      <c r="F1772" t="s">
        <v>29</v>
      </c>
      <c r="G1772" t="s">
        <v>20</v>
      </c>
      <c r="H1772" t="s">
        <v>21</v>
      </c>
      <c r="I1772">
        <v>2</v>
      </c>
      <c r="J1772">
        <v>0</v>
      </c>
      <c r="K1772">
        <v>249.29</v>
      </c>
      <c r="L1772">
        <v>9.1</v>
      </c>
      <c r="M1772" t="s">
        <v>2462</v>
      </c>
      <c r="N1772" t="s">
        <v>2458</v>
      </c>
      <c r="O1772" t="s">
        <v>2463</v>
      </c>
      <c r="P1772">
        <v>71.489999999999995</v>
      </c>
      <c r="Q1772">
        <v>112.88</v>
      </c>
      <c r="R1772">
        <v>142.97999999999999</v>
      </c>
      <c r="S1772">
        <v>97.210000000000008</v>
      </c>
      <c r="T1772">
        <v>0.38994745076015891</v>
      </c>
      <c r="U1772" s="1">
        <v>45901</v>
      </c>
      <c r="V1772" t="s">
        <v>2499</v>
      </c>
      <c r="W1772">
        <v>2025</v>
      </c>
    </row>
    <row r="1773" spans="1:23" x14ac:dyDescent="0.25">
      <c r="A1773" t="s">
        <v>1820</v>
      </c>
      <c r="B1773" s="1">
        <v>45988</v>
      </c>
      <c r="C1773" s="1">
        <v>45994</v>
      </c>
      <c r="D1773" t="s">
        <v>13</v>
      </c>
      <c r="E1773" t="s">
        <v>36</v>
      </c>
      <c r="F1773" t="s">
        <v>25</v>
      </c>
      <c r="G1773" t="s">
        <v>26</v>
      </c>
      <c r="H1773" t="s">
        <v>87</v>
      </c>
      <c r="I1773">
        <v>12</v>
      </c>
      <c r="J1773">
        <v>0</v>
      </c>
      <c r="K1773">
        <v>131.41</v>
      </c>
      <c r="L1773">
        <v>9.9</v>
      </c>
      <c r="M1773" t="s">
        <v>2476</v>
      </c>
      <c r="N1773" t="s">
        <v>2474</v>
      </c>
      <c r="O1773" t="s">
        <v>2459</v>
      </c>
      <c r="P1773">
        <v>4.5</v>
      </c>
      <c r="Q1773">
        <v>8.2899999999999991</v>
      </c>
      <c r="R1773">
        <v>54</v>
      </c>
      <c r="S1773">
        <v>67.509999999999991</v>
      </c>
      <c r="T1773">
        <v>0.51373563655733956</v>
      </c>
      <c r="U1773" s="1">
        <v>45962</v>
      </c>
      <c r="V1773" t="s">
        <v>2499</v>
      </c>
      <c r="W1773">
        <v>2025</v>
      </c>
    </row>
    <row r="1774" spans="1:23" x14ac:dyDescent="0.25">
      <c r="A1774" t="s">
        <v>1821</v>
      </c>
      <c r="B1774" s="1">
        <v>45623</v>
      </c>
      <c r="C1774" s="1">
        <v>45625</v>
      </c>
      <c r="D1774" t="s">
        <v>32</v>
      </c>
      <c r="E1774" t="s">
        <v>33</v>
      </c>
      <c r="F1774" t="s">
        <v>15</v>
      </c>
      <c r="G1774" t="s">
        <v>16</v>
      </c>
      <c r="H1774" t="s">
        <v>63</v>
      </c>
      <c r="I1774">
        <v>3</v>
      </c>
      <c r="J1774">
        <v>0</v>
      </c>
      <c r="K1774">
        <v>47.15</v>
      </c>
      <c r="L1774">
        <v>5.85</v>
      </c>
      <c r="M1774" t="s">
        <v>2477</v>
      </c>
      <c r="N1774" t="s">
        <v>2474</v>
      </c>
      <c r="O1774" t="s">
        <v>2468</v>
      </c>
      <c r="P1774">
        <v>6.33</v>
      </c>
      <c r="Q1774">
        <v>12.16</v>
      </c>
      <c r="R1774">
        <v>18.990000000000002</v>
      </c>
      <c r="S1774">
        <v>22.309999999999995</v>
      </c>
      <c r="T1774">
        <v>0.47317073170731699</v>
      </c>
      <c r="U1774" s="1">
        <v>45597</v>
      </c>
      <c r="V1774" t="s">
        <v>2499</v>
      </c>
      <c r="W1774">
        <v>2024</v>
      </c>
    </row>
    <row r="1775" spans="1:23" x14ac:dyDescent="0.25">
      <c r="A1775" t="s">
        <v>1822</v>
      </c>
      <c r="B1775" s="1">
        <v>45543</v>
      </c>
      <c r="C1775" s="1">
        <v>45544</v>
      </c>
      <c r="D1775" t="s">
        <v>13</v>
      </c>
      <c r="E1775" t="s">
        <v>14</v>
      </c>
      <c r="F1775" t="s">
        <v>25</v>
      </c>
      <c r="G1775" t="s">
        <v>26</v>
      </c>
      <c r="H1775" t="s">
        <v>87</v>
      </c>
      <c r="I1775">
        <v>8</v>
      </c>
      <c r="J1775">
        <v>0.25</v>
      </c>
      <c r="K1775">
        <v>53.34</v>
      </c>
      <c r="L1775">
        <v>8.1</v>
      </c>
      <c r="M1775" t="s">
        <v>2476</v>
      </c>
      <c r="N1775" t="s">
        <v>2474</v>
      </c>
      <c r="O1775" t="s">
        <v>2459</v>
      </c>
      <c r="P1775">
        <v>4.5</v>
      </c>
      <c r="Q1775">
        <v>8.2899999999999991</v>
      </c>
      <c r="R1775">
        <v>36</v>
      </c>
      <c r="S1775">
        <v>9.2400000000000038</v>
      </c>
      <c r="T1775">
        <v>0.17322834645669297</v>
      </c>
      <c r="U1775" s="1">
        <v>45536</v>
      </c>
      <c r="V1775" t="s">
        <v>2501</v>
      </c>
      <c r="W1775">
        <v>2024</v>
      </c>
    </row>
    <row r="1776" spans="1:23" x14ac:dyDescent="0.25">
      <c r="A1776" t="s">
        <v>1823</v>
      </c>
      <c r="B1776" s="1">
        <v>45502</v>
      </c>
      <c r="C1776" s="1">
        <v>45507</v>
      </c>
      <c r="D1776" t="s">
        <v>47</v>
      </c>
      <c r="E1776" t="s">
        <v>71</v>
      </c>
      <c r="F1776" t="s">
        <v>29</v>
      </c>
      <c r="G1776" t="s">
        <v>20</v>
      </c>
      <c r="H1776" t="s">
        <v>51</v>
      </c>
      <c r="I1776">
        <v>5</v>
      </c>
      <c r="J1776">
        <v>0</v>
      </c>
      <c r="K1776">
        <v>68.37</v>
      </c>
      <c r="L1776">
        <v>4.05</v>
      </c>
      <c r="M1776" t="s">
        <v>2475</v>
      </c>
      <c r="N1776" t="s">
        <v>2474</v>
      </c>
      <c r="O1776" t="s">
        <v>2463</v>
      </c>
      <c r="P1776">
        <v>7.93</v>
      </c>
      <c r="Q1776">
        <v>14.78</v>
      </c>
      <c r="R1776">
        <v>39.65</v>
      </c>
      <c r="S1776">
        <v>24.670000000000005</v>
      </c>
      <c r="T1776">
        <v>0.36083077373116867</v>
      </c>
      <c r="U1776" s="1">
        <v>45474</v>
      </c>
      <c r="V1776" t="s">
        <v>2499</v>
      </c>
      <c r="W1776">
        <v>2024</v>
      </c>
    </row>
    <row r="1777" spans="1:23" x14ac:dyDescent="0.25">
      <c r="A1777" t="s">
        <v>1824</v>
      </c>
      <c r="B1777" s="1">
        <v>45466</v>
      </c>
      <c r="C1777" s="1">
        <v>45471</v>
      </c>
      <c r="D1777" t="s">
        <v>13</v>
      </c>
      <c r="E1777" t="s">
        <v>14</v>
      </c>
      <c r="F1777" t="s">
        <v>15</v>
      </c>
      <c r="G1777" t="s">
        <v>16</v>
      </c>
      <c r="H1777" t="s">
        <v>27</v>
      </c>
      <c r="I1777">
        <v>6</v>
      </c>
      <c r="J1777">
        <v>0.1</v>
      </c>
      <c r="K1777">
        <v>162.13</v>
      </c>
      <c r="L1777">
        <v>4.32</v>
      </c>
      <c r="M1777" t="s">
        <v>2478</v>
      </c>
      <c r="N1777" t="s">
        <v>2474</v>
      </c>
      <c r="O1777" t="s">
        <v>2463</v>
      </c>
      <c r="P1777">
        <v>16.760000000000002</v>
      </c>
      <c r="Q1777">
        <v>27.71</v>
      </c>
      <c r="R1777">
        <v>100.56</v>
      </c>
      <c r="S1777">
        <v>57.249999999999993</v>
      </c>
      <c r="T1777">
        <v>0.35311170048726326</v>
      </c>
      <c r="U1777" s="1">
        <v>45444</v>
      </c>
      <c r="V1777" t="s">
        <v>2498</v>
      </c>
      <c r="W1777">
        <v>2024</v>
      </c>
    </row>
    <row r="1778" spans="1:23" x14ac:dyDescent="0.25">
      <c r="A1778" t="s">
        <v>1825</v>
      </c>
      <c r="B1778" s="1">
        <v>45874</v>
      </c>
      <c r="C1778" s="1">
        <v>45876</v>
      </c>
      <c r="D1778" t="s">
        <v>32</v>
      </c>
      <c r="E1778" t="s">
        <v>62</v>
      </c>
      <c r="F1778" t="s">
        <v>15</v>
      </c>
      <c r="G1778" t="s">
        <v>26</v>
      </c>
      <c r="H1778" t="s">
        <v>63</v>
      </c>
      <c r="I1778">
        <v>5</v>
      </c>
      <c r="J1778">
        <v>0</v>
      </c>
      <c r="K1778">
        <v>55.54</v>
      </c>
      <c r="L1778">
        <v>4.05</v>
      </c>
      <c r="M1778" t="s">
        <v>2477</v>
      </c>
      <c r="N1778" t="s">
        <v>2474</v>
      </c>
      <c r="O1778" t="s">
        <v>2468</v>
      </c>
      <c r="P1778">
        <v>6.33</v>
      </c>
      <c r="Q1778">
        <v>12.16</v>
      </c>
      <c r="R1778">
        <v>31.65</v>
      </c>
      <c r="S1778">
        <v>19.84</v>
      </c>
      <c r="T1778">
        <v>0.35722002160604971</v>
      </c>
      <c r="U1778" s="1">
        <v>45870</v>
      </c>
      <c r="V1778" t="s">
        <v>2499</v>
      </c>
      <c r="W1778">
        <v>2025</v>
      </c>
    </row>
    <row r="1779" spans="1:23" x14ac:dyDescent="0.25">
      <c r="A1779" t="s">
        <v>1826</v>
      </c>
      <c r="B1779" s="1">
        <v>45625</v>
      </c>
      <c r="C1779" s="1">
        <v>45628</v>
      </c>
      <c r="D1779" t="s">
        <v>13</v>
      </c>
      <c r="E1779" t="s">
        <v>19</v>
      </c>
      <c r="F1779" t="s">
        <v>29</v>
      </c>
      <c r="G1779" t="s">
        <v>26</v>
      </c>
      <c r="H1779" t="s">
        <v>17</v>
      </c>
      <c r="I1779">
        <v>1</v>
      </c>
      <c r="J1779">
        <v>0.05</v>
      </c>
      <c r="K1779">
        <v>167.4</v>
      </c>
      <c r="L1779">
        <v>5.75</v>
      </c>
      <c r="M1779" t="s">
        <v>2472</v>
      </c>
      <c r="N1779" t="s">
        <v>2467</v>
      </c>
      <c r="O1779" t="s">
        <v>2468</v>
      </c>
      <c r="P1779">
        <v>63.69</v>
      </c>
      <c r="Q1779">
        <v>125.5</v>
      </c>
      <c r="R1779">
        <v>63.69</v>
      </c>
      <c r="S1779">
        <v>97.960000000000008</v>
      </c>
      <c r="T1779">
        <v>0.58518518518518525</v>
      </c>
      <c r="U1779" s="1">
        <v>45597</v>
      </c>
      <c r="V1779" t="s">
        <v>2498</v>
      </c>
      <c r="W1779">
        <v>2024</v>
      </c>
    </row>
    <row r="1780" spans="1:23" x14ac:dyDescent="0.25">
      <c r="A1780" t="s">
        <v>1827</v>
      </c>
      <c r="B1780" s="1">
        <v>45973</v>
      </c>
      <c r="C1780" s="1">
        <v>45976</v>
      </c>
      <c r="D1780" t="s">
        <v>47</v>
      </c>
      <c r="E1780" t="s">
        <v>48</v>
      </c>
      <c r="F1780" t="s">
        <v>29</v>
      </c>
      <c r="G1780" t="s">
        <v>20</v>
      </c>
      <c r="H1780" t="s">
        <v>17</v>
      </c>
      <c r="I1780">
        <v>3</v>
      </c>
      <c r="J1780">
        <v>0.15</v>
      </c>
      <c r="K1780">
        <v>409.61</v>
      </c>
      <c r="L1780">
        <v>4.95</v>
      </c>
      <c r="M1780" t="s">
        <v>2472</v>
      </c>
      <c r="N1780" t="s">
        <v>2467</v>
      </c>
      <c r="O1780" t="s">
        <v>2468</v>
      </c>
      <c r="P1780">
        <v>63.69</v>
      </c>
      <c r="Q1780">
        <v>125.5</v>
      </c>
      <c r="R1780">
        <v>191.07</v>
      </c>
      <c r="S1780">
        <v>213.59000000000003</v>
      </c>
      <c r="T1780">
        <v>0.52144723029222928</v>
      </c>
      <c r="U1780" s="1">
        <v>45962</v>
      </c>
      <c r="V1780" t="s">
        <v>2500</v>
      </c>
      <c r="W1780">
        <v>2025</v>
      </c>
    </row>
    <row r="1781" spans="1:23" x14ac:dyDescent="0.25">
      <c r="A1781" t="s">
        <v>1828</v>
      </c>
      <c r="B1781" s="1">
        <v>45850</v>
      </c>
      <c r="C1781" s="1">
        <v>45854</v>
      </c>
      <c r="D1781" t="s">
        <v>32</v>
      </c>
      <c r="E1781" t="s">
        <v>62</v>
      </c>
      <c r="F1781" t="s">
        <v>25</v>
      </c>
      <c r="G1781" t="s">
        <v>16</v>
      </c>
      <c r="H1781" t="s">
        <v>17</v>
      </c>
      <c r="I1781">
        <v>2</v>
      </c>
      <c r="J1781">
        <v>0.05</v>
      </c>
      <c r="K1781">
        <v>207.51</v>
      </c>
      <c r="L1781">
        <v>7</v>
      </c>
      <c r="M1781" t="s">
        <v>2472</v>
      </c>
      <c r="N1781" t="s">
        <v>2467</v>
      </c>
      <c r="O1781" t="s">
        <v>2468</v>
      </c>
      <c r="P1781">
        <v>63.69</v>
      </c>
      <c r="Q1781">
        <v>125.5</v>
      </c>
      <c r="R1781">
        <v>127.38</v>
      </c>
      <c r="S1781">
        <v>73.13</v>
      </c>
      <c r="T1781">
        <v>0.35241675099995179</v>
      </c>
      <c r="U1781" s="1">
        <v>45839</v>
      </c>
      <c r="V1781" t="s">
        <v>2498</v>
      </c>
      <c r="W1781">
        <v>2025</v>
      </c>
    </row>
    <row r="1782" spans="1:23" x14ac:dyDescent="0.25">
      <c r="A1782" t="s">
        <v>1829</v>
      </c>
      <c r="B1782" s="1">
        <v>45764</v>
      </c>
      <c r="C1782" s="1">
        <v>45770</v>
      </c>
      <c r="D1782" t="s">
        <v>47</v>
      </c>
      <c r="E1782" t="s">
        <v>50</v>
      </c>
      <c r="F1782" t="s">
        <v>29</v>
      </c>
      <c r="G1782" t="s">
        <v>26</v>
      </c>
      <c r="H1782" t="s">
        <v>51</v>
      </c>
      <c r="I1782">
        <v>8</v>
      </c>
      <c r="J1782">
        <v>0.05</v>
      </c>
      <c r="K1782">
        <v>110.76</v>
      </c>
      <c r="L1782">
        <v>4.8600000000000003</v>
      </c>
      <c r="M1782" t="s">
        <v>2475</v>
      </c>
      <c r="N1782" t="s">
        <v>2474</v>
      </c>
      <c r="O1782" t="s">
        <v>2463</v>
      </c>
      <c r="P1782">
        <v>7.93</v>
      </c>
      <c r="Q1782">
        <v>14.78</v>
      </c>
      <c r="R1782">
        <v>63.44</v>
      </c>
      <c r="S1782">
        <v>42.460000000000008</v>
      </c>
      <c r="T1782">
        <v>0.38335139039364396</v>
      </c>
      <c r="U1782" s="1">
        <v>45748</v>
      </c>
      <c r="V1782" t="s">
        <v>2498</v>
      </c>
      <c r="W1782">
        <v>2025</v>
      </c>
    </row>
    <row r="1783" spans="1:23" x14ac:dyDescent="0.25">
      <c r="A1783" t="s">
        <v>1830</v>
      </c>
      <c r="B1783" s="1">
        <v>45677</v>
      </c>
      <c r="C1783" s="1">
        <v>45678</v>
      </c>
      <c r="D1783" t="s">
        <v>32</v>
      </c>
      <c r="E1783" t="s">
        <v>45</v>
      </c>
      <c r="F1783" t="s">
        <v>25</v>
      </c>
      <c r="G1783" t="s">
        <v>20</v>
      </c>
      <c r="H1783" t="s">
        <v>17</v>
      </c>
      <c r="I1783">
        <v>4</v>
      </c>
      <c r="J1783">
        <v>0</v>
      </c>
      <c r="K1783">
        <v>449.69</v>
      </c>
      <c r="L1783">
        <v>5.7</v>
      </c>
      <c r="M1783" t="s">
        <v>2472</v>
      </c>
      <c r="N1783" t="s">
        <v>2467</v>
      </c>
      <c r="O1783" t="s">
        <v>2468</v>
      </c>
      <c r="P1783">
        <v>63.69</v>
      </c>
      <c r="Q1783">
        <v>125.5</v>
      </c>
      <c r="R1783">
        <v>254.76</v>
      </c>
      <c r="S1783">
        <v>189.23000000000002</v>
      </c>
      <c r="T1783">
        <v>0.42080099624185552</v>
      </c>
      <c r="U1783" s="1">
        <v>45658</v>
      </c>
      <c r="V1783" t="s">
        <v>2499</v>
      </c>
      <c r="W1783">
        <v>2025</v>
      </c>
    </row>
    <row r="1784" spans="1:23" x14ac:dyDescent="0.25">
      <c r="A1784" t="s">
        <v>1831</v>
      </c>
      <c r="B1784" s="1">
        <v>45393</v>
      </c>
      <c r="C1784" s="1">
        <v>45398</v>
      </c>
      <c r="D1784" t="s">
        <v>23</v>
      </c>
      <c r="E1784" t="s">
        <v>24</v>
      </c>
      <c r="F1784" t="s">
        <v>29</v>
      </c>
      <c r="G1784" t="s">
        <v>16</v>
      </c>
      <c r="H1784" t="s">
        <v>65</v>
      </c>
      <c r="I1784">
        <v>4</v>
      </c>
      <c r="J1784">
        <v>0.15</v>
      </c>
      <c r="K1784">
        <v>924.9</v>
      </c>
      <c r="L1784">
        <v>13.7</v>
      </c>
      <c r="M1784" t="s">
        <v>2457</v>
      </c>
      <c r="N1784" t="s">
        <v>2458</v>
      </c>
      <c r="O1784" t="s">
        <v>2459</v>
      </c>
      <c r="P1784">
        <v>173.56</v>
      </c>
      <c r="Q1784">
        <v>286.14999999999998</v>
      </c>
      <c r="R1784">
        <v>694.24</v>
      </c>
      <c r="S1784">
        <v>216.95999999999998</v>
      </c>
      <c r="T1784">
        <v>0.23457671099578331</v>
      </c>
      <c r="U1784" s="1">
        <v>45383</v>
      </c>
      <c r="V1784" t="s">
        <v>2500</v>
      </c>
      <c r="W1784">
        <v>2024</v>
      </c>
    </row>
    <row r="1785" spans="1:23" x14ac:dyDescent="0.25">
      <c r="A1785" t="s">
        <v>1832</v>
      </c>
      <c r="B1785" s="1">
        <v>45807</v>
      </c>
      <c r="C1785" s="1">
        <v>45813</v>
      </c>
      <c r="D1785" t="s">
        <v>32</v>
      </c>
      <c r="E1785" t="s">
        <v>45</v>
      </c>
      <c r="F1785" t="s">
        <v>15</v>
      </c>
      <c r="G1785" t="s">
        <v>26</v>
      </c>
      <c r="H1785" t="s">
        <v>17</v>
      </c>
      <c r="I1785">
        <v>4</v>
      </c>
      <c r="J1785">
        <v>0.05</v>
      </c>
      <c r="K1785">
        <v>508.53</v>
      </c>
      <c r="L1785">
        <v>5.7</v>
      </c>
      <c r="M1785" t="s">
        <v>2472</v>
      </c>
      <c r="N1785" t="s">
        <v>2467</v>
      </c>
      <c r="O1785" t="s">
        <v>2468</v>
      </c>
      <c r="P1785">
        <v>63.69</v>
      </c>
      <c r="Q1785">
        <v>125.5</v>
      </c>
      <c r="R1785">
        <v>254.76</v>
      </c>
      <c r="S1785">
        <v>248.07</v>
      </c>
      <c r="T1785">
        <v>0.48781782785676364</v>
      </c>
      <c r="U1785" s="1">
        <v>45778</v>
      </c>
      <c r="V1785" t="s">
        <v>2498</v>
      </c>
      <c r="W1785">
        <v>2025</v>
      </c>
    </row>
    <row r="1786" spans="1:23" x14ac:dyDescent="0.25">
      <c r="A1786" t="s">
        <v>1833</v>
      </c>
      <c r="B1786" s="1">
        <v>46004</v>
      </c>
      <c r="C1786" s="1">
        <v>46006</v>
      </c>
      <c r="D1786" t="s">
        <v>23</v>
      </c>
      <c r="E1786" t="s">
        <v>24</v>
      </c>
      <c r="F1786" t="s">
        <v>15</v>
      </c>
      <c r="G1786" t="s">
        <v>26</v>
      </c>
      <c r="H1786" t="s">
        <v>30</v>
      </c>
      <c r="I1786">
        <v>14</v>
      </c>
      <c r="J1786">
        <v>0</v>
      </c>
      <c r="K1786">
        <v>113.94</v>
      </c>
      <c r="L1786">
        <v>6.48</v>
      </c>
      <c r="M1786" t="s">
        <v>2473</v>
      </c>
      <c r="N1786" t="s">
        <v>2474</v>
      </c>
      <c r="O1786" t="s">
        <v>2463</v>
      </c>
      <c r="P1786">
        <v>3.62</v>
      </c>
      <c r="Q1786">
        <v>6.03</v>
      </c>
      <c r="R1786">
        <v>50.68</v>
      </c>
      <c r="S1786">
        <v>56.78</v>
      </c>
      <c r="T1786">
        <v>0.49833245567842727</v>
      </c>
      <c r="U1786" s="1">
        <v>45992</v>
      </c>
      <c r="V1786" t="s">
        <v>2499</v>
      </c>
      <c r="W1786">
        <v>2025</v>
      </c>
    </row>
    <row r="1787" spans="1:23" x14ac:dyDescent="0.25">
      <c r="A1787" t="s">
        <v>1834</v>
      </c>
      <c r="B1787" s="1">
        <v>45351</v>
      </c>
      <c r="C1787" s="1">
        <v>45353</v>
      </c>
      <c r="D1787" t="s">
        <v>47</v>
      </c>
      <c r="E1787" t="s">
        <v>50</v>
      </c>
      <c r="F1787" t="s">
        <v>29</v>
      </c>
      <c r="G1787" t="s">
        <v>20</v>
      </c>
      <c r="H1787" t="s">
        <v>68</v>
      </c>
      <c r="I1787">
        <v>5</v>
      </c>
      <c r="J1787">
        <v>0.1</v>
      </c>
      <c r="K1787">
        <v>204.83</v>
      </c>
      <c r="L1787">
        <v>10.75</v>
      </c>
      <c r="M1787" t="s">
        <v>2466</v>
      </c>
      <c r="N1787" t="s">
        <v>2467</v>
      </c>
      <c r="O1787" t="s">
        <v>2468</v>
      </c>
      <c r="P1787">
        <v>25.33</v>
      </c>
      <c r="Q1787">
        <v>51.56</v>
      </c>
      <c r="R1787">
        <v>126.64999999999999</v>
      </c>
      <c r="S1787">
        <v>67.430000000000021</v>
      </c>
      <c r="T1787">
        <v>0.32919982424449551</v>
      </c>
      <c r="U1787" s="1">
        <v>45323</v>
      </c>
      <c r="V1787" t="s">
        <v>2498</v>
      </c>
      <c r="W1787">
        <v>2024</v>
      </c>
    </row>
    <row r="1788" spans="1:23" x14ac:dyDescent="0.25">
      <c r="A1788" t="s">
        <v>1835</v>
      </c>
      <c r="B1788" s="1">
        <v>45493</v>
      </c>
      <c r="C1788" s="1">
        <v>45499</v>
      </c>
      <c r="D1788" t="s">
        <v>47</v>
      </c>
      <c r="E1788" t="s">
        <v>48</v>
      </c>
      <c r="F1788" t="s">
        <v>25</v>
      </c>
      <c r="G1788" t="s">
        <v>20</v>
      </c>
      <c r="H1788" t="s">
        <v>39</v>
      </c>
      <c r="I1788">
        <v>4</v>
      </c>
      <c r="J1788">
        <v>0</v>
      </c>
      <c r="K1788">
        <v>679.78</v>
      </c>
      <c r="L1788">
        <v>9.5</v>
      </c>
      <c r="M1788" t="s">
        <v>2471</v>
      </c>
      <c r="N1788" t="s">
        <v>2467</v>
      </c>
      <c r="O1788" t="s">
        <v>2461</v>
      </c>
      <c r="P1788">
        <v>112.09</v>
      </c>
      <c r="Q1788">
        <v>192.47</v>
      </c>
      <c r="R1788">
        <v>448.36</v>
      </c>
      <c r="S1788">
        <v>221.91999999999996</v>
      </c>
      <c r="T1788">
        <v>0.32645856012239249</v>
      </c>
      <c r="U1788" s="1">
        <v>45474</v>
      </c>
      <c r="V1788" t="s">
        <v>2499</v>
      </c>
      <c r="W1788">
        <v>2024</v>
      </c>
    </row>
    <row r="1789" spans="1:23" x14ac:dyDescent="0.25">
      <c r="A1789" t="s">
        <v>1836</v>
      </c>
      <c r="B1789" s="1">
        <v>45725</v>
      </c>
      <c r="C1789" s="1">
        <v>45730</v>
      </c>
      <c r="D1789" t="s">
        <v>32</v>
      </c>
      <c r="E1789" t="s">
        <v>45</v>
      </c>
      <c r="F1789" t="s">
        <v>15</v>
      </c>
      <c r="G1789" t="s">
        <v>26</v>
      </c>
      <c r="H1789" t="s">
        <v>60</v>
      </c>
      <c r="I1789">
        <v>2</v>
      </c>
      <c r="J1789">
        <v>0</v>
      </c>
      <c r="K1789">
        <v>217.19</v>
      </c>
      <c r="L1789">
        <v>7</v>
      </c>
      <c r="M1789" t="s">
        <v>2469</v>
      </c>
      <c r="N1789" t="s">
        <v>2467</v>
      </c>
      <c r="O1789" t="s">
        <v>2468</v>
      </c>
      <c r="P1789">
        <v>54.95</v>
      </c>
      <c r="Q1789">
        <v>112.56</v>
      </c>
      <c r="R1789">
        <v>109.9</v>
      </c>
      <c r="S1789">
        <v>100.28999999999999</v>
      </c>
      <c r="T1789">
        <v>0.46176159123348215</v>
      </c>
      <c r="U1789" s="1">
        <v>45717</v>
      </c>
      <c r="V1789" t="s">
        <v>2499</v>
      </c>
      <c r="W1789">
        <v>2025</v>
      </c>
    </row>
    <row r="1790" spans="1:23" x14ac:dyDescent="0.25">
      <c r="A1790" t="s">
        <v>1837</v>
      </c>
      <c r="B1790" s="1">
        <v>45742</v>
      </c>
      <c r="C1790" s="1">
        <v>45748</v>
      </c>
      <c r="D1790" t="s">
        <v>47</v>
      </c>
      <c r="E1790" t="s">
        <v>71</v>
      </c>
      <c r="F1790" t="s">
        <v>29</v>
      </c>
      <c r="G1790" t="s">
        <v>20</v>
      </c>
      <c r="H1790" t="s">
        <v>37</v>
      </c>
      <c r="I1790">
        <v>3</v>
      </c>
      <c r="J1790">
        <v>0.05</v>
      </c>
      <c r="K1790">
        <v>286.14999999999998</v>
      </c>
      <c r="L1790">
        <v>6.84</v>
      </c>
      <c r="M1790" t="s">
        <v>2464</v>
      </c>
      <c r="N1790" t="s">
        <v>2458</v>
      </c>
      <c r="O1790" t="s">
        <v>2465</v>
      </c>
      <c r="P1790">
        <v>63.6</v>
      </c>
      <c r="Q1790">
        <v>107.94</v>
      </c>
      <c r="R1790">
        <v>190.8</v>
      </c>
      <c r="S1790">
        <v>88.509999999999962</v>
      </c>
      <c r="T1790">
        <v>0.30931329722173673</v>
      </c>
      <c r="U1790" s="1">
        <v>45717</v>
      </c>
      <c r="V1790" t="s">
        <v>2498</v>
      </c>
      <c r="W1790">
        <v>2025</v>
      </c>
    </row>
    <row r="1791" spans="1:23" x14ac:dyDescent="0.25">
      <c r="A1791" t="s">
        <v>1838</v>
      </c>
      <c r="B1791" s="1">
        <v>45864</v>
      </c>
      <c r="C1791" s="1">
        <v>45868</v>
      </c>
      <c r="D1791" t="s">
        <v>32</v>
      </c>
      <c r="E1791" t="s">
        <v>62</v>
      </c>
      <c r="F1791" t="s">
        <v>25</v>
      </c>
      <c r="G1791" t="s">
        <v>16</v>
      </c>
      <c r="H1791" t="s">
        <v>39</v>
      </c>
      <c r="I1791">
        <v>3</v>
      </c>
      <c r="J1791">
        <v>0</v>
      </c>
      <c r="K1791">
        <v>506.76</v>
      </c>
      <c r="L1791">
        <v>8.25</v>
      </c>
      <c r="M1791" t="s">
        <v>2471</v>
      </c>
      <c r="N1791" t="s">
        <v>2467</v>
      </c>
      <c r="O1791" t="s">
        <v>2461</v>
      </c>
      <c r="P1791">
        <v>112.09</v>
      </c>
      <c r="Q1791">
        <v>192.47</v>
      </c>
      <c r="R1791">
        <v>336.27</v>
      </c>
      <c r="S1791">
        <v>162.24</v>
      </c>
      <c r="T1791">
        <v>0.32015155103007342</v>
      </c>
      <c r="U1791" s="1">
        <v>45839</v>
      </c>
      <c r="V1791" t="s">
        <v>2499</v>
      </c>
      <c r="W1791">
        <v>2025</v>
      </c>
    </row>
    <row r="1792" spans="1:23" x14ac:dyDescent="0.25">
      <c r="A1792" t="s">
        <v>1839</v>
      </c>
      <c r="B1792" s="1">
        <v>45543</v>
      </c>
      <c r="C1792" s="1">
        <v>45545</v>
      </c>
      <c r="D1792" t="s">
        <v>47</v>
      </c>
      <c r="E1792" t="s">
        <v>50</v>
      </c>
      <c r="F1792" t="s">
        <v>15</v>
      </c>
      <c r="G1792" t="s">
        <v>26</v>
      </c>
      <c r="H1792" t="s">
        <v>60</v>
      </c>
      <c r="I1792">
        <v>2</v>
      </c>
      <c r="J1792">
        <v>0.25</v>
      </c>
      <c r="K1792">
        <v>190.49</v>
      </c>
      <c r="L1792">
        <v>7</v>
      </c>
      <c r="M1792" t="s">
        <v>2469</v>
      </c>
      <c r="N1792" t="s">
        <v>2467</v>
      </c>
      <c r="O1792" t="s">
        <v>2468</v>
      </c>
      <c r="P1792">
        <v>54.95</v>
      </c>
      <c r="Q1792">
        <v>112.56</v>
      </c>
      <c r="R1792">
        <v>109.9</v>
      </c>
      <c r="S1792">
        <v>73.59</v>
      </c>
      <c r="T1792">
        <v>0.38631949183684183</v>
      </c>
      <c r="U1792" s="1">
        <v>45536</v>
      </c>
      <c r="V1792" t="s">
        <v>2501</v>
      </c>
      <c r="W1792">
        <v>2024</v>
      </c>
    </row>
    <row r="1793" spans="1:23" x14ac:dyDescent="0.25">
      <c r="A1793" t="s">
        <v>1840</v>
      </c>
      <c r="B1793" s="1">
        <v>45885</v>
      </c>
      <c r="C1793" s="1">
        <v>45888</v>
      </c>
      <c r="D1793" t="s">
        <v>32</v>
      </c>
      <c r="E1793" t="s">
        <v>62</v>
      </c>
      <c r="F1793" t="s">
        <v>29</v>
      </c>
      <c r="G1793" t="s">
        <v>26</v>
      </c>
      <c r="H1793" t="s">
        <v>27</v>
      </c>
      <c r="I1793">
        <v>7</v>
      </c>
      <c r="J1793">
        <v>0.15</v>
      </c>
      <c r="K1793">
        <v>158.41</v>
      </c>
      <c r="L1793">
        <v>4.59</v>
      </c>
      <c r="M1793" t="s">
        <v>2478</v>
      </c>
      <c r="N1793" t="s">
        <v>2474</v>
      </c>
      <c r="O1793" t="s">
        <v>2463</v>
      </c>
      <c r="P1793">
        <v>16.760000000000002</v>
      </c>
      <c r="Q1793">
        <v>27.71</v>
      </c>
      <c r="R1793">
        <v>117.32000000000001</v>
      </c>
      <c r="S1793">
        <v>36.499999999999986</v>
      </c>
      <c r="T1793">
        <v>0.23041474654377872</v>
      </c>
      <c r="U1793" s="1">
        <v>45870</v>
      </c>
      <c r="V1793" t="s">
        <v>2500</v>
      </c>
      <c r="W1793">
        <v>2025</v>
      </c>
    </row>
    <row r="1794" spans="1:23" x14ac:dyDescent="0.25">
      <c r="A1794" t="s">
        <v>1841</v>
      </c>
      <c r="B1794" s="1">
        <v>45343</v>
      </c>
      <c r="C1794" s="1">
        <v>45348</v>
      </c>
      <c r="D1794" t="s">
        <v>32</v>
      </c>
      <c r="E1794" t="s">
        <v>45</v>
      </c>
      <c r="F1794" t="s">
        <v>15</v>
      </c>
      <c r="G1794" t="s">
        <v>26</v>
      </c>
      <c r="H1794" t="s">
        <v>63</v>
      </c>
      <c r="I1794">
        <v>10</v>
      </c>
      <c r="J1794">
        <v>0.2</v>
      </c>
      <c r="K1794">
        <v>82.57</v>
      </c>
      <c r="L1794">
        <v>9</v>
      </c>
      <c r="M1794" t="s">
        <v>2477</v>
      </c>
      <c r="N1794" t="s">
        <v>2474</v>
      </c>
      <c r="O1794" t="s">
        <v>2468</v>
      </c>
      <c r="P1794">
        <v>6.33</v>
      </c>
      <c r="Q1794">
        <v>12.16</v>
      </c>
      <c r="R1794">
        <v>63.3</v>
      </c>
      <c r="S1794">
        <v>10.269999999999996</v>
      </c>
      <c r="T1794">
        <v>0.12437931452101243</v>
      </c>
      <c r="U1794" s="1">
        <v>45323</v>
      </c>
      <c r="V1794" t="s">
        <v>2500</v>
      </c>
      <c r="W1794">
        <v>2024</v>
      </c>
    </row>
    <row r="1795" spans="1:23" x14ac:dyDescent="0.25">
      <c r="A1795" t="s">
        <v>1842</v>
      </c>
      <c r="B1795" s="1">
        <v>45506</v>
      </c>
      <c r="C1795" s="1">
        <v>45507</v>
      </c>
      <c r="D1795" t="s">
        <v>13</v>
      </c>
      <c r="E1795" t="s">
        <v>19</v>
      </c>
      <c r="F1795" t="s">
        <v>15</v>
      </c>
      <c r="G1795" t="s">
        <v>16</v>
      </c>
      <c r="H1795" t="s">
        <v>51</v>
      </c>
      <c r="I1795">
        <v>23</v>
      </c>
      <c r="J1795">
        <v>0</v>
      </c>
      <c r="K1795">
        <v>335.15</v>
      </c>
      <c r="L1795">
        <v>14.85</v>
      </c>
      <c r="M1795" t="s">
        <v>2475</v>
      </c>
      <c r="N1795" t="s">
        <v>2474</v>
      </c>
      <c r="O1795" t="s">
        <v>2463</v>
      </c>
      <c r="P1795">
        <v>7.93</v>
      </c>
      <c r="Q1795">
        <v>14.78</v>
      </c>
      <c r="R1795">
        <v>182.39</v>
      </c>
      <c r="S1795">
        <v>137.91</v>
      </c>
      <c r="T1795">
        <v>0.41148739370431153</v>
      </c>
      <c r="U1795" s="1">
        <v>45505</v>
      </c>
      <c r="V1795" t="s">
        <v>2499</v>
      </c>
      <c r="W1795">
        <v>2024</v>
      </c>
    </row>
    <row r="1796" spans="1:23" x14ac:dyDescent="0.25">
      <c r="A1796" t="s">
        <v>1843</v>
      </c>
      <c r="B1796" s="1">
        <v>45445</v>
      </c>
      <c r="C1796" s="1">
        <v>45446</v>
      </c>
      <c r="D1796" t="s">
        <v>23</v>
      </c>
      <c r="E1796" t="s">
        <v>59</v>
      </c>
      <c r="F1796" t="s">
        <v>25</v>
      </c>
      <c r="G1796" t="s">
        <v>26</v>
      </c>
      <c r="H1796" t="s">
        <v>17</v>
      </c>
      <c r="I1796">
        <v>2</v>
      </c>
      <c r="J1796">
        <v>0</v>
      </c>
      <c r="K1796">
        <v>263.14999999999998</v>
      </c>
      <c r="L1796">
        <v>7</v>
      </c>
      <c r="M1796" t="s">
        <v>2472</v>
      </c>
      <c r="N1796" t="s">
        <v>2467</v>
      </c>
      <c r="O1796" t="s">
        <v>2468</v>
      </c>
      <c r="P1796">
        <v>63.69</v>
      </c>
      <c r="Q1796">
        <v>125.5</v>
      </c>
      <c r="R1796">
        <v>127.38</v>
      </c>
      <c r="S1796">
        <v>128.76999999999998</v>
      </c>
      <c r="T1796">
        <v>0.48934068022040661</v>
      </c>
      <c r="U1796" s="1">
        <v>45444</v>
      </c>
      <c r="V1796" t="s">
        <v>2499</v>
      </c>
      <c r="W1796">
        <v>2024</v>
      </c>
    </row>
    <row r="1797" spans="1:23" x14ac:dyDescent="0.25">
      <c r="A1797" t="s">
        <v>1844</v>
      </c>
      <c r="B1797" s="1">
        <v>46020</v>
      </c>
      <c r="C1797" s="1">
        <v>46022</v>
      </c>
      <c r="D1797" t="s">
        <v>13</v>
      </c>
      <c r="E1797" t="s">
        <v>19</v>
      </c>
      <c r="F1797" t="s">
        <v>25</v>
      </c>
      <c r="G1797" t="s">
        <v>26</v>
      </c>
      <c r="H1797" t="s">
        <v>41</v>
      </c>
      <c r="I1797">
        <v>5</v>
      </c>
      <c r="J1797">
        <v>0</v>
      </c>
      <c r="K1797">
        <v>44.81</v>
      </c>
      <c r="L1797">
        <v>6.75</v>
      </c>
      <c r="M1797" t="s">
        <v>2479</v>
      </c>
      <c r="N1797" t="s">
        <v>2474</v>
      </c>
      <c r="O1797" t="s">
        <v>2459</v>
      </c>
      <c r="P1797">
        <v>3.3</v>
      </c>
      <c r="Q1797">
        <v>6.13</v>
      </c>
      <c r="R1797">
        <v>16.5</v>
      </c>
      <c r="S1797">
        <v>21.560000000000002</v>
      </c>
      <c r="T1797">
        <v>0.48114260209774606</v>
      </c>
      <c r="U1797" s="1">
        <v>45992</v>
      </c>
      <c r="V1797" t="s">
        <v>2499</v>
      </c>
      <c r="W1797">
        <v>2025</v>
      </c>
    </row>
    <row r="1798" spans="1:23" x14ac:dyDescent="0.25">
      <c r="A1798" t="s">
        <v>1845</v>
      </c>
      <c r="B1798" s="1">
        <v>45806</v>
      </c>
      <c r="C1798" s="1">
        <v>45808</v>
      </c>
      <c r="D1798" t="s">
        <v>32</v>
      </c>
      <c r="E1798" t="s">
        <v>45</v>
      </c>
      <c r="F1798" t="s">
        <v>25</v>
      </c>
      <c r="G1798" t="s">
        <v>16</v>
      </c>
      <c r="H1798" t="s">
        <v>30</v>
      </c>
      <c r="I1798">
        <v>4</v>
      </c>
      <c r="J1798">
        <v>0.15</v>
      </c>
      <c r="K1798">
        <v>19.71</v>
      </c>
      <c r="L1798">
        <v>6.3</v>
      </c>
      <c r="M1798" t="s">
        <v>2473</v>
      </c>
      <c r="N1798" t="s">
        <v>2474</v>
      </c>
      <c r="O1798" t="s">
        <v>2463</v>
      </c>
      <c r="P1798">
        <v>3.62</v>
      </c>
      <c r="Q1798">
        <v>6.03</v>
      </c>
      <c r="R1798">
        <v>14.48</v>
      </c>
      <c r="S1798">
        <v>-1.0699999999999994</v>
      </c>
      <c r="T1798">
        <v>-5.4287163876204941E-2</v>
      </c>
      <c r="U1798" s="1">
        <v>45778</v>
      </c>
      <c r="V1798" t="s">
        <v>2500</v>
      </c>
      <c r="W1798">
        <v>2025</v>
      </c>
    </row>
    <row r="1799" spans="1:23" x14ac:dyDescent="0.25">
      <c r="A1799" t="s">
        <v>1846</v>
      </c>
      <c r="B1799" s="1">
        <v>45444</v>
      </c>
      <c r="C1799" s="1">
        <v>45448</v>
      </c>
      <c r="D1799" t="s">
        <v>13</v>
      </c>
      <c r="E1799" t="s">
        <v>19</v>
      </c>
      <c r="F1799" t="s">
        <v>29</v>
      </c>
      <c r="G1799" t="s">
        <v>16</v>
      </c>
      <c r="H1799" t="s">
        <v>37</v>
      </c>
      <c r="I1799">
        <v>2</v>
      </c>
      <c r="J1799">
        <v>0</v>
      </c>
      <c r="K1799">
        <v>232.41</v>
      </c>
      <c r="L1799">
        <v>5.46</v>
      </c>
      <c r="M1799" t="s">
        <v>2464</v>
      </c>
      <c r="N1799" t="s">
        <v>2458</v>
      </c>
      <c r="O1799" t="s">
        <v>2465</v>
      </c>
      <c r="P1799">
        <v>63.6</v>
      </c>
      <c r="Q1799">
        <v>107.94</v>
      </c>
      <c r="R1799">
        <v>127.2</v>
      </c>
      <c r="S1799">
        <v>99.75</v>
      </c>
      <c r="T1799">
        <v>0.42919839938040533</v>
      </c>
      <c r="U1799" s="1">
        <v>45444</v>
      </c>
      <c r="V1799" t="s">
        <v>2499</v>
      </c>
      <c r="W1799">
        <v>2024</v>
      </c>
    </row>
    <row r="1800" spans="1:23" x14ac:dyDescent="0.25">
      <c r="A1800" t="s">
        <v>1847</v>
      </c>
      <c r="B1800" s="1">
        <v>45865</v>
      </c>
      <c r="C1800" s="1">
        <v>45867</v>
      </c>
      <c r="D1800" t="s">
        <v>32</v>
      </c>
      <c r="E1800" t="s">
        <v>45</v>
      </c>
      <c r="F1800" t="s">
        <v>15</v>
      </c>
      <c r="G1800" t="s">
        <v>20</v>
      </c>
      <c r="H1800" t="s">
        <v>53</v>
      </c>
      <c r="I1800">
        <v>2</v>
      </c>
      <c r="J1800">
        <v>0.1</v>
      </c>
      <c r="K1800">
        <v>98.38</v>
      </c>
      <c r="L1800">
        <v>4.2</v>
      </c>
      <c r="M1800" t="s">
        <v>2470</v>
      </c>
      <c r="N1800" t="s">
        <v>2467</v>
      </c>
      <c r="O1800" t="s">
        <v>2459</v>
      </c>
      <c r="P1800">
        <v>31.34</v>
      </c>
      <c r="Q1800">
        <v>56.49</v>
      </c>
      <c r="R1800">
        <v>62.68</v>
      </c>
      <c r="S1800">
        <v>31.499999999999996</v>
      </c>
      <c r="T1800">
        <v>0.32018702988412279</v>
      </c>
      <c r="U1800" s="1">
        <v>45839</v>
      </c>
      <c r="V1800" t="s">
        <v>2498</v>
      </c>
      <c r="W1800">
        <v>2025</v>
      </c>
    </row>
    <row r="1801" spans="1:23" x14ac:dyDescent="0.25">
      <c r="A1801" t="s">
        <v>1848</v>
      </c>
      <c r="B1801" s="1">
        <v>45622</v>
      </c>
      <c r="C1801" s="1">
        <v>45627</v>
      </c>
      <c r="D1801" t="s">
        <v>47</v>
      </c>
      <c r="E1801" t="s">
        <v>48</v>
      </c>
      <c r="F1801" t="s">
        <v>29</v>
      </c>
      <c r="G1801" t="s">
        <v>26</v>
      </c>
      <c r="H1801" t="s">
        <v>63</v>
      </c>
      <c r="I1801">
        <v>9</v>
      </c>
      <c r="J1801">
        <v>0.25</v>
      </c>
      <c r="K1801">
        <v>105.21</v>
      </c>
      <c r="L1801">
        <v>8.5500000000000007</v>
      </c>
      <c r="M1801" t="s">
        <v>2477</v>
      </c>
      <c r="N1801" t="s">
        <v>2474</v>
      </c>
      <c r="O1801" t="s">
        <v>2468</v>
      </c>
      <c r="P1801">
        <v>6.33</v>
      </c>
      <c r="Q1801">
        <v>12.16</v>
      </c>
      <c r="R1801">
        <v>56.97</v>
      </c>
      <c r="S1801">
        <v>39.69</v>
      </c>
      <c r="T1801">
        <v>0.3772455089820359</v>
      </c>
      <c r="U1801" s="1">
        <v>45597</v>
      </c>
      <c r="V1801" t="s">
        <v>2501</v>
      </c>
      <c r="W1801">
        <v>2024</v>
      </c>
    </row>
    <row r="1802" spans="1:23" x14ac:dyDescent="0.25">
      <c r="A1802" t="s">
        <v>1849</v>
      </c>
      <c r="B1802" s="1">
        <v>45432</v>
      </c>
      <c r="C1802" s="1">
        <v>45437</v>
      </c>
      <c r="D1802" t="s">
        <v>47</v>
      </c>
      <c r="E1802" t="s">
        <v>71</v>
      </c>
      <c r="F1802" t="s">
        <v>15</v>
      </c>
      <c r="G1802" t="s">
        <v>26</v>
      </c>
      <c r="H1802" t="s">
        <v>34</v>
      </c>
      <c r="I1802">
        <v>4</v>
      </c>
      <c r="J1802">
        <v>0</v>
      </c>
      <c r="K1802">
        <v>807.81</v>
      </c>
      <c r="L1802">
        <v>13.7</v>
      </c>
      <c r="M1802" t="s">
        <v>2460</v>
      </c>
      <c r="N1802" t="s">
        <v>2458</v>
      </c>
      <c r="O1802" t="s">
        <v>2461</v>
      </c>
      <c r="P1802">
        <v>119.02</v>
      </c>
      <c r="Q1802">
        <v>205.39</v>
      </c>
      <c r="R1802">
        <v>476.08</v>
      </c>
      <c r="S1802">
        <v>318.02999999999997</v>
      </c>
      <c r="T1802">
        <v>0.39369406172243471</v>
      </c>
      <c r="U1802" s="1">
        <v>45413</v>
      </c>
      <c r="V1802" t="s">
        <v>2499</v>
      </c>
      <c r="W1802">
        <v>2024</v>
      </c>
    </row>
    <row r="1803" spans="1:23" x14ac:dyDescent="0.25">
      <c r="A1803" t="s">
        <v>1850</v>
      </c>
      <c r="B1803" s="1">
        <v>45583</v>
      </c>
      <c r="C1803" s="1">
        <v>45588</v>
      </c>
      <c r="D1803" t="s">
        <v>23</v>
      </c>
      <c r="E1803" t="s">
        <v>43</v>
      </c>
      <c r="F1803" t="s">
        <v>25</v>
      </c>
      <c r="G1803" t="s">
        <v>26</v>
      </c>
      <c r="H1803" t="s">
        <v>37</v>
      </c>
      <c r="I1803">
        <v>4</v>
      </c>
      <c r="J1803">
        <v>0.1</v>
      </c>
      <c r="K1803">
        <v>452.44</v>
      </c>
      <c r="L1803">
        <v>8.2200000000000006</v>
      </c>
      <c r="M1803" t="s">
        <v>2464</v>
      </c>
      <c r="N1803" t="s">
        <v>2458</v>
      </c>
      <c r="O1803" t="s">
        <v>2465</v>
      </c>
      <c r="P1803">
        <v>63.6</v>
      </c>
      <c r="Q1803">
        <v>107.94</v>
      </c>
      <c r="R1803">
        <v>254.4</v>
      </c>
      <c r="S1803">
        <v>189.82</v>
      </c>
      <c r="T1803">
        <v>0.41954734329413845</v>
      </c>
      <c r="U1803" s="1">
        <v>45566</v>
      </c>
      <c r="V1803" t="s">
        <v>2498</v>
      </c>
      <c r="W1803">
        <v>2024</v>
      </c>
    </row>
    <row r="1804" spans="1:23" x14ac:dyDescent="0.25">
      <c r="A1804" t="s">
        <v>1851</v>
      </c>
      <c r="B1804" s="1">
        <v>45407</v>
      </c>
      <c r="C1804" s="1">
        <v>45412</v>
      </c>
      <c r="D1804" t="s">
        <v>23</v>
      </c>
      <c r="E1804" t="s">
        <v>59</v>
      </c>
      <c r="F1804" t="s">
        <v>15</v>
      </c>
      <c r="G1804" t="s">
        <v>26</v>
      </c>
      <c r="H1804" t="s">
        <v>17</v>
      </c>
      <c r="I1804">
        <v>7</v>
      </c>
      <c r="J1804">
        <v>0</v>
      </c>
      <c r="K1804">
        <v>844.58</v>
      </c>
      <c r="L1804">
        <v>7.95</v>
      </c>
      <c r="M1804" t="s">
        <v>2472</v>
      </c>
      <c r="N1804" t="s">
        <v>2467</v>
      </c>
      <c r="O1804" t="s">
        <v>2468</v>
      </c>
      <c r="P1804">
        <v>63.69</v>
      </c>
      <c r="Q1804">
        <v>125.5</v>
      </c>
      <c r="R1804">
        <v>445.83</v>
      </c>
      <c r="S1804">
        <v>390.80000000000007</v>
      </c>
      <c r="T1804">
        <v>0.46271519571858205</v>
      </c>
      <c r="U1804" s="1">
        <v>45383</v>
      </c>
      <c r="V1804" t="s">
        <v>2499</v>
      </c>
      <c r="W1804">
        <v>2024</v>
      </c>
    </row>
    <row r="1805" spans="1:23" x14ac:dyDescent="0.25">
      <c r="A1805" t="s">
        <v>1852</v>
      </c>
      <c r="B1805" s="1">
        <v>45931</v>
      </c>
      <c r="C1805" s="1">
        <v>45936</v>
      </c>
      <c r="D1805" t="s">
        <v>32</v>
      </c>
      <c r="E1805" t="s">
        <v>33</v>
      </c>
      <c r="F1805" t="s">
        <v>25</v>
      </c>
      <c r="G1805" t="s">
        <v>20</v>
      </c>
      <c r="H1805" t="s">
        <v>53</v>
      </c>
      <c r="I1805">
        <v>7</v>
      </c>
      <c r="J1805">
        <v>0</v>
      </c>
      <c r="K1805">
        <v>441.5</v>
      </c>
      <c r="L1805">
        <v>7.95</v>
      </c>
      <c r="M1805" t="s">
        <v>2470</v>
      </c>
      <c r="N1805" t="s">
        <v>2467</v>
      </c>
      <c r="O1805" t="s">
        <v>2459</v>
      </c>
      <c r="P1805">
        <v>31.34</v>
      </c>
      <c r="Q1805">
        <v>56.49</v>
      </c>
      <c r="R1805">
        <v>219.38</v>
      </c>
      <c r="S1805">
        <v>214.17000000000002</v>
      </c>
      <c r="T1805">
        <v>0.48509626274065687</v>
      </c>
      <c r="U1805" s="1">
        <v>45931</v>
      </c>
      <c r="V1805" t="s">
        <v>2499</v>
      </c>
      <c r="W1805">
        <v>2025</v>
      </c>
    </row>
    <row r="1806" spans="1:23" x14ac:dyDescent="0.25">
      <c r="A1806" t="s">
        <v>1853</v>
      </c>
      <c r="B1806" s="1">
        <v>45988</v>
      </c>
      <c r="C1806" s="1">
        <v>45990</v>
      </c>
      <c r="D1806" t="s">
        <v>32</v>
      </c>
      <c r="E1806" t="s">
        <v>62</v>
      </c>
      <c r="F1806" t="s">
        <v>25</v>
      </c>
      <c r="G1806" t="s">
        <v>16</v>
      </c>
      <c r="H1806" t="s">
        <v>60</v>
      </c>
      <c r="I1806">
        <v>4</v>
      </c>
      <c r="J1806">
        <v>0.05</v>
      </c>
      <c r="K1806">
        <v>551.03</v>
      </c>
      <c r="L1806">
        <v>9.5</v>
      </c>
      <c r="M1806" t="s">
        <v>2469</v>
      </c>
      <c r="N1806" t="s">
        <v>2467</v>
      </c>
      <c r="O1806" t="s">
        <v>2468</v>
      </c>
      <c r="P1806">
        <v>54.95</v>
      </c>
      <c r="Q1806">
        <v>112.56</v>
      </c>
      <c r="R1806">
        <v>219.8</v>
      </c>
      <c r="S1806">
        <v>321.72999999999996</v>
      </c>
      <c r="T1806">
        <v>0.58387020670380918</v>
      </c>
      <c r="U1806" s="1">
        <v>45962</v>
      </c>
      <c r="V1806" t="s">
        <v>2498</v>
      </c>
      <c r="W1806">
        <v>2025</v>
      </c>
    </row>
    <row r="1807" spans="1:23" x14ac:dyDescent="0.25">
      <c r="A1807" t="s">
        <v>1854</v>
      </c>
      <c r="B1807" s="1">
        <v>45807</v>
      </c>
      <c r="C1807" s="1">
        <v>45808</v>
      </c>
      <c r="D1807" t="s">
        <v>23</v>
      </c>
      <c r="E1807" t="s">
        <v>43</v>
      </c>
      <c r="F1807" t="s">
        <v>15</v>
      </c>
      <c r="G1807" t="s">
        <v>26</v>
      </c>
      <c r="H1807" t="s">
        <v>53</v>
      </c>
      <c r="I1807">
        <v>1</v>
      </c>
      <c r="J1807">
        <v>0.15</v>
      </c>
      <c r="K1807">
        <v>49.11</v>
      </c>
      <c r="L1807">
        <v>5.75</v>
      </c>
      <c r="M1807" t="s">
        <v>2470</v>
      </c>
      <c r="N1807" t="s">
        <v>2467</v>
      </c>
      <c r="O1807" t="s">
        <v>2459</v>
      </c>
      <c r="P1807">
        <v>31.34</v>
      </c>
      <c r="Q1807">
        <v>56.49</v>
      </c>
      <c r="R1807">
        <v>31.34</v>
      </c>
      <c r="S1807">
        <v>12.02</v>
      </c>
      <c r="T1807">
        <v>0.24475666870291182</v>
      </c>
      <c r="U1807" s="1">
        <v>45778</v>
      </c>
      <c r="V1807" t="s">
        <v>2500</v>
      </c>
      <c r="W1807">
        <v>2025</v>
      </c>
    </row>
    <row r="1808" spans="1:23" x14ac:dyDescent="0.25">
      <c r="A1808" t="s">
        <v>1855</v>
      </c>
      <c r="B1808" s="1">
        <v>45308</v>
      </c>
      <c r="C1808" s="1">
        <v>45311</v>
      </c>
      <c r="D1808" t="s">
        <v>32</v>
      </c>
      <c r="E1808" t="s">
        <v>33</v>
      </c>
      <c r="F1808" t="s">
        <v>29</v>
      </c>
      <c r="G1808" t="s">
        <v>16</v>
      </c>
      <c r="H1808" t="s">
        <v>68</v>
      </c>
      <c r="I1808">
        <v>5</v>
      </c>
      <c r="J1808">
        <v>0.25</v>
      </c>
      <c r="K1808">
        <v>180.23</v>
      </c>
      <c r="L1808">
        <v>10.75</v>
      </c>
      <c r="M1808" t="s">
        <v>2466</v>
      </c>
      <c r="N1808" t="s">
        <v>2467</v>
      </c>
      <c r="O1808" t="s">
        <v>2468</v>
      </c>
      <c r="P1808">
        <v>25.33</v>
      </c>
      <c r="Q1808">
        <v>51.56</v>
      </c>
      <c r="R1808">
        <v>126.64999999999999</v>
      </c>
      <c r="S1808">
        <v>42.83</v>
      </c>
      <c r="T1808">
        <v>0.23764079232092328</v>
      </c>
      <c r="U1808" s="1">
        <v>45292</v>
      </c>
      <c r="V1808" t="s">
        <v>2501</v>
      </c>
      <c r="W1808">
        <v>2024</v>
      </c>
    </row>
    <row r="1809" spans="1:23" x14ac:dyDescent="0.25">
      <c r="A1809" t="s">
        <v>1856</v>
      </c>
      <c r="B1809" s="1">
        <v>45437</v>
      </c>
      <c r="C1809" s="1">
        <v>45442</v>
      </c>
      <c r="D1809" t="s">
        <v>32</v>
      </c>
      <c r="E1809" t="s">
        <v>45</v>
      </c>
      <c r="F1809" t="s">
        <v>25</v>
      </c>
      <c r="G1809" t="s">
        <v>20</v>
      </c>
      <c r="H1809" t="s">
        <v>53</v>
      </c>
      <c r="I1809">
        <v>3</v>
      </c>
      <c r="J1809">
        <v>0.15</v>
      </c>
      <c r="K1809">
        <v>140.75</v>
      </c>
      <c r="L1809">
        <v>4.95</v>
      </c>
      <c r="M1809" t="s">
        <v>2470</v>
      </c>
      <c r="N1809" t="s">
        <v>2467</v>
      </c>
      <c r="O1809" t="s">
        <v>2459</v>
      </c>
      <c r="P1809">
        <v>31.34</v>
      </c>
      <c r="Q1809">
        <v>56.49</v>
      </c>
      <c r="R1809">
        <v>94.02</v>
      </c>
      <c r="S1809">
        <v>41.78</v>
      </c>
      <c r="T1809">
        <v>0.29683836589698048</v>
      </c>
      <c r="U1809" s="1">
        <v>45413</v>
      </c>
      <c r="V1809" t="s">
        <v>2500</v>
      </c>
      <c r="W1809">
        <v>2024</v>
      </c>
    </row>
    <row r="1810" spans="1:23" x14ac:dyDescent="0.25">
      <c r="A1810" t="s">
        <v>1857</v>
      </c>
      <c r="B1810" s="1">
        <v>45702</v>
      </c>
      <c r="C1810" s="1">
        <v>45704</v>
      </c>
      <c r="D1810" t="s">
        <v>47</v>
      </c>
      <c r="E1810" t="s">
        <v>48</v>
      </c>
      <c r="F1810" t="s">
        <v>29</v>
      </c>
      <c r="G1810" t="s">
        <v>26</v>
      </c>
      <c r="H1810" t="s">
        <v>21</v>
      </c>
      <c r="I1810">
        <v>5</v>
      </c>
      <c r="J1810">
        <v>0</v>
      </c>
      <c r="K1810">
        <v>503.31</v>
      </c>
      <c r="L1810">
        <v>9.6</v>
      </c>
      <c r="M1810" t="s">
        <v>2462</v>
      </c>
      <c r="N1810" t="s">
        <v>2458</v>
      </c>
      <c r="O1810" t="s">
        <v>2463</v>
      </c>
      <c r="P1810">
        <v>71.489999999999995</v>
      </c>
      <c r="Q1810">
        <v>112.88</v>
      </c>
      <c r="R1810">
        <v>357.45</v>
      </c>
      <c r="S1810">
        <v>136.26000000000002</v>
      </c>
      <c r="T1810">
        <v>0.27072778208261311</v>
      </c>
      <c r="U1810" s="1">
        <v>45689</v>
      </c>
      <c r="V1810" t="s">
        <v>2499</v>
      </c>
      <c r="W1810">
        <v>2025</v>
      </c>
    </row>
    <row r="1811" spans="1:23" x14ac:dyDescent="0.25">
      <c r="A1811" t="s">
        <v>1858</v>
      </c>
      <c r="B1811" s="1">
        <v>45713</v>
      </c>
      <c r="C1811" s="1">
        <v>45716</v>
      </c>
      <c r="D1811" t="s">
        <v>13</v>
      </c>
      <c r="E1811" t="s">
        <v>36</v>
      </c>
      <c r="F1811" t="s">
        <v>29</v>
      </c>
      <c r="G1811" t="s">
        <v>26</v>
      </c>
      <c r="H1811" t="s">
        <v>39</v>
      </c>
      <c r="I1811">
        <v>4</v>
      </c>
      <c r="J1811">
        <v>0</v>
      </c>
      <c r="K1811">
        <v>664.82</v>
      </c>
      <c r="L1811">
        <v>9.5</v>
      </c>
      <c r="M1811" t="s">
        <v>2471</v>
      </c>
      <c r="N1811" t="s">
        <v>2467</v>
      </c>
      <c r="O1811" t="s">
        <v>2461</v>
      </c>
      <c r="P1811">
        <v>112.09</v>
      </c>
      <c r="Q1811">
        <v>192.47</v>
      </c>
      <c r="R1811">
        <v>448.36</v>
      </c>
      <c r="S1811">
        <v>206.96000000000004</v>
      </c>
      <c r="T1811">
        <v>0.31130230739147441</v>
      </c>
      <c r="U1811" s="1">
        <v>45689</v>
      </c>
      <c r="V1811" t="s">
        <v>2499</v>
      </c>
      <c r="W1811">
        <v>2025</v>
      </c>
    </row>
    <row r="1812" spans="1:23" x14ac:dyDescent="0.25">
      <c r="A1812" t="s">
        <v>1859</v>
      </c>
      <c r="B1812" s="1">
        <v>45379</v>
      </c>
      <c r="C1812" s="1">
        <v>45381</v>
      </c>
      <c r="D1812" t="s">
        <v>47</v>
      </c>
      <c r="E1812" t="s">
        <v>48</v>
      </c>
      <c r="F1812" t="s">
        <v>29</v>
      </c>
      <c r="G1812" t="s">
        <v>26</v>
      </c>
      <c r="H1812" t="s">
        <v>39</v>
      </c>
      <c r="I1812">
        <v>7</v>
      </c>
      <c r="J1812">
        <v>0</v>
      </c>
      <c r="K1812">
        <v>1221.3900000000001</v>
      </c>
      <c r="L1812">
        <v>13.25</v>
      </c>
      <c r="M1812" t="s">
        <v>2471</v>
      </c>
      <c r="N1812" t="s">
        <v>2467</v>
      </c>
      <c r="O1812" t="s">
        <v>2461</v>
      </c>
      <c r="P1812">
        <v>112.09</v>
      </c>
      <c r="Q1812">
        <v>192.47</v>
      </c>
      <c r="R1812">
        <v>784.63</v>
      </c>
      <c r="S1812">
        <v>423.5100000000001</v>
      </c>
      <c r="T1812">
        <v>0.34674428315280137</v>
      </c>
      <c r="U1812" s="1">
        <v>45352</v>
      </c>
      <c r="V1812" t="s">
        <v>2499</v>
      </c>
      <c r="W1812">
        <v>2024</v>
      </c>
    </row>
    <row r="1813" spans="1:23" x14ac:dyDescent="0.25">
      <c r="A1813" t="s">
        <v>1860</v>
      </c>
      <c r="B1813" s="1">
        <v>45837</v>
      </c>
      <c r="C1813" s="1">
        <v>45841</v>
      </c>
      <c r="D1813" t="s">
        <v>47</v>
      </c>
      <c r="E1813" t="s">
        <v>48</v>
      </c>
      <c r="F1813" t="s">
        <v>29</v>
      </c>
      <c r="G1813" t="s">
        <v>20</v>
      </c>
      <c r="H1813" t="s">
        <v>34</v>
      </c>
      <c r="I1813">
        <v>4</v>
      </c>
      <c r="J1813">
        <v>0.25</v>
      </c>
      <c r="K1813">
        <v>670.98</v>
      </c>
      <c r="L1813">
        <v>13.7</v>
      </c>
      <c r="M1813" t="s">
        <v>2460</v>
      </c>
      <c r="N1813" t="s">
        <v>2458</v>
      </c>
      <c r="O1813" t="s">
        <v>2461</v>
      </c>
      <c r="P1813">
        <v>119.02</v>
      </c>
      <c r="Q1813">
        <v>205.39</v>
      </c>
      <c r="R1813">
        <v>476.08</v>
      </c>
      <c r="S1813">
        <v>181.20000000000005</v>
      </c>
      <c r="T1813">
        <v>0.27005275865152467</v>
      </c>
      <c r="U1813" s="1">
        <v>45809</v>
      </c>
      <c r="V1813" t="s">
        <v>2501</v>
      </c>
      <c r="W1813">
        <v>2025</v>
      </c>
    </row>
    <row r="1814" spans="1:23" x14ac:dyDescent="0.25">
      <c r="A1814" t="s">
        <v>1861</v>
      </c>
      <c r="B1814" s="1">
        <v>45896</v>
      </c>
      <c r="C1814" s="1">
        <v>45902</v>
      </c>
      <c r="D1814" t="s">
        <v>13</v>
      </c>
      <c r="E1814" t="s">
        <v>19</v>
      </c>
      <c r="F1814" t="s">
        <v>15</v>
      </c>
      <c r="G1814" t="s">
        <v>20</v>
      </c>
      <c r="H1814" t="s">
        <v>21</v>
      </c>
      <c r="I1814">
        <v>1</v>
      </c>
      <c r="J1814">
        <v>0</v>
      </c>
      <c r="K1814">
        <v>101.48</v>
      </c>
      <c r="L1814">
        <v>4.08</v>
      </c>
      <c r="M1814" t="s">
        <v>2462</v>
      </c>
      <c r="N1814" t="s">
        <v>2458</v>
      </c>
      <c r="O1814" t="s">
        <v>2463</v>
      </c>
      <c r="P1814">
        <v>71.489999999999995</v>
      </c>
      <c r="Q1814">
        <v>112.88</v>
      </c>
      <c r="R1814">
        <v>71.489999999999995</v>
      </c>
      <c r="S1814">
        <v>25.910000000000011</v>
      </c>
      <c r="T1814">
        <v>0.2553212455656288</v>
      </c>
      <c r="U1814" s="1">
        <v>45870</v>
      </c>
      <c r="V1814" t="s">
        <v>2499</v>
      </c>
      <c r="W1814">
        <v>2025</v>
      </c>
    </row>
    <row r="1815" spans="1:23" x14ac:dyDescent="0.25">
      <c r="A1815" t="s">
        <v>1862</v>
      </c>
      <c r="B1815" s="1">
        <v>45709</v>
      </c>
      <c r="C1815" s="1">
        <v>45710</v>
      </c>
      <c r="D1815" t="s">
        <v>47</v>
      </c>
      <c r="E1815" t="s">
        <v>48</v>
      </c>
      <c r="F1815" t="s">
        <v>25</v>
      </c>
      <c r="G1815" t="s">
        <v>20</v>
      </c>
      <c r="H1815" t="s">
        <v>51</v>
      </c>
      <c r="I1815">
        <v>10</v>
      </c>
      <c r="J1815">
        <v>0.25</v>
      </c>
      <c r="K1815">
        <v>104.31</v>
      </c>
      <c r="L1815">
        <v>5.4</v>
      </c>
      <c r="M1815" t="s">
        <v>2475</v>
      </c>
      <c r="N1815" t="s">
        <v>2474</v>
      </c>
      <c r="O1815" t="s">
        <v>2463</v>
      </c>
      <c r="P1815">
        <v>7.93</v>
      </c>
      <c r="Q1815">
        <v>14.78</v>
      </c>
      <c r="R1815">
        <v>79.3</v>
      </c>
      <c r="S1815">
        <v>19.610000000000007</v>
      </c>
      <c r="T1815">
        <v>0.18799731569360567</v>
      </c>
      <c r="U1815" s="1">
        <v>45689</v>
      </c>
      <c r="V1815" t="s">
        <v>2501</v>
      </c>
      <c r="W1815">
        <v>2025</v>
      </c>
    </row>
    <row r="1816" spans="1:23" x14ac:dyDescent="0.25">
      <c r="A1816" t="s">
        <v>1863</v>
      </c>
      <c r="B1816" s="1">
        <v>45531</v>
      </c>
      <c r="C1816" s="1">
        <v>45532</v>
      </c>
      <c r="D1816" t="s">
        <v>13</v>
      </c>
      <c r="E1816" t="s">
        <v>19</v>
      </c>
      <c r="F1816" t="s">
        <v>29</v>
      </c>
      <c r="G1816" t="s">
        <v>26</v>
      </c>
      <c r="H1816" t="s">
        <v>27</v>
      </c>
      <c r="I1816">
        <v>4</v>
      </c>
      <c r="J1816">
        <v>0</v>
      </c>
      <c r="K1816">
        <v>106.96</v>
      </c>
      <c r="L1816">
        <v>3.78</v>
      </c>
      <c r="M1816" t="s">
        <v>2478</v>
      </c>
      <c r="N1816" t="s">
        <v>2474</v>
      </c>
      <c r="O1816" t="s">
        <v>2463</v>
      </c>
      <c r="P1816">
        <v>16.760000000000002</v>
      </c>
      <c r="Q1816">
        <v>27.71</v>
      </c>
      <c r="R1816">
        <v>67.040000000000006</v>
      </c>
      <c r="S1816">
        <v>36.139999999999986</v>
      </c>
      <c r="T1816">
        <v>0.33788332086761397</v>
      </c>
      <c r="U1816" s="1">
        <v>45505</v>
      </c>
      <c r="V1816" t="s">
        <v>2499</v>
      </c>
      <c r="W1816">
        <v>2024</v>
      </c>
    </row>
    <row r="1817" spans="1:23" x14ac:dyDescent="0.25">
      <c r="A1817" t="s">
        <v>1864</v>
      </c>
      <c r="B1817" s="1">
        <v>45829</v>
      </c>
      <c r="C1817" s="1">
        <v>45833</v>
      </c>
      <c r="D1817" t="s">
        <v>13</v>
      </c>
      <c r="E1817" t="s">
        <v>14</v>
      </c>
      <c r="F1817" t="s">
        <v>15</v>
      </c>
      <c r="G1817" t="s">
        <v>26</v>
      </c>
      <c r="H1817" t="s">
        <v>39</v>
      </c>
      <c r="I1817">
        <v>4</v>
      </c>
      <c r="J1817">
        <v>0</v>
      </c>
      <c r="K1817">
        <v>837.03</v>
      </c>
      <c r="L1817">
        <v>5.7</v>
      </c>
      <c r="M1817" t="s">
        <v>2471</v>
      </c>
      <c r="N1817" t="s">
        <v>2467</v>
      </c>
      <c r="O1817" t="s">
        <v>2461</v>
      </c>
      <c r="P1817">
        <v>112.09</v>
      </c>
      <c r="Q1817">
        <v>192.47</v>
      </c>
      <c r="R1817">
        <v>448.36</v>
      </c>
      <c r="S1817">
        <v>382.96999999999997</v>
      </c>
      <c r="T1817">
        <v>0.45753437750140374</v>
      </c>
      <c r="U1817" s="1">
        <v>45809</v>
      </c>
      <c r="V1817" t="s">
        <v>2499</v>
      </c>
      <c r="W1817">
        <v>2025</v>
      </c>
    </row>
    <row r="1818" spans="1:23" x14ac:dyDescent="0.25">
      <c r="A1818" t="s">
        <v>1865</v>
      </c>
      <c r="B1818" s="1">
        <v>45809</v>
      </c>
      <c r="C1818" s="1">
        <v>45815</v>
      </c>
      <c r="D1818" t="s">
        <v>32</v>
      </c>
      <c r="E1818" t="s">
        <v>45</v>
      </c>
      <c r="F1818" t="s">
        <v>15</v>
      </c>
      <c r="G1818" t="s">
        <v>16</v>
      </c>
      <c r="H1818" t="s">
        <v>87</v>
      </c>
      <c r="I1818">
        <v>14</v>
      </c>
      <c r="J1818">
        <v>0.05</v>
      </c>
      <c r="K1818">
        <v>110.64</v>
      </c>
      <c r="L1818">
        <v>10.8</v>
      </c>
      <c r="M1818" t="s">
        <v>2476</v>
      </c>
      <c r="N1818" t="s">
        <v>2474</v>
      </c>
      <c r="O1818" t="s">
        <v>2459</v>
      </c>
      <c r="P1818">
        <v>4.5</v>
      </c>
      <c r="Q1818">
        <v>8.2899999999999991</v>
      </c>
      <c r="R1818">
        <v>63</v>
      </c>
      <c r="S1818">
        <v>36.840000000000003</v>
      </c>
      <c r="T1818">
        <v>0.3329718004338395</v>
      </c>
      <c r="U1818" s="1">
        <v>45809</v>
      </c>
      <c r="V1818" t="s">
        <v>2498</v>
      </c>
      <c r="W1818">
        <v>2025</v>
      </c>
    </row>
    <row r="1819" spans="1:23" x14ac:dyDescent="0.25">
      <c r="A1819" t="s">
        <v>1866</v>
      </c>
      <c r="B1819" s="1">
        <v>45887</v>
      </c>
      <c r="C1819" s="1">
        <v>45890</v>
      </c>
      <c r="D1819" t="s">
        <v>47</v>
      </c>
      <c r="E1819" t="s">
        <v>50</v>
      </c>
      <c r="F1819" t="s">
        <v>15</v>
      </c>
      <c r="G1819" t="s">
        <v>16</v>
      </c>
      <c r="H1819" t="s">
        <v>68</v>
      </c>
      <c r="I1819">
        <v>2</v>
      </c>
      <c r="J1819">
        <v>0</v>
      </c>
      <c r="K1819">
        <v>94.14</v>
      </c>
      <c r="L1819">
        <v>4.2</v>
      </c>
      <c r="M1819" t="s">
        <v>2466</v>
      </c>
      <c r="N1819" t="s">
        <v>2467</v>
      </c>
      <c r="O1819" t="s">
        <v>2468</v>
      </c>
      <c r="P1819">
        <v>25.33</v>
      </c>
      <c r="Q1819">
        <v>51.56</v>
      </c>
      <c r="R1819">
        <v>50.66</v>
      </c>
      <c r="S1819">
        <v>39.28</v>
      </c>
      <c r="T1819">
        <v>0.41725090291055877</v>
      </c>
      <c r="U1819" s="1">
        <v>45870</v>
      </c>
      <c r="V1819" t="s">
        <v>2499</v>
      </c>
      <c r="W1819">
        <v>2025</v>
      </c>
    </row>
    <row r="1820" spans="1:23" x14ac:dyDescent="0.25">
      <c r="A1820" t="s">
        <v>1867</v>
      </c>
      <c r="B1820" s="1">
        <v>45786</v>
      </c>
      <c r="C1820" s="1">
        <v>45792</v>
      </c>
      <c r="D1820" t="s">
        <v>23</v>
      </c>
      <c r="E1820" t="s">
        <v>43</v>
      </c>
      <c r="F1820" t="s">
        <v>29</v>
      </c>
      <c r="G1820" t="s">
        <v>20</v>
      </c>
      <c r="H1820" t="s">
        <v>17</v>
      </c>
      <c r="I1820">
        <v>2</v>
      </c>
      <c r="J1820">
        <v>0</v>
      </c>
      <c r="K1820">
        <v>262.54000000000002</v>
      </c>
      <c r="L1820">
        <v>4.2</v>
      </c>
      <c r="M1820" t="s">
        <v>2472</v>
      </c>
      <c r="N1820" t="s">
        <v>2467</v>
      </c>
      <c r="O1820" t="s">
        <v>2468</v>
      </c>
      <c r="P1820">
        <v>63.69</v>
      </c>
      <c r="Q1820">
        <v>125.5</v>
      </c>
      <c r="R1820">
        <v>127.38</v>
      </c>
      <c r="S1820">
        <v>130.96000000000004</v>
      </c>
      <c r="T1820">
        <v>0.49881922754627878</v>
      </c>
      <c r="U1820" s="1">
        <v>45778</v>
      </c>
      <c r="V1820" t="s">
        <v>2499</v>
      </c>
      <c r="W1820">
        <v>2025</v>
      </c>
    </row>
    <row r="1821" spans="1:23" x14ac:dyDescent="0.25">
      <c r="A1821" t="s">
        <v>1868</v>
      </c>
      <c r="B1821" s="1">
        <v>45641</v>
      </c>
      <c r="C1821" s="1">
        <v>45644</v>
      </c>
      <c r="D1821" t="s">
        <v>47</v>
      </c>
      <c r="E1821" t="s">
        <v>71</v>
      </c>
      <c r="F1821" t="s">
        <v>25</v>
      </c>
      <c r="G1821" t="s">
        <v>26</v>
      </c>
      <c r="H1821" t="s">
        <v>51</v>
      </c>
      <c r="I1821">
        <v>14</v>
      </c>
      <c r="J1821">
        <v>0</v>
      </c>
      <c r="K1821">
        <v>285.92</v>
      </c>
      <c r="L1821">
        <v>10.8</v>
      </c>
      <c r="M1821" t="s">
        <v>2475</v>
      </c>
      <c r="N1821" t="s">
        <v>2474</v>
      </c>
      <c r="O1821" t="s">
        <v>2463</v>
      </c>
      <c r="P1821">
        <v>7.93</v>
      </c>
      <c r="Q1821">
        <v>14.78</v>
      </c>
      <c r="R1821">
        <v>111.02</v>
      </c>
      <c r="S1821">
        <v>164.10000000000002</v>
      </c>
      <c r="T1821">
        <v>0.57393676552881934</v>
      </c>
      <c r="U1821" s="1">
        <v>45627</v>
      </c>
      <c r="V1821" t="s">
        <v>2499</v>
      </c>
      <c r="W1821">
        <v>2024</v>
      </c>
    </row>
    <row r="1822" spans="1:23" x14ac:dyDescent="0.25">
      <c r="A1822" t="s">
        <v>1869</v>
      </c>
      <c r="B1822" s="1">
        <v>45733</v>
      </c>
      <c r="C1822" s="1">
        <v>45738</v>
      </c>
      <c r="D1822" t="s">
        <v>13</v>
      </c>
      <c r="E1822" t="s">
        <v>36</v>
      </c>
      <c r="F1822" t="s">
        <v>29</v>
      </c>
      <c r="G1822" t="s">
        <v>16</v>
      </c>
      <c r="H1822" t="s">
        <v>53</v>
      </c>
      <c r="I1822">
        <v>2</v>
      </c>
      <c r="J1822">
        <v>0.2</v>
      </c>
      <c r="K1822">
        <v>80.12</v>
      </c>
      <c r="L1822">
        <v>4.2</v>
      </c>
      <c r="M1822" t="s">
        <v>2470</v>
      </c>
      <c r="N1822" t="s">
        <v>2467</v>
      </c>
      <c r="O1822" t="s">
        <v>2459</v>
      </c>
      <c r="P1822">
        <v>31.34</v>
      </c>
      <c r="Q1822">
        <v>56.49</v>
      </c>
      <c r="R1822">
        <v>62.68</v>
      </c>
      <c r="S1822">
        <v>13.240000000000006</v>
      </c>
      <c r="T1822">
        <v>0.16525212181727414</v>
      </c>
      <c r="U1822" s="1">
        <v>45717</v>
      </c>
      <c r="V1822" t="s">
        <v>2500</v>
      </c>
      <c r="W1822">
        <v>2025</v>
      </c>
    </row>
    <row r="1823" spans="1:23" x14ac:dyDescent="0.25">
      <c r="A1823" t="s">
        <v>1870</v>
      </c>
      <c r="B1823" s="1">
        <v>45516</v>
      </c>
      <c r="C1823" s="1">
        <v>45517</v>
      </c>
      <c r="D1823" t="s">
        <v>32</v>
      </c>
      <c r="E1823" t="s">
        <v>45</v>
      </c>
      <c r="F1823" t="s">
        <v>15</v>
      </c>
      <c r="G1823" t="s">
        <v>16</v>
      </c>
      <c r="H1823" t="s">
        <v>68</v>
      </c>
      <c r="I1823">
        <v>2</v>
      </c>
      <c r="J1823">
        <v>0.25</v>
      </c>
      <c r="K1823">
        <v>76.45</v>
      </c>
      <c r="L1823">
        <v>4.2</v>
      </c>
      <c r="M1823" t="s">
        <v>2466</v>
      </c>
      <c r="N1823" t="s">
        <v>2467</v>
      </c>
      <c r="O1823" t="s">
        <v>2468</v>
      </c>
      <c r="P1823">
        <v>25.33</v>
      </c>
      <c r="Q1823">
        <v>51.56</v>
      </c>
      <c r="R1823">
        <v>50.66</v>
      </c>
      <c r="S1823">
        <v>21.590000000000007</v>
      </c>
      <c r="T1823">
        <v>0.28240680183126232</v>
      </c>
      <c r="U1823" s="1">
        <v>45505</v>
      </c>
      <c r="V1823" t="s">
        <v>2501</v>
      </c>
      <c r="W1823">
        <v>2024</v>
      </c>
    </row>
    <row r="1824" spans="1:23" x14ac:dyDescent="0.25">
      <c r="A1824" t="s">
        <v>1871</v>
      </c>
      <c r="B1824" s="1">
        <v>45474</v>
      </c>
      <c r="C1824" s="1">
        <v>45478</v>
      </c>
      <c r="D1824" t="s">
        <v>23</v>
      </c>
      <c r="E1824" t="s">
        <v>59</v>
      </c>
      <c r="F1824" t="s">
        <v>25</v>
      </c>
      <c r="G1824" t="s">
        <v>26</v>
      </c>
      <c r="H1824" t="s">
        <v>39</v>
      </c>
      <c r="I1824">
        <v>3</v>
      </c>
      <c r="J1824">
        <v>0.1</v>
      </c>
      <c r="K1824">
        <v>478.83</v>
      </c>
      <c r="L1824">
        <v>8.25</v>
      </c>
      <c r="M1824" t="s">
        <v>2471</v>
      </c>
      <c r="N1824" t="s">
        <v>2467</v>
      </c>
      <c r="O1824" t="s">
        <v>2461</v>
      </c>
      <c r="P1824">
        <v>112.09</v>
      </c>
      <c r="Q1824">
        <v>192.47</v>
      </c>
      <c r="R1824">
        <v>336.27</v>
      </c>
      <c r="S1824">
        <v>134.31</v>
      </c>
      <c r="T1824">
        <v>0.28049620951068233</v>
      </c>
      <c r="U1824" s="1">
        <v>45474</v>
      </c>
      <c r="V1824" t="s">
        <v>2498</v>
      </c>
      <c r="W1824">
        <v>2024</v>
      </c>
    </row>
    <row r="1825" spans="1:23" x14ac:dyDescent="0.25">
      <c r="A1825" t="s">
        <v>1872</v>
      </c>
      <c r="B1825" s="1">
        <v>45726</v>
      </c>
      <c r="C1825" s="1">
        <v>45732</v>
      </c>
      <c r="D1825" t="s">
        <v>47</v>
      </c>
      <c r="E1825" t="s">
        <v>48</v>
      </c>
      <c r="F1825" t="s">
        <v>29</v>
      </c>
      <c r="G1825" t="s">
        <v>20</v>
      </c>
      <c r="H1825" t="s">
        <v>63</v>
      </c>
      <c r="I1825">
        <v>6</v>
      </c>
      <c r="J1825">
        <v>0.15</v>
      </c>
      <c r="K1825">
        <v>56.18</v>
      </c>
      <c r="L1825">
        <v>7.2</v>
      </c>
      <c r="M1825" t="s">
        <v>2477</v>
      </c>
      <c r="N1825" t="s">
        <v>2474</v>
      </c>
      <c r="O1825" t="s">
        <v>2468</v>
      </c>
      <c r="P1825">
        <v>6.33</v>
      </c>
      <c r="Q1825">
        <v>12.16</v>
      </c>
      <c r="R1825">
        <v>37.980000000000004</v>
      </c>
      <c r="S1825">
        <v>10.999999999999996</v>
      </c>
      <c r="T1825">
        <v>0.19579921680313273</v>
      </c>
      <c r="U1825" s="1">
        <v>45717</v>
      </c>
      <c r="V1825" t="s">
        <v>2500</v>
      </c>
      <c r="W1825">
        <v>2025</v>
      </c>
    </row>
    <row r="1826" spans="1:23" x14ac:dyDescent="0.25">
      <c r="A1826" t="s">
        <v>1873</v>
      </c>
      <c r="B1826" s="1">
        <v>45804</v>
      </c>
      <c r="C1826" s="1">
        <v>45805</v>
      </c>
      <c r="D1826" t="s">
        <v>32</v>
      </c>
      <c r="E1826" t="s">
        <v>45</v>
      </c>
      <c r="F1826" t="s">
        <v>25</v>
      </c>
      <c r="G1826" t="s">
        <v>16</v>
      </c>
      <c r="H1826" t="s">
        <v>30</v>
      </c>
      <c r="I1826">
        <v>14</v>
      </c>
      <c r="J1826">
        <v>0.2</v>
      </c>
      <c r="K1826">
        <v>69.97</v>
      </c>
      <c r="L1826">
        <v>10.8</v>
      </c>
      <c r="M1826" t="s">
        <v>2473</v>
      </c>
      <c r="N1826" t="s">
        <v>2474</v>
      </c>
      <c r="O1826" t="s">
        <v>2463</v>
      </c>
      <c r="P1826">
        <v>3.62</v>
      </c>
      <c r="Q1826">
        <v>6.03</v>
      </c>
      <c r="R1826">
        <v>50.68</v>
      </c>
      <c r="S1826">
        <v>8.4899999999999984</v>
      </c>
      <c r="T1826">
        <v>0.1213377161640703</v>
      </c>
      <c r="U1826" s="1">
        <v>45778</v>
      </c>
      <c r="V1826" t="s">
        <v>2500</v>
      </c>
      <c r="W1826">
        <v>2025</v>
      </c>
    </row>
    <row r="1827" spans="1:23" x14ac:dyDescent="0.25">
      <c r="A1827" t="s">
        <v>1874</v>
      </c>
      <c r="B1827" s="1">
        <v>45814</v>
      </c>
      <c r="C1827" s="1">
        <v>45820</v>
      </c>
      <c r="D1827" t="s">
        <v>13</v>
      </c>
      <c r="E1827" t="s">
        <v>14</v>
      </c>
      <c r="F1827" t="s">
        <v>25</v>
      </c>
      <c r="G1827" t="s">
        <v>26</v>
      </c>
      <c r="H1827" t="s">
        <v>27</v>
      </c>
      <c r="I1827">
        <v>22</v>
      </c>
      <c r="J1827">
        <v>0</v>
      </c>
      <c r="K1827">
        <v>663.78</v>
      </c>
      <c r="L1827">
        <v>8.64</v>
      </c>
      <c r="M1827" t="s">
        <v>2478</v>
      </c>
      <c r="N1827" t="s">
        <v>2474</v>
      </c>
      <c r="O1827" t="s">
        <v>2463</v>
      </c>
      <c r="P1827">
        <v>16.760000000000002</v>
      </c>
      <c r="Q1827">
        <v>27.71</v>
      </c>
      <c r="R1827">
        <v>368.72</v>
      </c>
      <c r="S1827">
        <v>286.41999999999996</v>
      </c>
      <c r="T1827">
        <v>0.43149838802012713</v>
      </c>
      <c r="U1827" s="1">
        <v>45809</v>
      </c>
      <c r="V1827" t="s">
        <v>2499</v>
      </c>
      <c r="W1827">
        <v>2025</v>
      </c>
    </row>
    <row r="1828" spans="1:23" x14ac:dyDescent="0.25">
      <c r="A1828" t="s">
        <v>1875</v>
      </c>
      <c r="B1828" s="1">
        <v>45957</v>
      </c>
      <c r="C1828" s="1">
        <v>45961</v>
      </c>
      <c r="D1828" t="s">
        <v>47</v>
      </c>
      <c r="E1828" t="s">
        <v>50</v>
      </c>
      <c r="F1828" t="s">
        <v>15</v>
      </c>
      <c r="G1828" t="s">
        <v>16</v>
      </c>
      <c r="H1828" t="s">
        <v>21</v>
      </c>
      <c r="I1828">
        <v>1</v>
      </c>
      <c r="J1828">
        <v>0</v>
      </c>
      <c r="K1828">
        <v>134.28</v>
      </c>
      <c r="L1828">
        <v>6.8</v>
      </c>
      <c r="M1828" t="s">
        <v>2462</v>
      </c>
      <c r="N1828" t="s">
        <v>2458</v>
      </c>
      <c r="O1828" t="s">
        <v>2463</v>
      </c>
      <c r="P1828">
        <v>71.489999999999995</v>
      </c>
      <c r="Q1828">
        <v>112.88</v>
      </c>
      <c r="R1828">
        <v>71.489999999999995</v>
      </c>
      <c r="S1828">
        <v>55.990000000000009</v>
      </c>
      <c r="T1828">
        <v>0.41696455168305041</v>
      </c>
      <c r="U1828" s="1">
        <v>45931</v>
      </c>
      <c r="V1828" t="s">
        <v>2499</v>
      </c>
      <c r="W1828">
        <v>2025</v>
      </c>
    </row>
    <row r="1829" spans="1:23" x14ac:dyDescent="0.25">
      <c r="A1829" t="s">
        <v>1876</v>
      </c>
      <c r="B1829" s="1">
        <v>45530</v>
      </c>
      <c r="C1829" s="1">
        <v>45535</v>
      </c>
      <c r="D1829" t="s">
        <v>32</v>
      </c>
      <c r="E1829" t="s">
        <v>62</v>
      </c>
      <c r="F1829" t="s">
        <v>29</v>
      </c>
      <c r="G1829" t="s">
        <v>16</v>
      </c>
      <c r="H1829" t="s">
        <v>27</v>
      </c>
      <c r="I1829">
        <v>5</v>
      </c>
      <c r="J1829">
        <v>0.1</v>
      </c>
      <c r="K1829">
        <v>123.07</v>
      </c>
      <c r="L1829">
        <v>4.05</v>
      </c>
      <c r="M1829" t="s">
        <v>2478</v>
      </c>
      <c r="N1829" t="s">
        <v>2474</v>
      </c>
      <c r="O1829" t="s">
        <v>2463</v>
      </c>
      <c r="P1829">
        <v>16.760000000000002</v>
      </c>
      <c r="Q1829">
        <v>27.71</v>
      </c>
      <c r="R1829">
        <v>83.800000000000011</v>
      </c>
      <c r="S1829">
        <v>35.219999999999985</v>
      </c>
      <c r="T1829">
        <v>0.28617859754611186</v>
      </c>
      <c r="U1829" s="1">
        <v>45505</v>
      </c>
      <c r="V1829" t="s">
        <v>2498</v>
      </c>
      <c r="W1829">
        <v>2024</v>
      </c>
    </row>
    <row r="1830" spans="1:23" x14ac:dyDescent="0.25">
      <c r="A1830" t="s">
        <v>1877</v>
      </c>
      <c r="B1830" s="1">
        <v>45758</v>
      </c>
      <c r="C1830" s="1">
        <v>45762</v>
      </c>
      <c r="D1830" t="s">
        <v>23</v>
      </c>
      <c r="E1830" t="s">
        <v>59</v>
      </c>
      <c r="F1830" t="s">
        <v>15</v>
      </c>
      <c r="G1830" t="s">
        <v>20</v>
      </c>
      <c r="H1830" t="s">
        <v>87</v>
      </c>
      <c r="I1830">
        <v>10</v>
      </c>
      <c r="J1830">
        <v>0.25</v>
      </c>
      <c r="K1830">
        <v>61.66</v>
      </c>
      <c r="L1830">
        <v>9</v>
      </c>
      <c r="M1830" t="s">
        <v>2476</v>
      </c>
      <c r="N1830" t="s">
        <v>2474</v>
      </c>
      <c r="O1830" t="s">
        <v>2459</v>
      </c>
      <c r="P1830">
        <v>4.5</v>
      </c>
      <c r="Q1830">
        <v>8.2899999999999991</v>
      </c>
      <c r="R1830">
        <v>45</v>
      </c>
      <c r="S1830">
        <v>7.6599999999999966</v>
      </c>
      <c r="T1830">
        <v>0.12422964644826463</v>
      </c>
      <c r="U1830" s="1">
        <v>45748</v>
      </c>
      <c r="V1830" t="s">
        <v>2501</v>
      </c>
      <c r="W1830">
        <v>2025</v>
      </c>
    </row>
    <row r="1831" spans="1:23" x14ac:dyDescent="0.25">
      <c r="A1831" t="s">
        <v>1878</v>
      </c>
      <c r="B1831" s="1">
        <v>45340</v>
      </c>
      <c r="C1831" s="1">
        <v>45344</v>
      </c>
      <c r="D1831" t="s">
        <v>32</v>
      </c>
      <c r="E1831" t="s">
        <v>62</v>
      </c>
      <c r="F1831" t="s">
        <v>25</v>
      </c>
      <c r="G1831" t="s">
        <v>20</v>
      </c>
      <c r="H1831" t="s">
        <v>65</v>
      </c>
      <c r="I1831">
        <v>2</v>
      </c>
      <c r="J1831">
        <v>0</v>
      </c>
      <c r="K1831">
        <v>543.52</v>
      </c>
      <c r="L1831">
        <v>5.46</v>
      </c>
      <c r="M1831" t="s">
        <v>2457</v>
      </c>
      <c r="N1831" t="s">
        <v>2458</v>
      </c>
      <c r="O1831" t="s">
        <v>2459</v>
      </c>
      <c r="P1831">
        <v>173.56</v>
      </c>
      <c r="Q1831">
        <v>286.14999999999998</v>
      </c>
      <c r="R1831">
        <v>347.12</v>
      </c>
      <c r="S1831">
        <v>190.93999999999997</v>
      </c>
      <c r="T1831">
        <v>0.35130261995878714</v>
      </c>
      <c r="U1831" s="1">
        <v>45323</v>
      </c>
      <c r="V1831" t="s">
        <v>2499</v>
      </c>
      <c r="W1831">
        <v>2024</v>
      </c>
    </row>
    <row r="1832" spans="1:23" x14ac:dyDescent="0.25">
      <c r="A1832" t="s">
        <v>1879</v>
      </c>
      <c r="B1832" s="1">
        <v>45432</v>
      </c>
      <c r="C1832" s="1">
        <v>45437</v>
      </c>
      <c r="D1832" t="s">
        <v>32</v>
      </c>
      <c r="E1832" t="s">
        <v>45</v>
      </c>
      <c r="F1832" t="s">
        <v>29</v>
      </c>
      <c r="G1832" t="s">
        <v>16</v>
      </c>
      <c r="H1832" t="s">
        <v>68</v>
      </c>
      <c r="I1832">
        <v>2</v>
      </c>
      <c r="J1832">
        <v>0</v>
      </c>
      <c r="K1832">
        <v>106.32</v>
      </c>
      <c r="L1832">
        <v>4.2</v>
      </c>
      <c r="M1832" t="s">
        <v>2466</v>
      </c>
      <c r="N1832" t="s">
        <v>2467</v>
      </c>
      <c r="O1832" t="s">
        <v>2468</v>
      </c>
      <c r="P1832">
        <v>25.33</v>
      </c>
      <c r="Q1832">
        <v>51.56</v>
      </c>
      <c r="R1832">
        <v>50.66</v>
      </c>
      <c r="S1832">
        <v>51.459999999999994</v>
      </c>
      <c r="T1832">
        <v>0.48401053423626783</v>
      </c>
      <c r="U1832" s="1">
        <v>45413</v>
      </c>
      <c r="V1832" t="s">
        <v>2499</v>
      </c>
      <c r="W1832">
        <v>2024</v>
      </c>
    </row>
    <row r="1833" spans="1:23" x14ac:dyDescent="0.25">
      <c r="A1833" t="s">
        <v>1880</v>
      </c>
      <c r="B1833" s="1">
        <v>45447</v>
      </c>
      <c r="C1833" s="1">
        <v>45448</v>
      </c>
      <c r="D1833" t="s">
        <v>47</v>
      </c>
      <c r="E1833" t="s">
        <v>50</v>
      </c>
      <c r="F1833" t="s">
        <v>15</v>
      </c>
      <c r="G1833" t="s">
        <v>20</v>
      </c>
      <c r="H1833" t="s">
        <v>34</v>
      </c>
      <c r="I1833">
        <v>2</v>
      </c>
      <c r="J1833">
        <v>0.15</v>
      </c>
      <c r="K1833">
        <v>366.82</v>
      </c>
      <c r="L1833">
        <v>5.46</v>
      </c>
      <c r="M1833" t="s">
        <v>2460</v>
      </c>
      <c r="N1833" t="s">
        <v>2458</v>
      </c>
      <c r="O1833" t="s">
        <v>2461</v>
      </c>
      <c r="P1833">
        <v>119.02</v>
      </c>
      <c r="Q1833">
        <v>205.39</v>
      </c>
      <c r="R1833">
        <v>238.04</v>
      </c>
      <c r="S1833">
        <v>123.32000000000001</v>
      </c>
      <c r="T1833">
        <v>0.33618668556785347</v>
      </c>
      <c r="U1833" s="1">
        <v>45444</v>
      </c>
      <c r="V1833" t="s">
        <v>2500</v>
      </c>
      <c r="W1833">
        <v>2024</v>
      </c>
    </row>
    <row r="1834" spans="1:23" x14ac:dyDescent="0.25">
      <c r="A1834" t="s">
        <v>1881</v>
      </c>
      <c r="B1834" s="1">
        <v>45415</v>
      </c>
      <c r="C1834" s="1">
        <v>45418</v>
      </c>
      <c r="D1834" t="s">
        <v>47</v>
      </c>
      <c r="E1834" t="s">
        <v>50</v>
      </c>
      <c r="F1834" t="s">
        <v>15</v>
      </c>
      <c r="G1834" t="s">
        <v>16</v>
      </c>
      <c r="H1834" t="s">
        <v>53</v>
      </c>
      <c r="I1834">
        <v>1</v>
      </c>
      <c r="J1834">
        <v>0</v>
      </c>
      <c r="K1834">
        <v>56.02</v>
      </c>
      <c r="L1834">
        <v>3.45</v>
      </c>
      <c r="M1834" t="s">
        <v>2470</v>
      </c>
      <c r="N1834" t="s">
        <v>2467</v>
      </c>
      <c r="O1834" t="s">
        <v>2459</v>
      </c>
      <c r="P1834">
        <v>31.34</v>
      </c>
      <c r="Q1834">
        <v>56.49</v>
      </c>
      <c r="R1834">
        <v>31.34</v>
      </c>
      <c r="S1834">
        <v>21.230000000000004</v>
      </c>
      <c r="T1834">
        <v>0.3789717957872189</v>
      </c>
      <c r="U1834" s="1">
        <v>45413</v>
      </c>
      <c r="V1834" t="s">
        <v>2499</v>
      </c>
      <c r="W1834">
        <v>2024</v>
      </c>
    </row>
    <row r="1835" spans="1:23" x14ac:dyDescent="0.25">
      <c r="A1835" t="s">
        <v>1882</v>
      </c>
      <c r="B1835" s="1">
        <v>45331</v>
      </c>
      <c r="C1835" s="1">
        <v>45335</v>
      </c>
      <c r="D1835" t="s">
        <v>13</v>
      </c>
      <c r="E1835" t="s">
        <v>14</v>
      </c>
      <c r="F1835" t="s">
        <v>29</v>
      </c>
      <c r="G1835" t="s">
        <v>20</v>
      </c>
      <c r="H1835" t="s">
        <v>53</v>
      </c>
      <c r="I1835">
        <v>3</v>
      </c>
      <c r="J1835">
        <v>0</v>
      </c>
      <c r="K1835">
        <v>160.47</v>
      </c>
      <c r="L1835">
        <v>4.95</v>
      </c>
      <c r="M1835" t="s">
        <v>2470</v>
      </c>
      <c r="N1835" t="s">
        <v>2467</v>
      </c>
      <c r="O1835" t="s">
        <v>2459</v>
      </c>
      <c r="P1835">
        <v>31.34</v>
      </c>
      <c r="Q1835">
        <v>56.49</v>
      </c>
      <c r="R1835">
        <v>94.02</v>
      </c>
      <c r="S1835">
        <v>61.5</v>
      </c>
      <c r="T1835">
        <v>0.38324920545896429</v>
      </c>
      <c r="U1835" s="1">
        <v>45323</v>
      </c>
      <c r="V1835" t="s">
        <v>2499</v>
      </c>
      <c r="W1835">
        <v>2024</v>
      </c>
    </row>
    <row r="1836" spans="1:23" x14ac:dyDescent="0.25">
      <c r="A1836" t="s">
        <v>1883</v>
      </c>
      <c r="B1836" s="1">
        <v>45920</v>
      </c>
      <c r="C1836" s="1">
        <v>45923</v>
      </c>
      <c r="D1836" t="s">
        <v>13</v>
      </c>
      <c r="E1836" t="s">
        <v>36</v>
      </c>
      <c r="F1836" t="s">
        <v>15</v>
      </c>
      <c r="G1836" t="s">
        <v>26</v>
      </c>
      <c r="H1836" t="s">
        <v>27</v>
      </c>
      <c r="I1836">
        <v>13</v>
      </c>
      <c r="J1836">
        <v>0</v>
      </c>
      <c r="K1836">
        <v>404.02</v>
      </c>
      <c r="L1836">
        <v>10.35</v>
      </c>
      <c r="M1836" t="s">
        <v>2478</v>
      </c>
      <c r="N1836" t="s">
        <v>2474</v>
      </c>
      <c r="O1836" t="s">
        <v>2463</v>
      </c>
      <c r="P1836">
        <v>16.760000000000002</v>
      </c>
      <c r="Q1836">
        <v>27.71</v>
      </c>
      <c r="R1836">
        <v>217.88000000000002</v>
      </c>
      <c r="S1836">
        <v>175.78999999999996</v>
      </c>
      <c r="T1836">
        <v>0.43510222266224435</v>
      </c>
      <c r="U1836" s="1">
        <v>45901</v>
      </c>
      <c r="V1836" t="s">
        <v>2499</v>
      </c>
      <c r="W1836">
        <v>2025</v>
      </c>
    </row>
    <row r="1837" spans="1:23" x14ac:dyDescent="0.25">
      <c r="A1837" t="s">
        <v>1884</v>
      </c>
      <c r="B1837" s="1">
        <v>45477</v>
      </c>
      <c r="C1837" s="1">
        <v>45483</v>
      </c>
      <c r="D1837" t="s">
        <v>13</v>
      </c>
      <c r="E1837" t="s">
        <v>36</v>
      </c>
      <c r="F1837" t="s">
        <v>25</v>
      </c>
      <c r="G1837" t="s">
        <v>16</v>
      </c>
      <c r="H1837" t="s">
        <v>17</v>
      </c>
      <c r="I1837">
        <v>5</v>
      </c>
      <c r="J1837">
        <v>0.1</v>
      </c>
      <c r="K1837">
        <v>528.6</v>
      </c>
      <c r="L1837">
        <v>6.45</v>
      </c>
      <c r="M1837" t="s">
        <v>2472</v>
      </c>
      <c r="N1837" t="s">
        <v>2467</v>
      </c>
      <c r="O1837" t="s">
        <v>2468</v>
      </c>
      <c r="P1837">
        <v>63.69</v>
      </c>
      <c r="Q1837">
        <v>125.5</v>
      </c>
      <c r="R1837">
        <v>318.45</v>
      </c>
      <c r="S1837">
        <v>203.70000000000005</v>
      </c>
      <c r="T1837">
        <v>0.38535754824063573</v>
      </c>
      <c r="U1837" s="1">
        <v>45474</v>
      </c>
      <c r="V1837" t="s">
        <v>2498</v>
      </c>
      <c r="W1837">
        <v>2024</v>
      </c>
    </row>
    <row r="1838" spans="1:23" x14ac:dyDescent="0.25">
      <c r="A1838" t="s">
        <v>1885</v>
      </c>
      <c r="B1838" s="1">
        <v>45414</v>
      </c>
      <c r="C1838" s="1">
        <v>45415</v>
      </c>
      <c r="D1838" t="s">
        <v>23</v>
      </c>
      <c r="E1838" t="s">
        <v>43</v>
      </c>
      <c r="F1838" t="s">
        <v>15</v>
      </c>
      <c r="G1838" t="s">
        <v>20</v>
      </c>
      <c r="H1838" t="s">
        <v>68</v>
      </c>
      <c r="I1838">
        <v>3</v>
      </c>
      <c r="J1838">
        <v>0</v>
      </c>
      <c r="K1838">
        <v>153.53</v>
      </c>
      <c r="L1838">
        <v>4.95</v>
      </c>
      <c r="M1838" t="s">
        <v>2466</v>
      </c>
      <c r="N1838" t="s">
        <v>2467</v>
      </c>
      <c r="O1838" t="s">
        <v>2468</v>
      </c>
      <c r="P1838">
        <v>25.33</v>
      </c>
      <c r="Q1838">
        <v>51.56</v>
      </c>
      <c r="R1838">
        <v>75.989999999999995</v>
      </c>
      <c r="S1838">
        <v>72.59</v>
      </c>
      <c r="T1838">
        <v>0.47280661759916631</v>
      </c>
      <c r="U1838" s="1">
        <v>45413</v>
      </c>
      <c r="V1838" t="s">
        <v>2499</v>
      </c>
      <c r="W1838">
        <v>2024</v>
      </c>
    </row>
    <row r="1839" spans="1:23" x14ac:dyDescent="0.25">
      <c r="A1839" t="s">
        <v>1886</v>
      </c>
      <c r="B1839" s="1">
        <v>45750</v>
      </c>
      <c r="C1839" s="1">
        <v>45754</v>
      </c>
      <c r="D1839" t="s">
        <v>47</v>
      </c>
      <c r="E1839" t="s">
        <v>71</v>
      </c>
      <c r="F1839" t="s">
        <v>29</v>
      </c>
      <c r="G1839" t="s">
        <v>20</v>
      </c>
      <c r="H1839" t="s">
        <v>68</v>
      </c>
      <c r="I1839">
        <v>4</v>
      </c>
      <c r="J1839">
        <v>0.15</v>
      </c>
      <c r="K1839">
        <v>181.83</v>
      </c>
      <c r="L1839">
        <v>5.7</v>
      </c>
      <c r="M1839" t="s">
        <v>2466</v>
      </c>
      <c r="N1839" t="s">
        <v>2467</v>
      </c>
      <c r="O1839" t="s">
        <v>2468</v>
      </c>
      <c r="P1839">
        <v>25.33</v>
      </c>
      <c r="Q1839">
        <v>51.56</v>
      </c>
      <c r="R1839">
        <v>101.32</v>
      </c>
      <c r="S1839">
        <v>74.810000000000016</v>
      </c>
      <c r="T1839">
        <v>0.41142825716328446</v>
      </c>
      <c r="U1839" s="1">
        <v>45748</v>
      </c>
      <c r="V1839" t="s">
        <v>2500</v>
      </c>
      <c r="W1839">
        <v>2025</v>
      </c>
    </row>
    <row r="1840" spans="1:23" x14ac:dyDescent="0.25">
      <c r="A1840" t="s">
        <v>1887</v>
      </c>
      <c r="B1840" s="1">
        <v>45418</v>
      </c>
      <c r="C1840" s="1">
        <v>45424</v>
      </c>
      <c r="D1840" t="s">
        <v>23</v>
      </c>
      <c r="E1840" t="s">
        <v>59</v>
      </c>
      <c r="F1840" t="s">
        <v>15</v>
      </c>
      <c r="G1840" t="s">
        <v>26</v>
      </c>
      <c r="H1840" t="s">
        <v>65</v>
      </c>
      <c r="I1840">
        <v>2</v>
      </c>
      <c r="J1840">
        <v>0</v>
      </c>
      <c r="K1840">
        <v>549.07000000000005</v>
      </c>
      <c r="L1840">
        <v>9.1</v>
      </c>
      <c r="M1840" t="s">
        <v>2457</v>
      </c>
      <c r="N1840" t="s">
        <v>2458</v>
      </c>
      <c r="O1840" t="s">
        <v>2459</v>
      </c>
      <c r="P1840">
        <v>173.56</v>
      </c>
      <c r="Q1840">
        <v>286.14999999999998</v>
      </c>
      <c r="R1840">
        <v>347.12</v>
      </c>
      <c r="S1840">
        <v>192.85000000000005</v>
      </c>
      <c r="T1840">
        <v>0.35123026207951635</v>
      </c>
      <c r="U1840" s="1">
        <v>45413</v>
      </c>
      <c r="V1840" t="s">
        <v>2499</v>
      </c>
      <c r="W1840">
        <v>2024</v>
      </c>
    </row>
    <row r="1841" spans="1:23" x14ac:dyDescent="0.25">
      <c r="A1841" t="s">
        <v>1888</v>
      </c>
      <c r="B1841" s="1">
        <v>45440</v>
      </c>
      <c r="C1841" s="1">
        <v>45443</v>
      </c>
      <c r="D1841" t="s">
        <v>32</v>
      </c>
      <c r="E1841" t="s">
        <v>62</v>
      </c>
      <c r="F1841" t="s">
        <v>15</v>
      </c>
      <c r="G1841" t="s">
        <v>26</v>
      </c>
      <c r="H1841" t="s">
        <v>39</v>
      </c>
      <c r="I1841">
        <v>4</v>
      </c>
      <c r="J1841">
        <v>0</v>
      </c>
      <c r="K1841">
        <v>806.43</v>
      </c>
      <c r="L1841">
        <v>5.7</v>
      </c>
      <c r="M1841" t="s">
        <v>2471</v>
      </c>
      <c r="N1841" t="s">
        <v>2467</v>
      </c>
      <c r="O1841" t="s">
        <v>2461</v>
      </c>
      <c r="P1841">
        <v>112.09</v>
      </c>
      <c r="Q1841">
        <v>192.47</v>
      </c>
      <c r="R1841">
        <v>448.36</v>
      </c>
      <c r="S1841">
        <v>352.36999999999995</v>
      </c>
      <c r="T1841">
        <v>0.43695051027367532</v>
      </c>
      <c r="U1841" s="1">
        <v>45413</v>
      </c>
      <c r="V1841" t="s">
        <v>2499</v>
      </c>
      <c r="W1841">
        <v>2024</v>
      </c>
    </row>
    <row r="1842" spans="1:23" x14ac:dyDescent="0.25">
      <c r="A1842" t="s">
        <v>1889</v>
      </c>
      <c r="B1842" s="1">
        <v>45915</v>
      </c>
      <c r="C1842" s="1">
        <v>45919</v>
      </c>
      <c r="D1842" t="s">
        <v>13</v>
      </c>
      <c r="E1842" t="s">
        <v>36</v>
      </c>
      <c r="F1842" t="s">
        <v>25</v>
      </c>
      <c r="G1842" t="s">
        <v>20</v>
      </c>
      <c r="H1842" t="s">
        <v>27</v>
      </c>
      <c r="I1842">
        <v>14</v>
      </c>
      <c r="J1842">
        <v>0</v>
      </c>
      <c r="K1842">
        <v>419.74</v>
      </c>
      <c r="L1842">
        <v>6.48</v>
      </c>
      <c r="M1842" t="s">
        <v>2478</v>
      </c>
      <c r="N1842" t="s">
        <v>2474</v>
      </c>
      <c r="O1842" t="s">
        <v>2463</v>
      </c>
      <c r="P1842">
        <v>16.760000000000002</v>
      </c>
      <c r="Q1842">
        <v>27.71</v>
      </c>
      <c r="R1842">
        <v>234.64000000000001</v>
      </c>
      <c r="S1842">
        <v>178.62</v>
      </c>
      <c r="T1842">
        <v>0.4255491494734836</v>
      </c>
      <c r="U1842" s="1">
        <v>45901</v>
      </c>
      <c r="V1842" t="s">
        <v>2499</v>
      </c>
      <c r="W1842">
        <v>2025</v>
      </c>
    </row>
    <row r="1843" spans="1:23" x14ac:dyDescent="0.25">
      <c r="A1843" t="s">
        <v>1890</v>
      </c>
      <c r="B1843" s="1">
        <v>45954</v>
      </c>
      <c r="C1843" s="1">
        <v>45956</v>
      </c>
      <c r="D1843" t="s">
        <v>47</v>
      </c>
      <c r="E1843" t="s">
        <v>48</v>
      </c>
      <c r="F1843" t="s">
        <v>25</v>
      </c>
      <c r="G1843" t="s">
        <v>20</v>
      </c>
      <c r="H1843" t="s">
        <v>37</v>
      </c>
      <c r="I1843">
        <v>3</v>
      </c>
      <c r="J1843">
        <v>0</v>
      </c>
      <c r="K1843">
        <v>358.07</v>
      </c>
      <c r="L1843">
        <v>11.4</v>
      </c>
      <c r="M1843" t="s">
        <v>2464</v>
      </c>
      <c r="N1843" t="s">
        <v>2458</v>
      </c>
      <c r="O1843" t="s">
        <v>2465</v>
      </c>
      <c r="P1843">
        <v>63.6</v>
      </c>
      <c r="Q1843">
        <v>107.94</v>
      </c>
      <c r="R1843">
        <v>190.8</v>
      </c>
      <c r="S1843">
        <v>155.86999999999998</v>
      </c>
      <c r="T1843">
        <v>0.43530594576479453</v>
      </c>
      <c r="U1843" s="1">
        <v>45931</v>
      </c>
      <c r="V1843" t="s">
        <v>2499</v>
      </c>
      <c r="W1843">
        <v>2025</v>
      </c>
    </row>
    <row r="1844" spans="1:23" x14ac:dyDescent="0.25">
      <c r="A1844" t="s">
        <v>1891</v>
      </c>
      <c r="B1844" s="1">
        <v>45769</v>
      </c>
      <c r="C1844" s="1">
        <v>45773</v>
      </c>
      <c r="D1844" t="s">
        <v>23</v>
      </c>
      <c r="E1844" t="s">
        <v>43</v>
      </c>
      <c r="F1844" t="s">
        <v>15</v>
      </c>
      <c r="G1844" t="s">
        <v>26</v>
      </c>
      <c r="H1844" t="s">
        <v>41</v>
      </c>
      <c r="I1844">
        <v>10</v>
      </c>
      <c r="J1844">
        <v>0.2</v>
      </c>
      <c r="K1844">
        <v>50.51</v>
      </c>
      <c r="L1844">
        <v>9</v>
      </c>
      <c r="M1844" t="s">
        <v>2479</v>
      </c>
      <c r="N1844" t="s">
        <v>2474</v>
      </c>
      <c r="O1844" t="s">
        <v>2459</v>
      </c>
      <c r="P1844">
        <v>3.3</v>
      </c>
      <c r="Q1844">
        <v>6.13</v>
      </c>
      <c r="R1844">
        <v>33</v>
      </c>
      <c r="S1844">
        <v>8.509999999999998</v>
      </c>
      <c r="T1844">
        <v>0.16848148881409619</v>
      </c>
      <c r="U1844" s="1">
        <v>45748</v>
      </c>
      <c r="V1844" t="s">
        <v>2500</v>
      </c>
      <c r="W1844">
        <v>2025</v>
      </c>
    </row>
    <row r="1845" spans="1:23" x14ac:dyDescent="0.25">
      <c r="A1845" t="s">
        <v>1892</v>
      </c>
      <c r="B1845" s="1">
        <v>45500</v>
      </c>
      <c r="C1845" s="1">
        <v>45502</v>
      </c>
      <c r="D1845" t="s">
        <v>23</v>
      </c>
      <c r="E1845" t="s">
        <v>24</v>
      </c>
      <c r="F1845" t="s">
        <v>25</v>
      </c>
      <c r="G1845" t="s">
        <v>26</v>
      </c>
      <c r="H1845" t="s">
        <v>17</v>
      </c>
      <c r="I1845">
        <v>7</v>
      </c>
      <c r="J1845">
        <v>0</v>
      </c>
      <c r="K1845">
        <v>849.23</v>
      </c>
      <c r="L1845">
        <v>13.25</v>
      </c>
      <c r="M1845" t="s">
        <v>2472</v>
      </c>
      <c r="N1845" t="s">
        <v>2467</v>
      </c>
      <c r="O1845" t="s">
        <v>2468</v>
      </c>
      <c r="P1845">
        <v>63.69</v>
      </c>
      <c r="Q1845">
        <v>125.5</v>
      </c>
      <c r="R1845">
        <v>445.83</v>
      </c>
      <c r="S1845">
        <v>390.15000000000003</v>
      </c>
      <c r="T1845">
        <v>0.45941617700740672</v>
      </c>
      <c r="U1845" s="1">
        <v>45474</v>
      </c>
      <c r="V1845" t="s">
        <v>2499</v>
      </c>
      <c r="W1845">
        <v>2024</v>
      </c>
    </row>
    <row r="1846" spans="1:23" x14ac:dyDescent="0.25">
      <c r="A1846" t="s">
        <v>1893</v>
      </c>
      <c r="B1846" s="1">
        <v>45800</v>
      </c>
      <c r="C1846" s="1">
        <v>45803</v>
      </c>
      <c r="D1846" t="s">
        <v>13</v>
      </c>
      <c r="E1846" t="s">
        <v>14</v>
      </c>
      <c r="F1846" t="s">
        <v>29</v>
      </c>
      <c r="G1846" t="s">
        <v>20</v>
      </c>
      <c r="H1846" t="s">
        <v>68</v>
      </c>
      <c r="I1846">
        <v>3</v>
      </c>
      <c r="J1846">
        <v>0</v>
      </c>
      <c r="K1846">
        <v>151.84</v>
      </c>
      <c r="L1846">
        <v>4.95</v>
      </c>
      <c r="M1846" t="s">
        <v>2466</v>
      </c>
      <c r="N1846" t="s">
        <v>2467</v>
      </c>
      <c r="O1846" t="s">
        <v>2468</v>
      </c>
      <c r="P1846">
        <v>25.33</v>
      </c>
      <c r="Q1846">
        <v>51.56</v>
      </c>
      <c r="R1846">
        <v>75.989999999999995</v>
      </c>
      <c r="S1846">
        <v>70.900000000000006</v>
      </c>
      <c r="T1846">
        <v>0.46693888303477349</v>
      </c>
      <c r="U1846" s="1">
        <v>45778</v>
      </c>
      <c r="V1846" t="s">
        <v>2499</v>
      </c>
      <c r="W1846">
        <v>2025</v>
      </c>
    </row>
    <row r="1847" spans="1:23" x14ac:dyDescent="0.25">
      <c r="A1847" t="s">
        <v>1894</v>
      </c>
      <c r="B1847" s="1">
        <v>45675</v>
      </c>
      <c r="C1847" s="1">
        <v>45679</v>
      </c>
      <c r="D1847" t="s">
        <v>23</v>
      </c>
      <c r="E1847" t="s">
        <v>43</v>
      </c>
      <c r="F1847" t="s">
        <v>25</v>
      </c>
      <c r="G1847" t="s">
        <v>16</v>
      </c>
      <c r="H1847" t="s">
        <v>65</v>
      </c>
      <c r="I1847">
        <v>2</v>
      </c>
      <c r="J1847">
        <v>0.15</v>
      </c>
      <c r="K1847">
        <v>410.16</v>
      </c>
      <c r="L1847">
        <v>9.1</v>
      </c>
      <c r="M1847" t="s">
        <v>2457</v>
      </c>
      <c r="N1847" t="s">
        <v>2458</v>
      </c>
      <c r="O1847" t="s">
        <v>2459</v>
      </c>
      <c r="P1847">
        <v>173.56</v>
      </c>
      <c r="Q1847">
        <v>286.14999999999998</v>
      </c>
      <c r="R1847">
        <v>347.12</v>
      </c>
      <c r="S1847">
        <v>53.940000000000019</v>
      </c>
      <c r="T1847">
        <v>0.13150965476887072</v>
      </c>
      <c r="U1847" s="1">
        <v>45658</v>
      </c>
      <c r="V1847" t="s">
        <v>2500</v>
      </c>
      <c r="W1847">
        <v>2025</v>
      </c>
    </row>
    <row r="1848" spans="1:23" x14ac:dyDescent="0.25">
      <c r="A1848" t="s">
        <v>1895</v>
      </c>
      <c r="B1848" s="1">
        <v>45599</v>
      </c>
      <c r="C1848" s="1">
        <v>45603</v>
      </c>
      <c r="D1848" t="s">
        <v>32</v>
      </c>
      <c r="E1848" t="s">
        <v>45</v>
      </c>
      <c r="F1848" t="s">
        <v>25</v>
      </c>
      <c r="G1848" t="s">
        <v>20</v>
      </c>
      <c r="H1848" t="s">
        <v>34</v>
      </c>
      <c r="I1848">
        <v>2</v>
      </c>
      <c r="J1848">
        <v>0.2</v>
      </c>
      <c r="K1848">
        <v>425.16</v>
      </c>
      <c r="L1848">
        <v>5.46</v>
      </c>
      <c r="M1848" t="s">
        <v>2460</v>
      </c>
      <c r="N1848" t="s">
        <v>2458</v>
      </c>
      <c r="O1848" t="s">
        <v>2461</v>
      </c>
      <c r="P1848">
        <v>119.02</v>
      </c>
      <c r="Q1848">
        <v>205.39</v>
      </c>
      <c r="R1848">
        <v>238.04</v>
      </c>
      <c r="S1848">
        <v>181.66000000000003</v>
      </c>
      <c r="T1848">
        <v>0.42727443785868852</v>
      </c>
      <c r="U1848" s="1">
        <v>45597</v>
      </c>
      <c r="V1848" t="s">
        <v>2500</v>
      </c>
      <c r="W1848">
        <v>2024</v>
      </c>
    </row>
    <row r="1849" spans="1:23" x14ac:dyDescent="0.25">
      <c r="A1849" t="s">
        <v>1896</v>
      </c>
      <c r="B1849" s="1">
        <v>45665</v>
      </c>
      <c r="C1849" s="1">
        <v>45671</v>
      </c>
      <c r="D1849" t="s">
        <v>32</v>
      </c>
      <c r="E1849" t="s">
        <v>62</v>
      </c>
      <c r="F1849" t="s">
        <v>15</v>
      </c>
      <c r="G1849" t="s">
        <v>20</v>
      </c>
      <c r="H1849" t="s">
        <v>27</v>
      </c>
      <c r="I1849">
        <v>9</v>
      </c>
      <c r="J1849">
        <v>0</v>
      </c>
      <c r="K1849">
        <v>215.3</v>
      </c>
      <c r="L1849">
        <v>5.13</v>
      </c>
      <c r="M1849" t="s">
        <v>2478</v>
      </c>
      <c r="N1849" t="s">
        <v>2474</v>
      </c>
      <c r="O1849" t="s">
        <v>2463</v>
      </c>
      <c r="P1849">
        <v>16.760000000000002</v>
      </c>
      <c r="Q1849">
        <v>27.71</v>
      </c>
      <c r="R1849">
        <v>150.84</v>
      </c>
      <c r="S1849">
        <v>59.330000000000005</v>
      </c>
      <c r="T1849">
        <v>0.27556897352531351</v>
      </c>
      <c r="U1849" s="1">
        <v>45658</v>
      </c>
      <c r="V1849" t="s">
        <v>2499</v>
      </c>
      <c r="W1849">
        <v>2025</v>
      </c>
    </row>
    <row r="1850" spans="1:23" x14ac:dyDescent="0.25">
      <c r="A1850" t="s">
        <v>1897</v>
      </c>
      <c r="B1850" s="1">
        <v>45874</v>
      </c>
      <c r="C1850" s="1">
        <v>45875</v>
      </c>
      <c r="D1850" t="s">
        <v>23</v>
      </c>
      <c r="E1850" t="s">
        <v>43</v>
      </c>
      <c r="F1850" t="s">
        <v>15</v>
      </c>
      <c r="G1850" t="s">
        <v>26</v>
      </c>
      <c r="H1850" t="s">
        <v>27</v>
      </c>
      <c r="I1850">
        <v>8</v>
      </c>
      <c r="J1850">
        <v>0</v>
      </c>
      <c r="K1850">
        <v>210.35</v>
      </c>
      <c r="L1850">
        <v>8.1</v>
      </c>
      <c r="M1850" t="s">
        <v>2478</v>
      </c>
      <c r="N1850" t="s">
        <v>2474</v>
      </c>
      <c r="O1850" t="s">
        <v>2463</v>
      </c>
      <c r="P1850">
        <v>16.760000000000002</v>
      </c>
      <c r="Q1850">
        <v>27.71</v>
      </c>
      <c r="R1850">
        <v>134.08000000000001</v>
      </c>
      <c r="S1850">
        <v>68.169999999999987</v>
      </c>
      <c r="T1850">
        <v>0.32407891609222717</v>
      </c>
      <c r="U1850" s="1">
        <v>45870</v>
      </c>
      <c r="V1850" t="s">
        <v>2499</v>
      </c>
      <c r="W1850">
        <v>2025</v>
      </c>
    </row>
    <row r="1851" spans="1:23" x14ac:dyDescent="0.25">
      <c r="A1851" t="s">
        <v>1898</v>
      </c>
      <c r="B1851" s="1">
        <v>45520</v>
      </c>
      <c r="C1851" s="1">
        <v>45526</v>
      </c>
      <c r="D1851" t="s">
        <v>47</v>
      </c>
      <c r="E1851" t="s">
        <v>50</v>
      </c>
      <c r="F1851" t="s">
        <v>25</v>
      </c>
      <c r="G1851" t="s">
        <v>26</v>
      </c>
      <c r="H1851" t="s">
        <v>53</v>
      </c>
      <c r="I1851">
        <v>3</v>
      </c>
      <c r="J1851">
        <v>0.1</v>
      </c>
      <c r="K1851">
        <v>140.27000000000001</v>
      </c>
      <c r="L1851">
        <v>4.95</v>
      </c>
      <c r="M1851" t="s">
        <v>2470</v>
      </c>
      <c r="N1851" t="s">
        <v>2467</v>
      </c>
      <c r="O1851" t="s">
        <v>2459</v>
      </c>
      <c r="P1851">
        <v>31.34</v>
      </c>
      <c r="Q1851">
        <v>56.49</v>
      </c>
      <c r="R1851">
        <v>94.02</v>
      </c>
      <c r="S1851">
        <v>41.300000000000011</v>
      </c>
      <c r="T1851">
        <v>0.29443216653596643</v>
      </c>
      <c r="U1851" s="1">
        <v>45505</v>
      </c>
      <c r="V1851" t="s">
        <v>2498</v>
      </c>
      <c r="W1851">
        <v>2024</v>
      </c>
    </row>
    <row r="1852" spans="1:23" x14ac:dyDescent="0.25">
      <c r="A1852" t="s">
        <v>1899</v>
      </c>
      <c r="B1852" s="1">
        <v>45423</v>
      </c>
      <c r="C1852" s="1">
        <v>45427</v>
      </c>
      <c r="D1852" t="s">
        <v>32</v>
      </c>
      <c r="E1852" t="s">
        <v>45</v>
      </c>
      <c r="F1852" t="s">
        <v>25</v>
      </c>
      <c r="G1852" t="s">
        <v>26</v>
      </c>
      <c r="H1852" t="s">
        <v>68</v>
      </c>
      <c r="I1852">
        <v>3</v>
      </c>
      <c r="J1852">
        <v>0</v>
      </c>
      <c r="K1852">
        <v>156.16999999999999</v>
      </c>
      <c r="L1852">
        <v>8.25</v>
      </c>
      <c r="M1852" t="s">
        <v>2466</v>
      </c>
      <c r="N1852" t="s">
        <v>2467</v>
      </c>
      <c r="O1852" t="s">
        <v>2468</v>
      </c>
      <c r="P1852">
        <v>25.33</v>
      </c>
      <c r="Q1852">
        <v>51.56</v>
      </c>
      <c r="R1852">
        <v>75.989999999999995</v>
      </c>
      <c r="S1852">
        <v>71.929999999999993</v>
      </c>
      <c r="T1852">
        <v>0.46058782096433371</v>
      </c>
      <c r="U1852" s="1">
        <v>45413</v>
      </c>
      <c r="V1852" t="s">
        <v>2499</v>
      </c>
      <c r="W1852">
        <v>2024</v>
      </c>
    </row>
    <row r="1853" spans="1:23" x14ac:dyDescent="0.25">
      <c r="A1853" t="s">
        <v>1900</v>
      </c>
      <c r="B1853" s="1">
        <v>45788</v>
      </c>
      <c r="C1853" s="1">
        <v>45790</v>
      </c>
      <c r="D1853" t="s">
        <v>13</v>
      </c>
      <c r="E1853" t="s">
        <v>14</v>
      </c>
      <c r="F1853" t="s">
        <v>15</v>
      </c>
      <c r="G1853" t="s">
        <v>16</v>
      </c>
      <c r="H1853" t="s">
        <v>37</v>
      </c>
      <c r="I1853">
        <v>4</v>
      </c>
      <c r="J1853">
        <v>0</v>
      </c>
      <c r="K1853">
        <v>443.73</v>
      </c>
      <c r="L1853">
        <v>13.7</v>
      </c>
      <c r="M1853" t="s">
        <v>2464</v>
      </c>
      <c r="N1853" t="s">
        <v>2458</v>
      </c>
      <c r="O1853" t="s">
        <v>2465</v>
      </c>
      <c r="P1853">
        <v>63.6</v>
      </c>
      <c r="Q1853">
        <v>107.94</v>
      </c>
      <c r="R1853">
        <v>254.4</v>
      </c>
      <c r="S1853">
        <v>175.63000000000002</v>
      </c>
      <c r="T1853">
        <v>0.39580375453541572</v>
      </c>
      <c r="U1853" s="1">
        <v>45778</v>
      </c>
      <c r="V1853" t="s">
        <v>2499</v>
      </c>
      <c r="W1853">
        <v>2025</v>
      </c>
    </row>
    <row r="1854" spans="1:23" x14ac:dyDescent="0.25">
      <c r="A1854" t="s">
        <v>1901</v>
      </c>
      <c r="B1854" s="1">
        <v>45343</v>
      </c>
      <c r="C1854" s="1">
        <v>45345</v>
      </c>
      <c r="D1854" t="s">
        <v>13</v>
      </c>
      <c r="E1854" t="s">
        <v>14</v>
      </c>
      <c r="F1854" t="s">
        <v>15</v>
      </c>
      <c r="G1854" t="s">
        <v>20</v>
      </c>
      <c r="H1854" t="s">
        <v>17</v>
      </c>
      <c r="I1854">
        <v>2</v>
      </c>
      <c r="J1854">
        <v>0.1</v>
      </c>
      <c r="K1854">
        <v>194.97</v>
      </c>
      <c r="L1854">
        <v>7</v>
      </c>
      <c r="M1854" t="s">
        <v>2472</v>
      </c>
      <c r="N1854" t="s">
        <v>2467</v>
      </c>
      <c r="O1854" t="s">
        <v>2468</v>
      </c>
      <c r="P1854">
        <v>63.69</v>
      </c>
      <c r="Q1854">
        <v>125.5</v>
      </c>
      <c r="R1854">
        <v>127.38</v>
      </c>
      <c r="S1854">
        <v>60.59</v>
      </c>
      <c r="T1854">
        <v>0.31076575883469254</v>
      </c>
      <c r="U1854" s="1">
        <v>45323</v>
      </c>
      <c r="V1854" t="s">
        <v>2498</v>
      </c>
      <c r="W1854">
        <v>2024</v>
      </c>
    </row>
    <row r="1855" spans="1:23" x14ac:dyDescent="0.25">
      <c r="A1855" t="s">
        <v>1902</v>
      </c>
      <c r="B1855" s="1">
        <v>45831</v>
      </c>
      <c r="C1855" s="1">
        <v>45834</v>
      </c>
      <c r="D1855" t="s">
        <v>23</v>
      </c>
      <c r="E1855" t="s">
        <v>43</v>
      </c>
      <c r="F1855" t="s">
        <v>15</v>
      </c>
      <c r="G1855" t="s">
        <v>26</v>
      </c>
      <c r="H1855" t="s">
        <v>41</v>
      </c>
      <c r="I1855">
        <v>6</v>
      </c>
      <c r="J1855">
        <v>0</v>
      </c>
      <c r="K1855">
        <v>37.56</v>
      </c>
      <c r="L1855">
        <v>7.2</v>
      </c>
      <c r="M1855" t="s">
        <v>2479</v>
      </c>
      <c r="N1855" t="s">
        <v>2474</v>
      </c>
      <c r="O1855" t="s">
        <v>2459</v>
      </c>
      <c r="P1855">
        <v>3.3</v>
      </c>
      <c r="Q1855">
        <v>6.13</v>
      </c>
      <c r="R1855">
        <v>19.799999999999997</v>
      </c>
      <c r="S1855">
        <v>10.560000000000006</v>
      </c>
      <c r="T1855">
        <v>0.2811501597444091</v>
      </c>
      <c r="U1855" s="1">
        <v>45809</v>
      </c>
      <c r="V1855" t="s">
        <v>2499</v>
      </c>
      <c r="W1855">
        <v>2025</v>
      </c>
    </row>
    <row r="1856" spans="1:23" x14ac:dyDescent="0.25">
      <c r="A1856" t="s">
        <v>1903</v>
      </c>
      <c r="B1856" s="1">
        <v>45732</v>
      </c>
      <c r="C1856" s="1">
        <v>45737</v>
      </c>
      <c r="D1856" t="s">
        <v>32</v>
      </c>
      <c r="E1856" t="s">
        <v>33</v>
      </c>
      <c r="F1856" t="s">
        <v>15</v>
      </c>
      <c r="G1856" t="s">
        <v>16</v>
      </c>
      <c r="H1856" t="s">
        <v>34</v>
      </c>
      <c r="I1856">
        <v>2</v>
      </c>
      <c r="J1856">
        <v>0</v>
      </c>
      <c r="K1856">
        <v>406.27</v>
      </c>
      <c r="L1856">
        <v>9.1</v>
      </c>
      <c r="M1856" t="s">
        <v>2460</v>
      </c>
      <c r="N1856" t="s">
        <v>2458</v>
      </c>
      <c r="O1856" t="s">
        <v>2461</v>
      </c>
      <c r="P1856">
        <v>119.02</v>
      </c>
      <c r="Q1856">
        <v>205.39</v>
      </c>
      <c r="R1856">
        <v>238.04</v>
      </c>
      <c r="S1856">
        <v>159.13</v>
      </c>
      <c r="T1856">
        <v>0.39168533241440423</v>
      </c>
      <c r="U1856" s="1">
        <v>45717</v>
      </c>
      <c r="V1856" t="s">
        <v>2499</v>
      </c>
      <c r="W1856">
        <v>2025</v>
      </c>
    </row>
    <row r="1857" spans="1:23" x14ac:dyDescent="0.25">
      <c r="A1857" t="s">
        <v>1904</v>
      </c>
      <c r="B1857" s="1">
        <v>45341</v>
      </c>
      <c r="C1857" s="1">
        <v>45342</v>
      </c>
      <c r="D1857" t="s">
        <v>32</v>
      </c>
      <c r="E1857" t="s">
        <v>33</v>
      </c>
      <c r="F1857" t="s">
        <v>25</v>
      </c>
      <c r="G1857" t="s">
        <v>26</v>
      </c>
      <c r="H1857" t="s">
        <v>21</v>
      </c>
      <c r="I1857">
        <v>3</v>
      </c>
      <c r="J1857">
        <v>0.1</v>
      </c>
      <c r="K1857">
        <v>273.97000000000003</v>
      </c>
      <c r="L1857">
        <v>6.84</v>
      </c>
      <c r="M1857" t="s">
        <v>2462</v>
      </c>
      <c r="N1857" t="s">
        <v>2458</v>
      </c>
      <c r="O1857" t="s">
        <v>2463</v>
      </c>
      <c r="P1857">
        <v>71.489999999999995</v>
      </c>
      <c r="Q1857">
        <v>112.88</v>
      </c>
      <c r="R1857">
        <v>214.46999999999997</v>
      </c>
      <c r="S1857">
        <v>52.660000000000053</v>
      </c>
      <c r="T1857">
        <v>0.1922108260028472</v>
      </c>
      <c r="U1857" s="1">
        <v>45323</v>
      </c>
      <c r="V1857" t="s">
        <v>2498</v>
      </c>
      <c r="W1857">
        <v>2024</v>
      </c>
    </row>
    <row r="1858" spans="1:23" x14ac:dyDescent="0.25">
      <c r="A1858" t="s">
        <v>1905</v>
      </c>
      <c r="B1858" s="1">
        <v>45766</v>
      </c>
      <c r="C1858" s="1">
        <v>45771</v>
      </c>
      <c r="D1858" t="s">
        <v>32</v>
      </c>
      <c r="E1858" t="s">
        <v>62</v>
      </c>
      <c r="F1858" t="s">
        <v>29</v>
      </c>
      <c r="G1858" t="s">
        <v>16</v>
      </c>
      <c r="H1858" t="s">
        <v>37</v>
      </c>
      <c r="I1858">
        <v>4</v>
      </c>
      <c r="J1858">
        <v>0</v>
      </c>
      <c r="K1858">
        <v>417.75</v>
      </c>
      <c r="L1858">
        <v>8.2200000000000006</v>
      </c>
      <c r="M1858" t="s">
        <v>2464</v>
      </c>
      <c r="N1858" t="s">
        <v>2458</v>
      </c>
      <c r="O1858" t="s">
        <v>2465</v>
      </c>
      <c r="P1858">
        <v>63.6</v>
      </c>
      <c r="Q1858">
        <v>107.94</v>
      </c>
      <c r="R1858">
        <v>254.4</v>
      </c>
      <c r="S1858">
        <v>155.13</v>
      </c>
      <c r="T1858">
        <v>0.37134649910233392</v>
      </c>
      <c r="U1858" s="1">
        <v>45748</v>
      </c>
      <c r="V1858" t="s">
        <v>2499</v>
      </c>
      <c r="W1858">
        <v>2025</v>
      </c>
    </row>
    <row r="1859" spans="1:23" x14ac:dyDescent="0.25">
      <c r="A1859" t="s">
        <v>1906</v>
      </c>
      <c r="B1859" s="1">
        <v>45731</v>
      </c>
      <c r="C1859" s="1">
        <v>45736</v>
      </c>
      <c r="D1859" t="s">
        <v>47</v>
      </c>
      <c r="E1859" t="s">
        <v>48</v>
      </c>
      <c r="F1859" t="s">
        <v>29</v>
      </c>
      <c r="G1859" t="s">
        <v>20</v>
      </c>
      <c r="H1859" t="s">
        <v>41</v>
      </c>
      <c r="I1859">
        <v>4</v>
      </c>
      <c r="J1859">
        <v>0.05</v>
      </c>
      <c r="K1859">
        <v>22.76</v>
      </c>
      <c r="L1859">
        <v>3.78</v>
      </c>
      <c r="M1859" t="s">
        <v>2479</v>
      </c>
      <c r="N1859" t="s">
        <v>2474</v>
      </c>
      <c r="O1859" t="s">
        <v>2459</v>
      </c>
      <c r="P1859">
        <v>3.3</v>
      </c>
      <c r="Q1859">
        <v>6.13</v>
      </c>
      <c r="R1859">
        <v>13.2</v>
      </c>
      <c r="S1859">
        <v>5.7800000000000029</v>
      </c>
      <c r="T1859">
        <v>0.25395430579964862</v>
      </c>
      <c r="U1859" s="1">
        <v>45717</v>
      </c>
      <c r="V1859" t="s">
        <v>2498</v>
      </c>
      <c r="W1859">
        <v>2025</v>
      </c>
    </row>
    <row r="1860" spans="1:23" x14ac:dyDescent="0.25">
      <c r="A1860" t="s">
        <v>1907</v>
      </c>
      <c r="B1860" s="1">
        <v>45363</v>
      </c>
      <c r="C1860" s="1">
        <v>45368</v>
      </c>
      <c r="D1860" t="s">
        <v>47</v>
      </c>
      <c r="E1860" t="s">
        <v>48</v>
      </c>
      <c r="F1860" t="s">
        <v>29</v>
      </c>
      <c r="G1860" t="s">
        <v>26</v>
      </c>
      <c r="H1860" t="s">
        <v>68</v>
      </c>
      <c r="I1860">
        <v>2</v>
      </c>
      <c r="J1860">
        <v>0</v>
      </c>
      <c r="K1860">
        <v>96.4</v>
      </c>
      <c r="L1860">
        <v>7</v>
      </c>
      <c r="M1860" t="s">
        <v>2466</v>
      </c>
      <c r="N1860" t="s">
        <v>2467</v>
      </c>
      <c r="O1860" t="s">
        <v>2468</v>
      </c>
      <c r="P1860">
        <v>25.33</v>
      </c>
      <c r="Q1860">
        <v>51.56</v>
      </c>
      <c r="R1860">
        <v>50.66</v>
      </c>
      <c r="S1860">
        <v>38.740000000000009</v>
      </c>
      <c r="T1860">
        <v>0.40186721991701252</v>
      </c>
      <c r="U1860" s="1">
        <v>45352</v>
      </c>
      <c r="V1860" t="s">
        <v>2499</v>
      </c>
      <c r="W1860">
        <v>2024</v>
      </c>
    </row>
    <row r="1861" spans="1:23" x14ac:dyDescent="0.25">
      <c r="A1861" t="s">
        <v>1908</v>
      </c>
      <c r="B1861" s="1">
        <v>45425</v>
      </c>
      <c r="C1861" s="1">
        <v>45427</v>
      </c>
      <c r="D1861" t="s">
        <v>47</v>
      </c>
      <c r="E1861" t="s">
        <v>48</v>
      </c>
      <c r="F1861" t="s">
        <v>15</v>
      </c>
      <c r="G1861" t="s">
        <v>20</v>
      </c>
      <c r="H1861" t="s">
        <v>17</v>
      </c>
      <c r="I1861">
        <v>4</v>
      </c>
      <c r="J1861">
        <v>0</v>
      </c>
      <c r="K1861">
        <v>516.57000000000005</v>
      </c>
      <c r="L1861">
        <v>5.7</v>
      </c>
      <c r="M1861" t="s">
        <v>2472</v>
      </c>
      <c r="N1861" t="s">
        <v>2467</v>
      </c>
      <c r="O1861" t="s">
        <v>2468</v>
      </c>
      <c r="P1861">
        <v>63.69</v>
      </c>
      <c r="Q1861">
        <v>125.5</v>
      </c>
      <c r="R1861">
        <v>254.76</v>
      </c>
      <c r="S1861">
        <v>256.11000000000007</v>
      </c>
      <c r="T1861">
        <v>0.49578953481619148</v>
      </c>
      <c r="U1861" s="1">
        <v>45413</v>
      </c>
      <c r="V1861" t="s">
        <v>2499</v>
      </c>
      <c r="W1861">
        <v>2024</v>
      </c>
    </row>
    <row r="1862" spans="1:23" x14ac:dyDescent="0.25">
      <c r="A1862" t="s">
        <v>1909</v>
      </c>
      <c r="B1862" s="1">
        <v>45880</v>
      </c>
      <c r="C1862" s="1">
        <v>45883</v>
      </c>
      <c r="D1862" t="s">
        <v>32</v>
      </c>
      <c r="E1862" t="s">
        <v>33</v>
      </c>
      <c r="F1862" t="s">
        <v>15</v>
      </c>
      <c r="G1862" t="s">
        <v>16</v>
      </c>
      <c r="H1862" t="s">
        <v>39</v>
      </c>
      <c r="I1862">
        <v>4</v>
      </c>
      <c r="J1862">
        <v>0</v>
      </c>
      <c r="K1862">
        <v>735.06</v>
      </c>
      <c r="L1862">
        <v>5.7</v>
      </c>
      <c r="M1862" t="s">
        <v>2471</v>
      </c>
      <c r="N1862" t="s">
        <v>2467</v>
      </c>
      <c r="O1862" t="s">
        <v>2461</v>
      </c>
      <c r="P1862">
        <v>112.09</v>
      </c>
      <c r="Q1862">
        <v>192.47</v>
      </c>
      <c r="R1862">
        <v>448.36</v>
      </c>
      <c r="S1862">
        <v>280.99999999999994</v>
      </c>
      <c r="T1862">
        <v>0.38228171849917009</v>
      </c>
      <c r="U1862" s="1">
        <v>45870</v>
      </c>
      <c r="V1862" t="s">
        <v>2499</v>
      </c>
      <c r="W1862">
        <v>2025</v>
      </c>
    </row>
    <row r="1863" spans="1:23" x14ac:dyDescent="0.25">
      <c r="A1863" t="s">
        <v>1910</v>
      </c>
      <c r="B1863" s="1">
        <v>45972</v>
      </c>
      <c r="C1863" s="1">
        <v>45977</v>
      </c>
      <c r="D1863" t="s">
        <v>13</v>
      </c>
      <c r="E1863" t="s">
        <v>19</v>
      </c>
      <c r="F1863" t="s">
        <v>25</v>
      </c>
      <c r="G1863" t="s">
        <v>16</v>
      </c>
      <c r="H1863" t="s">
        <v>63</v>
      </c>
      <c r="I1863">
        <v>7</v>
      </c>
      <c r="J1863">
        <v>0</v>
      </c>
      <c r="K1863">
        <v>121.73</v>
      </c>
      <c r="L1863">
        <v>7.65</v>
      </c>
      <c r="M1863" t="s">
        <v>2477</v>
      </c>
      <c r="N1863" t="s">
        <v>2474</v>
      </c>
      <c r="O1863" t="s">
        <v>2468</v>
      </c>
      <c r="P1863">
        <v>6.33</v>
      </c>
      <c r="Q1863">
        <v>12.16</v>
      </c>
      <c r="R1863">
        <v>44.31</v>
      </c>
      <c r="S1863">
        <v>69.77</v>
      </c>
      <c r="T1863">
        <v>0.57315370081327521</v>
      </c>
      <c r="U1863" s="1">
        <v>45962</v>
      </c>
      <c r="V1863" t="s">
        <v>2499</v>
      </c>
      <c r="W1863">
        <v>2025</v>
      </c>
    </row>
    <row r="1864" spans="1:23" x14ac:dyDescent="0.25">
      <c r="A1864" t="s">
        <v>1911</v>
      </c>
      <c r="B1864" s="1">
        <v>45385</v>
      </c>
      <c r="C1864" s="1">
        <v>45386</v>
      </c>
      <c r="D1864" t="s">
        <v>23</v>
      </c>
      <c r="E1864" t="s">
        <v>43</v>
      </c>
      <c r="F1864" t="s">
        <v>29</v>
      </c>
      <c r="G1864" t="s">
        <v>26</v>
      </c>
      <c r="H1864" t="s">
        <v>60</v>
      </c>
      <c r="I1864">
        <v>2</v>
      </c>
      <c r="J1864">
        <v>0</v>
      </c>
      <c r="K1864">
        <v>220.44</v>
      </c>
      <c r="L1864">
        <v>4.2</v>
      </c>
      <c r="M1864" t="s">
        <v>2469</v>
      </c>
      <c r="N1864" t="s">
        <v>2467</v>
      </c>
      <c r="O1864" t="s">
        <v>2468</v>
      </c>
      <c r="P1864">
        <v>54.95</v>
      </c>
      <c r="Q1864">
        <v>112.56</v>
      </c>
      <c r="R1864">
        <v>109.9</v>
      </c>
      <c r="S1864">
        <v>106.33999999999999</v>
      </c>
      <c r="T1864">
        <v>0.48239883868626376</v>
      </c>
      <c r="U1864" s="1">
        <v>45383</v>
      </c>
      <c r="V1864" t="s">
        <v>2499</v>
      </c>
      <c r="W1864">
        <v>2024</v>
      </c>
    </row>
    <row r="1865" spans="1:23" x14ac:dyDescent="0.25">
      <c r="A1865" t="s">
        <v>1912</v>
      </c>
      <c r="B1865" s="1">
        <v>45417</v>
      </c>
      <c r="C1865" s="1">
        <v>45422</v>
      </c>
      <c r="D1865" t="s">
        <v>23</v>
      </c>
      <c r="E1865" t="s">
        <v>59</v>
      </c>
      <c r="F1865" t="s">
        <v>29</v>
      </c>
      <c r="G1865" t="s">
        <v>16</v>
      </c>
      <c r="H1865" t="s">
        <v>30</v>
      </c>
      <c r="I1865">
        <v>13</v>
      </c>
      <c r="J1865">
        <v>0.15</v>
      </c>
      <c r="K1865">
        <v>68.010000000000005</v>
      </c>
      <c r="L1865">
        <v>6.21</v>
      </c>
      <c r="M1865" t="s">
        <v>2473</v>
      </c>
      <c r="N1865" t="s">
        <v>2474</v>
      </c>
      <c r="O1865" t="s">
        <v>2463</v>
      </c>
      <c r="P1865">
        <v>3.62</v>
      </c>
      <c r="Q1865">
        <v>6.03</v>
      </c>
      <c r="R1865">
        <v>47.06</v>
      </c>
      <c r="S1865">
        <v>14.740000000000002</v>
      </c>
      <c r="T1865">
        <v>0.21673283340685195</v>
      </c>
      <c r="U1865" s="1">
        <v>45413</v>
      </c>
      <c r="V1865" t="s">
        <v>2500</v>
      </c>
      <c r="W1865">
        <v>2024</v>
      </c>
    </row>
    <row r="1866" spans="1:23" x14ac:dyDescent="0.25">
      <c r="A1866" t="s">
        <v>1913</v>
      </c>
      <c r="B1866" s="1">
        <v>45414</v>
      </c>
      <c r="C1866" s="1">
        <v>45420</v>
      </c>
      <c r="D1866" t="s">
        <v>32</v>
      </c>
      <c r="E1866" t="s">
        <v>33</v>
      </c>
      <c r="F1866" t="s">
        <v>25</v>
      </c>
      <c r="G1866" t="s">
        <v>16</v>
      </c>
      <c r="H1866" t="s">
        <v>17</v>
      </c>
      <c r="I1866">
        <v>4</v>
      </c>
      <c r="J1866">
        <v>0</v>
      </c>
      <c r="K1866">
        <v>529.55999999999995</v>
      </c>
      <c r="L1866">
        <v>5.7</v>
      </c>
      <c r="M1866" t="s">
        <v>2472</v>
      </c>
      <c r="N1866" t="s">
        <v>2467</v>
      </c>
      <c r="O1866" t="s">
        <v>2468</v>
      </c>
      <c r="P1866">
        <v>63.69</v>
      </c>
      <c r="Q1866">
        <v>125.5</v>
      </c>
      <c r="R1866">
        <v>254.76</v>
      </c>
      <c r="S1866">
        <v>269.09999999999997</v>
      </c>
      <c r="T1866">
        <v>0.50815771583956493</v>
      </c>
      <c r="U1866" s="1">
        <v>45413</v>
      </c>
      <c r="V1866" t="s">
        <v>2499</v>
      </c>
      <c r="W1866">
        <v>2024</v>
      </c>
    </row>
    <row r="1867" spans="1:23" x14ac:dyDescent="0.25">
      <c r="A1867" t="s">
        <v>1914</v>
      </c>
      <c r="B1867" s="1">
        <v>45967</v>
      </c>
      <c r="C1867" s="1">
        <v>45968</v>
      </c>
      <c r="D1867" t="s">
        <v>13</v>
      </c>
      <c r="E1867" t="s">
        <v>36</v>
      </c>
      <c r="F1867" t="s">
        <v>15</v>
      </c>
      <c r="G1867" t="s">
        <v>16</v>
      </c>
      <c r="H1867" t="s">
        <v>60</v>
      </c>
      <c r="I1867">
        <v>7</v>
      </c>
      <c r="J1867">
        <v>0.2</v>
      </c>
      <c r="K1867">
        <v>817.76</v>
      </c>
      <c r="L1867">
        <v>13.25</v>
      </c>
      <c r="M1867" t="s">
        <v>2469</v>
      </c>
      <c r="N1867" t="s">
        <v>2467</v>
      </c>
      <c r="O1867" t="s">
        <v>2468</v>
      </c>
      <c r="P1867">
        <v>54.95</v>
      </c>
      <c r="Q1867">
        <v>112.56</v>
      </c>
      <c r="R1867">
        <v>384.65000000000003</v>
      </c>
      <c r="S1867">
        <v>419.85999999999996</v>
      </c>
      <c r="T1867">
        <v>0.51342692232439835</v>
      </c>
      <c r="U1867" s="1">
        <v>45962</v>
      </c>
      <c r="V1867" t="s">
        <v>2500</v>
      </c>
      <c r="W1867">
        <v>2025</v>
      </c>
    </row>
    <row r="1868" spans="1:23" x14ac:dyDescent="0.25">
      <c r="A1868" t="s">
        <v>1915</v>
      </c>
      <c r="B1868" s="1">
        <v>45325</v>
      </c>
      <c r="C1868" s="1">
        <v>45326</v>
      </c>
      <c r="D1868" t="s">
        <v>23</v>
      </c>
      <c r="E1868" t="s">
        <v>43</v>
      </c>
      <c r="F1868" t="s">
        <v>29</v>
      </c>
      <c r="G1868" t="s">
        <v>16</v>
      </c>
      <c r="H1868" t="s">
        <v>37</v>
      </c>
      <c r="I1868">
        <v>3</v>
      </c>
      <c r="J1868">
        <v>0</v>
      </c>
      <c r="K1868">
        <v>284.95</v>
      </c>
      <c r="L1868">
        <v>11.4</v>
      </c>
      <c r="M1868" t="s">
        <v>2464</v>
      </c>
      <c r="N1868" t="s">
        <v>2458</v>
      </c>
      <c r="O1868" t="s">
        <v>2465</v>
      </c>
      <c r="P1868">
        <v>63.6</v>
      </c>
      <c r="Q1868">
        <v>107.94</v>
      </c>
      <c r="R1868">
        <v>190.8</v>
      </c>
      <c r="S1868">
        <v>82.749999999999972</v>
      </c>
      <c r="T1868">
        <v>0.29040182488155808</v>
      </c>
      <c r="U1868" s="1">
        <v>45323</v>
      </c>
      <c r="V1868" t="s">
        <v>2499</v>
      </c>
      <c r="W1868">
        <v>2024</v>
      </c>
    </row>
    <row r="1869" spans="1:23" x14ac:dyDescent="0.25">
      <c r="A1869" t="s">
        <v>1916</v>
      </c>
      <c r="B1869" s="1">
        <v>45294</v>
      </c>
      <c r="C1869" s="1">
        <v>45298</v>
      </c>
      <c r="D1869" t="s">
        <v>32</v>
      </c>
      <c r="E1869" t="s">
        <v>45</v>
      </c>
      <c r="F1869" t="s">
        <v>25</v>
      </c>
      <c r="G1869" t="s">
        <v>26</v>
      </c>
      <c r="H1869" t="s">
        <v>27</v>
      </c>
      <c r="I1869">
        <v>8</v>
      </c>
      <c r="J1869">
        <v>0</v>
      </c>
      <c r="K1869">
        <v>191.66</v>
      </c>
      <c r="L1869">
        <v>4.8600000000000003</v>
      </c>
      <c r="M1869" t="s">
        <v>2478</v>
      </c>
      <c r="N1869" t="s">
        <v>2474</v>
      </c>
      <c r="O1869" t="s">
        <v>2463</v>
      </c>
      <c r="P1869">
        <v>16.760000000000002</v>
      </c>
      <c r="Q1869">
        <v>27.71</v>
      </c>
      <c r="R1869">
        <v>134.08000000000001</v>
      </c>
      <c r="S1869">
        <v>52.719999999999985</v>
      </c>
      <c r="T1869">
        <v>0.27507043723259933</v>
      </c>
      <c r="U1869" s="1">
        <v>45292</v>
      </c>
      <c r="V1869" t="s">
        <v>2499</v>
      </c>
      <c r="W1869">
        <v>2024</v>
      </c>
    </row>
    <row r="1870" spans="1:23" x14ac:dyDescent="0.25">
      <c r="A1870" t="s">
        <v>1917</v>
      </c>
      <c r="B1870" s="1">
        <v>45489</v>
      </c>
      <c r="C1870" s="1">
        <v>45491</v>
      </c>
      <c r="D1870" t="s">
        <v>23</v>
      </c>
      <c r="E1870" t="s">
        <v>24</v>
      </c>
      <c r="F1870" t="s">
        <v>15</v>
      </c>
      <c r="G1870" t="s">
        <v>16</v>
      </c>
      <c r="H1870" t="s">
        <v>37</v>
      </c>
      <c r="I1870">
        <v>2</v>
      </c>
      <c r="J1870">
        <v>0.2</v>
      </c>
      <c r="K1870">
        <v>159.24</v>
      </c>
      <c r="L1870">
        <v>9.1</v>
      </c>
      <c r="M1870" t="s">
        <v>2464</v>
      </c>
      <c r="N1870" t="s">
        <v>2458</v>
      </c>
      <c r="O1870" t="s">
        <v>2465</v>
      </c>
      <c r="P1870">
        <v>63.6</v>
      </c>
      <c r="Q1870">
        <v>107.94</v>
      </c>
      <c r="R1870">
        <v>127.2</v>
      </c>
      <c r="S1870">
        <v>22.940000000000005</v>
      </c>
      <c r="T1870">
        <v>0.14405928158754083</v>
      </c>
      <c r="U1870" s="1">
        <v>45474</v>
      </c>
      <c r="V1870" t="s">
        <v>2500</v>
      </c>
      <c r="W1870">
        <v>2024</v>
      </c>
    </row>
    <row r="1871" spans="1:23" x14ac:dyDescent="0.25">
      <c r="A1871" t="s">
        <v>1918</v>
      </c>
      <c r="B1871" s="1">
        <v>45824</v>
      </c>
      <c r="C1871" s="1">
        <v>45829</v>
      </c>
      <c r="D1871" t="s">
        <v>13</v>
      </c>
      <c r="E1871" t="s">
        <v>36</v>
      </c>
      <c r="F1871" t="s">
        <v>25</v>
      </c>
      <c r="G1871" t="s">
        <v>26</v>
      </c>
      <c r="H1871" t="s">
        <v>53</v>
      </c>
      <c r="I1871">
        <v>4</v>
      </c>
      <c r="J1871">
        <v>0</v>
      </c>
      <c r="K1871">
        <v>248.28</v>
      </c>
      <c r="L1871">
        <v>5.7</v>
      </c>
      <c r="M1871" t="s">
        <v>2470</v>
      </c>
      <c r="N1871" t="s">
        <v>2467</v>
      </c>
      <c r="O1871" t="s">
        <v>2459</v>
      </c>
      <c r="P1871">
        <v>31.34</v>
      </c>
      <c r="Q1871">
        <v>56.49</v>
      </c>
      <c r="R1871">
        <v>125.36</v>
      </c>
      <c r="S1871">
        <v>117.22</v>
      </c>
      <c r="T1871">
        <v>0.47212824230707268</v>
      </c>
      <c r="U1871" s="1">
        <v>45809</v>
      </c>
      <c r="V1871" t="s">
        <v>2499</v>
      </c>
      <c r="W1871">
        <v>2025</v>
      </c>
    </row>
    <row r="1872" spans="1:23" x14ac:dyDescent="0.25">
      <c r="A1872" t="s">
        <v>1919</v>
      </c>
      <c r="B1872" s="1">
        <v>45298</v>
      </c>
      <c r="C1872" s="1">
        <v>45303</v>
      </c>
      <c r="D1872" t="s">
        <v>47</v>
      </c>
      <c r="E1872" t="s">
        <v>48</v>
      </c>
      <c r="F1872" t="s">
        <v>15</v>
      </c>
      <c r="G1872" t="s">
        <v>20</v>
      </c>
      <c r="H1872" t="s">
        <v>65</v>
      </c>
      <c r="I1872">
        <v>3</v>
      </c>
      <c r="J1872">
        <v>0.25</v>
      </c>
      <c r="K1872">
        <v>552.08000000000004</v>
      </c>
      <c r="L1872">
        <v>6.84</v>
      </c>
      <c r="M1872" t="s">
        <v>2457</v>
      </c>
      <c r="N1872" t="s">
        <v>2458</v>
      </c>
      <c r="O1872" t="s">
        <v>2459</v>
      </c>
      <c r="P1872">
        <v>173.56</v>
      </c>
      <c r="Q1872">
        <v>286.14999999999998</v>
      </c>
      <c r="R1872">
        <v>520.68000000000006</v>
      </c>
      <c r="S1872">
        <v>24.559999999999977</v>
      </c>
      <c r="T1872">
        <v>4.448630633241555E-2</v>
      </c>
      <c r="U1872" s="1">
        <v>45292</v>
      </c>
      <c r="V1872" t="s">
        <v>2501</v>
      </c>
      <c r="W1872">
        <v>2024</v>
      </c>
    </row>
    <row r="1873" spans="1:23" x14ac:dyDescent="0.25">
      <c r="A1873" t="s">
        <v>1920</v>
      </c>
      <c r="B1873" s="1">
        <v>45919</v>
      </c>
      <c r="C1873" s="1">
        <v>45921</v>
      </c>
      <c r="D1873" t="s">
        <v>13</v>
      </c>
      <c r="E1873" t="s">
        <v>14</v>
      </c>
      <c r="F1873" t="s">
        <v>15</v>
      </c>
      <c r="G1873" t="s">
        <v>26</v>
      </c>
      <c r="H1873" t="s">
        <v>87</v>
      </c>
      <c r="I1873">
        <v>14</v>
      </c>
      <c r="J1873">
        <v>0</v>
      </c>
      <c r="K1873">
        <v>117.98</v>
      </c>
      <c r="L1873">
        <v>10.8</v>
      </c>
      <c r="M1873" t="s">
        <v>2476</v>
      </c>
      <c r="N1873" t="s">
        <v>2474</v>
      </c>
      <c r="O1873" t="s">
        <v>2459</v>
      </c>
      <c r="P1873">
        <v>4.5</v>
      </c>
      <c r="Q1873">
        <v>8.2899999999999991</v>
      </c>
      <c r="R1873">
        <v>63</v>
      </c>
      <c r="S1873">
        <v>44.180000000000007</v>
      </c>
      <c r="T1873">
        <v>0.37447024919477884</v>
      </c>
      <c r="U1873" s="1">
        <v>45901</v>
      </c>
      <c r="V1873" t="s">
        <v>2499</v>
      </c>
      <c r="W1873">
        <v>2025</v>
      </c>
    </row>
    <row r="1874" spans="1:23" x14ac:dyDescent="0.25">
      <c r="A1874" t="s">
        <v>1921</v>
      </c>
      <c r="B1874" s="1">
        <v>45623</v>
      </c>
      <c r="C1874" s="1">
        <v>45628</v>
      </c>
      <c r="D1874" t="s">
        <v>47</v>
      </c>
      <c r="E1874" t="s">
        <v>71</v>
      </c>
      <c r="F1874" t="s">
        <v>15</v>
      </c>
      <c r="G1874" t="s">
        <v>16</v>
      </c>
      <c r="H1874" t="s">
        <v>63</v>
      </c>
      <c r="I1874">
        <v>14</v>
      </c>
      <c r="J1874">
        <v>0</v>
      </c>
      <c r="K1874">
        <v>223.8</v>
      </c>
      <c r="L1874">
        <v>10.8</v>
      </c>
      <c r="M1874" t="s">
        <v>2477</v>
      </c>
      <c r="N1874" t="s">
        <v>2474</v>
      </c>
      <c r="O1874" t="s">
        <v>2468</v>
      </c>
      <c r="P1874">
        <v>6.33</v>
      </c>
      <c r="Q1874">
        <v>12.16</v>
      </c>
      <c r="R1874">
        <v>88.62</v>
      </c>
      <c r="S1874">
        <v>124.38000000000001</v>
      </c>
      <c r="T1874">
        <v>0.55576407506702419</v>
      </c>
      <c r="U1874" s="1">
        <v>45597</v>
      </c>
      <c r="V1874" t="s">
        <v>2499</v>
      </c>
      <c r="W1874">
        <v>2024</v>
      </c>
    </row>
    <row r="1875" spans="1:23" x14ac:dyDescent="0.25">
      <c r="A1875" t="s">
        <v>1922</v>
      </c>
      <c r="B1875" s="1">
        <v>45440</v>
      </c>
      <c r="C1875" s="1">
        <v>45445</v>
      </c>
      <c r="D1875" t="s">
        <v>13</v>
      </c>
      <c r="E1875" t="s">
        <v>14</v>
      </c>
      <c r="F1875" t="s">
        <v>25</v>
      </c>
      <c r="G1875" t="s">
        <v>16</v>
      </c>
      <c r="H1875" t="s">
        <v>65</v>
      </c>
      <c r="I1875">
        <v>4</v>
      </c>
      <c r="J1875">
        <v>0</v>
      </c>
      <c r="K1875">
        <v>1179.8699999999999</v>
      </c>
      <c r="L1875">
        <v>13.7</v>
      </c>
      <c r="M1875" t="s">
        <v>2457</v>
      </c>
      <c r="N1875" t="s">
        <v>2458</v>
      </c>
      <c r="O1875" t="s">
        <v>2459</v>
      </c>
      <c r="P1875">
        <v>173.56</v>
      </c>
      <c r="Q1875">
        <v>286.14999999999998</v>
      </c>
      <c r="R1875">
        <v>694.24</v>
      </c>
      <c r="S1875">
        <v>471.92999999999989</v>
      </c>
      <c r="T1875">
        <v>0.3999847440819751</v>
      </c>
      <c r="U1875" s="1">
        <v>45413</v>
      </c>
      <c r="V1875" t="s">
        <v>2499</v>
      </c>
      <c r="W1875">
        <v>2024</v>
      </c>
    </row>
    <row r="1876" spans="1:23" x14ac:dyDescent="0.25">
      <c r="A1876" t="s">
        <v>1923</v>
      </c>
      <c r="B1876" s="1">
        <v>45682</v>
      </c>
      <c r="C1876" s="1">
        <v>45684</v>
      </c>
      <c r="D1876" t="s">
        <v>23</v>
      </c>
      <c r="E1876" t="s">
        <v>59</v>
      </c>
      <c r="F1876" t="s">
        <v>15</v>
      </c>
      <c r="G1876" t="s">
        <v>26</v>
      </c>
      <c r="H1876" t="s">
        <v>51</v>
      </c>
      <c r="I1876">
        <v>14</v>
      </c>
      <c r="J1876">
        <v>0.25</v>
      </c>
      <c r="K1876">
        <v>131.13999999999999</v>
      </c>
      <c r="L1876">
        <v>6.48</v>
      </c>
      <c r="M1876" t="s">
        <v>2475</v>
      </c>
      <c r="N1876" t="s">
        <v>2474</v>
      </c>
      <c r="O1876" t="s">
        <v>2463</v>
      </c>
      <c r="P1876">
        <v>7.93</v>
      </c>
      <c r="Q1876">
        <v>14.78</v>
      </c>
      <c r="R1876">
        <v>111.02</v>
      </c>
      <c r="S1876">
        <v>13.63999999999999</v>
      </c>
      <c r="T1876">
        <v>0.10401098063138624</v>
      </c>
      <c r="U1876" s="1">
        <v>45658</v>
      </c>
      <c r="V1876" t="s">
        <v>2501</v>
      </c>
      <c r="W1876">
        <v>2025</v>
      </c>
    </row>
    <row r="1877" spans="1:23" x14ac:dyDescent="0.25">
      <c r="A1877" t="s">
        <v>1924</v>
      </c>
      <c r="B1877" s="1">
        <v>45530</v>
      </c>
      <c r="C1877" s="1">
        <v>45533</v>
      </c>
      <c r="D1877" t="s">
        <v>32</v>
      </c>
      <c r="E1877" t="s">
        <v>62</v>
      </c>
      <c r="F1877" t="s">
        <v>29</v>
      </c>
      <c r="G1877" t="s">
        <v>20</v>
      </c>
      <c r="H1877" t="s">
        <v>41</v>
      </c>
      <c r="I1877">
        <v>11</v>
      </c>
      <c r="J1877">
        <v>0.05</v>
      </c>
      <c r="K1877">
        <v>60.33</v>
      </c>
      <c r="L1877">
        <v>9.4499999999999993</v>
      </c>
      <c r="M1877" t="s">
        <v>2479</v>
      </c>
      <c r="N1877" t="s">
        <v>2474</v>
      </c>
      <c r="O1877" t="s">
        <v>2459</v>
      </c>
      <c r="P1877">
        <v>3.3</v>
      </c>
      <c r="Q1877">
        <v>6.13</v>
      </c>
      <c r="R1877">
        <v>36.299999999999997</v>
      </c>
      <c r="S1877">
        <v>14.580000000000002</v>
      </c>
      <c r="T1877">
        <v>0.24167081054201894</v>
      </c>
      <c r="U1877" s="1">
        <v>45505</v>
      </c>
      <c r="V1877" t="s">
        <v>2498</v>
      </c>
      <c r="W1877">
        <v>2024</v>
      </c>
    </row>
    <row r="1878" spans="1:23" x14ac:dyDescent="0.25">
      <c r="A1878" t="s">
        <v>1925</v>
      </c>
      <c r="B1878" s="1">
        <v>45502</v>
      </c>
      <c r="C1878" s="1">
        <v>45506</v>
      </c>
      <c r="D1878" t="s">
        <v>23</v>
      </c>
      <c r="E1878" t="s">
        <v>24</v>
      </c>
      <c r="F1878" t="s">
        <v>29</v>
      </c>
      <c r="G1878" t="s">
        <v>20</v>
      </c>
      <c r="H1878" t="s">
        <v>63</v>
      </c>
      <c r="I1878">
        <v>13</v>
      </c>
      <c r="J1878">
        <v>0</v>
      </c>
      <c r="K1878">
        <v>148.59</v>
      </c>
      <c r="L1878">
        <v>6.21</v>
      </c>
      <c r="M1878" t="s">
        <v>2477</v>
      </c>
      <c r="N1878" t="s">
        <v>2474</v>
      </c>
      <c r="O1878" t="s">
        <v>2468</v>
      </c>
      <c r="P1878">
        <v>6.33</v>
      </c>
      <c r="Q1878">
        <v>12.16</v>
      </c>
      <c r="R1878">
        <v>82.29</v>
      </c>
      <c r="S1878">
        <v>60.089999999999996</v>
      </c>
      <c r="T1878">
        <v>0.40440137290530986</v>
      </c>
      <c r="U1878" s="1">
        <v>45474</v>
      </c>
      <c r="V1878" t="s">
        <v>2499</v>
      </c>
      <c r="W1878">
        <v>2024</v>
      </c>
    </row>
    <row r="1879" spans="1:23" x14ac:dyDescent="0.25">
      <c r="A1879" t="s">
        <v>1926</v>
      </c>
      <c r="B1879" s="1">
        <v>45436</v>
      </c>
      <c r="C1879" s="1">
        <v>45440</v>
      </c>
      <c r="D1879" t="s">
        <v>23</v>
      </c>
      <c r="E1879" t="s">
        <v>24</v>
      </c>
      <c r="F1879" t="s">
        <v>15</v>
      </c>
      <c r="G1879" t="s">
        <v>26</v>
      </c>
      <c r="H1879" t="s">
        <v>60</v>
      </c>
      <c r="I1879">
        <v>5</v>
      </c>
      <c r="J1879">
        <v>0.2</v>
      </c>
      <c r="K1879">
        <v>461.2</v>
      </c>
      <c r="L1879">
        <v>6.45</v>
      </c>
      <c r="M1879" t="s">
        <v>2469</v>
      </c>
      <c r="N1879" t="s">
        <v>2467</v>
      </c>
      <c r="O1879" t="s">
        <v>2468</v>
      </c>
      <c r="P1879">
        <v>54.95</v>
      </c>
      <c r="Q1879">
        <v>112.56</v>
      </c>
      <c r="R1879">
        <v>274.75</v>
      </c>
      <c r="S1879">
        <v>180</v>
      </c>
      <c r="T1879">
        <v>0.39028620988725066</v>
      </c>
      <c r="U1879" s="1">
        <v>45413</v>
      </c>
      <c r="V1879" t="s">
        <v>2500</v>
      </c>
      <c r="W1879">
        <v>2024</v>
      </c>
    </row>
    <row r="1880" spans="1:23" x14ac:dyDescent="0.25">
      <c r="A1880" t="s">
        <v>1927</v>
      </c>
      <c r="B1880" s="1">
        <v>45821</v>
      </c>
      <c r="C1880" s="1">
        <v>45822</v>
      </c>
      <c r="D1880" t="s">
        <v>32</v>
      </c>
      <c r="E1880" t="s">
        <v>62</v>
      </c>
      <c r="F1880" t="s">
        <v>29</v>
      </c>
      <c r="G1880" t="s">
        <v>16</v>
      </c>
      <c r="H1880" t="s">
        <v>17</v>
      </c>
      <c r="I1880">
        <v>2</v>
      </c>
      <c r="J1880">
        <v>0.15</v>
      </c>
      <c r="K1880">
        <v>219.62</v>
      </c>
      <c r="L1880">
        <v>7</v>
      </c>
      <c r="M1880" t="s">
        <v>2472</v>
      </c>
      <c r="N1880" t="s">
        <v>2467</v>
      </c>
      <c r="O1880" t="s">
        <v>2468</v>
      </c>
      <c r="P1880">
        <v>63.69</v>
      </c>
      <c r="Q1880">
        <v>125.5</v>
      </c>
      <c r="R1880">
        <v>127.38</v>
      </c>
      <c r="S1880">
        <v>85.240000000000009</v>
      </c>
      <c r="T1880">
        <v>0.38812494308350792</v>
      </c>
      <c r="U1880" s="1">
        <v>45809</v>
      </c>
      <c r="V1880" t="s">
        <v>2500</v>
      </c>
      <c r="W1880">
        <v>2025</v>
      </c>
    </row>
    <row r="1881" spans="1:23" x14ac:dyDescent="0.25">
      <c r="A1881" t="s">
        <v>1928</v>
      </c>
      <c r="B1881" s="1">
        <v>45628</v>
      </c>
      <c r="C1881" s="1">
        <v>45633</v>
      </c>
      <c r="D1881" t="s">
        <v>23</v>
      </c>
      <c r="E1881" t="s">
        <v>24</v>
      </c>
      <c r="F1881" t="s">
        <v>25</v>
      </c>
      <c r="G1881" t="s">
        <v>26</v>
      </c>
      <c r="H1881" t="s">
        <v>63</v>
      </c>
      <c r="I1881">
        <v>7</v>
      </c>
      <c r="J1881">
        <v>0</v>
      </c>
      <c r="K1881">
        <v>116.03</v>
      </c>
      <c r="L1881">
        <v>7.65</v>
      </c>
      <c r="M1881" t="s">
        <v>2477</v>
      </c>
      <c r="N1881" t="s">
        <v>2474</v>
      </c>
      <c r="O1881" t="s">
        <v>2468</v>
      </c>
      <c r="P1881">
        <v>6.33</v>
      </c>
      <c r="Q1881">
        <v>12.16</v>
      </c>
      <c r="R1881">
        <v>44.31</v>
      </c>
      <c r="S1881">
        <v>64.069999999999993</v>
      </c>
      <c r="T1881">
        <v>0.55218477979832792</v>
      </c>
      <c r="U1881" s="1">
        <v>45627</v>
      </c>
      <c r="V1881" t="s">
        <v>2499</v>
      </c>
      <c r="W1881">
        <v>2024</v>
      </c>
    </row>
    <row r="1882" spans="1:23" x14ac:dyDescent="0.25">
      <c r="A1882" t="s">
        <v>1929</v>
      </c>
      <c r="B1882" s="1">
        <v>45338</v>
      </c>
      <c r="C1882" s="1">
        <v>45341</v>
      </c>
      <c r="D1882" t="s">
        <v>13</v>
      </c>
      <c r="E1882" t="s">
        <v>36</v>
      </c>
      <c r="F1882" t="s">
        <v>25</v>
      </c>
      <c r="G1882" t="s">
        <v>16</v>
      </c>
      <c r="H1882" t="s">
        <v>30</v>
      </c>
      <c r="I1882">
        <v>13</v>
      </c>
      <c r="J1882">
        <v>0.05</v>
      </c>
      <c r="K1882">
        <v>63.94</v>
      </c>
      <c r="L1882">
        <v>10.35</v>
      </c>
      <c r="M1882" t="s">
        <v>2473</v>
      </c>
      <c r="N1882" t="s">
        <v>2474</v>
      </c>
      <c r="O1882" t="s">
        <v>2463</v>
      </c>
      <c r="P1882">
        <v>3.62</v>
      </c>
      <c r="Q1882">
        <v>6.03</v>
      </c>
      <c r="R1882">
        <v>47.06</v>
      </c>
      <c r="S1882">
        <v>6.5299999999999958</v>
      </c>
      <c r="T1882">
        <v>0.10212699405692831</v>
      </c>
      <c r="U1882" s="1">
        <v>45323</v>
      </c>
      <c r="V1882" t="s">
        <v>2498</v>
      </c>
      <c r="W1882">
        <v>2024</v>
      </c>
    </row>
    <row r="1883" spans="1:23" x14ac:dyDescent="0.25">
      <c r="A1883" t="s">
        <v>1930</v>
      </c>
      <c r="B1883" s="1">
        <v>45902</v>
      </c>
      <c r="C1883" s="1">
        <v>45904</v>
      </c>
      <c r="D1883" t="s">
        <v>13</v>
      </c>
      <c r="E1883" t="s">
        <v>36</v>
      </c>
      <c r="F1883" t="s">
        <v>15</v>
      </c>
      <c r="G1883" t="s">
        <v>20</v>
      </c>
      <c r="H1883" t="s">
        <v>17</v>
      </c>
      <c r="I1883">
        <v>2</v>
      </c>
      <c r="J1883">
        <v>0</v>
      </c>
      <c r="K1883">
        <v>271.83999999999997</v>
      </c>
      <c r="L1883">
        <v>7</v>
      </c>
      <c r="M1883" t="s">
        <v>2472</v>
      </c>
      <c r="N1883" t="s">
        <v>2467</v>
      </c>
      <c r="O1883" t="s">
        <v>2468</v>
      </c>
      <c r="P1883">
        <v>63.69</v>
      </c>
      <c r="Q1883">
        <v>125.5</v>
      </c>
      <c r="R1883">
        <v>127.38</v>
      </c>
      <c r="S1883">
        <v>137.45999999999998</v>
      </c>
      <c r="T1883">
        <v>0.50566509711595053</v>
      </c>
      <c r="U1883" s="1">
        <v>45901</v>
      </c>
      <c r="V1883" t="s">
        <v>2499</v>
      </c>
      <c r="W1883">
        <v>2025</v>
      </c>
    </row>
    <row r="1884" spans="1:23" x14ac:dyDescent="0.25">
      <c r="A1884" t="s">
        <v>1931</v>
      </c>
      <c r="B1884" s="1">
        <v>45984</v>
      </c>
      <c r="C1884" s="1">
        <v>45988</v>
      </c>
      <c r="D1884" t="s">
        <v>13</v>
      </c>
      <c r="E1884" t="s">
        <v>19</v>
      </c>
      <c r="F1884" t="s">
        <v>25</v>
      </c>
      <c r="G1884" t="s">
        <v>20</v>
      </c>
      <c r="H1884" t="s">
        <v>30</v>
      </c>
      <c r="I1884">
        <v>4</v>
      </c>
      <c r="J1884">
        <v>0.15</v>
      </c>
      <c r="K1884">
        <v>28.13</v>
      </c>
      <c r="L1884">
        <v>6.3</v>
      </c>
      <c r="M1884" t="s">
        <v>2473</v>
      </c>
      <c r="N1884" t="s">
        <v>2474</v>
      </c>
      <c r="O1884" t="s">
        <v>2463</v>
      </c>
      <c r="P1884">
        <v>3.62</v>
      </c>
      <c r="Q1884">
        <v>6.03</v>
      </c>
      <c r="R1884">
        <v>14.48</v>
      </c>
      <c r="S1884">
        <v>7.3499999999999988</v>
      </c>
      <c r="T1884">
        <v>0.26128688233202985</v>
      </c>
      <c r="U1884" s="1">
        <v>45962</v>
      </c>
      <c r="V1884" t="s">
        <v>2500</v>
      </c>
      <c r="W1884">
        <v>2025</v>
      </c>
    </row>
    <row r="1885" spans="1:23" x14ac:dyDescent="0.25">
      <c r="A1885" t="s">
        <v>1932</v>
      </c>
      <c r="B1885" s="1">
        <v>45440</v>
      </c>
      <c r="C1885" s="1">
        <v>45446</v>
      </c>
      <c r="D1885" t="s">
        <v>23</v>
      </c>
      <c r="E1885" t="s">
        <v>43</v>
      </c>
      <c r="F1885" t="s">
        <v>15</v>
      </c>
      <c r="G1885" t="s">
        <v>16</v>
      </c>
      <c r="H1885" t="s">
        <v>39</v>
      </c>
      <c r="I1885">
        <v>2</v>
      </c>
      <c r="J1885">
        <v>0.25</v>
      </c>
      <c r="K1885">
        <v>307.74</v>
      </c>
      <c r="L1885">
        <v>4.2</v>
      </c>
      <c r="M1885" t="s">
        <v>2471</v>
      </c>
      <c r="N1885" t="s">
        <v>2467</v>
      </c>
      <c r="O1885" t="s">
        <v>2461</v>
      </c>
      <c r="P1885">
        <v>112.09</v>
      </c>
      <c r="Q1885">
        <v>192.47</v>
      </c>
      <c r="R1885">
        <v>224.18</v>
      </c>
      <c r="S1885">
        <v>79.36</v>
      </c>
      <c r="T1885">
        <v>0.25788002859556769</v>
      </c>
      <c r="U1885" s="1">
        <v>45413</v>
      </c>
      <c r="V1885" t="s">
        <v>2501</v>
      </c>
      <c r="W1885">
        <v>2024</v>
      </c>
    </row>
    <row r="1886" spans="1:23" x14ac:dyDescent="0.25">
      <c r="A1886" t="s">
        <v>1933</v>
      </c>
      <c r="B1886" s="1">
        <v>45518</v>
      </c>
      <c r="C1886" s="1">
        <v>45521</v>
      </c>
      <c r="D1886" t="s">
        <v>13</v>
      </c>
      <c r="E1886" t="s">
        <v>19</v>
      </c>
      <c r="F1886" t="s">
        <v>29</v>
      </c>
      <c r="G1886" t="s">
        <v>26</v>
      </c>
      <c r="H1886" t="s">
        <v>27</v>
      </c>
      <c r="I1886">
        <v>10</v>
      </c>
      <c r="J1886">
        <v>0.2</v>
      </c>
      <c r="K1886">
        <v>222.14</v>
      </c>
      <c r="L1886">
        <v>9</v>
      </c>
      <c r="M1886" t="s">
        <v>2478</v>
      </c>
      <c r="N1886" t="s">
        <v>2474</v>
      </c>
      <c r="O1886" t="s">
        <v>2463</v>
      </c>
      <c r="P1886">
        <v>16.760000000000002</v>
      </c>
      <c r="Q1886">
        <v>27.71</v>
      </c>
      <c r="R1886">
        <v>167.60000000000002</v>
      </c>
      <c r="S1886">
        <v>45.539999999999964</v>
      </c>
      <c r="T1886">
        <v>0.20500585216530101</v>
      </c>
      <c r="U1886" s="1">
        <v>45505</v>
      </c>
      <c r="V1886" t="s">
        <v>2500</v>
      </c>
      <c r="W1886">
        <v>2024</v>
      </c>
    </row>
    <row r="1887" spans="1:23" x14ac:dyDescent="0.25">
      <c r="A1887" t="s">
        <v>1934</v>
      </c>
      <c r="B1887" s="1">
        <v>45905</v>
      </c>
      <c r="C1887" s="1">
        <v>45907</v>
      </c>
      <c r="D1887" t="s">
        <v>47</v>
      </c>
      <c r="E1887" t="s">
        <v>50</v>
      </c>
      <c r="F1887" t="s">
        <v>25</v>
      </c>
      <c r="G1887" t="s">
        <v>16</v>
      </c>
      <c r="H1887" t="s">
        <v>21</v>
      </c>
      <c r="I1887">
        <v>2</v>
      </c>
      <c r="J1887">
        <v>0</v>
      </c>
      <c r="K1887">
        <v>243.41</v>
      </c>
      <c r="L1887">
        <v>5.46</v>
      </c>
      <c r="M1887" t="s">
        <v>2462</v>
      </c>
      <c r="N1887" t="s">
        <v>2458</v>
      </c>
      <c r="O1887" t="s">
        <v>2463</v>
      </c>
      <c r="P1887">
        <v>71.489999999999995</v>
      </c>
      <c r="Q1887">
        <v>112.88</v>
      </c>
      <c r="R1887">
        <v>142.97999999999999</v>
      </c>
      <c r="S1887">
        <v>94.970000000000013</v>
      </c>
      <c r="T1887">
        <v>0.39016474261534045</v>
      </c>
      <c r="U1887" s="1">
        <v>45901</v>
      </c>
      <c r="V1887" t="s">
        <v>2499</v>
      </c>
      <c r="W1887">
        <v>2025</v>
      </c>
    </row>
    <row r="1888" spans="1:23" x14ac:dyDescent="0.25">
      <c r="A1888" t="s">
        <v>1935</v>
      </c>
      <c r="B1888" s="1">
        <v>45442</v>
      </c>
      <c r="C1888" s="1">
        <v>45446</v>
      </c>
      <c r="D1888" t="s">
        <v>23</v>
      </c>
      <c r="E1888" t="s">
        <v>24</v>
      </c>
      <c r="F1888" t="s">
        <v>29</v>
      </c>
      <c r="G1888" t="s">
        <v>26</v>
      </c>
      <c r="H1888" t="s">
        <v>65</v>
      </c>
      <c r="I1888">
        <v>5</v>
      </c>
      <c r="J1888">
        <v>0</v>
      </c>
      <c r="K1888">
        <v>1387.82</v>
      </c>
      <c r="L1888">
        <v>9.6</v>
      </c>
      <c r="M1888" t="s">
        <v>2457</v>
      </c>
      <c r="N1888" t="s">
        <v>2458</v>
      </c>
      <c r="O1888" t="s">
        <v>2459</v>
      </c>
      <c r="P1888">
        <v>173.56</v>
      </c>
      <c r="Q1888">
        <v>286.14999999999998</v>
      </c>
      <c r="R1888">
        <v>867.8</v>
      </c>
      <c r="S1888">
        <v>510.41999999999996</v>
      </c>
      <c r="T1888">
        <v>0.36778544768053495</v>
      </c>
      <c r="U1888" s="1">
        <v>45413</v>
      </c>
      <c r="V1888" t="s">
        <v>2499</v>
      </c>
      <c r="W1888">
        <v>2024</v>
      </c>
    </row>
    <row r="1889" spans="1:23" x14ac:dyDescent="0.25">
      <c r="A1889" t="s">
        <v>1936</v>
      </c>
      <c r="B1889" s="1">
        <v>45875</v>
      </c>
      <c r="C1889" s="1">
        <v>45877</v>
      </c>
      <c r="D1889" t="s">
        <v>47</v>
      </c>
      <c r="E1889" t="s">
        <v>50</v>
      </c>
      <c r="F1889" t="s">
        <v>25</v>
      </c>
      <c r="G1889" t="s">
        <v>16</v>
      </c>
      <c r="H1889" t="s">
        <v>34</v>
      </c>
      <c r="I1889">
        <v>7</v>
      </c>
      <c r="J1889">
        <v>0.25</v>
      </c>
      <c r="K1889">
        <v>1027.42</v>
      </c>
      <c r="L1889">
        <v>20.6</v>
      </c>
      <c r="M1889" t="s">
        <v>2460</v>
      </c>
      <c r="N1889" t="s">
        <v>2458</v>
      </c>
      <c r="O1889" t="s">
        <v>2461</v>
      </c>
      <c r="P1889">
        <v>119.02</v>
      </c>
      <c r="Q1889">
        <v>205.39</v>
      </c>
      <c r="R1889">
        <v>833.14</v>
      </c>
      <c r="S1889">
        <v>173.68000000000009</v>
      </c>
      <c r="T1889">
        <v>0.16904479180860804</v>
      </c>
      <c r="U1889" s="1">
        <v>45870</v>
      </c>
      <c r="V1889" t="s">
        <v>2501</v>
      </c>
      <c r="W1889">
        <v>2025</v>
      </c>
    </row>
    <row r="1890" spans="1:23" x14ac:dyDescent="0.25">
      <c r="A1890" t="s">
        <v>1937</v>
      </c>
      <c r="B1890" s="1">
        <v>45512</v>
      </c>
      <c r="C1890" s="1">
        <v>45518</v>
      </c>
      <c r="D1890" t="s">
        <v>13</v>
      </c>
      <c r="E1890" t="s">
        <v>14</v>
      </c>
      <c r="F1890" t="s">
        <v>29</v>
      </c>
      <c r="G1890" t="s">
        <v>20</v>
      </c>
      <c r="H1890" t="s">
        <v>53</v>
      </c>
      <c r="I1890">
        <v>2</v>
      </c>
      <c r="J1890">
        <v>0</v>
      </c>
      <c r="K1890">
        <v>101.85</v>
      </c>
      <c r="L1890">
        <v>4.2</v>
      </c>
      <c r="M1890" t="s">
        <v>2470</v>
      </c>
      <c r="N1890" t="s">
        <v>2467</v>
      </c>
      <c r="O1890" t="s">
        <v>2459</v>
      </c>
      <c r="P1890">
        <v>31.34</v>
      </c>
      <c r="Q1890">
        <v>56.49</v>
      </c>
      <c r="R1890">
        <v>62.68</v>
      </c>
      <c r="S1890">
        <v>34.969999999999992</v>
      </c>
      <c r="T1890">
        <v>0.34334806087383402</v>
      </c>
      <c r="U1890" s="1">
        <v>45505</v>
      </c>
      <c r="V1890" t="s">
        <v>2499</v>
      </c>
      <c r="W1890">
        <v>2024</v>
      </c>
    </row>
    <row r="1891" spans="1:23" x14ac:dyDescent="0.25">
      <c r="A1891" t="s">
        <v>1938</v>
      </c>
      <c r="B1891" s="1">
        <v>45991</v>
      </c>
      <c r="C1891" s="1">
        <v>45993</v>
      </c>
      <c r="D1891" t="s">
        <v>13</v>
      </c>
      <c r="E1891" t="s">
        <v>36</v>
      </c>
      <c r="F1891" t="s">
        <v>15</v>
      </c>
      <c r="G1891" t="s">
        <v>16</v>
      </c>
      <c r="H1891" t="s">
        <v>65</v>
      </c>
      <c r="I1891">
        <v>3</v>
      </c>
      <c r="J1891">
        <v>0</v>
      </c>
      <c r="K1891">
        <v>1124.7</v>
      </c>
      <c r="L1891">
        <v>6.84</v>
      </c>
      <c r="M1891" t="s">
        <v>2457</v>
      </c>
      <c r="N1891" t="s">
        <v>2458</v>
      </c>
      <c r="O1891" t="s">
        <v>2459</v>
      </c>
      <c r="P1891">
        <v>173.56</v>
      </c>
      <c r="Q1891">
        <v>286.14999999999998</v>
      </c>
      <c r="R1891">
        <v>520.68000000000006</v>
      </c>
      <c r="S1891">
        <v>597.17999999999995</v>
      </c>
      <c r="T1891">
        <v>0.53096825820218718</v>
      </c>
      <c r="U1891" s="1">
        <v>45962</v>
      </c>
      <c r="V1891" t="s">
        <v>2499</v>
      </c>
      <c r="W1891">
        <v>2025</v>
      </c>
    </row>
    <row r="1892" spans="1:23" x14ac:dyDescent="0.25">
      <c r="A1892" t="s">
        <v>1939</v>
      </c>
      <c r="B1892" s="1">
        <v>45411</v>
      </c>
      <c r="C1892" s="1">
        <v>45417</v>
      </c>
      <c r="D1892" t="s">
        <v>32</v>
      </c>
      <c r="E1892" t="s">
        <v>33</v>
      </c>
      <c r="F1892" t="s">
        <v>25</v>
      </c>
      <c r="G1892" t="s">
        <v>26</v>
      </c>
      <c r="H1892" t="s">
        <v>53</v>
      </c>
      <c r="I1892">
        <v>7</v>
      </c>
      <c r="J1892">
        <v>0.05</v>
      </c>
      <c r="K1892">
        <v>371.51</v>
      </c>
      <c r="L1892">
        <v>7.95</v>
      </c>
      <c r="M1892" t="s">
        <v>2470</v>
      </c>
      <c r="N1892" t="s">
        <v>2467</v>
      </c>
      <c r="O1892" t="s">
        <v>2459</v>
      </c>
      <c r="P1892">
        <v>31.34</v>
      </c>
      <c r="Q1892">
        <v>56.49</v>
      </c>
      <c r="R1892">
        <v>219.38</v>
      </c>
      <c r="S1892">
        <v>144.18</v>
      </c>
      <c r="T1892">
        <v>0.38809184140399994</v>
      </c>
      <c r="U1892" s="1">
        <v>45383</v>
      </c>
      <c r="V1892" t="s">
        <v>2498</v>
      </c>
      <c r="W1892">
        <v>2024</v>
      </c>
    </row>
    <row r="1893" spans="1:23" x14ac:dyDescent="0.25">
      <c r="A1893" t="s">
        <v>1940</v>
      </c>
      <c r="B1893" s="1">
        <v>45666</v>
      </c>
      <c r="C1893" s="1">
        <v>45668</v>
      </c>
      <c r="D1893" t="s">
        <v>23</v>
      </c>
      <c r="E1893" t="s">
        <v>43</v>
      </c>
      <c r="F1893" t="s">
        <v>29</v>
      </c>
      <c r="G1893" t="s">
        <v>16</v>
      </c>
      <c r="H1893" t="s">
        <v>53</v>
      </c>
      <c r="I1893">
        <v>3</v>
      </c>
      <c r="J1893">
        <v>0.2</v>
      </c>
      <c r="K1893">
        <v>126.32</v>
      </c>
      <c r="L1893">
        <v>8.25</v>
      </c>
      <c r="M1893" t="s">
        <v>2470</v>
      </c>
      <c r="N1893" t="s">
        <v>2467</v>
      </c>
      <c r="O1893" t="s">
        <v>2459</v>
      </c>
      <c r="P1893">
        <v>31.34</v>
      </c>
      <c r="Q1893">
        <v>56.49</v>
      </c>
      <c r="R1893">
        <v>94.02</v>
      </c>
      <c r="S1893">
        <v>24.049999999999997</v>
      </c>
      <c r="T1893">
        <v>0.19038948701709943</v>
      </c>
      <c r="U1893" s="1">
        <v>45658</v>
      </c>
      <c r="V1893" t="s">
        <v>2500</v>
      </c>
      <c r="W1893">
        <v>2025</v>
      </c>
    </row>
    <row r="1894" spans="1:23" x14ac:dyDescent="0.25">
      <c r="A1894" t="s">
        <v>1941</v>
      </c>
      <c r="B1894" s="1">
        <v>45449</v>
      </c>
      <c r="C1894" s="1">
        <v>45450</v>
      </c>
      <c r="D1894" t="s">
        <v>47</v>
      </c>
      <c r="E1894" t="s">
        <v>48</v>
      </c>
      <c r="F1894" t="s">
        <v>15</v>
      </c>
      <c r="G1894" t="s">
        <v>26</v>
      </c>
      <c r="H1894" t="s">
        <v>21</v>
      </c>
      <c r="I1894">
        <v>3</v>
      </c>
      <c r="J1894">
        <v>0</v>
      </c>
      <c r="K1894">
        <v>348.85</v>
      </c>
      <c r="L1894">
        <v>11.4</v>
      </c>
      <c r="M1894" t="s">
        <v>2462</v>
      </c>
      <c r="N1894" t="s">
        <v>2458</v>
      </c>
      <c r="O1894" t="s">
        <v>2463</v>
      </c>
      <c r="P1894">
        <v>71.489999999999995</v>
      </c>
      <c r="Q1894">
        <v>112.88</v>
      </c>
      <c r="R1894">
        <v>214.46999999999997</v>
      </c>
      <c r="S1894">
        <v>122.98000000000005</v>
      </c>
      <c r="T1894">
        <v>0.35252974057617897</v>
      </c>
      <c r="U1894" s="1">
        <v>45444</v>
      </c>
      <c r="V1894" t="s">
        <v>2499</v>
      </c>
      <c r="W1894">
        <v>2024</v>
      </c>
    </row>
    <row r="1895" spans="1:23" x14ac:dyDescent="0.25">
      <c r="A1895" t="s">
        <v>1942</v>
      </c>
      <c r="B1895" s="1">
        <v>45350</v>
      </c>
      <c r="C1895" s="1">
        <v>45353</v>
      </c>
      <c r="D1895" t="s">
        <v>23</v>
      </c>
      <c r="E1895" t="s">
        <v>24</v>
      </c>
      <c r="F1895" t="s">
        <v>15</v>
      </c>
      <c r="G1895" t="s">
        <v>26</v>
      </c>
      <c r="H1895" t="s">
        <v>27</v>
      </c>
      <c r="I1895">
        <v>9</v>
      </c>
      <c r="J1895">
        <v>0</v>
      </c>
      <c r="K1895">
        <v>215.96</v>
      </c>
      <c r="L1895">
        <v>5.13</v>
      </c>
      <c r="M1895" t="s">
        <v>2478</v>
      </c>
      <c r="N1895" t="s">
        <v>2474</v>
      </c>
      <c r="O1895" t="s">
        <v>2463</v>
      </c>
      <c r="P1895">
        <v>16.760000000000002</v>
      </c>
      <c r="Q1895">
        <v>27.71</v>
      </c>
      <c r="R1895">
        <v>150.84</v>
      </c>
      <c r="S1895">
        <v>59.99</v>
      </c>
      <c r="T1895">
        <v>0.27778292276347472</v>
      </c>
      <c r="U1895" s="1">
        <v>45323</v>
      </c>
      <c r="V1895" t="s">
        <v>2499</v>
      </c>
      <c r="W1895">
        <v>2024</v>
      </c>
    </row>
    <row r="1896" spans="1:23" x14ac:dyDescent="0.25">
      <c r="A1896" t="s">
        <v>1943</v>
      </c>
      <c r="B1896" s="1">
        <v>45343</v>
      </c>
      <c r="C1896" s="1">
        <v>45348</v>
      </c>
      <c r="D1896" t="s">
        <v>32</v>
      </c>
      <c r="E1896" t="s">
        <v>33</v>
      </c>
      <c r="F1896" t="s">
        <v>15</v>
      </c>
      <c r="G1896" t="s">
        <v>16</v>
      </c>
      <c r="H1896" t="s">
        <v>68</v>
      </c>
      <c r="I1896">
        <v>3</v>
      </c>
      <c r="J1896">
        <v>0.25</v>
      </c>
      <c r="K1896">
        <v>103.4</v>
      </c>
      <c r="L1896">
        <v>8.25</v>
      </c>
      <c r="M1896" t="s">
        <v>2466</v>
      </c>
      <c r="N1896" t="s">
        <v>2467</v>
      </c>
      <c r="O1896" t="s">
        <v>2468</v>
      </c>
      <c r="P1896">
        <v>25.33</v>
      </c>
      <c r="Q1896">
        <v>51.56</v>
      </c>
      <c r="R1896">
        <v>75.989999999999995</v>
      </c>
      <c r="S1896">
        <v>19.160000000000011</v>
      </c>
      <c r="T1896">
        <v>0.18529980657640241</v>
      </c>
      <c r="U1896" s="1">
        <v>45323</v>
      </c>
      <c r="V1896" t="s">
        <v>2501</v>
      </c>
      <c r="W1896">
        <v>2024</v>
      </c>
    </row>
    <row r="1897" spans="1:23" x14ac:dyDescent="0.25">
      <c r="A1897" t="s">
        <v>1944</v>
      </c>
      <c r="B1897" s="1">
        <v>45869</v>
      </c>
      <c r="C1897" s="1">
        <v>45870</v>
      </c>
      <c r="D1897" t="s">
        <v>47</v>
      </c>
      <c r="E1897" t="s">
        <v>71</v>
      </c>
      <c r="F1897" t="s">
        <v>25</v>
      </c>
      <c r="G1897" t="s">
        <v>20</v>
      </c>
      <c r="H1897" t="s">
        <v>53</v>
      </c>
      <c r="I1897">
        <v>4</v>
      </c>
      <c r="J1897">
        <v>0</v>
      </c>
      <c r="K1897">
        <v>216.32</v>
      </c>
      <c r="L1897">
        <v>9.5</v>
      </c>
      <c r="M1897" t="s">
        <v>2470</v>
      </c>
      <c r="N1897" t="s">
        <v>2467</v>
      </c>
      <c r="O1897" t="s">
        <v>2459</v>
      </c>
      <c r="P1897">
        <v>31.34</v>
      </c>
      <c r="Q1897">
        <v>56.49</v>
      </c>
      <c r="R1897">
        <v>125.36</v>
      </c>
      <c r="S1897">
        <v>81.459999999999994</v>
      </c>
      <c r="T1897">
        <v>0.37657174556213013</v>
      </c>
      <c r="U1897" s="1">
        <v>45839</v>
      </c>
      <c r="V1897" t="s">
        <v>2499</v>
      </c>
      <c r="W1897">
        <v>2025</v>
      </c>
    </row>
    <row r="1898" spans="1:23" x14ac:dyDescent="0.25">
      <c r="A1898" t="s">
        <v>1945</v>
      </c>
      <c r="B1898" s="1">
        <v>45822</v>
      </c>
      <c r="C1898" s="1">
        <v>45826</v>
      </c>
      <c r="D1898" t="s">
        <v>13</v>
      </c>
      <c r="E1898" t="s">
        <v>14</v>
      </c>
      <c r="F1898" t="s">
        <v>25</v>
      </c>
      <c r="G1898" t="s">
        <v>16</v>
      </c>
      <c r="H1898" t="s">
        <v>21</v>
      </c>
      <c r="I1898">
        <v>1</v>
      </c>
      <c r="J1898">
        <v>0.05</v>
      </c>
      <c r="K1898">
        <v>112.09</v>
      </c>
      <c r="L1898">
        <v>6.8</v>
      </c>
      <c r="M1898" t="s">
        <v>2462</v>
      </c>
      <c r="N1898" t="s">
        <v>2458</v>
      </c>
      <c r="O1898" t="s">
        <v>2463</v>
      </c>
      <c r="P1898">
        <v>71.489999999999995</v>
      </c>
      <c r="Q1898">
        <v>112.88</v>
      </c>
      <c r="R1898">
        <v>71.489999999999995</v>
      </c>
      <c r="S1898">
        <v>33.800000000000011</v>
      </c>
      <c r="T1898">
        <v>0.30154340262289242</v>
      </c>
      <c r="U1898" s="1">
        <v>45809</v>
      </c>
      <c r="V1898" t="s">
        <v>2498</v>
      </c>
      <c r="W1898">
        <v>2025</v>
      </c>
    </row>
    <row r="1899" spans="1:23" x14ac:dyDescent="0.25">
      <c r="A1899" t="s">
        <v>1946</v>
      </c>
      <c r="B1899" s="1">
        <v>45367</v>
      </c>
      <c r="C1899" s="1">
        <v>45372</v>
      </c>
      <c r="D1899" t="s">
        <v>32</v>
      </c>
      <c r="E1899" t="s">
        <v>33</v>
      </c>
      <c r="F1899" t="s">
        <v>25</v>
      </c>
      <c r="G1899" t="s">
        <v>20</v>
      </c>
      <c r="H1899" t="s">
        <v>30</v>
      </c>
      <c r="I1899">
        <v>5</v>
      </c>
      <c r="J1899">
        <v>0.1</v>
      </c>
      <c r="K1899">
        <v>24.45</v>
      </c>
      <c r="L1899">
        <v>4.05</v>
      </c>
      <c r="M1899" t="s">
        <v>2473</v>
      </c>
      <c r="N1899" t="s">
        <v>2474</v>
      </c>
      <c r="O1899" t="s">
        <v>2463</v>
      </c>
      <c r="P1899">
        <v>3.62</v>
      </c>
      <c r="Q1899">
        <v>6.03</v>
      </c>
      <c r="R1899">
        <v>18.100000000000001</v>
      </c>
      <c r="S1899">
        <v>2.299999999999998</v>
      </c>
      <c r="T1899">
        <v>9.4069529652351658E-2</v>
      </c>
      <c r="U1899" s="1">
        <v>45352</v>
      </c>
      <c r="V1899" t="s">
        <v>2498</v>
      </c>
      <c r="W1899">
        <v>2024</v>
      </c>
    </row>
    <row r="1900" spans="1:23" x14ac:dyDescent="0.25">
      <c r="A1900" t="s">
        <v>1947</v>
      </c>
      <c r="B1900" s="1">
        <v>45312</v>
      </c>
      <c r="C1900" s="1">
        <v>45317</v>
      </c>
      <c r="D1900" t="s">
        <v>13</v>
      </c>
      <c r="E1900" t="s">
        <v>36</v>
      </c>
      <c r="F1900" t="s">
        <v>15</v>
      </c>
      <c r="G1900" t="s">
        <v>16</v>
      </c>
      <c r="H1900" t="s">
        <v>68</v>
      </c>
      <c r="I1900">
        <v>3</v>
      </c>
      <c r="J1900">
        <v>0.2</v>
      </c>
      <c r="K1900">
        <v>109.06</v>
      </c>
      <c r="L1900">
        <v>4.95</v>
      </c>
      <c r="M1900" t="s">
        <v>2466</v>
      </c>
      <c r="N1900" t="s">
        <v>2467</v>
      </c>
      <c r="O1900" t="s">
        <v>2468</v>
      </c>
      <c r="P1900">
        <v>25.33</v>
      </c>
      <c r="Q1900">
        <v>51.56</v>
      </c>
      <c r="R1900">
        <v>75.989999999999995</v>
      </c>
      <c r="S1900">
        <v>28.120000000000008</v>
      </c>
      <c r="T1900">
        <v>0.25783972125435545</v>
      </c>
      <c r="U1900" s="1">
        <v>45292</v>
      </c>
      <c r="V1900" t="s">
        <v>2500</v>
      </c>
      <c r="W1900">
        <v>2024</v>
      </c>
    </row>
    <row r="1901" spans="1:23" x14ac:dyDescent="0.25">
      <c r="A1901" t="s">
        <v>1948</v>
      </c>
      <c r="B1901" s="1">
        <v>45494</v>
      </c>
      <c r="C1901" s="1">
        <v>45499</v>
      </c>
      <c r="D1901" t="s">
        <v>13</v>
      </c>
      <c r="E1901" t="s">
        <v>14</v>
      </c>
      <c r="F1901" t="s">
        <v>29</v>
      </c>
      <c r="G1901" t="s">
        <v>26</v>
      </c>
      <c r="H1901" t="s">
        <v>39</v>
      </c>
      <c r="I1901">
        <v>4</v>
      </c>
      <c r="J1901">
        <v>0</v>
      </c>
      <c r="K1901">
        <v>718.62</v>
      </c>
      <c r="L1901">
        <v>5.7</v>
      </c>
      <c r="M1901" t="s">
        <v>2471</v>
      </c>
      <c r="N1901" t="s">
        <v>2467</v>
      </c>
      <c r="O1901" t="s">
        <v>2461</v>
      </c>
      <c r="P1901">
        <v>112.09</v>
      </c>
      <c r="Q1901">
        <v>192.47</v>
      </c>
      <c r="R1901">
        <v>448.36</v>
      </c>
      <c r="S1901">
        <v>264.56</v>
      </c>
      <c r="T1901">
        <v>0.36815006540313377</v>
      </c>
      <c r="U1901" s="1">
        <v>45474</v>
      </c>
      <c r="V1901" t="s">
        <v>2499</v>
      </c>
      <c r="W1901">
        <v>2024</v>
      </c>
    </row>
    <row r="1902" spans="1:23" x14ac:dyDescent="0.25">
      <c r="A1902" t="s">
        <v>1949</v>
      </c>
      <c r="B1902" s="1">
        <v>45486</v>
      </c>
      <c r="C1902" s="1">
        <v>45490</v>
      </c>
      <c r="D1902" t="s">
        <v>23</v>
      </c>
      <c r="E1902" t="s">
        <v>24</v>
      </c>
      <c r="F1902" t="s">
        <v>15</v>
      </c>
      <c r="G1902" t="s">
        <v>26</v>
      </c>
      <c r="H1902" t="s">
        <v>27</v>
      </c>
      <c r="I1902">
        <v>14</v>
      </c>
      <c r="J1902">
        <v>0.15</v>
      </c>
      <c r="K1902">
        <v>289.76</v>
      </c>
      <c r="L1902">
        <v>6.48</v>
      </c>
      <c r="M1902" t="s">
        <v>2478</v>
      </c>
      <c r="N1902" t="s">
        <v>2474</v>
      </c>
      <c r="O1902" t="s">
        <v>2463</v>
      </c>
      <c r="P1902">
        <v>16.760000000000002</v>
      </c>
      <c r="Q1902">
        <v>27.71</v>
      </c>
      <c r="R1902">
        <v>234.64000000000001</v>
      </c>
      <c r="S1902">
        <v>48.639999999999972</v>
      </c>
      <c r="T1902">
        <v>0.16786305908337926</v>
      </c>
      <c r="U1902" s="1">
        <v>45474</v>
      </c>
      <c r="V1902" t="s">
        <v>2500</v>
      </c>
      <c r="W1902">
        <v>2024</v>
      </c>
    </row>
    <row r="1903" spans="1:23" x14ac:dyDescent="0.25">
      <c r="A1903" t="s">
        <v>1950</v>
      </c>
      <c r="B1903" s="1">
        <v>45977</v>
      </c>
      <c r="C1903" s="1">
        <v>45978</v>
      </c>
      <c r="D1903" t="s">
        <v>23</v>
      </c>
      <c r="E1903" t="s">
        <v>43</v>
      </c>
      <c r="F1903" t="s">
        <v>29</v>
      </c>
      <c r="G1903" t="s">
        <v>26</v>
      </c>
      <c r="H1903" t="s">
        <v>37</v>
      </c>
      <c r="I1903">
        <v>1</v>
      </c>
      <c r="J1903">
        <v>0.15</v>
      </c>
      <c r="K1903">
        <v>128.27000000000001</v>
      </c>
      <c r="L1903">
        <v>4.08</v>
      </c>
      <c r="M1903" t="s">
        <v>2464</v>
      </c>
      <c r="N1903" t="s">
        <v>2458</v>
      </c>
      <c r="O1903" t="s">
        <v>2465</v>
      </c>
      <c r="P1903">
        <v>63.6</v>
      </c>
      <c r="Q1903">
        <v>107.94</v>
      </c>
      <c r="R1903">
        <v>63.6</v>
      </c>
      <c r="S1903">
        <v>60.590000000000018</v>
      </c>
      <c r="T1903">
        <v>0.47236298432992918</v>
      </c>
      <c r="U1903" s="1">
        <v>45962</v>
      </c>
      <c r="V1903" t="s">
        <v>2500</v>
      </c>
      <c r="W1903">
        <v>2025</v>
      </c>
    </row>
    <row r="1904" spans="1:23" x14ac:dyDescent="0.25">
      <c r="A1904" t="s">
        <v>1951</v>
      </c>
      <c r="B1904" s="1">
        <v>45367</v>
      </c>
      <c r="C1904" s="1">
        <v>45371</v>
      </c>
      <c r="D1904" t="s">
        <v>47</v>
      </c>
      <c r="E1904" t="s">
        <v>48</v>
      </c>
      <c r="F1904" t="s">
        <v>15</v>
      </c>
      <c r="G1904" t="s">
        <v>16</v>
      </c>
      <c r="H1904" t="s">
        <v>87</v>
      </c>
      <c r="I1904">
        <v>6</v>
      </c>
      <c r="J1904">
        <v>0</v>
      </c>
      <c r="K1904">
        <v>47.79</v>
      </c>
      <c r="L1904">
        <v>4.32</v>
      </c>
      <c r="M1904" t="s">
        <v>2476</v>
      </c>
      <c r="N1904" t="s">
        <v>2474</v>
      </c>
      <c r="O1904" t="s">
        <v>2459</v>
      </c>
      <c r="P1904">
        <v>4.5</v>
      </c>
      <c r="Q1904">
        <v>8.2899999999999991</v>
      </c>
      <c r="R1904">
        <v>27</v>
      </c>
      <c r="S1904">
        <v>16.47</v>
      </c>
      <c r="T1904">
        <v>0.34463276836158191</v>
      </c>
      <c r="U1904" s="1">
        <v>45352</v>
      </c>
      <c r="V1904" t="s">
        <v>2499</v>
      </c>
      <c r="W1904">
        <v>2024</v>
      </c>
    </row>
    <row r="1905" spans="1:23" x14ac:dyDescent="0.25">
      <c r="A1905" t="s">
        <v>1952</v>
      </c>
      <c r="B1905" s="1">
        <v>45677</v>
      </c>
      <c r="C1905" s="1">
        <v>45682</v>
      </c>
      <c r="D1905" t="s">
        <v>32</v>
      </c>
      <c r="E1905" t="s">
        <v>62</v>
      </c>
      <c r="F1905" t="s">
        <v>29</v>
      </c>
      <c r="G1905" t="s">
        <v>20</v>
      </c>
      <c r="H1905" t="s">
        <v>53</v>
      </c>
      <c r="I1905">
        <v>4</v>
      </c>
      <c r="J1905">
        <v>0</v>
      </c>
      <c r="K1905">
        <v>205.2</v>
      </c>
      <c r="L1905">
        <v>9.5</v>
      </c>
      <c r="M1905" t="s">
        <v>2470</v>
      </c>
      <c r="N1905" t="s">
        <v>2467</v>
      </c>
      <c r="O1905" t="s">
        <v>2459</v>
      </c>
      <c r="P1905">
        <v>31.34</v>
      </c>
      <c r="Q1905">
        <v>56.49</v>
      </c>
      <c r="R1905">
        <v>125.36</v>
      </c>
      <c r="S1905">
        <v>70.339999999999989</v>
      </c>
      <c r="T1905">
        <v>0.3427875243664717</v>
      </c>
      <c r="U1905" s="1">
        <v>45658</v>
      </c>
      <c r="V1905" t="s">
        <v>2499</v>
      </c>
      <c r="W1905">
        <v>2025</v>
      </c>
    </row>
    <row r="1906" spans="1:23" x14ac:dyDescent="0.25">
      <c r="A1906" t="s">
        <v>1953</v>
      </c>
      <c r="B1906" s="1">
        <v>45328</v>
      </c>
      <c r="C1906" s="1">
        <v>45330</v>
      </c>
      <c r="D1906" t="s">
        <v>32</v>
      </c>
      <c r="E1906" t="s">
        <v>45</v>
      </c>
      <c r="F1906" t="s">
        <v>15</v>
      </c>
      <c r="G1906" t="s">
        <v>26</v>
      </c>
      <c r="H1906" t="s">
        <v>17</v>
      </c>
      <c r="I1906">
        <v>2</v>
      </c>
      <c r="J1906">
        <v>0.25</v>
      </c>
      <c r="K1906">
        <v>160.28</v>
      </c>
      <c r="L1906">
        <v>7</v>
      </c>
      <c r="M1906" t="s">
        <v>2472</v>
      </c>
      <c r="N1906" t="s">
        <v>2467</v>
      </c>
      <c r="O1906" t="s">
        <v>2468</v>
      </c>
      <c r="P1906">
        <v>63.69</v>
      </c>
      <c r="Q1906">
        <v>125.5</v>
      </c>
      <c r="R1906">
        <v>127.38</v>
      </c>
      <c r="S1906">
        <v>25.900000000000006</v>
      </c>
      <c r="T1906">
        <v>0.16159221362615425</v>
      </c>
      <c r="U1906" s="1">
        <v>45323</v>
      </c>
      <c r="V1906" t="s">
        <v>2501</v>
      </c>
      <c r="W1906">
        <v>2024</v>
      </c>
    </row>
    <row r="1907" spans="1:23" x14ac:dyDescent="0.25">
      <c r="A1907" t="s">
        <v>1954</v>
      </c>
      <c r="B1907" s="1">
        <v>45881</v>
      </c>
      <c r="C1907" s="1">
        <v>45883</v>
      </c>
      <c r="D1907" t="s">
        <v>13</v>
      </c>
      <c r="E1907" t="s">
        <v>14</v>
      </c>
      <c r="F1907" t="s">
        <v>25</v>
      </c>
      <c r="G1907" t="s">
        <v>20</v>
      </c>
      <c r="H1907" t="s">
        <v>30</v>
      </c>
      <c r="I1907">
        <v>9</v>
      </c>
      <c r="J1907">
        <v>0.05</v>
      </c>
      <c r="K1907">
        <v>49.4</v>
      </c>
      <c r="L1907">
        <v>8.5500000000000007</v>
      </c>
      <c r="M1907" t="s">
        <v>2473</v>
      </c>
      <c r="N1907" t="s">
        <v>2474</v>
      </c>
      <c r="O1907" t="s">
        <v>2463</v>
      </c>
      <c r="P1907">
        <v>3.62</v>
      </c>
      <c r="Q1907">
        <v>6.03</v>
      </c>
      <c r="R1907">
        <v>32.58</v>
      </c>
      <c r="S1907">
        <v>8.27</v>
      </c>
      <c r="T1907">
        <v>0.16740890688259108</v>
      </c>
      <c r="U1907" s="1">
        <v>45870</v>
      </c>
      <c r="V1907" t="s">
        <v>2498</v>
      </c>
      <c r="W1907">
        <v>2025</v>
      </c>
    </row>
    <row r="1908" spans="1:23" x14ac:dyDescent="0.25">
      <c r="A1908" t="s">
        <v>1955</v>
      </c>
      <c r="B1908" s="1">
        <v>46018</v>
      </c>
      <c r="C1908" s="1">
        <v>46021</v>
      </c>
      <c r="D1908" t="s">
        <v>32</v>
      </c>
      <c r="E1908" t="s">
        <v>62</v>
      </c>
      <c r="F1908" t="s">
        <v>29</v>
      </c>
      <c r="G1908" t="s">
        <v>20</v>
      </c>
      <c r="H1908" t="s">
        <v>60</v>
      </c>
      <c r="I1908">
        <v>1</v>
      </c>
      <c r="J1908">
        <v>0.25</v>
      </c>
      <c r="K1908">
        <v>120.88</v>
      </c>
      <c r="L1908">
        <v>5.75</v>
      </c>
      <c r="M1908" t="s">
        <v>2469</v>
      </c>
      <c r="N1908" t="s">
        <v>2467</v>
      </c>
      <c r="O1908" t="s">
        <v>2468</v>
      </c>
      <c r="P1908">
        <v>54.95</v>
      </c>
      <c r="Q1908">
        <v>112.56</v>
      </c>
      <c r="R1908">
        <v>54.95</v>
      </c>
      <c r="S1908">
        <v>60.179999999999993</v>
      </c>
      <c r="T1908">
        <v>0.4978491065519523</v>
      </c>
      <c r="U1908" s="1">
        <v>45992</v>
      </c>
      <c r="V1908" t="s">
        <v>2501</v>
      </c>
      <c r="W1908">
        <v>2025</v>
      </c>
    </row>
    <row r="1909" spans="1:23" x14ac:dyDescent="0.25">
      <c r="A1909" t="s">
        <v>1956</v>
      </c>
      <c r="B1909" s="1">
        <v>45987</v>
      </c>
      <c r="C1909" s="1">
        <v>45991</v>
      </c>
      <c r="D1909" t="s">
        <v>13</v>
      </c>
      <c r="E1909" t="s">
        <v>19</v>
      </c>
      <c r="F1909" t="s">
        <v>29</v>
      </c>
      <c r="G1909" t="s">
        <v>20</v>
      </c>
      <c r="H1909" t="s">
        <v>68</v>
      </c>
      <c r="I1909">
        <v>3</v>
      </c>
      <c r="J1909">
        <v>0.05</v>
      </c>
      <c r="K1909">
        <v>189.35</v>
      </c>
      <c r="L1909">
        <v>8.25</v>
      </c>
      <c r="M1909" t="s">
        <v>2466</v>
      </c>
      <c r="N1909" t="s">
        <v>2467</v>
      </c>
      <c r="O1909" t="s">
        <v>2468</v>
      </c>
      <c r="P1909">
        <v>25.33</v>
      </c>
      <c r="Q1909">
        <v>51.56</v>
      </c>
      <c r="R1909">
        <v>75.989999999999995</v>
      </c>
      <c r="S1909">
        <v>105.11</v>
      </c>
      <c r="T1909">
        <v>0.55510958542381839</v>
      </c>
      <c r="U1909" s="1">
        <v>45962</v>
      </c>
      <c r="V1909" t="s">
        <v>2498</v>
      </c>
      <c r="W1909">
        <v>2025</v>
      </c>
    </row>
    <row r="1910" spans="1:23" x14ac:dyDescent="0.25">
      <c r="A1910" t="s">
        <v>1957</v>
      </c>
      <c r="B1910" s="1">
        <v>45852</v>
      </c>
      <c r="C1910" s="1">
        <v>45853</v>
      </c>
      <c r="D1910" t="s">
        <v>32</v>
      </c>
      <c r="E1910" t="s">
        <v>45</v>
      </c>
      <c r="F1910" t="s">
        <v>15</v>
      </c>
      <c r="G1910" t="s">
        <v>20</v>
      </c>
      <c r="H1910" t="s">
        <v>17</v>
      </c>
      <c r="I1910">
        <v>2</v>
      </c>
      <c r="J1910">
        <v>0.05</v>
      </c>
      <c r="K1910">
        <v>216.24</v>
      </c>
      <c r="L1910">
        <v>4.2</v>
      </c>
      <c r="M1910" t="s">
        <v>2472</v>
      </c>
      <c r="N1910" t="s">
        <v>2467</v>
      </c>
      <c r="O1910" t="s">
        <v>2468</v>
      </c>
      <c r="P1910">
        <v>63.69</v>
      </c>
      <c r="Q1910">
        <v>125.5</v>
      </c>
      <c r="R1910">
        <v>127.38</v>
      </c>
      <c r="S1910">
        <v>84.660000000000011</v>
      </c>
      <c r="T1910">
        <v>0.39150943396226418</v>
      </c>
      <c r="U1910" s="1">
        <v>45839</v>
      </c>
      <c r="V1910" t="s">
        <v>2498</v>
      </c>
      <c r="W1910">
        <v>2025</v>
      </c>
    </row>
    <row r="1911" spans="1:23" x14ac:dyDescent="0.25">
      <c r="A1911" t="s">
        <v>1958</v>
      </c>
      <c r="B1911" s="1">
        <v>45992</v>
      </c>
      <c r="C1911" s="1">
        <v>45995</v>
      </c>
      <c r="D1911" t="s">
        <v>23</v>
      </c>
      <c r="E1911" t="s">
        <v>24</v>
      </c>
      <c r="F1911" t="s">
        <v>15</v>
      </c>
      <c r="G1911" t="s">
        <v>26</v>
      </c>
      <c r="H1911" t="s">
        <v>68</v>
      </c>
      <c r="I1911">
        <v>1</v>
      </c>
      <c r="J1911">
        <v>0.1</v>
      </c>
      <c r="K1911">
        <v>69.599999999999994</v>
      </c>
      <c r="L1911">
        <v>5.75</v>
      </c>
      <c r="M1911" t="s">
        <v>2466</v>
      </c>
      <c r="N1911" t="s">
        <v>2467</v>
      </c>
      <c r="O1911" t="s">
        <v>2468</v>
      </c>
      <c r="P1911">
        <v>25.33</v>
      </c>
      <c r="Q1911">
        <v>51.56</v>
      </c>
      <c r="R1911">
        <v>25.33</v>
      </c>
      <c r="S1911">
        <v>38.519999999999996</v>
      </c>
      <c r="T1911">
        <v>0.55344827586206891</v>
      </c>
      <c r="U1911" s="1">
        <v>45992</v>
      </c>
      <c r="V1911" t="s">
        <v>2498</v>
      </c>
      <c r="W1911">
        <v>2025</v>
      </c>
    </row>
    <row r="1912" spans="1:23" x14ac:dyDescent="0.25">
      <c r="A1912" t="s">
        <v>1959</v>
      </c>
      <c r="B1912" s="1">
        <v>45904</v>
      </c>
      <c r="C1912" s="1">
        <v>45905</v>
      </c>
      <c r="D1912" t="s">
        <v>47</v>
      </c>
      <c r="E1912" t="s">
        <v>48</v>
      </c>
      <c r="F1912" t="s">
        <v>29</v>
      </c>
      <c r="G1912" t="s">
        <v>16</v>
      </c>
      <c r="H1912" t="s">
        <v>21</v>
      </c>
      <c r="I1912">
        <v>7</v>
      </c>
      <c r="J1912">
        <v>0.15</v>
      </c>
      <c r="K1912">
        <v>709.93</v>
      </c>
      <c r="L1912">
        <v>20.6</v>
      </c>
      <c r="M1912" t="s">
        <v>2462</v>
      </c>
      <c r="N1912" t="s">
        <v>2458</v>
      </c>
      <c r="O1912" t="s">
        <v>2463</v>
      </c>
      <c r="P1912">
        <v>71.489999999999995</v>
      </c>
      <c r="Q1912">
        <v>112.88</v>
      </c>
      <c r="R1912">
        <v>500.42999999999995</v>
      </c>
      <c r="S1912">
        <v>188.9</v>
      </c>
      <c r="T1912">
        <v>0.2660825715211359</v>
      </c>
      <c r="U1912" s="1">
        <v>45901</v>
      </c>
      <c r="V1912" t="s">
        <v>2500</v>
      </c>
      <c r="W1912">
        <v>2025</v>
      </c>
    </row>
    <row r="1913" spans="1:23" x14ac:dyDescent="0.25">
      <c r="A1913" t="s">
        <v>1960</v>
      </c>
      <c r="B1913" s="1">
        <v>45386</v>
      </c>
      <c r="C1913" s="1">
        <v>45391</v>
      </c>
      <c r="D1913" t="s">
        <v>32</v>
      </c>
      <c r="E1913" t="s">
        <v>62</v>
      </c>
      <c r="F1913" t="s">
        <v>29</v>
      </c>
      <c r="G1913" t="s">
        <v>20</v>
      </c>
      <c r="H1913" t="s">
        <v>41</v>
      </c>
      <c r="I1913">
        <v>14</v>
      </c>
      <c r="J1913">
        <v>0</v>
      </c>
      <c r="K1913">
        <v>80.290000000000006</v>
      </c>
      <c r="L1913">
        <v>10.8</v>
      </c>
      <c r="M1913" t="s">
        <v>2479</v>
      </c>
      <c r="N1913" t="s">
        <v>2474</v>
      </c>
      <c r="O1913" t="s">
        <v>2459</v>
      </c>
      <c r="P1913">
        <v>3.3</v>
      </c>
      <c r="Q1913">
        <v>6.13</v>
      </c>
      <c r="R1913">
        <v>46.199999999999996</v>
      </c>
      <c r="S1913">
        <v>23.29000000000001</v>
      </c>
      <c r="T1913">
        <v>0.2900734836218708</v>
      </c>
      <c r="U1913" s="1">
        <v>45383</v>
      </c>
      <c r="V1913" t="s">
        <v>2499</v>
      </c>
      <c r="W1913">
        <v>2024</v>
      </c>
    </row>
    <row r="1914" spans="1:23" x14ac:dyDescent="0.25">
      <c r="A1914" t="s">
        <v>1961</v>
      </c>
      <c r="B1914" s="1">
        <v>45777</v>
      </c>
      <c r="C1914" s="1">
        <v>45782</v>
      </c>
      <c r="D1914" t="s">
        <v>23</v>
      </c>
      <c r="E1914" t="s">
        <v>24</v>
      </c>
      <c r="F1914" t="s">
        <v>15</v>
      </c>
      <c r="G1914" t="s">
        <v>26</v>
      </c>
      <c r="H1914" t="s">
        <v>51</v>
      </c>
      <c r="I1914">
        <v>10</v>
      </c>
      <c r="J1914">
        <v>0</v>
      </c>
      <c r="K1914">
        <v>148.44999999999999</v>
      </c>
      <c r="L1914">
        <v>5.4</v>
      </c>
      <c r="M1914" t="s">
        <v>2475</v>
      </c>
      <c r="N1914" t="s">
        <v>2474</v>
      </c>
      <c r="O1914" t="s">
        <v>2463</v>
      </c>
      <c r="P1914">
        <v>7.93</v>
      </c>
      <c r="Q1914">
        <v>14.78</v>
      </c>
      <c r="R1914">
        <v>79.3</v>
      </c>
      <c r="S1914">
        <v>63.749999999999993</v>
      </c>
      <c r="T1914">
        <v>0.42943752105085886</v>
      </c>
      <c r="U1914" s="1">
        <v>45748</v>
      </c>
      <c r="V1914" t="s">
        <v>2499</v>
      </c>
      <c r="W1914">
        <v>2025</v>
      </c>
    </row>
    <row r="1915" spans="1:23" x14ac:dyDescent="0.25">
      <c r="A1915" t="s">
        <v>1962</v>
      </c>
      <c r="B1915" s="1">
        <v>45714</v>
      </c>
      <c r="C1915" s="1">
        <v>45716</v>
      </c>
      <c r="D1915" t="s">
        <v>47</v>
      </c>
      <c r="E1915" t="s">
        <v>48</v>
      </c>
      <c r="F1915" t="s">
        <v>25</v>
      </c>
      <c r="G1915" t="s">
        <v>20</v>
      </c>
      <c r="H1915" t="s">
        <v>60</v>
      </c>
      <c r="I1915">
        <v>1</v>
      </c>
      <c r="J1915">
        <v>0.1</v>
      </c>
      <c r="K1915">
        <v>87.45</v>
      </c>
      <c r="L1915">
        <v>5.75</v>
      </c>
      <c r="M1915" t="s">
        <v>2469</v>
      </c>
      <c r="N1915" t="s">
        <v>2467</v>
      </c>
      <c r="O1915" t="s">
        <v>2468</v>
      </c>
      <c r="P1915">
        <v>54.95</v>
      </c>
      <c r="Q1915">
        <v>112.56</v>
      </c>
      <c r="R1915">
        <v>54.95</v>
      </c>
      <c r="S1915">
        <v>26.75</v>
      </c>
      <c r="T1915">
        <v>0.30588907947398514</v>
      </c>
      <c r="U1915" s="1">
        <v>45689</v>
      </c>
      <c r="V1915" t="s">
        <v>2498</v>
      </c>
      <c r="W1915">
        <v>2025</v>
      </c>
    </row>
    <row r="1916" spans="1:23" x14ac:dyDescent="0.25">
      <c r="A1916" t="s">
        <v>1963</v>
      </c>
      <c r="B1916" s="1">
        <v>45507</v>
      </c>
      <c r="C1916" s="1">
        <v>45508</v>
      </c>
      <c r="D1916" t="s">
        <v>47</v>
      </c>
      <c r="E1916" t="s">
        <v>50</v>
      </c>
      <c r="F1916" t="s">
        <v>25</v>
      </c>
      <c r="G1916" t="s">
        <v>16</v>
      </c>
      <c r="H1916" t="s">
        <v>41</v>
      </c>
      <c r="I1916">
        <v>10</v>
      </c>
      <c r="J1916">
        <v>0</v>
      </c>
      <c r="K1916">
        <v>61.31</v>
      </c>
      <c r="L1916">
        <v>5.4</v>
      </c>
      <c r="M1916" t="s">
        <v>2479</v>
      </c>
      <c r="N1916" t="s">
        <v>2474</v>
      </c>
      <c r="O1916" t="s">
        <v>2459</v>
      </c>
      <c r="P1916">
        <v>3.3</v>
      </c>
      <c r="Q1916">
        <v>6.13</v>
      </c>
      <c r="R1916">
        <v>33</v>
      </c>
      <c r="S1916">
        <v>22.910000000000004</v>
      </c>
      <c r="T1916">
        <v>0.37367476757462081</v>
      </c>
      <c r="U1916" s="1">
        <v>45505</v>
      </c>
      <c r="V1916" t="s">
        <v>2499</v>
      </c>
      <c r="W1916">
        <v>2024</v>
      </c>
    </row>
    <row r="1917" spans="1:23" x14ac:dyDescent="0.25">
      <c r="A1917" t="s">
        <v>1964</v>
      </c>
      <c r="B1917" s="1">
        <v>45435</v>
      </c>
      <c r="C1917" s="1">
        <v>45438</v>
      </c>
      <c r="D1917" t="s">
        <v>23</v>
      </c>
      <c r="E1917" t="s">
        <v>43</v>
      </c>
      <c r="F1917" t="s">
        <v>25</v>
      </c>
      <c r="G1917" t="s">
        <v>26</v>
      </c>
      <c r="H1917" t="s">
        <v>34</v>
      </c>
      <c r="I1917">
        <v>3</v>
      </c>
      <c r="J1917">
        <v>0</v>
      </c>
      <c r="K1917">
        <v>600.98</v>
      </c>
      <c r="L1917">
        <v>6.84</v>
      </c>
      <c r="M1917" t="s">
        <v>2460</v>
      </c>
      <c r="N1917" t="s">
        <v>2458</v>
      </c>
      <c r="O1917" t="s">
        <v>2461</v>
      </c>
      <c r="P1917">
        <v>119.02</v>
      </c>
      <c r="Q1917">
        <v>205.39</v>
      </c>
      <c r="R1917">
        <v>357.06</v>
      </c>
      <c r="S1917">
        <v>237.08</v>
      </c>
      <c r="T1917">
        <v>0.39448900129788012</v>
      </c>
      <c r="U1917" s="1">
        <v>45413</v>
      </c>
      <c r="V1917" t="s">
        <v>2499</v>
      </c>
      <c r="W1917">
        <v>2024</v>
      </c>
    </row>
    <row r="1918" spans="1:23" x14ac:dyDescent="0.25">
      <c r="A1918" t="s">
        <v>1965</v>
      </c>
      <c r="B1918" s="1">
        <v>45567</v>
      </c>
      <c r="C1918" s="1">
        <v>45569</v>
      </c>
      <c r="D1918" t="s">
        <v>47</v>
      </c>
      <c r="E1918" t="s">
        <v>71</v>
      </c>
      <c r="F1918" t="s">
        <v>15</v>
      </c>
      <c r="G1918" t="s">
        <v>20</v>
      </c>
      <c r="H1918" t="s">
        <v>39</v>
      </c>
      <c r="I1918">
        <v>3</v>
      </c>
      <c r="J1918">
        <v>0</v>
      </c>
      <c r="K1918">
        <v>650.86</v>
      </c>
      <c r="L1918">
        <v>4.95</v>
      </c>
      <c r="M1918" t="s">
        <v>2471</v>
      </c>
      <c r="N1918" t="s">
        <v>2467</v>
      </c>
      <c r="O1918" t="s">
        <v>2461</v>
      </c>
      <c r="P1918">
        <v>112.09</v>
      </c>
      <c r="Q1918">
        <v>192.47</v>
      </c>
      <c r="R1918">
        <v>336.27</v>
      </c>
      <c r="S1918">
        <v>309.64000000000004</v>
      </c>
      <c r="T1918">
        <v>0.47573979043112197</v>
      </c>
      <c r="U1918" s="1">
        <v>45566</v>
      </c>
      <c r="V1918" t="s">
        <v>2499</v>
      </c>
      <c r="W1918">
        <v>2024</v>
      </c>
    </row>
    <row r="1919" spans="1:23" x14ac:dyDescent="0.25">
      <c r="A1919" t="s">
        <v>1966</v>
      </c>
      <c r="B1919" s="1">
        <v>45986</v>
      </c>
      <c r="C1919" s="1">
        <v>45991</v>
      </c>
      <c r="D1919" t="s">
        <v>47</v>
      </c>
      <c r="E1919" t="s">
        <v>48</v>
      </c>
      <c r="F1919" t="s">
        <v>29</v>
      </c>
      <c r="G1919" t="s">
        <v>26</v>
      </c>
      <c r="H1919" t="s">
        <v>30</v>
      </c>
      <c r="I1919">
        <v>11</v>
      </c>
      <c r="J1919">
        <v>0</v>
      </c>
      <c r="K1919">
        <v>91.73</v>
      </c>
      <c r="L1919">
        <v>5.67</v>
      </c>
      <c r="M1919" t="s">
        <v>2473</v>
      </c>
      <c r="N1919" t="s">
        <v>2474</v>
      </c>
      <c r="O1919" t="s">
        <v>2463</v>
      </c>
      <c r="P1919">
        <v>3.62</v>
      </c>
      <c r="Q1919">
        <v>6.03</v>
      </c>
      <c r="R1919">
        <v>39.82</v>
      </c>
      <c r="S1919">
        <v>46.24</v>
      </c>
      <c r="T1919">
        <v>0.50408808459609722</v>
      </c>
      <c r="U1919" s="1">
        <v>45962</v>
      </c>
      <c r="V1919" t="s">
        <v>2499</v>
      </c>
      <c r="W1919">
        <v>2025</v>
      </c>
    </row>
    <row r="1920" spans="1:23" x14ac:dyDescent="0.25">
      <c r="A1920" t="s">
        <v>1967</v>
      </c>
      <c r="B1920" s="1">
        <v>45311</v>
      </c>
      <c r="C1920" s="1">
        <v>45317</v>
      </c>
      <c r="D1920" t="s">
        <v>32</v>
      </c>
      <c r="E1920" t="s">
        <v>45</v>
      </c>
      <c r="F1920" t="s">
        <v>25</v>
      </c>
      <c r="G1920" t="s">
        <v>20</v>
      </c>
      <c r="H1920" t="s">
        <v>30</v>
      </c>
      <c r="I1920">
        <v>11</v>
      </c>
      <c r="J1920">
        <v>0</v>
      </c>
      <c r="K1920">
        <v>61.12</v>
      </c>
      <c r="L1920">
        <v>5.67</v>
      </c>
      <c r="M1920" t="s">
        <v>2473</v>
      </c>
      <c r="N1920" t="s">
        <v>2474</v>
      </c>
      <c r="O1920" t="s">
        <v>2463</v>
      </c>
      <c r="P1920">
        <v>3.62</v>
      </c>
      <c r="Q1920">
        <v>6.03</v>
      </c>
      <c r="R1920">
        <v>39.82</v>
      </c>
      <c r="S1920">
        <v>15.629999999999997</v>
      </c>
      <c r="T1920">
        <v>0.25572643979057585</v>
      </c>
      <c r="U1920" s="1">
        <v>45292</v>
      </c>
      <c r="V1920" t="s">
        <v>2499</v>
      </c>
      <c r="W1920">
        <v>2024</v>
      </c>
    </row>
    <row r="1921" spans="1:23" x14ac:dyDescent="0.25">
      <c r="A1921" t="s">
        <v>1968</v>
      </c>
      <c r="B1921" s="1">
        <v>45678</v>
      </c>
      <c r="C1921" s="1">
        <v>45679</v>
      </c>
      <c r="D1921" t="s">
        <v>32</v>
      </c>
      <c r="E1921" t="s">
        <v>45</v>
      </c>
      <c r="F1921" t="s">
        <v>29</v>
      </c>
      <c r="G1921" t="s">
        <v>16</v>
      </c>
      <c r="H1921" t="s">
        <v>17</v>
      </c>
      <c r="I1921">
        <v>2</v>
      </c>
      <c r="J1921">
        <v>0</v>
      </c>
      <c r="K1921">
        <v>212.29</v>
      </c>
      <c r="L1921">
        <v>4.2</v>
      </c>
      <c r="M1921" t="s">
        <v>2472</v>
      </c>
      <c r="N1921" t="s">
        <v>2467</v>
      </c>
      <c r="O1921" t="s">
        <v>2468</v>
      </c>
      <c r="P1921">
        <v>63.69</v>
      </c>
      <c r="Q1921">
        <v>125.5</v>
      </c>
      <c r="R1921">
        <v>127.38</v>
      </c>
      <c r="S1921">
        <v>80.709999999999994</v>
      </c>
      <c r="T1921">
        <v>0.38018747939139852</v>
      </c>
      <c r="U1921" s="1">
        <v>45658</v>
      </c>
      <c r="V1921" t="s">
        <v>2499</v>
      </c>
      <c r="W1921">
        <v>2025</v>
      </c>
    </row>
    <row r="1922" spans="1:23" x14ac:dyDescent="0.25">
      <c r="A1922" t="s">
        <v>1969</v>
      </c>
      <c r="B1922" s="1">
        <v>45905</v>
      </c>
      <c r="C1922" s="1">
        <v>45908</v>
      </c>
      <c r="D1922" t="s">
        <v>13</v>
      </c>
      <c r="E1922" t="s">
        <v>19</v>
      </c>
      <c r="F1922" t="s">
        <v>15</v>
      </c>
      <c r="G1922" t="s">
        <v>20</v>
      </c>
      <c r="H1922" t="s">
        <v>63</v>
      </c>
      <c r="I1922">
        <v>7</v>
      </c>
      <c r="J1922">
        <v>0.25</v>
      </c>
      <c r="K1922">
        <v>72.900000000000006</v>
      </c>
      <c r="L1922">
        <v>4.59</v>
      </c>
      <c r="M1922" t="s">
        <v>2477</v>
      </c>
      <c r="N1922" t="s">
        <v>2474</v>
      </c>
      <c r="O1922" t="s">
        <v>2468</v>
      </c>
      <c r="P1922">
        <v>6.33</v>
      </c>
      <c r="Q1922">
        <v>12.16</v>
      </c>
      <c r="R1922">
        <v>44.31</v>
      </c>
      <c r="S1922">
        <v>24.000000000000004</v>
      </c>
      <c r="T1922">
        <v>0.32921810699588477</v>
      </c>
      <c r="U1922" s="1">
        <v>45901</v>
      </c>
      <c r="V1922" t="s">
        <v>2501</v>
      </c>
      <c r="W1922">
        <v>2025</v>
      </c>
    </row>
    <row r="1923" spans="1:23" x14ac:dyDescent="0.25">
      <c r="A1923" t="s">
        <v>1970</v>
      </c>
      <c r="B1923" s="1">
        <v>45409</v>
      </c>
      <c r="C1923" s="1">
        <v>45413</v>
      </c>
      <c r="D1923" t="s">
        <v>23</v>
      </c>
      <c r="E1923" t="s">
        <v>43</v>
      </c>
      <c r="F1923" t="s">
        <v>15</v>
      </c>
      <c r="G1923" t="s">
        <v>20</v>
      </c>
      <c r="H1923" t="s">
        <v>34</v>
      </c>
      <c r="I1923">
        <v>2</v>
      </c>
      <c r="J1923">
        <v>0.1</v>
      </c>
      <c r="K1923">
        <v>345.97</v>
      </c>
      <c r="L1923">
        <v>5.46</v>
      </c>
      <c r="M1923" t="s">
        <v>2460</v>
      </c>
      <c r="N1923" t="s">
        <v>2458</v>
      </c>
      <c r="O1923" t="s">
        <v>2461</v>
      </c>
      <c r="P1923">
        <v>119.02</v>
      </c>
      <c r="Q1923">
        <v>205.39</v>
      </c>
      <c r="R1923">
        <v>238.04</v>
      </c>
      <c r="S1923">
        <v>102.47000000000004</v>
      </c>
      <c r="T1923">
        <v>0.29618174986270496</v>
      </c>
      <c r="U1923" s="1">
        <v>45383</v>
      </c>
      <c r="V1923" t="s">
        <v>2498</v>
      </c>
      <c r="W1923">
        <v>2024</v>
      </c>
    </row>
    <row r="1924" spans="1:23" x14ac:dyDescent="0.25">
      <c r="A1924" t="s">
        <v>1971</v>
      </c>
      <c r="B1924" s="1">
        <v>45935</v>
      </c>
      <c r="C1924" s="1">
        <v>45936</v>
      </c>
      <c r="D1924" t="s">
        <v>47</v>
      </c>
      <c r="E1924" t="s">
        <v>71</v>
      </c>
      <c r="F1924" t="s">
        <v>25</v>
      </c>
      <c r="G1924" t="s">
        <v>26</v>
      </c>
      <c r="H1924" t="s">
        <v>21</v>
      </c>
      <c r="I1924">
        <v>2</v>
      </c>
      <c r="J1924">
        <v>0</v>
      </c>
      <c r="K1924">
        <v>270.19</v>
      </c>
      <c r="L1924">
        <v>5.46</v>
      </c>
      <c r="M1924" t="s">
        <v>2462</v>
      </c>
      <c r="N1924" t="s">
        <v>2458</v>
      </c>
      <c r="O1924" t="s">
        <v>2463</v>
      </c>
      <c r="P1924">
        <v>71.489999999999995</v>
      </c>
      <c r="Q1924">
        <v>112.88</v>
      </c>
      <c r="R1924">
        <v>142.97999999999999</v>
      </c>
      <c r="S1924">
        <v>121.75000000000001</v>
      </c>
      <c r="T1924">
        <v>0.45060883082275444</v>
      </c>
      <c r="U1924" s="1">
        <v>45931</v>
      </c>
      <c r="V1924" t="s">
        <v>2499</v>
      </c>
      <c r="W1924">
        <v>2025</v>
      </c>
    </row>
    <row r="1925" spans="1:23" x14ac:dyDescent="0.25">
      <c r="A1925" t="s">
        <v>1972</v>
      </c>
      <c r="B1925" s="1">
        <v>45938</v>
      </c>
      <c r="C1925" s="1">
        <v>45941</v>
      </c>
      <c r="D1925" t="s">
        <v>47</v>
      </c>
      <c r="E1925" t="s">
        <v>71</v>
      </c>
      <c r="F1925" t="s">
        <v>25</v>
      </c>
      <c r="G1925" t="s">
        <v>16</v>
      </c>
      <c r="H1925" t="s">
        <v>51</v>
      </c>
      <c r="I1925">
        <v>13</v>
      </c>
      <c r="J1925">
        <v>0.1</v>
      </c>
      <c r="K1925">
        <v>198.91</v>
      </c>
      <c r="L1925">
        <v>6.21</v>
      </c>
      <c r="M1925" t="s">
        <v>2475</v>
      </c>
      <c r="N1925" t="s">
        <v>2474</v>
      </c>
      <c r="O1925" t="s">
        <v>2463</v>
      </c>
      <c r="P1925">
        <v>7.93</v>
      </c>
      <c r="Q1925">
        <v>14.78</v>
      </c>
      <c r="R1925">
        <v>103.09</v>
      </c>
      <c r="S1925">
        <v>89.61</v>
      </c>
      <c r="T1925">
        <v>0.45050525363229604</v>
      </c>
      <c r="U1925" s="1">
        <v>45931</v>
      </c>
      <c r="V1925" t="s">
        <v>2498</v>
      </c>
      <c r="W1925">
        <v>2025</v>
      </c>
    </row>
    <row r="1926" spans="1:23" x14ac:dyDescent="0.25">
      <c r="A1926" t="s">
        <v>1973</v>
      </c>
      <c r="B1926" s="1">
        <v>45334</v>
      </c>
      <c r="C1926" s="1">
        <v>45339</v>
      </c>
      <c r="D1926" t="s">
        <v>32</v>
      </c>
      <c r="E1926" t="s">
        <v>62</v>
      </c>
      <c r="F1926" t="s">
        <v>29</v>
      </c>
      <c r="G1926" t="s">
        <v>20</v>
      </c>
      <c r="H1926" t="s">
        <v>53</v>
      </c>
      <c r="I1926">
        <v>3</v>
      </c>
      <c r="J1926">
        <v>0.1</v>
      </c>
      <c r="K1926">
        <v>132.82</v>
      </c>
      <c r="L1926">
        <v>4.95</v>
      </c>
      <c r="M1926" t="s">
        <v>2470</v>
      </c>
      <c r="N1926" t="s">
        <v>2467</v>
      </c>
      <c r="O1926" t="s">
        <v>2459</v>
      </c>
      <c r="P1926">
        <v>31.34</v>
      </c>
      <c r="Q1926">
        <v>56.49</v>
      </c>
      <c r="R1926">
        <v>94.02</v>
      </c>
      <c r="S1926">
        <v>33.849999999999994</v>
      </c>
      <c r="T1926">
        <v>0.25485619635597045</v>
      </c>
      <c r="U1926" s="1">
        <v>45323</v>
      </c>
      <c r="V1926" t="s">
        <v>2498</v>
      </c>
      <c r="W1926">
        <v>2024</v>
      </c>
    </row>
    <row r="1927" spans="1:23" x14ac:dyDescent="0.25">
      <c r="A1927" t="s">
        <v>1974</v>
      </c>
      <c r="B1927" s="1">
        <v>45463</v>
      </c>
      <c r="C1927" s="1">
        <v>45469</v>
      </c>
      <c r="D1927" t="s">
        <v>23</v>
      </c>
      <c r="E1927" t="s">
        <v>43</v>
      </c>
      <c r="F1927" t="s">
        <v>25</v>
      </c>
      <c r="G1927" t="s">
        <v>20</v>
      </c>
      <c r="H1927" t="s">
        <v>37</v>
      </c>
      <c r="I1927">
        <v>5</v>
      </c>
      <c r="J1927">
        <v>0.25</v>
      </c>
      <c r="K1927">
        <v>397.26</v>
      </c>
      <c r="L1927">
        <v>9.6</v>
      </c>
      <c r="M1927" t="s">
        <v>2464</v>
      </c>
      <c r="N1927" t="s">
        <v>2458</v>
      </c>
      <c r="O1927" t="s">
        <v>2465</v>
      </c>
      <c r="P1927">
        <v>63.6</v>
      </c>
      <c r="Q1927">
        <v>107.94</v>
      </c>
      <c r="R1927">
        <v>318</v>
      </c>
      <c r="S1927">
        <v>69.66</v>
      </c>
      <c r="T1927">
        <v>0.17535115541458993</v>
      </c>
      <c r="U1927" s="1">
        <v>45444</v>
      </c>
      <c r="V1927" t="s">
        <v>2501</v>
      </c>
      <c r="W1927">
        <v>2024</v>
      </c>
    </row>
    <row r="1928" spans="1:23" x14ac:dyDescent="0.25">
      <c r="A1928" t="s">
        <v>1975</v>
      </c>
      <c r="B1928" s="1">
        <v>45798</v>
      </c>
      <c r="C1928" s="1">
        <v>45801</v>
      </c>
      <c r="D1928" t="s">
        <v>47</v>
      </c>
      <c r="E1928" t="s">
        <v>71</v>
      </c>
      <c r="F1928" t="s">
        <v>25</v>
      </c>
      <c r="G1928" t="s">
        <v>16</v>
      </c>
      <c r="H1928" t="s">
        <v>17</v>
      </c>
      <c r="I1928">
        <v>1</v>
      </c>
      <c r="J1928">
        <v>0.05</v>
      </c>
      <c r="K1928">
        <v>119.12</v>
      </c>
      <c r="L1928">
        <v>3.45</v>
      </c>
      <c r="M1928" t="s">
        <v>2472</v>
      </c>
      <c r="N1928" t="s">
        <v>2467</v>
      </c>
      <c r="O1928" t="s">
        <v>2468</v>
      </c>
      <c r="P1928">
        <v>63.69</v>
      </c>
      <c r="Q1928">
        <v>125.5</v>
      </c>
      <c r="R1928">
        <v>63.69</v>
      </c>
      <c r="S1928">
        <v>51.980000000000004</v>
      </c>
      <c r="T1928">
        <v>0.43636668905305576</v>
      </c>
      <c r="U1928" s="1">
        <v>45778</v>
      </c>
      <c r="V1928" t="s">
        <v>2498</v>
      </c>
      <c r="W1928">
        <v>2025</v>
      </c>
    </row>
    <row r="1929" spans="1:23" x14ac:dyDescent="0.25">
      <c r="A1929" t="s">
        <v>1976</v>
      </c>
      <c r="B1929" s="1">
        <v>45340</v>
      </c>
      <c r="C1929" s="1">
        <v>45341</v>
      </c>
      <c r="D1929" t="s">
        <v>23</v>
      </c>
      <c r="E1929" t="s">
        <v>59</v>
      </c>
      <c r="F1929" t="s">
        <v>15</v>
      </c>
      <c r="G1929" t="s">
        <v>20</v>
      </c>
      <c r="H1929" t="s">
        <v>51</v>
      </c>
      <c r="I1929">
        <v>8</v>
      </c>
      <c r="J1929">
        <v>0</v>
      </c>
      <c r="K1929">
        <v>105.41</v>
      </c>
      <c r="L1929">
        <v>8.1</v>
      </c>
      <c r="M1929" t="s">
        <v>2475</v>
      </c>
      <c r="N1929" t="s">
        <v>2474</v>
      </c>
      <c r="O1929" t="s">
        <v>2463</v>
      </c>
      <c r="P1929">
        <v>7.93</v>
      </c>
      <c r="Q1929">
        <v>14.78</v>
      </c>
      <c r="R1929">
        <v>63.44</v>
      </c>
      <c r="S1929">
        <v>33.869999999999997</v>
      </c>
      <c r="T1929">
        <v>0.32131676311545393</v>
      </c>
      <c r="U1929" s="1">
        <v>45323</v>
      </c>
      <c r="V1929" t="s">
        <v>2499</v>
      </c>
      <c r="W1929">
        <v>2024</v>
      </c>
    </row>
    <row r="1930" spans="1:23" x14ac:dyDescent="0.25">
      <c r="A1930" t="s">
        <v>1977</v>
      </c>
      <c r="B1930" s="1">
        <v>46002</v>
      </c>
      <c r="C1930" s="1">
        <v>46006</v>
      </c>
      <c r="D1930" t="s">
        <v>47</v>
      </c>
      <c r="E1930" t="s">
        <v>48</v>
      </c>
      <c r="F1930" t="s">
        <v>29</v>
      </c>
      <c r="G1930" t="s">
        <v>20</v>
      </c>
      <c r="H1930" t="s">
        <v>17</v>
      </c>
      <c r="I1930">
        <v>2</v>
      </c>
      <c r="J1930">
        <v>0</v>
      </c>
      <c r="K1930">
        <v>359.04</v>
      </c>
      <c r="L1930">
        <v>7</v>
      </c>
      <c r="M1930" t="s">
        <v>2472</v>
      </c>
      <c r="N1930" t="s">
        <v>2467</v>
      </c>
      <c r="O1930" t="s">
        <v>2468</v>
      </c>
      <c r="P1930">
        <v>63.69</v>
      </c>
      <c r="Q1930">
        <v>125.5</v>
      </c>
      <c r="R1930">
        <v>127.38</v>
      </c>
      <c r="S1930">
        <v>224.66000000000003</v>
      </c>
      <c r="T1930">
        <v>0.62572415329768272</v>
      </c>
      <c r="U1930" s="1">
        <v>45992</v>
      </c>
      <c r="V1930" t="s">
        <v>2499</v>
      </c>
      <c r="W1930">
        <v>2025</v>
      </c>
    </row>
    <row r="1931" spans="1:23" x14ac:dyDescent="0.25">
      <c r="A1931" t="s">
        <v>1978</v>
      </c>
      <c r="B1931" s="1">
        <v>45430</v>
      </c>
      <c r="C1931" s="1">
        <v>45433</v>
      </c>
      <c r="D1931" t="s">
        <v>23</v>
      </c>
      <c r="E1931" t="s">
        <v>43</v>
      </c>
      <c r="F1931" t="s">
        <v>29</v>
      </c>
      <c r="G1931" t="s">
        <v>26</v>
      </c>
      <c r="H1931" t="s">
        <v>41</v>
      </c>
      <c r="I1931">
        <v>11</v>
      </c>
      <c r="J1931">
        <v>0</v>
      </c>
      <c r="K1931">
        <v>72.650000000000006</v>
      </c>
      <c r="L1931">
        <v>5.67</v>
      </c>
      <c r="M1931" t="s">
        <v>2479</v>
      </c>
      <c r="N1931" t="s">
        <v>2474</v>
      </c>
      <c r="O1931" t="s">
        <v>2459</v>
      </c>
      <c r="P1931">
        <v>3.3</v>
      </c>
      <c r="Q1931">
        <v>6.13</v>
      </c>
      <c r="R1931">
        <v>36.299999999999997</v>
      </c>
      <c r="S1931">
        <v>30.680000000000007</v>
      </c>
      <c r="T1931">
        <v>0.42229869236063322</v>
      </c>
      <c r="U1931" s="1">
        <v>45413</v>
      </c>
      <c r="V1931" t="s">
        <v>2499</v>
      </c>
      <c r="W1931">
        <v>2024</v>
      </c>
    </row>
    <row r="1932" spans="1:23" x14ac:dyDescent="0.25">
      <c r="A1932" t="s">
        <v>1979</v>
      </c>
      <c r="B1932" s="1">
        <v>45993</v>
      </c>
      <c r="C1932" s="1">
        <v>45994</v>
      </c>
      <c r="D1932" t="s">
        <v>23</v>
      </c>
      <c r="E1932" t="s">
        <v>59</v>
      </c>
      <c r="F1932" t="s">
        <v>29</v>
      </c>
      <c r="G1932" t="s">
        <v>26</v>
      </c>
      <c r="H1932" t="s">
        <v>87</v>
      </c>
      <c r="I1932">
        <v>5</v>
      </c>
      <c r="J1932">
        <v>0</v>
      </c>
      <c r="K1932">
        <v>59.2</v>
      </c>
      <c r="L1932">
        <v>6.75</v>
      </c>
      <c r="M1932" t="s">
        <v>2476</v>
      </c>
      <c r="N1932" t="s">
        <v>2474</v>
      </c>
      <c r="O1932" t="s">
        <v>2459</v>
      </c>
      <c r="P1932">
        <v>4.5</v>
      </c>
      <c r="Q1932">
        <v>8.2899999999999991</v>
      </c>
      <c r="R1932">
        <v>22.5</v>
      </c>
      <c r="S1932">
        <v>29.950000000000003</v>
      </c>
      <c r="T1932">
        <v>0.50591216216216217</v>
      </c>
      <c r="U1932" s="1">
        <v>45992</v>
      </c>
      <c r="V1932" t="s">
        <v>2499</v>
      </c>
      <c r="W1932">
        <v>2025</v>
      </c>
    </row>
    <row r="1933" spans="1:23" x14ac:dyDescent="0.25">
      <c r="A1933" t="s">
        <v>1980</v>
      </c>
      <c r="B1933" s="1">
        <v>45519</v>
      </c>
      <c r="C1933" s="1">
        <v>45523</v>
      </c>
      <c r="D1933" t="s">
        <v>23</v>
      </c>
      <c r="E1933" t="s">
        <v>59</v>
      </c>
      <c r="F1933" t="s">
        <v>25</v>
      </c>
      <c r="G1933" t="s">
        <v>20</v>
      </c>
      <c r="H1933" t="s">
        <v>63</v>
      </c>
      <c r="I1933">
        <v>25</v>
      </c>
      <c r="J1933">
        <v>0</v>
      </c>
      <c r="K1933">
        <v>272.11</v>
      </c>
      <c r="L1933">
        <v>9.4499999999999993</v>
      </c>
      <c r="M1933" t="s">
        <v>2477</v>
      </c>
      <c r="N1933" t="s">
        <v>2474</v>
      </c>
      <c r="O1933" t="s">
        <v>2468</v>
      </c>
      <c r="P1933">
        <v>6.33</v>
      </c>
      <c r="Q1933">
        <v>12.16</v>
      </c>
      <c r="R1933">
        <v>158.25</v>
      </c>
      <c r="S1933">
        <v>104.41000000000001</v>
      </c>
      <c r="T1933">
        <v>0.38370511925324319</v>
      </c>
      <c r="U1933" s="1">
        <v>45505</v>
      </c>
      <c r="V1933" t="s">
        <v>2499</v>
      </c>
      <c r="W1933">
        <v>2024</v>
      </c>
    </row>
    <row r="1934" spans="1:23" x14ac:dyDescent="0.25">
      <c r="A1934" t="s">
        <v>1981</v>
      </c>
      <c r="B1934" s="1">
        <v>45660</v>
      </c>
      <c r="C1934" s="1">
        <v>45666</v>
      </c>
      <c r="D1934" t="s">
        <v>32</v>
      </c>
      <c r="E1934" t="s">
        <v>33</v>
      </c>
      <c r="F1934" t="s">
        <v>29</v>
      </c>
      <c r="G1934" t="s">
        <v>26</v>
      </c>
      <c r="H1934" t="s">
        <v>30</v>
      </c>
      <c r="I1934">
        <v>6</v>
      </c>
      <c r="J1934">
        <v>0.2</v>
      </c>
      <c r="K1934">
        <v>25.87</v>
      </c>
      <c r="L1934">
        <v>7.2</v>
      </c>
      <c r="M1934" t="s">
        <v>2473</v>
      </c>
      <c r="N1934" t="s">
        <v>2474</v>
      </c>
      <c r="O1934" t="s">
        <v>2463</v>
      </c>
      <c r="P1934">
        <v>3.62</v>
      </c>
      <c r="Q1934">
        <v>6.03</v>
      </c>
      <c r="R1934">
        <v>21.72</v>
      </c>
      <c r="S1934">
        <v>-3.049999999999998</v>
      </c>
      <c r="T1934">
        <v>-0.11789717819868566</v>
      </c>
      <c r="U1934" s="1">
        <v>45658</v>
      </c>
      <c r="V1934" t="s">
        <v>2500</v>
      </c>
      <c r="W1934">
        <v>2025</v>
      </c>
    </row>
    <row r="1935" spans="1:23" x14ac:dyDescent="0.25">
      <c r="A1935" t="s">
        <v>1982</v>
      </c>
      <c r="B1935" s="1">
        <v>45311</v>
      </c>
      <c r="C1935" s="1">
        <v>45314</v>
      </c>
      <c r="D1935" t="s">
        <v>13</v>
      </c>
      <c r="E1935" t="s">
        <v>14</v>
      </c>
      <c r="F1935" t="s">
        <v>29</v>
      </c>
      <c r="G1935" t="s">
        <v>16</v>
      </c>
      <c r="H1935" t="s">
        <v>65</v>
      </c>
      <c r="I1935">
        <v>4</v>
      </c>
      <c r="J1935">
        <v>0.1</v>
      </c>
      <c r="K1935">
        <v>866.39</v>
      </c>
      <c r="L1935">
        <v>8.2200000000000006</v>
      </c>
      <c r="M1935" t="s">
        <v>2457</v>
      </c>
      <c r="N1935" t="s">
        <v>2458</v>
      </c>
      <c r="O1935" t="s">
        <v>2459</v>
      </c>
      <c r="P1935">
        <v>173.56</v>
      </c>
      <c r="Q1935">
        <v>286.14999999999998</v>
      </c>
      <c r="R1935">
        <v>694.24</v>
      </c>
      <c r="S1935">
        <v>163.92999999999998</v>
      </c>
      <c r="T1935">
        <v>0.18921040178210735</v>
      </c>
      <c r="U1935" s="1">
        <v>45292</v>
      </c>
      <c r="V1935" t="s">
        <v>2498</v>
      </c>
      <c r="W1935">
        <v>2024</v>
      </c>
    </row>
    <row r="1936" spans="1:23" x14ac:dyDescent="0.25">
      <c r="A1936" t="s">
        <v>1983</v>
      </c>
      <c r="B1936" s="1">
        <v>45690</v>
      </c>
      <c r="C1936" s="1">
        <v>45692</v>
      </c>
      <c r="D1936" t="s">
        <v>23</v>
      </c>
      <c r="E1936" t="s">
        <v>24</v>
      </c>
      <c r="F1936" t="s">
        <v>25</v>
      </c>
      <c r="G1936" t="s">
        <v>26</v>
      </c>
      <c r="H1936" t="s">
        <v>41</v>
      </c>
      <c r="I1936">
        <v>20</v>
      </c>
      <c r="J1936">
        <v>0</v>
      </c>
      <c r="K1936">
        <v>108.68</v>
      </c>
      <c r="L1936">
        <v>8.1</v>
      </c>
      <c r="M1936" t="s">
        <v>2479</v>
      </c>
      <c r="N1936" t="s">
        <v>2474</v>
      </c>
      <c r="O1936" t="s">
        <v>2459</v>
      </c>
      <c r="P1936">
        <v>3.3</v>
      </c>
      <c r="Q1936">
        <v>6.13</v>
      </c>
      <c r="R1936">
        <v>66</v>
      </c>
      <c r="S1936">
        <v>34.580000000000005</v>
      </c>
      <c r="T1936">
        <v>0.31818181818181823</v>
      </c>
      <c r="U1936" s="1">
        <v>45689</v>
      </c>
      <c r="V1936" t="s">
        <v>2499</v>
      </c>
      <c r="W1936">
        <v>2025</v>
      </c>
    </row>
    <row r="1937" spans="1:23" x14ac:dyDescent="0.25">
      <c r="A1937" t="s">
        <v>1984</v>
      </c>
      <c r="B1937" s="1">
        <v>45624</v>
      </c>
      <c r="C1937" s="1">
        <v>45628</v>
      </c>
      <c r="D1937" t="s">
        <v>13</v>
      </c>
      <c r="E1937" t="s">
        <v>36</v>
      </c>
      <c r="F1937" t="s">
        <v>29</v>
      </c>
      <c r="G1937" t="s">
        <v>26</v>
      </c>
      <c r="H1937" t="s">
        <v>53</v>
      </c>
      <c r="I1937">
        <v>3</v>
      </c>
      <c r="J1937">
        <v>0.05</v>
      </c>
      <c r="K1937">
        <v>217.96</v>
      </c>
      <c r="L1937">
        <v>8.25</v>
      </c>
      <c r="M1937" t="s">
        <v>2470</v>
      </c>
      <c r="N1937" t="s">
        <v>2467</v>
      </c>
      <c r="O1937" t="s">
        <v>2459</v>
      </c>
      <c r="P1937">
        <v>31.34</v>
      </c>
      <c r="Q1937">
        <v>56.49</v>
      </c>
      <c r="R1937">
        <v>94.02</v>
      </c>
      <c r="S1937">
        <v>115.69000000000001</v>
      </c>
      <c r="T1937">
        <v>0.53078546522297676</v>
      </c>
      <c r="U1937" s="1">
        <v>45597</v>
      </c>
      <c r="V1937" t="s">
        <v>2498</v>
      </c>
      <c r="W1937">
        <v>2024</v>
      </c>
    </row>
    <row r="1938" spans="1:23" x14ac:dyDescent="0.25">
      <c r="A1938" t="s">
        <v>1985</v>
      </c>
      <c r="B1938" s="1">
        <v>45635</v>
      </c>
      <c r="C1938" s="1">
        <v>45638</v>
      </c>
      <c r="D1938" t="s">
        <v>23</v>
      </c>
      <c r="E1938" t="s">
        <v>24</v>
      </c>
      <c r="F1938" t="s">
        <v>25</v>
      </c>
      <c r="G1938" t="s">
        <v>20</v>
      </c>
      <c r="H1938" t="s">
        <v>39</v>
      </c>
      <c r="I1938">
        <v>4</v>
      </c>
      <c r="J1938">
        <v>0</v>
      </c>
      <c r="K1938">
        <v>1051.6300000000001</v>
      </c>
      <c r="L1938">
        <v>5.7</v>
      </c>
      <c r="M1938" t="s">
        <v>2471</v>
      </c>
      <c r="N1938" t="s">
        <v>2467</v>
      </c>
      <c r="O1938" t="s">
        <v>2461</v>
      </c>
      <c r="P1938">
        <v>112.09</v>
      </c>
      <c r="Q1938">
        <v>192.47</v>
      </c>
      <c r="R1938">
        <v>448.36</v>
      </c>
      <c r="S1938">
        <v>597.57000000000005</v>
      </c>
      <c r="T1938">
        <v>0.56823217291252626</v>
      </c>
      <c r="U1938" s="1">
        <v>45627</v>
      </c>
      <c r="V1938" t="s">
        <v>2499</v>
      </c>
      <c r="W1938">
        <v>2024</v>
      </c>
    </row>
    <row r="1939" spans="1:23" x14ac:dyDescent="0.25">
      <c r="A1939" t="s">
        <v>1986</v>
      </c>
      <c r="B1939" s="1">
        <v>45559</v>
      </c>
      <c r="C1939" s="1">
        <v>45561</v>
      </c>
      <c r="D1939" t="s">
        <v>47</v>
      </c>
      <c r="E1939" t="s">
        <v>50</v>
      </c>
      <c r="F1939" t="s">
        <v>29</v>
      </c>
      <c r="G1939" t="s">
        <v>20</v>
      </c>
      <c r="H1939" t="s">
        <v>65</v>
      </c>
      <c r="I1939">
        <v>3</v>
      </c>
      <c r="J1939">
        <v>0.25</v>
      </c>
      <c r="K1939">
        <v>680.34</v>
      </c>
      <c r="L1939">
        <v>6.84</v>
      </c>
      <c r="M1939" t="s">
        <v>2457</v>
      </c>
      <c r="N1939" t="s">
        <v>2458</v>
      </c>
      <c r="O1939" t="s">
        <v>2459</v>
      </c>
      <c r="P1939">
        <v>173.56</v>
      </c>
      <c r="Q1939">
        <v>286.14999999999998</v>
      </c>
      <c r="R1939">
        <v>520.68000000000006</v>
      </c>
      <c r="S1939">
        <v>152.81999999999996</v>
      </c>
      <c r="T1939">
        <v>0.22462298262633382</v>
      </c>
      <c r="U1939" s="1">
        <v>45536</v>
      </c>
      <c r="V1939" t="s">
        <v>2501</v>
      </c>
      <c r="W1939">
        <v>2024</v>
      </c>
    </row>
    <row r="1940" spans="1:23" x14ac:dyDescent="0.25">
      <c r="A1940" t="s">
        <v>1987</v>
      </c>
      <c r="B1940" s="1">
        <v>45310</v>
      </c>
      <c r="C1940" s="1">
        <v>45314</v>
      </c>
      <c r="D1940" t="s">
        <v>47</v>
      </c>
      <c r="E1940" t="s">
        <v>71</v>
      </c>
      <c r="F1940" t="s">
        <v>29</v>
      </c>
      <c r="G1940" t="s">
        <v>20</v>
      </c>
      <c r="H1940" t="s">
        <v>51</v>
      </c>
      <c r="I1940">
        <v>13</v>
      </c>
      <c r="J1940">
        <v>0</v>
      </c>
      <c r="K1940">
        <v>175.1</v>
      </c>
      <c r="L1940">
        <v>10.35</v>
      </c>
      <c r="M1940" t="s">
        <v>2475</v>
      </c>
      <c r="N1940" t="s">
        <v>2474</v>
      </c>
      <c r="O1940" t="s">
        <v>2463</v>
      </c>
      <c r="P1940">
        <v>7.93</v>
      </c>
      <c r="Q1940">
        <v>14.78</v>
      </c>
      <c r="R1940">
        <v>103.09</v>
      </c>
      <c r="S1940">
        <v>61.659999999999989</v>
      </c>
      <c r="T1940">
        <v>0.35214163335237003</v>
      </c>
      <c r="U1940" s="1">
        <v>45292</v>
      </c>
      <c r="V1940" t="s">
        <v>2499</v>
      </c>
      <c r="W1940">
        <v>2024</v>
      </c>
    </row>
    <row r="1941" spans="1:23" x14ac:dyDescent="0.25">
      <c r="A1941" t="s">
        <v>1988</v>
      </c>
      <c r="B1941" s="1">
        <v>45970</v>
      </c>
      <c r="C1941" s="1">
        <v>45973</v>
      </c>
      <c r="D1941" t="s">
        <v>32</v>
      </c>
      <c r="E1941" t="s">
        <v>62</v>
      </c>
      <c r="F1941" t="s">
        <v>15</v>
      </c>
      <c r="G1941" t="s">
        <v>26</v>
      </c>
      <c r="H1941" t="s">
        <v>87</v>
      </c>
      <c r="I1941">
        <v>12</v>
      </c>
      <c r="J1941">
        <v>0.2</v>
      </c>
      <c r="K1941">
        <v>110.11</v>
      </c>
      <c r="L1941">
        <v>5.94</v>
      </c>
      <c r="M1941" t="s">
        <v>2476</v>
      </c>
      <c r="N1941" t="s">
        <v>2474</v>
      </c>
      <c r="O1941" t="s">
        <v>2459</v>
      </c>
      <c r="P1941">
        <v>4.5</v>
      </c>
      <c r="Q1941">
        <v>8.2899999999999991</v>
      </c>
      <c r="R1941">
        <v>54</v>
      </c>
      <c r="S1941">
        <v>50.17</v>
      </c>
      <c r="T1941">
        <v>0.45563527381709201</v>
      </c>
      <c r="U1941" s="1">
        <v>45962</v>
      </c>
      <c r="V1941" t="s">
        <v>2500</v>
      </c>
      <c r="W1941">
        <v>2025</v>
      </c>
    </row>
    <row r="1942" spans="1:23" x14ac:dyDescent="0.25">
      <c r="A1942" t="s">
        <v>1989</v>
      </c>
      <c r="B1942" s="1">
        <v>45926</v>
      </c>
      <c r="C1942" s="1">
        <v>45928</v>
      </c>
      <c r="D1942" t="s">
        <v>47</v>
      </c>
      <c r="E1942" t="s">
        <v>48</v>
      </c>
      <c r="F1942" t="s">
        <v>15</v>
      </c>
      <c r="G1942" t="s">
        <v>16</v>
      </c>
      <c r="H1942" t="s">
        <v>30</v>
      </c>
      <c r="I1942">
        <v>8</v>
      </c>
      <c r="J1942">
        <v>0.1</v>
      </c>
      <c r="K1942">
        <v>47.08</v>
      </c>
      <c r="L1942">
        <v>4.8600000000000003</v>
      </c>
      <c r="M1942" t="s">
        <v>2473</v>
      </c>
      <c r="N1942" t="s">
        <v>2474</v>
      </c>
      <c r="O1942" t="s">
        <v>2463</v>
      </c>
      <c r="P1942">
        <v>3.62</v>
      </c>
      <c r="Q1942">
        <v>6.03</v>
      </c>
      <c r="R1942">
        <v>28.96</v>
      </c>
      <c r="S1942">
        <v>13.259999999999998</v>
      </c>
      <c r="T1942">
        <v>0.28164825828377227</v>
      </c>
      <c r="U1942" s="1">
        <v>45901</v>
      </c>
      <c r="V1942" t="s">
        <v>2498</v>
      </c>
      <c r="W1942">
        <v>2025</v>
      </c>
    </row>
    <row r="1943" spans="1:23" x14ac:dyDescent="0.25">
      <c r="A1943" t="s">
        <v>1990</v>
      </c>
      <c r="B1943" s="1">
        <v>45535</v>
      </c>
      <c r="C1943" s="1">
        <v>45538</v>
      </c>
      <c r="D1943" t="s">
        <v>13</v>
      </c>
      <c r="E1943" t="s">
        <v>14</v>
      </c>
      <c r="F1943" t="s">
        <v>29</v>
      </c>
      <c r="G1943" t="s">
        <v>16</v>
      </c>
      <c r="H1943" t="s">
        <v>68</v>
      </c>
      <c r="I1943">
        <v>1</v>
      </c>
      <c r="J1943">
        <v>0.2</v>
      </c>
      <c r="K1943">
        <v>40.54</v>
      </c>
      <c r="L1943">
        <v>5.75</v>
      </c>
      <c r="M1943" t="s">
        <v>2466</v>
      </c>
      <c r="N1943" t="s">
        <v>2467</v>
      </c>
      <c r="O1943" t="s">
        <v>2468</v>
      </c>
      <c r="P1943">
        <v>25.33</v>
      </c>
      <c r="Q1943">
        <v>51.56</v>
      </c>
      <c r="R1943">
        <v>25.33</v>
      </c>
      <c r="S1943">
        <v>9.4600000000000009</v>
      </c>
      <c r="T1943">
        <v>0.23334977799703999</v>
      </c>
      <c r="U1943" s="1">
        <v>45505</v>
      </c>
      <c r="V1943" t="s">
        <v>2500</v>
      </c>
      <c r="W1943">
        <v>2024</v>
      </c>
    </row>
    <row r="1944" spans="1:23" x14ac:dyDescent="0.25">
      <c r="A1944" t="s">
        <v>1991</v>
      </c>
      <c r="B1944" s="1">
        <v>45794</v>
      </c>
      <c r="C1944" s="1">
        <v>45799</v>
      </c>
      <c r="D1944" t="s">
        <v>32</v>
      </c>
      <c r="E1944" t="s">
        <v>45</v>
      </c>
      <c r="F1944" t="s">
        <v>25</v>
      </c>
      <c r="G1944" t="s">
        <v>26</v>
      </c>
      <c r="H1944" t="s">
        <v>39</v>
      </c>
      <c r="I1944">
        <v>2</v>
      </c>
      <c r="J1944">
        <v>0</v>
      </c>
      <c r="K1944">
        <v>413.04</v>
      </c>
      <c r="L1944">
        <v>4.2</v>
      </c>
      <c r="M1944" t="s">
        <v>2471</v>
      </c>
      <c r="N1944" t="s">
        <v>2467</v>
      </c>
      <c r="O1944" t="s">
        <v>2461</v>
      </c>
      <c r="P1944">
        <v>112.09</v>
      </c>
      <c r="Q1944">
        <v>192.47</v>
      </c>
      <c r="R1944">
        <v>224.18</v>
      </c>
      <c r="S1944">
        <v>184.66000000000003</v>
      </c>
      <c r="T1944">
        <v>0.4470753437923688</v>
      </c>
      <c r="U1944" s="1">
        <v>45778</v>
      </c>
      <c r="V1944" t="s">
        <v>2499</v>
      </c>
      <c r="W1944">
        <v>2025</v>
      </c>
    </row>
    <row r="1945" spans="1:23" x14ac:dyDescent="0.25">
      <c r="A1945" t="s">
        <v>1992</v>
      </c>
      <c r="B1945" s="1">
        <v>45621</v>
      </c>
      <c r="C1945" s="1">
        <v>45624</v>
      </c>
      <c r="D1945" t="s">
        <v>23</v>
      </c>
      <c r="E1945" t="s">
        <v>59</v>
      </c>
      <c r="F1945" t="s">
        <v>25</v>
      </c>
      <c r="G1945" t="s">
        <v>16</v>
      </c>
      <c r="H1945" t="s">
        <v>87</v>
      </c>
      <c r="I1945">
        <v>13</v>
      </c>
      <c r="J1945">
        <v>0</v>
      </c>
      <c r="K1945">
        <v>142.02000000000001</v>
      </c>
      <c r="L1945">
        <v>10.35</v>
      </c>
      <c r="M1945" t="s">
        <v>2476</v>
      </c>
      <c r="N1945" t="s">
        <v>2474</v>
      </c>
      <c r="O1945" t="s">
        <v>2459</v>
      </c>
      <c r="P1945">
        <v>4.5</v>
      </c>
      <c r="Q1945">
        <v>8.2899999999999991</v>
      </c>
      <c r="R1945">
        <v>58.5</v>
      </c>
      <c r="S1945">
        <v>73.170000000000016</v>
      </c>
      <c r="T1945">
        <v>0.5152091254752853</v>
      </c>
      <c r="U1945" s="1">
        <v>45597</v>
      </c>
      <c r="V1945" t="s">
        <v>2499</v>
      </c>
      <c r="W1945">
        <v>2024</v>
      </c>
    </row>
    <row r="1946" spans="1:23" x14ac:dyDescent="0.25">
      <c r="A1946" t="s">
        <v>1993</v>
      </c>
      <c r="B1946" s="1">
        <v>45341</v>
      </c>
      <c r="C1946" s="1">
        <v>45342</v>
      </c>
      <c r="D1946" t="s">
        <v>32</v>
      </c>
      <c r="E1946" t="s">
        <v>33</v>
      </c>
      <c r="F1946" t="s">
        <v>29</v>
      </c>
      <c r="G1946" t="s">
        <v>26</v>
      </c>
      <c r="H1946" t="s">
        <v>30</v>
      </c>
      <c r="I1946">
        <v>9</v>
      </c>
      <c r="J1946">
        <v>0.05</v>
      </c>
      <c r="K1946">
        <v>48.01</v>
      </c>
      <c r="L1946">
        <v>8.5500000000000007</v>
      </c>
      <c r="M1946" t="s">
        <v>2473</v>
      </c>
      <c r="N1946" t="s">
        <v>2474</v>
      </c>
      <c r="O1946" t="s">
        <v>2463</v>
      </c>
      <c r="P1946">
        <v>3.62</v>
      </c>
      <c r="Q1946">
        <v>6.03</v>
      </c>
      <c r="R1946">
        <v>32.58</v>
      </c>
      <c r="S1946">
        <v>6.879999999999999</v>
      </c>
      <c r="T1946">
        <v>0.14330347844199123</v>
      </c>
      <c r="U1946" s="1">
        <v>45323</v>
      </c>
      <c r="V1946" t="s">
        <v>2498</v>
      </c>
      <c r="W1946">
        <v>2024</v>
      </c>
    </row>
    <row r="1947" spans="1:23" x14ac:dyDescent="0.25">
      <c r="A1947" t="s">
        <v>1994</v>
      </c>
      <c r="B1947" s="1">
        <v>45805</v>
      </c>
      <c r="C1947" s="1">
        <v>45810</v>
      </c>
      <c r="D1947" t="s">
        <v>23</v>
      </c>
      <c r="E1947" t="s">
        <v>24</v>
      </c>
      <c r="F1947" t="s">
        <v>15</v>
      </c>
      <c r="G1947" t="s">
        <v>26</v>
      </c>
      <c r="H1947" t="s">
        <v>41</v>
      </c>
      <c r="I1947">
        <v>7</v>
      </c>
      <c r="J1947">
        <v>0.1</v>
      </c>
      <c r="K1947">
        <v>39.369999999999997</v>
      </c>
      <c r="L1947">
        <v>4.59</v>
      </c>
      <c r="M1947" t="s">
        <v>2479</v>
      </c>
      <c r="N1947" t="s">
        <v>2474</v>
      </c>
      <c r="O1947" t="s">
        <v>2459</v>
      </c>
      <c r="P1947">
        <v>3.3</v>
      </c>
      <c r="Q1947">
        <v>6.13</v>
      </c>
      <c r="R1947">
        <v>23.099999999999998</v>
      </c>
      <c r="S1947">
        <v>11.68</v>
      </c>
      <c r="T1947">
        <v>0.2966725933451867</v>
      </c>
      <c r="U1947" s="1">
        <v>45778</v>
      </c>
      <c r="V1947" t="s">
        <v>2498</v>
      </c>
      <c r="W1947">
        <v>2025</v>
      </c>
    </row>
    <row r="1948" spans="1:23" x14ac:dyDescent="0.25">
      <c r="A1948" t="s">
        <v>1995</v>
      </c>
      <c r="B1948" s="1">
        <v>45953</v>
      </c>
      <c r="C1948" s="1">
        <v>45956</v>
      </c>
      <c r="D1948" t="s">
        <v>13</v>
      </c>
      <c r="E1948" t="s">
        <v>36</v>
      </c>
      <c r="F1948" t="s">
        <v>29</v>
      </c>
      <c r="G1948" t="s">
        <v>16</v>
      </c>
      <c r="H1948" t="s">
        <v>41</v>
      </c>
      <c r="I1948">
        <v>18</v>
      </c>
      <c r="J1948">
        <v>0</v>
      </c>
      <c r="K1948">
        <v>134.76</v>
      </c>
      <c r="L1948">
        <v>12.6</v>
      </c>
      <c r="M1948" t="s">
        <v>2479</v>
      </c>
      <c r="N1948" t="s">
        <v>2474</v>
      </c>
      <c r="O1948" t="s">
        <v>2459</v>
      </c>
      <c r="P1948">
        <v>3.3</v>
      </c>
      <c r="Q1948">
        <v>6.13</v>
      </c>
      <c r="R1948">
        <v>59.4</v>
      </c>
      <c r="S1948">
        <v>62.759999999999984</v>
      </c>
      <c r="T1948">
        <v>0.46571682991985741</v>
      </c>
      <c r="U1948" s="1">
        <v>45931</v>
      </c>
      <c r="V1948" t="s">
        <v>2499</v>
      </c>
      <c r="W1948">
        <v>2025</v>
      </c>
    </row>
    <row r="1949" spans="1:23" x14ac:dyDescent="0.25">
      <c r="A1949" t="s">
        <v>1996</v>
      </c>
      <c r="B1949" s="1">
        <v>45867</v>
      </c>
      <c r="C1949" s="1">
        <v>45873</v>
      </c>
      <c r="D1949" t="s">
        <v>32</v>
      </c>
      <c r="E1949" t="s">
        <v>45</v>
      </c>
      <c r="F1949" t="s">
        <v>29</v>
      </c>
      <c r="G1949" t="s">
        <v>20</v>
      </c>
      <c r="H1949" t="s">
        <v>65</v>
      </c>
      <c r="I1949">
        <v>3</v>
      </c>
      <c r="J1949">
        <v>0</v>
      </c>
      <c r="K1949">
        <v>778.07</v>
      </c>
      <c r="L1949">
        <v>6.84</v>
      </c>
      <c r="M1949" t="s">
        <v>2457</v>
      </c>
      <c r="N1949" t="s">
        <v>2458</v>
      </c>
      <c r="O1949" t="s">
        <v>2459</v>
      </c>
      <c r="P1949">
        <v>173.56</v>
      </c>
      <c r="Q1949">
        <v>286.14999999999998</v>
      </c>
      <c r="R1949">
        <v>520.68000000000006</v>
      </c>
      <c r="S1949">
        <v>250.54999999999998</v>
      </c>
      <c r="T1949">
        <v>0.32201472875191173</v>
      </c>
      <c r="U1949" s="1">
        <v>45839</v>
      </c>
      <c r="V1949" t="s">
        <v>2499</v>
      </c>
      <c r="W1949">
        <v>2025</v>
      </c>
    </row>
    <row r="1950" spans="1:23" x14ac:dyDescent="0.25">
      <c r="A1950" t="s">
        <v>1997</v>
      </c>
      <c r="B1950" s="1">
        <v>45832</v>
      </c>
      <c r="C1950" s="1">
        <v>45833</v>
      </c>
      <c r="D1950" t="s">
        <v>23</v>
      </c>
      <c r="E1950" t="s">
        <v>24</v>
      </c>
      <c r="F1950" t="s">
        <v>29</v>
      </c>
      <c r="G1950" t="s">
        <v>20</v>
      </c>
      <c r="H1950" t="s">
        <v>60</v>
      </c>
      <c r="I1950">
        <v>1</v>
      </c>
      <c r="J1950">
        <v>0</v>
      </c>
      <c r="K1950">
        <v>111.99</v>
      </c>
      <c r="L1950">
        <v>3.45</v>
      </c>
      <c r="M1950" t="s">
        <v>2469</v>
      </c>
      <c r="N1950" t="s">
        <v>2467</v>
      </c>
      <c r="O1950" t="s">
        <v>2468</v>
      </c>
      <c r="P1950">
        <v>54.95</v>
      </c>
      <c r="Q1950">
        <v>112.56</v>
      </c>
      <c r="R1950">
        <v>54.95</v>
      </c>
      <c r="S1950">
        <v>53.589999999999989</v>
      </c>
      <c r="T1950">
        <v>0.47852486829181168</v>
      </c>
      <c r="U1950" s="1">
        <v>45809</v>
      </c>
      <c r="V1950" t="s">
        <v>2499</v>
      </c>
      <c r="W1950">
        <v>2025</v>
      </c>
    </row>
    <row r="1951" spans="1:23" x14ac:dyDescent="0.25">
      <c r="A1951" t="s">
        <v>1998</v>
      </c>
      <c r="B1951" s="1">
        <v>45483</v>
      </c>
      <c r="C1951" s="1">
        <v>45486</v>
      </c>
      <c r="D1951" t="s">
        <v>23</v>
      </c>
      <c r="E1951" t="s">
        <v>24</v>
      </c>
      <c r="F1951" t="s">
        <v>15</v>
      </c>
      <c r="G1951" t="s">
        <v>26</v>
      </c>
      <c r="H1951" t="s">
        <v>51</v>
      </c>
      <c r="I1951">
        <v>10</v>
      </c>
      <c r="J1951">
        <v>0</v>
      </c>
      <c r="K1951">
        <v>134.88</v>
      </c>
      <c r="L1951">
        <v>9</v>
      </c>
      <c r="M1951" t="s">
        <v>2475</v>
      </c>
      <c r="N1951" t="s">
        <v>2474</v>
      </c>
      <c r="O1951" t="s">
        <v>2463</v>
      </c>
      <c r="P1951">
        <v>7.93</v>
      </c>
      <c r="Q1951">
        <v>14.78</v>
      </c>
      <c r="R1951">
        <v>79.3</v>
      </c>
      <c r="S1951">
        <v>46.58</v>
      </c>
      <c r="T1951">
        <v>0.34534400948991695</v>
      </c>
      <c r="U1951" s="1">
        <v>45474</v>
      </c>
      <c r="V1951" t="s">
        <v>2499</v>
      </c>
      <c r="W1951">
        <v>2024</v>
      </c>
    </row>
    <row r="1952" spans="1:23" x14ac:dyDescent="0.25">
      <c r="A1952" t="s">
        <v>1999</v>
      </c>
      <c r="B1952" s="1">
        <v>45980</v>
      </c>
      <c r="C1952" s="1">
        <v>45985</v>
      </c>
      <c r="D1952" t="s">
        <v>13</v>
      </c>
      <c r="E1952" t="s">
        <v>36</v>
      </c>
      <c r="F1952" t="s">
        <v>25</v>
      </c>
      <c r="G1952" t="s">
        <v>26</v>
      </c>
      <c r="H1952" t="s">
        <v>27</v>
      </c>
      <c r="I1952">
        <v>11</v>
      </c>
      <c r="J1952">
        <v>0.1</v>
      </c>
      <c r="K1952">
        <v>384.03</v>
      </c>
      <c r="L1952">
        <v>9.4499999999999993</v>
      </c>
      <c r="M1952" t="s">
        <v>2478</v>
      </c>
      <c r="N1952" t="s">
        <v>2474</v>
      </c>
      <c r="O1952" t="s">
        <v>2463</v>
      </c>
      <c r="P1952">
        <v>16.760000000000002</v>
      </c>
      <c r="Q1952">
        <v>27.71</v>
      </c>
      <c r="R1952">
        <v>184.36</v>
      </c>
      <c r="S1952">
        <v>190.21999999999997</v>
      </c>
      <c r="T1952">
        <v>0.49532588599848965</v>
      </c>
      <c r="U1952" s="1">
        <v>45962</v>
      </c>
      <c r="V1952" t="s">
        <v>2498</v>
      </c>
      <c r="W1952">
        <v>2025</v>
      </c>
    </row>
    <row r="1953" spans="1:23" x14ac:dyDescent="0.25">
      <c r="A1953" t="s">
        <v>2000</v>
      </c>
      <c r="B1953" s="1">
        <v>45687</v>
      </c>
      <c r="C1953" s="1">
        <v>45689</v>
      </c>
      <c r="D1953" t="s">
        <v>32</v>
      </c>
      <c r="E1953" t="s">
        <v>45</v>
      </c>
      <c r="F1953" t="s">
        <v>15</v>
      </c>
      <c r="G1953" t="s">
        <v>16</v>
      </c>
      <c r="H1953" t="s">
        <v>41</v>
      </c>
      <c r="I1953">
        <v>9</v>
      </c>
      <c r="J1953">
        <v>0</v>
      </c>
      <c r="K1953">
        <v>50.58</v>
      </c>
      <c r="L1953">
        <v>5.13</v>
      </c>
      <c r="M1953" t="s">
        <v>2479</v>
      </c>
      <c r="N1953" t="s">
        <v>2474</v>
      </c>
      <c r="O1953" t="s">
        <v>2459</v>
      </c>
      <c r="P1953">
        <v>3.3</v>
      </c>
      <c r="Q1953">
        <v>6.13</v>
      </c>
      <c r="R1953">
        <v>29.7</v>
      </c>
      <c r="S1953">
        <v>15.75</v>
      </c>
      <c r="T1953">
        <v>0.31138790035587188</v>
      </c>
      <c r="U1953" s="1">
        <v>45658</v>
      </c>
      <c r="V1953" t="s">
        <v>2499</v>
      </c>
      <c r="W1953">
        <v>2025</v>
      </c>
    </row>
    <row r="1954" spans="1:23" x14ac:dyDescent="0.25">
      <c r="A1954" t="s">
        <v>2001</v>
      </c>
      <c r="B1954" s="1">
        <v>45967</v>
      </c>
      <c r="C1954" s="1">
        <v>45971</v>
      </c>
      <c r="D1954" t="s">
        <v>23</v>
      </c>
      <c r="E1954" t="s">
        <v>59</v>
      </c>
      <c r="F1954" t="s">
        <v>29</v>
      </c>
      <c r="G1954" t="s">
        <v>20</v>
      </c>
      <c r="H1954" t="s">
        <v>27</v>
      </c>
      <c r="I1954">
        <v>9</v>
      </c>
      <c r="J1954">
        <v>0</v>
      </c>
      <c r="K1954">
        <v>346.78</v>
      </c>
      <c r="L1954">
        <v>8.5500000000000007</v>
      </c>
      <c r="M1954" t="s">
        <v>2478</v>
      </c>
      <c r="N1954" t="s">
        <v>2474</v>
      </c>
      <c r="O1954" t="s">
        <v>2463</v>
      </c>
      <c r="P1954">
        <v>16.760000000000002</v>
      </c>
      <c r="Q1954">
        <v>27.71</v>
      </c>
      <c r="R1954">
        <v>150.84</v>
      </c>
      <c r="S1954">
        <v>187.38999999999996</v>
      </c>
      <c r="T1954">
        <v>0.54037141703673786</v>
      </c>
      <c r="U1954" s="1">
        <v>45962</v>
      </c>
      <c r="V1954" t="s">
        <v>2499</v>
      </c>
      <c r="W1954">
        <v>2025</v>
      </c>
    </row>
    <row r="1955" spans="1:23" x14ac:dyDescent="0.25">
      <c r="A1955" t="s">
        <v>2002</v>
      </c>
      <c r="B1955" s="1">
        <v>45611</v>
      </c>
      <c r="C1955" s="1">
        <v>45613</v>
      </c>
      <c r="D1955" t="s">
        <v>13</v>
      </c>
      <c r="E1955" t="s">
        <v>14</v>
      </c>
      <c r="F1955" t="s">
        <v>29</v>
      </c>
      <c r="G1955" t="s">
        <v>16</v>
      </c>
      <c r="H1955" t="s">
        <v>21</v>
      </c>
      <c r="I1955">
        <v>4</v>
      </c>
      <c r="J1955">
        <v>0.2</v>
      </c>
      <c r="K1955">
        <v>505.27</v>
      </c>
      <c r="L1955">
        <v>13.7</v>
      </c>
      <c r="M1955" t="s">
        <v>2462</v>
      </c>
      <c r="N1955" t="s">
        <v>2458</v>
      </c>
      <c r="O1955" t="s">
        <v>2463</v>
      </c>
      <c r="P1955">
        <v>71.489999999999995</v>
      </c>
      <c r="Q1955">
        <v>112.88</v>
      </c>
      <c r="R1955">
        <v>285.95999999999998</v>
      </c>
      <c r="S1955">
        <v>205.61</v>
      </c>
      <c r="T1955">
        <v>0.40693094781008177</v>
      </c>
      <c r="U1955" s="1">
        <v>45597</v>
      </c>
      <c r="V1955" t="s">
        <v>2500</v>
      </c>
      <c r="W1955">
        <v>2024</v>
      </c>
    </row>
    <row r="1956" spans="1:23" x14ac:dyDescent="0.25">
      <c r="A1956" t="s">
        <v>2003</v>
      </c>
      <c r="B1956" s="1">
        <v>45497</v>
      </c>
      <c r="C1956" s="1">
        <v>45503</v>
      </c>
      <c r="D1956" t="s">
        <v>32</v>
      </c>
      <c r="E1956" t="s">
        <v>62</v>
      </c>
      <c r="F1956" t="s">
        <v>25</v>
      </c>
      <c r="G1956" t="s">
        <v>16</v>
      </c>
      <c r="H1956" t="s">
        <v>34</v>
      </c>
      <c r="I1956">
        <v>2</v>
      </c>
      <c r="J1956">
        <v>0.2</v>
      </c>
      <c r="K1956">
        <v>300.04000000000002</v>
      </c>
      <c r="L1956">
        <v>5.46</v>
      </c>
      <c r="M1956" t="s">
        <v>2460</v>
      </c>
      <c r="N1956" t="s">
        <v>2458</v>
      </c>
      <c r="O1956" t="s">
        <v>2461</v>
      </c>
      <c r="P1956">
        <v>119.02</v>
      </c>
      <c r="Q1956">
        <v>205.39</v>
      </c>
      <c r="R1956">
        <v>238.04</v>
      </c>
      <c r="S1956">
        <v>56.540000000000028</v>
      </c>
      <c r="T1956">
        <v>0.18844154112784969</v>
      </c>
      <c r="U1956" s="1">
        <v>45474</v>
      </c>
      <c r="V1956" t="s">
        <v>2500</v>
      </c>
      <c r="W1956">
        <v>2024</v>
      </c>
    </row>
    <row r="1957" spans="1:23" x14ac:dyDescent="0.25">
      <c r="A1957" t="s">
        <v>2004</v>
      </c>
      <c r="B1957" s="1">
        <v>45525</v>
      </c>
      <c r="C1957" s="1">
        <v>45527</v>
      </c>
      <c r="D1957" t="s">
        <v>23</v>
      </c>
      <c r="E1957" t="s">
        <v>43</v>
      </c>
      <c r="F1957" t="s">
        <v>29</v>
      </c>
      <c r="G1957" t="s">
        <v>16</v>
      </c>
      <c r="H1957" t="s">
        <v>63</v>
      </c>
      <c r="I1957">
        <v>11</v>
      </c>
      <c r="J1957">
        <v>0</v>
      </c>
      <c r="K1957">
        <v>126.11</v>
      </c>
      <c r="L1957">
        <v>5.67</v>
      </c>
      <c r="M1957" t="s">
        <v>2477</v>
      </c>
      <c r="N1957" t="s">
        <v>2474</v>
      </c>
      <c r="O1957" t="s">
        <v>2468</v>
      </c>
      <c r="P1957">
        <v>6.33</v>
      </c>
      <c r="Q1957">
        <v>12.16</v>
      </c>
      <c r="R1957">
        <v>69.63</v>
      </c>
      <c r="S1957">
        <v>50.81</v>
      </c>
      <c r="T1957">
        <v>0.40290222821346444</v>
      </c>
      <c r="U1957" s="1">
        <v>45505</v>
      </c>
      <c r="V1957" t="s">
        <v>2499</v>
      </c>
      <c r="W1957">
        <v>2024</v>
      </c>
    </row>
    <row r="1958" spans="1:23" x14ac:dyDescent="0.25">
      <c r="A1958" t="s">
        <v>2005</v>
      </c>
      <c r="B1958" s="1">
        <v>45306</v>
      </c>
      <c r="C1958" s="1">
        <v>45311</v>
      </c>
      <c r="D1958" t="s">
        <v>32</v>
      </c>
      <c r="E1958" t="s">
        <v>62</v>
      </c>
      <c r="F1958" t="s">
        <v>25</v>
      </c>
      <c r="G1958" t="s">
        <v>26</v>
      </c>
      <c r="H1958" t="s">
        <v>37</v>
      </c>
      <c r="I1958">
        <v>4</v>
      </c>
      <c r="J1958">
        <v>0</v>
      </c>
      <c r="K1958">
        <v>384.84</v>
      </c>
      <c r="L1958">
        <v>13.7</v>
      </c>
      <c r="M1958" t="s">
        <v>2464</v>
      </c>
      <c r="N1958" t="s">
        <v>2458</v>
      </c>
      <c r="O1958" t="s">
        <v>2465</v>
      </c>
      <c r="P1958">
        <v>63.6</v>
      </c>
      <c r="Q1958">
        <v>107.94</v>
      </c>
      <c r="R1958">
        <v>254.4</v>
      </c>
      <c r="S1958">
        <v>116.73999999999997</v>
      </c>
      <c r="T1958">
        <v>0.30334684544226165</v>
      </c>
      <c r="U1958" s="1">
        <v>45292</v>
      </c>
      <c r="V1958" t="s">
        <v>2499</v>
      </c>
      <c r="W1958">
        <v>2024</v>
      </c>
    </row>
    <row r="1959" spans="1:23" x14ac:dyDescent="0.25">
      <c r="A1959" t="s">
        <v>2006</v>
      </c>
      <c r="B1959" s="1">
        <v>45977</v>
      </c>
      <c r="C1959" s="1">
        <v>45983</v>
      </c>
      <c r="D1959" t="s">
        <v>47</v>
      </c>
      <c r="E1959" t="s">
        <v>48</v>
      </c>
      <c r="F1959" t="s">
        <v>25</v>
      </c>
      <c r="G1959" t="s">
        <v>20</v>
      </c>
      <c r="H1959" t="s">
        <v>34</v>
      </c>
      <c r="I1959">
        <v>1</v>
      </c>
      <c r="J1959">
        <v>0</v>
      </c>
      <c r="K1959">
        <v>279.82</v>
      </c>
      <c r="L1959">
        <v>6.8</v>
      </c>
      <c r="M1959" t="s">
        <v>2460</v>
      </c>
      <c r="N1959" t="s">
        <v>2458</v>
      </c>
      <c r="O1959" t="s">
        <v>2461</v>
      </c>
      <c r="P1959">
        <v>119.02</v>
      </c>
      <c r="Q1959">
        <v>205.39</v>
      </c>
      <c r="R1959">
        <v>119.02</v>
      </c>
      <c r="S1959">
        <v>154</v>
      </c>
      <c r="T1959">
        <v>0.55035379887070257</v>
      </c>
      <c r="U1959" s="1">
        <v>45962</v>
      </c>
      <c r="V1959" t="s">
        <v>2499</v>
      </c>
      <c r="W1959">
        <v>2025</v>
      </c>
    </row>
    <row r="1960" spans="1:23" x14ac:dyDescent="0.25">
      <c r="A1960" t="s">
        <v>2007</v>
      </c>
      <c r="B1960" s="1">
        <v>45664</v>
      </c>
      <c r="C1960" s="1">
        <v>45666</v>
      </c>
      <c r="D1960" t="s">
        <v>13</v>
      </c>
      <c r="E1960" t="s">
        <v>36</v>
      </c>
      <c r="F1960" t="s">
        <v>29</v>
      </c>
      <c r="G1960" t="s">
        <v>20</v>
      </c>
      <c r="H1960" t="s">
        <v>21</v>
      </c>
      <c r="I1960">
        <v>3</v>
      </c>
      <c r="J1960">
        <v>0.25</v>
      </c>
      <c r="K1960">
        <v>215.51</v>
      </c>
      <c r="L1960">
        <v>6.84</v>
      </c>
      <c r="M1960" t="s">
        <v>2462</v>
      </c>
      <c r="N1960" t="s">
        <v>2458</v>
      </c>
      <c r="O1960" t="s">
        <v>2463</v>
      </c>
      <c r="P1960">
        <v>71.489999999999995</v>
      </c>
      <c r="Q1960">
        <v>112.88</v>
      </c>
      <c r="R1960">
        <v>214.46999999999997</v>
      </c>
      <c r="S1960">
        <v>-5.7999999999999794</v>
      </c>
      <c r="T1960">
        <v>-2.6912904273583498E-2</v>
      </c>
      <c r="U1960" s="1">
        <v>45658</v>
      </c>
      <c r="V1960" t="s">
        <v>2501</v>
      </c>
      <c r="W1960">
        <v>2025</v>
      </c>
    </row>
    <row r="1961" spans="1:23" x14ac:dyDescent="0.25">
      <c r="A1961" t="s">
        <v>2008</v>
      </c>
      <c r="B1961" s="1">
        <v>45672</v>
      </c>
      <c r="C1961" s="1">
        <v>45677</v>
      </c>
      <c r="D1961" t="s">
        <v>13</v>
      </c>
      <c r="E1961" t="s">
        <v>19</v>
      </c>
      <c r="F1961" t="s">
        <v>25</v>
      </c>
      <c r="G1961" t="s">
        <v>20</v>
      </c>
      <c r="H1961" t="s">
        <v>30</v>
      </c>
      <c r="I1961">
        <v>10</v>
      </c>
      <c r="J1961">
        <v>0</v>
      </c>
      <c r="K1961">
        <v>54.42</v>
      </c>
      <c r="L1961">
        <v>9</v>
      </c>
      <c r="M1961" t="s">
        <v>2473</v>
      </c>
      <c r="N1961" t="s">
        <v>2474</v>
      </c>
      <c r="O1961" t="s">
        <v>2463</v>
      </c>
      <c r="P1961">
        <v>3.62</v>
      </c>
      <c r="Q1961">
        <v>6.03</v>
      </c>
      <c r="R1961">
        <v>36.200000000000003</v>
      </c>
      <c r="S1961">
        <v>9.2199999999999989</v>
      </c>
      <c r="T1961">
        <v>0.16942300624770301</v>
      </c>
      <c r="U1961" s="1">
        <v>45658</v>
      </c>
      <c r="V1961" t="s">
        <v>2499</v>
      </c>
      <c r="W1961">
        <v>2025</v>
      </c>
    </row>
    <row r="1962" spans="1:23" x14ac:dyDescent="0.25">
      <c r="A1962" t="s">
        <v>2009</v>
      </c>
      <c r="B1962" s="1">
        <v>45866</v>
      </c>
      <c r="C1962" s="1">
        <v>45867</v>
      </c>
      <c r="D1962" t="s">
        <v>47</v>
      </c>
      <c r="E1962" t="s">
        <v>48</v>
      </c>
      <c r="F1962" t="s">
        <v>25</v>
      </c>
      <c r="G1962" t="s">
        <v>16</v>
      </c>
      <c r="H1962" t="s">
        <v>30</v>
      </c>
      <c r="I1962">
        <v>7</v>
      </c>
      <c r="J1962">
        <v>0</v>
      </c>
      <c r="K1962">
        <v>39.72</v>
      </c>
      <c r="L1962">
        <v>4.59</v>
      </c>
      <c r="M1962" t="s">
        <v>2473</v>
      </c>
      <c r="N1962" t="s">
        <v>2474</v>
      </c>
      <c r="O1962" t="s">
        <v>2463</v>
      </c>
      <c r="P1962">
        <v>3.62</v>
      </c>
      <c r="Q1962">
        <v>6.03</v>
      </c>
      <c r="R1962">
        <v>25.34</v>
      </c>
      <c r="S1962">
        <v>9.7899999999999991</v>
      </c>
      <c r="T1962">
        <v>0.24647532729103724</v>
      </c>
      <c r="U1962" s="1">
        <v>45839</v>
      </c>
      <c r="V1962" t="s">
        <v>2499</v>
      </c>
      <c r="W1962">
        <v>2025</v>
      </c>
    </row>
    <row r="1963" spans="1:23" x14ac:dyDescent="0.25">
      <c r="A1963" t="s">
        <v>2010</v>
      </c>
      <c r="B1963" s="1">
        <v>45423</v>
      </c>
      <c r="C1963" s="1">
        <v>45424</v>
      </c>
      <c r="D1963" t="s">
        <v>13</v>
      </c>
      <c r="E1963" t="s">
        <v>19</v>
      </c>
      <c r="F1963" t="s">
        <v>25</v>
      </c>
      <c r="G1963" t="s">
        <v>26</v>
      </c>
      <c r="H1963" t="s">
        <v>34</v>
      </c>
      <c r="I1963">
        <v>1</v>
      </c>
      <c r="J1963">
        <v>0.1</v>
      </c>
      <c r="K1963">
        <v>180.67</v>
      </c>
      <c r="L1963">
        <v>4.08</v>
      </c>
      <c r="M1963" t="s">
        <v>2460</v>
      </c>
      <c r="N1963" t="s">
        <v>2458</v>
      </c>
      <c r="O1963" t="s">
        <v>2461</v>
      </c>
      <c r="P1963">
        <v>119.02</v>
      </c>
      <c r="Q1963">
        <v>205.39</v>
      </c>
      <c r="R1963">
        <v>119.02</v>
      </c>
      <c r="S1963">
        <v>57.569999999999993</v>
      </c>
      <c r="T1963">
        <v>0.31864725743067468</v>
      </c>
      <c r="U1963" s="1">
        <v>45413</v>
      </c>
      <c r="V1963" t="s">
        <v>2498</v>
      </c>
      <c r="W1963">
        <v>2024</v>
      </c>
    </row>
    <row r="1964" spans="1:23" x14ac:dyDescent="0.25">
      <c r="A1964" t="s">
        <v>2011</v>
      </c>
      <c r="B1964" s="1">
        <v>45830</v>
      </c>
      <c r="C1964" s="1">
        <v>45832</v>
      </c>
      <c r="D1964" t="s">
        <v>47</v>
      </c>
      <c r="E1964" t="s">
        <v>71</v>
      </c>
      <c r="F1964" t="s">
        <v>25</v>
      </c>
      <c r="G1964" t="s">
        <v>26</v>
      </c>
      <c r="H1964" t="s">
        <v>39</v>
      </c>
      <c r="I1964">
        <v>1</v>
      </c>
      <c r="J1964">
        <v>0.25</v>
      </c>
      <c r="K1964">
        <v>157.09</v>
      </c>
      <c r="L1964">
        <v>5.75</v>
      </c>
      <c r="M1964" t="s">
        <v>2471</v>
      </c>
      <c r="N1964" t="s">
        <v>2467</v>
      </c>
      <c r="O1964" t="s">
        <v>2461</v>
      </c>
      <c r="P1964">
        <v>112.09</v>
      </c>
      <c r="Q1964">
        <v>192.47</v>
      </c>
      <c r="R1964">
        <v>112.09</v>
      </c>
      <c r="S1964">
        <v>39.25</v>
      </c>
      <c r="T1964">
        <v>0.24985677000445605</v>
      </c>
      <c r="U1964" s="1">
        <v>45809</v>
      </c>
      <c r="V1964" t="s">
        <v>2501</v>
      </c>
      <c r="W1964">
        <v>2025</v>
      </c>
    </row>
    <row r="1965" spans="1:23" x14ac:dyDescent="0.25">
      <c r="A1965" t="s">
        <v>2012</v>
      </c>
      <c r="B1965" s="1">
        <v>45772</v>
      </c>
      <c r="C1965" s="1">
        <v>45774</v>
      </c>
      <c r="D1965" t="s">
        <v>32</v>
      </c>
      <c r="E1965" t="s">
        <v>33</v>
      </c>
      <c r="F1965" t="s">
        <v>15</v>
      </c>
      <c r="G1965" t="s">
        <v>16</v>
      </c>
      <c r="H1965" t="s">
        <v>34</v>
      </c>
      <c r="I1965">
        <v>4</v>
      </c>
      <c r="J1965">
        <v>0.05</v>
      </c>
      <c r="K1965">
        <v>735.96</v>
      </c>
      <c r="L1965">
        <v>8.2200000000000006</v>
      </c>
      <c r="M1965" t="s">
        <v>2460</v>
      </c>
      <c r="N1965" t="s">
        <v>2458</v>
      </c>
      <c r="O1965" t="s">
        <v>2461</v>
      </c>
      <c r="P1965">
        <v>119.02</v>
      </c>
      <c r="Q1965">
        <v>205.39</v>
      </c>
      <c r="R1965">
        <v>476.08</v>
      </c>
      <c r="S1965">
        <v>251.66000000000005</v>
      </c>
      <c r="T1965">
        <v>0.34194793195282358</v>
      </c>
      <c r="U1965" s="1">
        <v>45748</v>
      </c>
      <c r="V1965" t="s">
        <v>2498</v>
      </c>
      <c r="W1965">
        <v>2025</v>
      </c>
    </row>
    <row r="1966" spans="1:23" x14ac:dyDescent="0.25">
      <c r="A1966" t="s">
        <v>2013</v>
      </c>
      <c r="B1966" s="1">
        <v>45879</v>
      </c>
      <c r="C1966" s="1">
        <v>45885</v>
      </c>
      <c r="D1966" t="s">
        <v>23</v>
      </c>
      <c r="E1966" t="s">
        <v>24</v>
      </c>
      <c r="F1966" t="s">
        <v>29</v>
      </c>
      <c r="G1966" t="s">
        <v>20</v>
      </c>
      <c r="H1966" t="s">
        <v>27</v>
      </c>
      <c r="I1966">
        <v>11</v>
      </c>
      <c r="J1966">
        <v>0</v>
      </c>
      <c r="K1966">
        <v>280.27</v>
      </c>
      <c r="L1966">
        <v>5.67</v>
      </c>
      <c r="M1966" t="s">
        <v>2478</v>
      </c>
      <c r="N1966" t="s">
        <v>2474</v>
      </c>
      <c r="O1966" t="s">
        <v>2463</v>
      </c>
      <c r="P1966">
        <v>16.760000000000002</v>
      </c>
      <c r="Q1966">
        <v>27.71</v>
      </c>
      <c r="R1966">
        <v>184.36</v>
      </c>
      <c r="S1966">
        <v>90.239999999999966</v>
      </c>
      <c r="T1966">
        <v>0.32197523816319967</v>
      </c>
      <c r="U1966" s="1">
        <v>45870</v>
      </c>
      <c r="V1966" t="s">
        <v>2499</v>
      </c>
      <c r="W1966">
        <v>2025</v>
      </c>
    </row>
    <row r="1967" spans="1:23" x14ac:dyDescent="0.25">
      <c r="A1967" t="s">
        <v>2014</v>
      </c>
      <c r="B1967" s="1">
        <v>45364</v>
      </c>
      <c r="C1967" s="1">
        <v>45369</v>
      </c>
      <c r="D1967" t="s">
        <v>13</v>
      </c>
      <c r="E1967" t="s">
        <v>36</v>
      </c>
      <c r="F1967" t="s">
        <v>25</v>
      </c>
      <c r="G1967" t="s">
        <v>16</v>
      </c>
      <c r="H1967" t="s">
        <v>51</v>
      </c>
      <c r="I1967">
        <v>14</v>
      </c>
      <c r="J1967">
        <v>0</v>
      </c>
      <c r="K1967">
        <v>205.71</v>
      </c>
      <c r="L1967">
        <v>10.8</v>
      </c>
      <c r="M1967" t="s">
        <v>2475</v>
      </c>
      <c r="N1967" t="s">
        <v>2474</v>
      </c>
      <c r="O1967" t="s">
        <v>2463</v>
      </c>
      <c r="P1967">
        <v>7.93</v>
      </c>
      <c r="Q1967">
        <v>14.78</v>
      </c>
      <c r="R1967">
        <v>111.02</v>
      </c>
      <c r="S1967">
        <v>83.890000000000015</v>
      </c>
      <c r="T1967">
        <v>0.40780710709250895</v>
      </c>
      <c r="U1967" s="1">
        <v>45352</v>
      </c>
      <c r="V1967" t="s">
        <v>2499</v>
      </c>
      <c r="W1967">
        <v>2024</v>
      </c>
    </row>
    <row r="1968" spans="1:23" x14ac:dyDescent="0.25">
      <c r="A1968" t="s">
        <v>2015</v>
      </c>
      <c r="B1968" s="1">
        <v>45864</v>
      </c>
      <c r="C1968" s="1">
        <v>45867</v>
      </c>
      <c r="D1968" t="s">
        <v>32</v>
      </c>
      <c r="E1968" t="s">
        <v>33</v>
      </c>
      <c r="F1968" t="s">
        <v>29</v>
      </c>
      <c r="G1968" t="s">
        <v>16</v>
      </c>
      <c r="H1968" t="s">
        <v>60</v>
      </c>
      <c r="I1968">
        <v>3</v>
      </c>
      <c r="J1968">
        <v>0.05</v>
      </c>
      <c r="K1968">
        <v>278.36</v>
      </c>
      <c r="L1968">
        <v>4.95</v>
      </c>
      <c r="M1968" t="s">
        <v>2469</v>
      </c>
      <c r="N1968" t="s">
        <v>2467</v>
      </c>
      <c r="O1968" t="s">
        <v>2468</v>
      </c>
      <c r="P1968">
        <v>54.95</v>
      </c>
      <c r="Q1968">
        <v>112.56</v>
      </c>
      <c r="R1968">
        <v>164.85000000000002</v>
      </c>
      <c r="S1968">
        <v>108.55999999999999</v>
      </c>
      <c r="T1968">
        <v>0.38999856301192692</v>
      </c>
      <c r="U1968" s="1">
        <v>45839</v>
      </c>
      <c r="V1968" t="s">
        <v>2498</v>
      </c>
      <c r="W1968">
        <v>2025</v>
      </c>
    </row>
    <row r="1969" spans="1:23" x14ac:dyDescent="0.25">
      <c r="A1969" t="s">
        <v>2016</v>
      </c>
      <c r="B1969" s="1">
        <v>45582</v>
      </c>
      <c r="C1969" s="1">
        <v>45583</v>
      </c>
      <c r="D1969" t="s">
        <v>47</v>
      </c>
      <c r="E1969" t="s">
        <v>71</v>
      </c>
      <c r="F1969" t="s">
        <v>25</v>
      </c>
      <c r="G1969" t="s">
        <v>26</v>
      </c>
      <c r="H1969" t="s">
        <v>17</v>
      </c>
      <c r="I1969">
        <v>7</v>
      </c>
      <c r="J1969">
        <v>0</v>
      </c>
      <c r="K1969">
        <v>1073.9100000000001</v>
      </c>
      <c r="L1969">
        <v>13.25</v>
      </c>
      <c r="M1969" t="s">
        <v>2472</v>
      </c>
      <c r="N1969" t="s">
        <v>2467</v>
      </c>
      <c r="O1969" t="s">
        <v>2468</v>
      </c>
      <c r="P1969">
        <v>63.69</v>
      </c>
      <c r="Q1969">
        <v>125.5</v>
      </c>
      <c r="R1969">
        <v>445.83</v>
      </c>
      <c r="S1969">
        <v>614.83000000000015</v>
      </c>
      <c r="T1969">
        <v>0.57251538769543087</v>
      </c>
      <c r="U1969" s="1">
        <v>45566</v>
      </c>
      <c r="V1969" t="s">
        <v>2499</v>
      </c>
      <c r="W1969">
        <v>2024</v>
      </c>
    </row>
    <row r="1970" spans="1:23" x14ac:dyDescent="0.25">
      <c r="A1970" t="s">
        <v>2017</v>
      </c>
      <c r="B1970" s="1">
        <v>45954</v>
      </c>
      <c r="C1970" s="1">
        <v>45959</v>
      </c>
      <c r="D1970" t="s">
        <v>13</v>
      </c>
      <c r="E1970" t="s">
        <v>19</v>
      </c>
      <c r="F1970" t="s">
        <v>15</v>
      </c>
      <c r="G1970" t="s">
        <v>20</v>
      </c>
      <c r="H1970" t="s">
        <v>51</v>
      </c>
      <c r="I1970">
        <v>13</v>
      </c>
      <c r="J1970">
        <v>0</v>
      </c>
      <c r="K1970">
        <v>233.97</v>
      </c>
      <c r="L1970">
        <v>6.21</v>
      </c>
      <c r="M1970" t="s">
        <v>2475</v>
      </c>
      <c r="N1970" t="s">
        <v>2474</v>
      </c>
      <c r="O1970" t="s">
        <v>2463</v>
      </c>
      <c r="P1970">
        <v>7.93</v>
      </c>
      <c r="Q1970">
        <v>14.78</v>
      </c>
      <c r="R1970">
        <v>103.09</v>
      </c>
      <c r="S1970">
        <v>124.67</v>
      </c>
      <c r="T1970">
        <v>0.53284609137923666</v>
      </c>
      <c r="U1970" s="1">
        <v>45931</v>
      </c>
      <c r="V1970" t="s">
        <v>2499</v>
      </c>
      <c r="W1970">
        <v>2025</v>
      </c>
    </row>
    <row r="1971" spans="1:23" x14ac:dyDescent="0.25">
      <c r="A1971" t="s">
        <v>2018</v>
      </c>
      <c r="B1971" s="1">
        <v>45847</v>
      </c>
      <c r="C1971" s="1">
        <v>45851</v>
      </c>
      <c r="D1971" t="s">
        <v>13</v>
      </c>
      <c r="E1971" t="s">
        <v>19</v>
      </c>
      <c r="F1971" t="s">
        <v>15</v>
      </c>
      <c r="G1971" t="s">
        <v>26</v>
      </c>
      <c r="H1971" t="s">
        <v>39</v>
      </c>
      <c r="I1971">
        <v>2</v>
      </c>
      <c r="J1971">
        <v>0</v>
      </c>
      <c r="K1971">
        <v>336.37</v>
      </c>
      <c r="L1971">
        <v>4.2</v>
      </c>
      <c r="M1971" t="s">
        <v>2471</v>
      </c>
      <c r="N1971" t="s">
        <v>2467</v>
      </c>
      <c r="O1971" t="s">
        <v>2461</v>
      </c>
      <c r="P1971">
        <v>112.09</v>
      </c>
      <c r="Q1971">
        <v>192.47</v>
      </c>
      <c r="R1971">
        <v>224.18</v>
      </c>
      <c r="S1971">
        <v>107.99</v>
      </c>
      <c r="T1971">
        <v>0.32104527752177658</v>
      </c>
      <c r="U1971" s="1">
        <v>45839</v>
      </c>
      <c r="V1971" t="s">
        <v>2499</v>
      </c>
      <c r="W1971">
        <v>2025</v>
      </c>
    </row>
    <row r="1972" spans="1:23" x14ac:dyDescent="0.25">
      <c r="A1972" t="s">
        <v>2019</v>
      </c>
      <c r="B1972" s="1">
        <v>45405</v>
      </c>
      <c r="C1972" s="1">
        <v>45408</v>
      </c>
      <c r="D1972" t="s">
        <v>13</v>
      </c>
      <c r="E1972" t="s">
        <v>36</v>
      </c>
      <c r="F1972" t="s">
        <v>15</v>
      </c>
      <c r="G1972" t="s">
        <v>20</v>
      </c>
      <c r="H1972" t="s">
        <v>34</v>
      </c>
      <c r="I1972">
        <v>2</v>
      </c>
      <c r="J1972">
        <v>0</v>
      </c>
      <c r="K1972">
        <v>421.78</v>
      </c>
      <c r="L1972">
        <v>5.46</v>
      </c>
      <c r="M1972" t="s">
        <v>2460</v>
      </c>
      <c r="N1972" t="s">
        <v>2458</v>
      </c>
      <c r="O1972" t="s">
        <v>2461</v>
      </c>
      <c r="P1972">
        <v>119.02</v>
      </c>
      <c r="Q1972">
        <v>205.39</v>
      </c>
      <c r="R1972">
        <v>238.04</v>
      </c>
      <c r="S1972">
        <v>178.27999999999997</v>
      </c>
      <c r="T1972">
        <v>0.42268481198729191</v>
      </c>
      <c r="U1972" s="1">
        <v>45383</v>
      </c>
      <c r="V1972" t="s">
        <v>2499</v>
      </c>
      <c r="W1972">
        <v>2024</v>
      </c>
    </row>
    <row r="1973" spans="1:23" x14ac:dyDescent="0.25">
      <c r="A1973" t="s">
        <v>2020</v>
      </c>
      <c r="B1973" s="1">
        <v>45860</v>
      </c>
      <c r="C1973" s="1">
        <v>45861</v>
      </c>
      <c r="D1973" t="s">
        <v>47</v>
      </c>
      <c r="E1973" t="s">
        <v>48</v>
      </c>
      <c r="F1973" t="s">
        <v>15</v>
      </c>
      <c r="G1973" t="s">
        <v>20</v>
      </c>
      <c r="H1973" t="s">
        <v>27</v>
      </c>
      <c r="I1973">
        <v>12</v>
      </c>
      <c r="J1973">
        <v>0.2</v>
      </c>
      <c r="K1973">
        <v>233.29</v>
      </c>
      <c r="L1973">
        <v>9.9</v>
      </c>
      <c r="M1973" t="s">
        <v>2478</v>
      </c>
      <c r="N1973" t="s">
        <v>2474</v>
      </c>
      <c r="O1973" t="s">
        <v>2463</v>
      </c>
      <c r="P1973">
        <v>16.760000000000002</v>
      </c>
      <c r="Q1973">
        <v>27.71</v>
      </c>
      <c r="R1973">
        <v>201.12</v>
      </c>
      <c r="S1973">
        <v>22.269999999999989</v>
      </c>
      <c r="T1973">
        <v>9.5460585537314027E-2</v>
      </c>
      <c r="U1973" s="1">
        <v>45839</v>
      </c>
      <c r="V1973" t="s">
        <v>2500</v>
      </c>
      <c r="W1973">
        <v>2025</v>
      </c>
    </row>
    <row r="1974" spans="1:23" x14ac:dyDescent="0.25">
      <c r="A1974" t="s">
        <v>2021</v>
      </c>
      <c r="B1974" s="1">
        <v>45899</v>
      </c>
      <c r="C1974" s="1">
        <v>45902</v>
      </c>
      <c r="D1974" t="s">
        <v>47</v>
      </c>
      <c r="E1974" t="s">
        <v>71</v>
      </c>
      <c r="F1974" t="s">
        <v>15</v>
      </c>
      <c r="G1974" t="s">
        <v>16</v>
      </c>
      <c r="H1974" t="s">
        <v>34</v>
      </c>
      <c r="I1974">
        <v>3</v>
      </c>
      <c r="J1974">
        <v>0.25</v>
      </c>
      <c r="K1974">
        <v>416.16</v>
      </c>
      <c r="L1974">
        <v>6.84</v>
      </c>
      <c r="M1974" t="s">
        <v>2460</v>
      </c>
      <c r="N1974" t="s">
        <v>2458</v>
      </c>
      <c r="O1974" t="s">
        <v>2461</v>
      </c>
      <c r="P1974">
        <v>119.02</v>
      </c>
      <c r="Q1974">
        <v>205.39</v>
      </c>
      <c r="R1974">
        <v>357.06</v>
      </c>
      <c r="S1974">
        <v>52.260000000000019</v>
      </c>
      <c r="T1974">
        <v>0.12557670126874282</v>
      </c>
      <c r="U1974" s="1">
        <v>45870</v>
      </c>
      <c r="V1974" t="s">
        <v>2501</v>
      </c>
      <c r="W1974">
        <v>2025</v>
      </c>
    </row>
    <row r="1975" spans="1:23" x14ac:dyDescent="0.25">
      <c r="A1975" t="s">
        <v>2022</v>
      </c>
      <c r="B1975" s="1">
        <v>45766</v>
      </c>
      <c r="C1975" s="1">
        <v>45772</v>
      </c>
      <c r="D1975" t="s">
        <v>23</v>
      </c>
      <c r="E1975" t="s">
        <v>59</v>
      </c>
      <c r="F1975" t="s">
        <v>29</v>
      </c>
      <c r="G1975" t="s">
        <v>16</v>
      </c>
      <c r="H1975" t="s">
        <v>21</v>
      </c>
      <c r="I1975">
        <v>3</v>
      </c>
      <c r="J1975">
        <v>0</v>
      </c>
      <c r="K1975">
        <v>326.29000000000002</v>
      </c>
      <c r="L1975">
        <v>6.84</v>
      </c>
      <c r="M1975" t="s">
        <v>2462</v>
      </c>
      <c r="N1975" t="s">
        <v>2458</v>
      </c>
      <c r="O1975" t="s">
        <v>2463</v>
      </c>
      <c r="P1975">
        <v>71.489999999999995</v>
      </c>
      <c r="Q1975">
        <v>112.88</v>
      </c>
      <c r="R1975">
        <v>214.46999999999997</v>
      </c>
      <c r="S1975">
        <v>104.98000000000005</v>
      </c>
      <c r="T1975">
        <v>0.32173833093260606</v>
      </c>
      <c r="U1975" s="1">
        <v>45748</v>
      </c>
      <c r="V1975" t="s">
        <v>2499</v>
      </c>
      <c r="W1975">
        <v>2025</v>
      </c>
    </row>
    <row r="1976" spans="1:23" x14ac:dyDescent="0.25">
      <c r="A1976" t="s">
        <v>2023</v>
      </c>
      <c r="B1976" s="1">
        <v>45947</v>
      </c>
      <c r="C1976" s="1">
        <v>45951</v>
      </c>
      <c r="D1976" t="s">
        <v>23</v>
      </c>
      <c r="E1976" t="s">
        <v>59</v>
      </c>
      <c r="F1976" t="s">
        <v>25</v>
      </c>
      <c r="G1976" t="s">
        <v>16</v>
      </c>
      <c r="H1976" t="s">
        <v>63</v>
      </c>
      <c r="I1976">
        <v>11</v>
      </c>
      <c r="J1976">
        <v>0</v>
      </c>
      <c r="K1976">
        <v>147.01</v>
      </c>
      <c r="L1976">
        <v>9.4499999999999993</v>
      </c>
      <c r="M1976" t="s">
        <v>2477</v>
      </c>
      <c r="N1976" t="s">
        <v>2474</v>
      </c>
      <c r="O1976" t="s">
        <v>2468</v>
      </c>
      <c r="P1976">
        <v>6.33</v>
      </c>
      <c r="Q1976">
        <v>12.16</v>
      </c>
      <c r="R1976">
        <v>69.63</v>
      </c>
      <c r="S1976">
        <v>67.929999999999993</v>
      </c>
      <c r="T1976">
        <v>0.46207740970002037</v>
      </c>
      <c r="U1976" s="1">
        <v>45931</v>
      </c>
      <c r="V1976" t="s">
        <v>2499</v>
      </c>
      <c r="W1976">
        <v>2025</v>
      </c>
    </row>
    <row r="1977" spans="1:23" x14ac:dyDescent="0.25">
      <c r="A1977" t="s">
        <v>2024</v>
      </c>
      <c r="B1977" s="1">
        <v>45830</v>
      </c>
      <c r="C1977" s="1">
        <v>45832</v>
      </c>
      <c r="D1977" t="s">
        <v>13</v>
      </c>
      <c r="E1977" t="s">
        <v>14</v>
      </c>
      <c r="F1977" t="s">
        <v>29</v>
      </c>
      <c r="G1977" t="s">
        <v>16</v>
      </c>
      <c r="H1977" t="s">
        <v>51</v>
      </c>
      <c r="I1977">
        <v>7</v>
      </c>
      <c r="J1977">
        <v>0.2</v>
      </c>
      <c r="K1977">
        <v>87.63</v>
      </c>
      <c r="L1977">
        <v>4.59</v>
      </c>
      <c r="M1977" t="s">
        <v>2475</v>
      </c>
      <c r="N1977" t="s">
        <v>2474</v>
      </c>
      <c r="O1977" t="s">
        <v>2463</v>
      </c>
      <c r="P1977">
        <v>7.93</v>
      </c>
      <c r="Q1977">
        <v>14.78</v>
      </c>
      <c r="R1977">
        <v>55.51</v>
      </c>
      <c r="S1977">
        <v>27.529999999999998</v>
      </c>
      <c r="T1977">
        <v>0.31416181672943055</v>
      </c>
      <c r="U1977" s="1">
        <v>45809</v>
      </c>
      <c r="V1977" t="s">
        <v>2500</v>
      </c>
      <c r="W1977">
        <v>2025</v>
      </c>
    </row>
    <row r="1978" spans="1:23" x14ac:dyDescent="0.25">
      <c r="A1978" t="s">
        <v>2025</v>
      </c>
      <c r="B1978" s="1">
        <v>45755</v>
      </c>
      <c r="C1978" s="1">
        <v>45761</v>
      </c>
      <c r="D1978" t="s">
        <v>32</v>
      </c>
      <c r="E1978" t="s">
        <v>62</v>
      </c>
      <c r="F1978" t="s">
        <v>29</v>
      </c>
      <c r="G1978" t="s">
        <v>26</v>
      </c>
      <c r="H1978" t="s">
        <v>17</v>
      </c>
      <c r="I1978">
        <v>5</v>
      </c>
      <c r="J1978">
        <v>0</v>
      </c>
      <c r="K1978">
        <v>579.16999999999996</v>
      </c>
      <c r="L1978">
        <v>6.45</v>
      </c>
      <c r="M1978" t="s">
        <v>2472</v>
      </c>
      <c r="N1978" t="s">
        <v>2467</v>
      </c>
      <c r="O1978" t="s">
        <v>2468</v>
      </c>
      <c r="P1978">
        <v>63.69</v>
      </c>
      <c r="Q1978">
        <v>125.5</v>
      </c>
      <c r="R1978">
        <v>318.45</v>
      </c>
      <c r="S1978">
        <v>254.26999999999998</v>
      </c>
      <c r="T1978">
        <v>0.43902481136799215</v>
      </c>
      <c r="U1978" s="1">
        <v>45748</v>
      </c>
      <c r="V1978" t="s">
        <v>2499</v>
      </c>
      <c r="W1978">
        <v>2025</v>
      </c>
    </row>
    <row r="1979" spans="1:23" x14ac:dyDescent="0.25">
      <c r="A1979" t="s">
        <v>2026</v>
      </c>
      <c r="B1979" s="1">
        <v>45763</v>
      </c>
      <c r="C1979" s="1">
        <v>45764</v>
      </c>
      <c r="D1979" t="s">
        <v>13</v>
      </c>
      <c r="E1979" t="s">
        <v>14</v>
      </c>
      <c r="F1979" t="s">
        <v>25</v>
      </c>
      <c r="G1979" t="s">
        <v>20</v>
      </c>
      <c r="H1979" t="s">
        <v>39</v>
      </c>
      <c r="I1979">
        <v>1</v>
      </c>
      <c r="J1979">
        <v>0.1</v>
      </c>
      <c r="K1979">
        <v>177.93</v>
      </c>
      <c r="L1979">
        <v>3.45</v>
      </c>
      <c r="M1979" t="s">
        <v>2471</v>
      </c>
      <c r="N1979" t="s">
        <v>2467</v>
      </c>
      <c r="O1979" t="s">
        <v>2461</v>
      </c>
      <c r="P1979">
        <v>112.09</v>
      </c>
      <c r="Q1979">
        <v>192.47</v>
      </c>
      <c r="R1979">
        <v>112.09</v>
      </c>
      <c r="S1979">
        <v>62.39</v>
      </c>
      <c r="T1979">
        <v>0.35064351149328388</v>
      </c>
      <c r="U1979" s="1">
        <v>45748</v>
      </c>
      <c r="V1979" t="s">
        <v>2498</v>
      </c>
      <c r="W1979">
        <v>2025</v>
      </c>
    </row>
    <row r="1980" spans="1:23" x14ac:dyDescent="0.25">
      <c r="A1980" t="s">
        <v>2027</v>
      </c>
      <c r="B1980" s="1">
        <v>45775</v>
      </c>
      <c r="C1980" s="1">
        <v>45777</v>
      </c>
      <c r="D1980" t="s">
        <v>47</v>
      </c>
      <c r="E1980" t="s">
        <v>71</v>
      </c>
      <c r="F1980" t="s">
        <v>25</v>
      </c>
      <c r="G1980" t="s">
        <v>26</v>
      </c>
      <c r="H1980" t="s">
        <v>17</v>
      </c>
      <c r="I1980">
        <v>2</v>
      </c>
      <c r="J1980">
        <v>0.2</v>
      </c>
      <c r="K1980">
        <v>192.41</v>
      </c>
      <c r="L1980">
        <v>4.2</v>
      </c>
      <c r="M1980" t="s">
        <v>2472</v>
      </c>
      <c r="N1980" t="s">
        <v>2467</v>
      </c>
      <c r="O1980" t="s">
        <v>2468</v>
      </c>
      <c r="P1980">
        <v>63.69</v>
      </c>
      <c r="Q1980">
        <v>125.5</v>
      </c>
      <c r="R1980">
        <v>127.38</v>
      </c>
      <c r="S1980">
        <v>60.83</v>
      </c>
      <c r="T1980">
        <v>0.31614780936541759</v>
      </c>
      <c r="U1980" s="1">
        <v>45748</v>
      </c>
      <c r="V1980" t="s">
        <v>2500</v>
      </c>
      <c r="W1980">
        <v>2025</v>
      </c>
    </row>
    <row r="1981" spans="1:23" x14ac:dyDescent="0.25">
      <c r="A1981" t="s">
        <v>2028</v>
      </c>
      <c r="B1981" s="1">
        <v>45544</v>
      </c>
      <c r="C1981" s="1">
        <v>45546</v>
      </c>
      <c r="D1981" t="s">
        <v>13</v>
      </c>
      <c r="E1981" t="s">
        <v>14</v>
      </c>
      <c r="F1981" t="s">
        <v>29</v>
      </c>
      <c r="G1981" t="s">
        <v>26</v>
      </c>
      <c r="H1981" t="s">
        <v>53</v>
      </c>
      <c r="I1981">
        <v>1</v>
      </c>
      <c r="J1981">
        <v>0</v>
      </c>
      <c r="K1981">
        <v>62.94</v>
      </c>
      <c r="L1981">
        <v>3.45</v>
      </c>
      <c r="M1981" t="s">
        <v>2470</v>
      </c>
      <c r="N1981" t="s">
        <v>2467</v>
      </c>
      <c r="O1981" t="s">
        <v>2459</v>
      </c>
      <c r="P1981">
        <v>31.34</v>
      </c>
      <c r="Q1981">
        <v>56.49</v>
      </c>
      <c r="R1981">
        <v>31.34</v>
      </c>
      <c r="S1981">
        <v>28.15</v>
      </c>
      <c r="T1981">
        <v>0.44725135049253256</v>
      </c>
      <c r="U1981" s="1">
        <v>45536</v>
      </c>
      <c r="V1981" t="s">
        <v>2499</v>
      </c>
      <c r="W1981">
        <v>2024</v>
      </c>
    </row>
    <row r="1982" spans="1:23" x14ac:dyDescent="0.25">
      <c r="A1982" t="s">
        <v>2029</v>
      </c>
      <c r="B1982" s="1">
        <v>45894</v>
      </c>
      <c r="C1982" s="1">
        <v>45899</v>
      </c>
      <c r="D1982" t="s">
        <v>32</v>
      </c>
      <c r="E1982" t="s">
        <v>45</v>
      </c>
      <c r="F1982" t="s">
        <v>25</v>
      </c>
      <c r="G1982" t="s">
        <v>16</v>
      </c>
      <c r="H1982" t="s">
        <v>39</v>
      </c>
      <c r="I1982">
        <v>4</v>
      </c>
      <c r="J1982">
        <v>0</v>
      </c>
      <c r="K1982">
        <v>748.77</v>
      </c>
      <c r="L1982">
        <v>5.7</v>
      </c>
      <c r="M1982" t="s">
        <v>2471</v>
      </c>
      <c r="N1982" t="s">
        <v>2467</v>
      </c>
      <c r="O1982" t="s">
        <v>2461</v>
      </c>
      <c r="P1982">
        <v>112.09</v>
      </c>
      <c r="Q1982">
        <v>192.47</v>
      </c>
      <c r="R1982">
        <v>448.36</v>
      </c>
      <c r="S1982">
        <v>294.70999999999998</v>
      </c>
      <c r="T1982">
        <v>0.39359215780546764</v>
      </c>
      <c r="U1982" s="1">
        <v>45870</v>
      </c>
      <c r="V1982" t="s">
        <v>2499</v>
      </c>
      <c r="W1982">
        <v>2025</v>
      </c>
    </row>
    <row r="1983" spans="1:23" x14ac:dyDescent="0.25">
      <c r="A1983" t="s">
        <v>2030</v>
      </c>
      <c r="B1983" s="1">
        <v>46020</v>
      </c>
      <c r="C1983" s="1">
        <v>46023</v>
      </c>
      <c r="D1983" t="s">
        <v>47</v>
      </c>
      <c r="E1983" t="s">
        <v>71</v>
      </c>
      <c r="F1983" t="s">
        <v>29</v>
      </c>
      <c r="G1983" t="s">
        <v>20</v>
      </c>
      <c r="H1983" t="s">
        <v>51</v>
      </c>
      <c r="I1983">
        <v>12</v>
      </c>
      <c r="J1983">
        <v>0.25</v>
      </c>
      <c r="K1983">
        <v>199.2</v>
      </c>
      <c r="L1983">
        <v>5.94</v>
      </c>
      <c r="M1983" t="s">
        <v>2475</v>
      </c>
      <c r="N1983" t="s">
        <v>2474</v>
      </c>
      <c r="O1983" t="s">
        <v>2463</v>
      </c>
      <c r="P1983">
        <v>7.93</v>
      </c>
      <c r="Q1983">
        <v>14.78</v>
      </c>
      <c r="R1983">
        <v>95.16</v>
      </c>
      <c r="S1983">
        <v>98.1</v>
      </c>
      <c r="T1983">
        <v>0.49246987951807231</v>
      </c>
      <c r="U1983" s="1">
        <v>45992</v>
      </c>
      <c r="V1983" t="s">
        <v>2501</v>
      </c>
      <c r="W1983">
        <v>2025</v>
      </c>
    </row>
    <row r="1984" spans="1:23" x14ac:dyDescent="0.25">
      <c r="A1984" t="s">
        <v>2031</v>
      </c>
      <c r="B1984" s="1">
        <v>46018</v>
      </c>
      <c r="C1984" s="1">
        <v>46020</v>
      </c>
      <c r="D1984" t="s">
        <v>32</v>
      </c>
      <c r="E1984" t="s">
        <v>33</v>
      </c>
      <c r="F1984" t="s">
        <v>29</v>
      </c>
      <c r="G1984" t="s">
        <v>26</v>
      </c>
      <c r="H1984" t="s">
        <v>87</v>
      </c>
      <c r="I1984">
        <v>7</v>
      </c>
      <c r="J1984">
        <v>0</v>
      </c>
      <c r="K1984">
        <v>79.849999999999994</v>
      </c>
      <c r="L1984">
        <v>7.65</v>
      </c>
      <c r="M1984" t="s">
        <v>2476</v>
      </c>
      <c r="N1984" t="s">
        <v>2474</v>
      </c>
      <c r="O1984" t="s">
        <v>2459</v>
      </c>
      <c r="P1984">
        <v>4.5</v>
      </c>
      <c r="Q1984">
        <v>8.2899999999999991</v>
      </c>
      <c r="R1984">
        <v>31.5</v>
      </c>
      <c r="S1984">
        <v>40.699999999999996</v>
      </c>
      <c r="T1984">
        <v>0.50970569818409517</v>
      </c>
      <c r="U1984" s="1">
        <v>45992</v>
      </c>
      <c r="V1984" t="s">
        <v>2499</v>
      </c>
      <c r="W1984">
        <v>2025</v>
      </c>
    </row>
    <row r="1985" spans="1:23" x14ac:dyDescent="0.25">
      <c r="A1985" t="s">
        <v>2032</v>
      </c>
      <c r="B1985" s="1">
        <v>45444</v>
      </c>
      <c r="C1985" s="1">
        <v>45445</v>
      </c>
      <c r="D1985" t="s">
        <v>32</v>
      </c>
      <c r="E1985" t="s">
        <v>33</v>
      </c>
      <c r="F1985" t="s">
        <v>25</v>
      </c>
      <c r="G1985" t="s">
        <v>26</v>
      </c>
      <c r="H1985" t="s">
        <v>39</v>
      </c>
      <c r="I1985">
        <v>3</v>
      </c>
      <c r="J1985">
        <v>0.15</v>
      </c>
      <c r="K1985">
        <v>481.85</v>
      </c>
      <c r="L1985">
        <v>4.95</v>
      </c>
      <c r="M1985" t="s">
        <v>2471</v>
      </c>
      <c r="N1985" t="s">
        <v>2467</v>
      </c>
      <c r="O1985" t="s">
        <v>2461</v>
      </c>
      <c r="P1985">
        <v>112.09</v>
      </c>
      <c r="Q1985">
        <v>192.47</v>
      </c>
      <c r="R1985">
        <v>336.27</v>
      </c>
      <c r="S1985">
        <v>140.63000000000005</v>
      </c>
      <c r="T1985">
        <v>0.29185431150773072</v>
      </c>
      <c r="U1985" s="1">
        <v>45444</v>
      </c>
      <c r="V1985" t="s">
        <v>2500</v>
      </c>
      <c r="W1985">
        <v>2024</v>
      </c>
    </row>
    <row r="1986" spans="1:23" x14ac:dyDescent="0.25">
      <c r="A1986" t="s">
        <v>2033</v>
      </c>
      <c r="B1986" s="1">
        <v>45576</v>
      </c>
      <c r="C1986" s="1">
        <v>45581</v>
      </c>
      <c r="D1986" t="s">
        <v>13</v>
      </c>
      <c r="E1986" t="s">
        <v>19</v>
      </c>
      <c r="F1986" t="s">
        <v>15</v>
      </c>
      <c r="G1986" t="s">
        <v>26</v>
      </c>
      <c r="H1986" t="s">
        <v>65</v>
      </c>
      <c r="I1986">
        <v>4</v>
      </c>
      <c r="J1986">
        <v>0.15</v>
      </c>
      <c r="K1986">
        <v>1072.1600000000001</v>
      </c>
      <c r="L1986">
        <v>8.2200000000000006</v>
      </c>
      <c r="M1986" t="s">
        <v>2457</v>
      </c>
      <c r="N1986" t="s">
        <v>2458</v>
      </c>
      <c r="O1986" t="s">
        <v>2459</v>
      </c>
      <c r="P1986">
        <v>173.56</v>
      </c>
      <c r="Q1986">
        <v>286.14999999999998</v>
      </c>
      <c r="R1986">
        <v>694.24</v>
      </c>
      <c r="S1986">
        <v>369.70000000000005</v>
      </c>
      <c r="T1986">
        <v>0.34481793762125057</v>
      </c>
      <c r="U1986" s="1">
        <v>45566</v>
      </c>
      <c r="V1986" t="s">
        <v>2500</v>
      </c>
      <c r="W1986">
        <v>2024</v>
      </c>
    </row>
    <row r="1987" spans="1:23" x14ac:dyDescent="0.25">
      <c r="A1987" t="s">
        <v>2034</v>
      </c>
      <c r="B1987" s="1">
        <v>45312</v>
      </c>
      <c r="C1987" s="1">
        <v>45317</v>
      </c>
      <c r="D1987" t="s">
        <v>32</v>
      </c>
      <c r="E1987" t="s">
        <v>33</v>
      </c>
      <c r="F1987" t="s">
        <v>29</v>
      </c>
      <c r="G1987" t="s">
        <v>20</v>
      </c>
      <c r="H1987" t="s">
        <v>87</v>
      </c>
      <c r="I1987">
        <v>8</v>
      </c>
      <c r="J1987">
        <v>0.2</v>
      </c>
      <c r="K1987">
        <v>45.57</v>
      </c>
      <c r="L1987">
        <v>8.1</v>
      </c>
      <c r="M1987" t="s">
        <v>2476</v>
      </c>
      <c r="N1987" t="s">
        <v>2474</v>
      </c>
      <c r="O1987" t="s">
        <v>2459</v>
      </c>
      <c r="P1987">
        <v>4.5</v>
      </c>
      <c r="Q1987">
        <v>8.2899999999999991</v>
      </c>
      <c r="R1987">
        <v>36</v>
      </c>
      <c r="S1987">
        <v>1.4700000000000006</v>
      </c>
      <c r="T1987">
        <v>3.2258064516129045E-2</v>
      </c>
      <c r="U1987" s="1">
        <v>45292</v>
      </c>
      <c r="V1987" t="s">
        <v>2500</v>
      </c>
      <c r="W1987">
        <v>2024</v>
      </c>
    </row>
    <row r="1988" spans="1:23" x14ac:dyDescent="0.25">
      <c r="A1988" t="s">
        <v>2035</v>
      </c>
      <c r="B1988" s="1">
        <v>45587</v>
      </c>
      <c r="C1988" s="1">
        <v>45592</v>
      </c>
      <c r="D1988" t="s">
        <v>23</v>
      </c>
      <c r="E1988" t="s">
        <v>43</v>
      </c>
      <c r="F1988" t="s">
        <v>29</v>
      </c>
      <c r="G1988" t="s">
        <v>26</v>
      </c>
      <c r="H1988" t="s">
        <v>27</v>
      </c>
      <c r="I1988">
        <v>4</v>
      </c>
      <c r="J1988">
        <v>0.05</v>
      </c>
      <c r="K1988">
        <v>127.49</v>
      </c>
      <c r="L1988">
        <v>3.78</v>
      </c>
      <c r="M1988" t="s">
        <v>2478</v>
      </c>
      <c r="N1988" t="s">
        <v>2474</v>
      </c>
      <c r="O1988" t="s">
        <v>2463</v>
      </c>
      <c r="P1988">
        <v>16.760000000000002</v>
      </c>
      <c r="Q1988">
        <v>27.71</v>
      </c>
      <c r="R1988">
        <v>67.040000000000006</v>
      </c>
      <c r="S1988">
        <v>56.669999999999987</v>
      </c>
      <c r="T1988">
        <v>0.4445054514079535</v>
      </c>
      <c r="U1988" s="1">
        <v>45566</v>
      </c>
      <c r="V1988" t="s">
        <v>2498</v>
      </c>
      <c r="W1988">
        <v>2024</v>
      </c>
    </row>
    <row r="1989" spans="1:23" x14ac:dyDescent="0.25">
      <c r="A1989" t="s">
        <v>2036</v>
      </c>
      <c r="B1989" s="1">
        <v>45769</v>
      </c>
      <c r="C1989" s="1">
        <v>45771</v>
      </c>
      <c r="D1989" t="s">
        <v>47</v>
      </c>
      <c r="E1989" t="s">
        <v>71</v>
      </c>
      <c r="F1989" t="s">
        <v>15</v>
      </c>
      <c r="G1989" t="s">
        <v>16</v>
      </c>
      <c r="H1989" t="s">
        <v>21</v>
      </c>
      <c r="I1989">
        <v>3</v>
      </c>
      <c r="J1989">
        <v>0</v>
      </c>
      <c r="K1989">
        <v>340.76</v>
      </c>
      <c r="L1989">
        <v>11.4</v>
      </c>
      <c r="M1989" t="s">
        <v>2462</v>
      </c>
      <c r="N1989" t="s">
        <v>2458</v>
      </c>
      <c r="O1989" t="s">
        <v>2463</v>
      </c>
      <c r="P1989">
        <v>71.489999999999995</v>
      </c>
      <c r="Q1989">
        <v>112.88</v>
      </c>
      <c r="R1989">
        <v>214.46999999999997</v>
      </c>
      <c r="S1989">
        <v>114.89000000000001</v>
      </c>
      <c r="T1989">
        <v>0.33715811714990029</v>
      </c>
      <c r="U1989" s="1">
        <v>45748</v>
      </c>
      <c r="V1989" t="s">
        <v>2499</v>
      </c>
      <c r="W1989">
        <v>2025</v>
      </c>
    </row>
    <row r="1990" spans="1:23" x14ac:dyDescent="0.25">
      <c r="A1990" t="s">
        <v>2037</v>
      </c>
      <c r="B1990" s="1">
        <v>45895</v>
      </c>
      <c r="C1990" s="1">
        <v>45896</v>
      </c>
      <c r="D1990" t="s">
        <v>32</v>
      </c>
      <c r="E1990" t="s">
        <v>62</v>
      </c>
      <c r="F1990" t="s">
        <v>25</v>
      </c>
      <c r="G1990" t="s">
        <v>26</v>
      </c>
      <c r="H1990" t="s">
        <v>63</v>
      </c>
      <c r="I1990">
        <v>5</v>
      </c>
      <c r="J1990">
        <v>0.2</v>
      </c>
      <c r="K1990">
        <v>48.83</v>
      </c>
      <c r="L1990">
        <v>4.05</v>
      </c>
      <c r="M1990" t="s">
        <v>2477</v>
      </c>
      <c r="N1990" t="s">
        <v>2474</v>
      </c>
      <c r="O1990" t="s">
        <v>2468</v>
      </c>
      <c r="P1990">
        <v>6.33</v>
      </c>
      <c r="Q1990">
        <v>12.16</v>
      </c>
      <c r="R1990">
        <v>31.65</v>
      </c>
      <c r="S1990">
        <v>13.129999999999999</v>
      </c>
      <c r="T1990">
        <v>0.2688920745443375</v>
      </c>
      <c r="U1990" s="1">
        <v>45870</v>
      </c>
      <c r="V1990" t="s">
        <v>2500</v>
      </c>
      <c r="W1990">
        <v>2025</v>
      </c>
    </row>
    <row r="1991" spans="1:23" x14ac:dyDescent="0.25">
      <c r="A1991" t="s">
        <v>2038</v>
      </c>
      <c r="B1991" s="1">
        <v>45860</v>
      </c>
      <c r="C1991" s="1">
        <v>45862</v>
      </c>
      <c r="D1991" t="s">
        <v>23</v>
      </c>
      <c r="E1991" t="s">
        <v>59</v>
      </c>
      <c r="F1991" t="s">
        <v>15</v>
      </c>
      <c r="G1991" t="s">
        <v>20</v>
      </c>
      <c r="H1991" t="s">
        <v>39</v>
      </c>
      <c r="I1991">
        <v>4</v>
      </c>
      <c r="J1991">
        <v>0</v>
      </c>
      <c r="K1991">
        <v>721.94</v>
      </c>
      <c r="L1991">
        <v>9.5</v>
      </c>
      <c r="M1991" t="s">
        <v>2471</v>
      </c>
      <c r="N1991" t="s">
        <v>2467</v>
      </c>
      <c r="O1991" t="s">
        <v>2461</v>
      </c>
      <c r="P1991">
        <v>112.09</v>
      </c>
      <c r="Q1991">
        <v>192.47</v>
      </c>
      <c r="R1991">
        <v>448.36</v>
      </c>
      <c r="S1991">
        <v>264.08000000000004</v>
      </c>
      <c r="T1991">
        <v>0.36579217109455081</v>
      </c>
      <c r="U1991" s="1">
        <v>45839</v>
      </c>
      <c r="V1991" t="s">
        <v>2499</v>
      </c>
      <c r="W1991">
        <v>2025</v>
      </c>
    </row>
    <row r="1992" spans="1:23" x14ac:dyDescent="0.25">
      <c r="A1992" t="s">
        <v>2039</v>
      </c>
      <c r="B1992" s="1">
        <v>45533</v>
      </c>
      <c r="C1992" s="1">
        <v>45537</v>
      </c>
      <c r="D1992" t="s">
        <v>13</v>
      </c>
      <c r="E1992" t="s">
        <v>36</v>
      </c>
      <c r="F1992" t="s">
        <v>15</v>
      </c>
      <c r="G1992" t="s">
        <v>20</v>
      </c>
      <c r="H1992" t="s">
        <v>17</v>
      </c>
      <c r="I1992">
        <v>1</v>
      </c>
      <c r="J1992">
        <v>0</v>
      </c>
      <c r="K1992">
        <v>115.02</v>
      </c>
      <c r="L1992">
        <v>3.45</v>
      </c>
      <c r="M1992" t="s">
        <v>2472</v>
      </c>
      <c r="N1992" t="s">
        <v>2467</v>
      </c>
      <c r="O1992" t="s">
        <v>2468</v>
      </c>
      <c r="P1992">
        <v>63.69</v>
      </c>
      <c r="Q1992">
        <v>125.5</v>
      </c>
      <c r="R1992">
        <v>63.69</v>
      </c>
      <c r="S1992">
        <v>47.879999999999995</v>
      </c>
      <c r="T1992">
        <v>0.41627543035993736</v>
      </c>
      <c r="U1992" s="1">
        <v>45505</v>
      </c>
      <c r="V1992" t="s">
        <v>2499</v>
      </c>
      <c r="W1992">
        <v>2024</v>
      </c>
    </row>
    <row r="1993" spans="1:23" x14ac:dyDescent="0.25">
      <c r="A1993" t="s">
        <v>2040</v>
      </c>
      <c r="B1993" s="1">
        <v>45634</v>
      </c>
      <c r="C1993" s="1">
        <v>45635</v>
      </c>
      <c r="D1993" t="s">
        <v>23</v>
      </c>
      <c r="E1993" t="s">
        <v>24</v>
      </c>
      <c r="F1993" t="s">
        <v>29</v>
      </c>
      <c r="G1993" t="s">
        <v>26</v>
      </c>
      <c r="H1993" t="s">
        <v>68</v>
      </c>
      <c r="I1993">
        <v>4</v>
      </c>
      <c r="J1993">
        <v>0.1</v>
      </c>
      <c r="K1993">
        <v>275.27999999999997</v>
      </c>
      <c r="L1993">
        <v>5.7</v>
      </c>
      <c r="M1993" t="s">
        <v>2466</v>
      </c>
      <c r="N1993" t="s">
        <v>2467</v>
      </c>
      <c r="O1993" t="s">
        <v>2468</v>
      </c>
      <c r="P1993">
        <v>25.33</v>
      </c>
      <c r="Q1993">
        <v>51.56</v>
      </c>
      <c r="R1993">
        <v>101.32</v>
      </c>
      <c r="S1993">
        <v>168.26</v>
      </c>
      <c r="T1993">
        <v>0.61123219994187739</v>
      </c>
      <c r="U1993" s="1">
        <v>45627</v>
      </c>
      <c r="V1993" t="s">
        <v>2498</v>
      </c>
      <c r="W1993">
        <v>2024</v>
      </c>
    </row>
    <row r="1994" spans="1:23" x14ac:dyDescent="0.25">
      <c r="A1994" t="s">
        <v>2041</v>
      </c>
      <c r="B1994" s="1">
        <v>45447</v>
      </c>
      <c r="C1994" s="1">
        <v>45452</v>
      </c>
      <c r="D1994" t="s">
        <v>23</v>
      </c>
      <c r="E1994" t="s">
        <v>24</v>
      </c>
      <c r="F1994" t="s">
        <v>25</v>
      </c>
      <c r="G1994" t="s">
        <v>16</v>
      </c>
      <c r="H1994" t="s">
        <v>17</v>
      </c>
      <c r="I1994">
        <v>1</v>
      </c>
      <c r="J1994">
        <v>0</v>
      </c>
      <c r="K1994">
        <v>136.81</v>
      </c>
      <c r="L1994">
        <v>3.45</v>
      </c>
      <c r="M1994" t="s">
        <v>2472</v>
      </c>
      <c r="N1994" t="s">
        <v>2467</v>
      </c>
      <c r="O1994" t="s">
        <v>2468</v>
      </c>
      <c r="P1994">
        <v>63.69</v>
      </c>
      <c r="Q1994">
        <v>125.5</v>
      </c>
      <c r="R1994">
        <v>63.69</v>
      </c>
      <c r="S1994">
        <v>69.67</v>
      </c>
      <c r="T1994">
        <v>0.50924640011695055</v>
      </c>
      <c r="U1994" s="1">
        <v>45444</v>
      </c>
      <c r="V1994" t="s">
        <v>2499</v>
      </c>
      <c r="W1994">
        <v>2024</v>
      </c>
    </row>
    <row r="1995" spans="1:23" x14ac:dyDescent="0.25">
      <c r="A1995" t="s">
        <v>2042</v>
      </c>
      <c r="B1995" s="1">
        <v>45466</v>
      </c>
      <c r="C1995" s="1">
        <v>45471</v>
      </c>
      <c r="D1995" t="s">
        <v>13</v>
      </c>
      <c r="E1995" t="s">
        <v>36</v>
      </c>
      <c r="F1995" t="s">
        <v>15</v>
      </c>
      <c r="G1995" t="s">
        <v>20</v>
      </c>
      <c r="H1995" t="s">
        <v>68</v>
      </c>
      <c r="I1995">
        <v>3</v>
      </c>
      <c r="J1995">
        <v>0</v>
      </c>
      <c r="K1995">
        <v>157.82</v>
      </c>
      <c r="L1995">
        <v>8.25</v>
      </c>
      <c r="M1995" t="s">
        <v>2466</v>
      </c>
      <c r="N1995" t="s">
        <v>2467</v>
      </c>
      <c r="O1995" t="s">
        <v>2468</v>
      </c>
      <c r="P1995">
        <v>25.33</v>
      </c>
      <c r="Q1995">
        <v>51.56</v>
      </c>
      <c r="R1995">
        <v>75.989999999999995</v>
      </c>
      <c r="S1995">
        <v>73.58</v>
      </c>
      <c r="T1995">
        <v>0.46622734761120266</v>
      </c>
      <c r="U1995" s="1">
        <v>45444</v>
      </c>
      <c r="V1995" t="s">
        <v>2499</v>
      </c>
      <c r="W1995">
        <v>2024</v>
      </c>
    </row>
    <row r="1996" spans="1:23" x14ac:dyDescent="0.25">
      <c r="A1996" t="s">
        <v>2043</v>
      </c>
      <c r="B1996" s="1">
        <v>45474</v>
      </c>
      <c r="C1996" s="1">
        <v>45477</v>
      </c>
      <c r="D1996" t="s">
        <v>32</v>
      </c>
      <c r="E1996" t="s">
        <v>45</v>
      </c>
      <c r="F1996" t="s">
        <v>15</v>
      </c>
      <c r="G1996" t="s">
        <v>20</v>
      </c>
      <c r="H1996" t="s">
        <v>68</v>
      </c>
      <c r="I1996">
        <v>1</v>
      </c>
      <c r="J1996">
        <v>0.25</v>
      </c>
      <c r="K1996">
        <v>36.979999999999997</v>
      </c>
      <c r="L1996">
        <v>5.75</v>
      </c>
      <c r="M1996" t="s">
        <v>2466</v>
      </c>
      <c r="N1996" t="s">
        <v>2467</v>
      </c>
      <c r="O1996" t="s">
        <v>2468</v>
      </c>
      <c r="P1996">
        <v>25.33</v>
      </c>
      <c r="Q1996">
        <v>51.56</v>
      </c>
      <c r="R1996">
        <v>25.33</v>
      </c>
      <c r="S1996">
        <v>5.8999999999999986</v>
      </c>
      <c r="T1996">
        <v>0.15954570037858298</v>
      </c>
      <c r="U1996" s="1">
        <v>45474</v>
      </c>
      <c r="V1996" t="s">
        <v>2501</v>
      </c>
      <c r="W1996">
        <v>2024</v>
      </c>
    </row>
    <row r="1997" spans="1:23" x14ac:dyDescent="0.25">
      <c r="A1997" t="s">
        <v>2044</v>
      </c>
      <c r="B1997" s="1">
        <v>45475</v>
      </c>
      <c r="C1997" s="1">
        <v>45479</v>
      </c>
      <c r="D1997" t="s">
        <v>13</v>
      </c>
      <c r="E1997" t="s">
        <v>14</v>
      </c>
      <c r="F1997" t="s">
        <v>15</v>
      </c>
      <c r="G1997" t="s">
        <v>16</v>
      </c>
      <c r="H1997" t="s">
        <v>65</v>
      </c>
      <c r="I1997">
        <v>3</v>
      </c>
      <c r="J1997">
        <v>0</v>
      </c>
      <c r="K1997">
        <v>809.73</v>
      </c>
      <c r="L1997">
        <v>6.84</v>
      </c>
      <c r="M1997" t="s">
        <v>2457</v>
      </c>
      <c r="N1997" t="s">
        <v>2458</v>
      </c>
      <c r="O1997" t="s">
        <v>2459</v>
      </c>
      <c r="P1997">
        <v>173.56</v>
      </c>
      <c r="Q1997">
        <v>286.14999999999998</v>
      </c>
      <c r="R1997">
        <v>520.68000000000006</v>
      </c>
      <c r="S1997">
        <v>282.20999999999998</v>
      </c>
      <c r="T1997">
        <v>0.34852358193471894</v>
      </c>
      <c r="U1997" s="1">
        <v>45474</v>
      </c>
      <c r="V1997" t="s">
        <v>2499</v>
      </c>
      <c r="W1997">
        <v>2024</v>
      </c>
    </row>
    <row r="1998" spans="1:23" x14ac:dyDescent="0.25">
      <c r="A1998" t="s">
        <v>2045</v>
      </c>
      <c r="B1998" s="1">
        <v>45535</v>
      </c>
      <c r="C1998" s="1">
        <v>45539</v>
      </c>
      <c r="D1998" t="s">
        <v>32</v>
      </c>
      <c r="E1998" t="s">
        <v>45</v>
      </c>
      <c r="F1998" t="s">
        <v>15</v>
      </c>
      <c r="G1998" t="s">
        <v>16</v>
      </c>
      <c r="H1998" t="s">
        <v>41</v>
      </c>
      <c r="I1998">
        <v>9</v>
      </c>
      <c r="J1998">
        <v>0.1</v>
      </c>
      <c r="K1998">
        <v>44.44</v>
      </c>
      <c r="L1998">
        <v>8.5500000000000007</v>
      </c>
      <c r="M1998" t="s">
        <v>2479</v>
      </c>
      <c r="N1998" t="s">
        <v>2474</v>
      </c>
      <c r="O1998" t="s">
        <v>2459</v>
      </c>
      <c r="P1998">
        <v>3.3</v>
      </c>
      <c r="Q1998">
        <v>6.13</v>
      </c>
      <c r="R1998">
        <v>29.7</v>
      </c>
      <c r="S1998">
        <v>6.1899999999999977</v>
      </c>
      <c r="T1998">
        <v>0.13928892889288924</v>
      </c>
      <c r="U1998" s="1">
        <v>45505</v>
      </c>
      <c r="V1998" t="s">
        <v>2498</v>
      </c>
      <c r="W1998">
        <v>2024</v>
      </c>
    </row>
    <row r="1999" spans="1:23" x14ac:dyDescent="0.25">
      <c r="A1999" t="s">
        <v>2046</v>
      </c>
      <c r="B1999" s="1">
        <v>45525</v>
      </c>
      <c r="C1999" s="1">
        <v>45528</v>
      </c>
      <c r="D1999" t="s">
        <v>23</v>
      </c>
      <c r="E1999" t="s">
        <v>24</v>
      </c>
      <c r="F1999" t="s">
        <v>29</v>
      </c>
      <c r="G1999" t="s">
        <v>16</v>
      </c>
      <c r="H1999" t="s">
        <v>60</v>
      </c>
      <c r="I1999">
        <v>7</v>
      </c>
      <c r="J1999">
        <v>0.2</v>
      </c>
      <c r="K1999">
        <v>630.75</v>
      </c>
      <c r="L1999">
        <v>7.95</v>
      </c>
      <c r="M1999" t="s">
        <v>2469</v>
      </c>
      <c r="N1999" t="s">
        <v>2467</v>
      </c>
      <c r="O1999" t="s">
        <v>2468</v>
      </c>
      <c r="P1999">
        <v>54.95</v>
      </c>
      <c r="Q1999">
        <v>112.56</v>
      </c>
      <c r="R1999">
        <v>384.65000000000003</v>
      </c>
      <c r="S1999">
        <v>238.14999999999998</v>
      </c>
      <c r="T1999">
        <v>0.37756638921918345</v>
      </c>
      <c r="U1999" s="1">
        <v>45505</v>
      </c>
      <c r="V1999" t="s">
        <v>2500</v>
      </c>
      <c r="W1999">
        <v>2024</v>
      </c>
    </row>
    <row r="2000" spans="1:23" x14ac:dyDescent="0.25">
      <c r="A2000" t="s">
        <v>2047</v>
      </c>
      <c r="B2000" s="1">
        <v>46001</v>
      </c>
      <c r="C2000" s="1">
        <v>46004</v>
      </c>
      <c r="D2000" t="s">
        <v>47</v>
      </c>
      <c r="E2000" t="s">
        <v>48</v>
      </c>
      <c r="F2000" t="s">
        <v>29</v>
      </c>
      <c r="G2000" t="s">
        <v>20</v>
      </c>
      <c r="H2000" t="s">
        <v>21</v>
      </c>
      <c r="I2000">
        <v>2</v>
      </c>
      <c r="J2000">
        <v>0</v>
      </c>
      <c r="K2000">
        <v>334.92</v>
      </c>
      <c r="L2000">
        <v>9.1</v>
      </c>
      <c r="M2000" t="s">
        <v>2462</v>
      </c>
      <c r="N2000" t="s">
        <v>2458</v>
      </c>
      <c r="O2000" t="s">
        <v>2463</v>
      </c>
      <c r="P2000">
        <v>71.489999999999995</v>
      </c>
      <c r="Q2000">
        <v>112.88</v>
      </c>
      <c r="R2000">
        <v>142.97999999999999</v>
      </c>
      <c r="S2000">
        <v>182.84000000000003</v>
      </c>
      <c r="T2000">
        <v>0.5459214140690315</v>
      </c>
      <c r="U2000" s="1">
        <v>45992</v>
      </c>
      <c r="V2000" t="s">
        <v>2499</v>
      </c>
      <c r="W2000">
        <v>2025</v>
      </c>
    </row>
    <row r="2001" spans="1:23" x14ac:dyDescent="0.25">
      <c r="A2001" t="s">
        <v>2048</v>
      </c>
      <c r="B2001" s="1">
        <v>45691</v>
      </c>
      <c r="C2001" s="1">
        <v>45697</v>
      </c>
      <c r="D2001" t="s">
        <v>47</v>
      </c>
      <c r="E2001" t="s">
        <v>50</v>
      </c>
      <c r="F2001" t="s">
        <v>15</v>
      </c>
      <c r="G2001" t="s">
        <v>26</v>
      </c>
      <c r="H2001" t="s">
        <v>51</v>
      </c>
      <c r="I2001">
        <v>3</v>
      </c>
      <c r="J2001">
        <v>0.1</v>
      </c>
      <c r="K2001">
        <v>37.409999999999997</v>
      </c>
      <c r="L2001">
        <v>5.85</v>
      </c>
      <c r="M2001" t="s">
        <v>2475</v>
      </c>
      <c r="N2001" t="s">
        <v>2474</v>
      </c>
      <c r="O2001" t="s">
        <v>2463</v>
      </c>
      <c r="P2001">
        <v>7.93</v>
      </c>
      <c r="Q2001">
        <v>14.78</v>
      </c>
      <c r="R2001">
        <v>23.79</v>
      </c>
      <c r="S2001">
        <v>7.7699999999999978</v>
      </c>
      <c r="T2001">
        <v>0.20769847634322369</v>
      </c>
      <c r="U2001" s="1">
        <v>45689</v>
      </c>
      <c r="V2001" t="s">
        <v>2498</v>
      </c>
      <c r="W2001">
        <v>2025</v>
      </c>
    </row>
    <row r="2002" spans="1:23" x14ac:dyDescent="0.25">
      <c r="A2002" t="s">
        <v>2049</v>
      </c>
      <c r="B2002" s="1">
        <v>45638</v>
      </c>
      <c r="C2002" s="1">
        <v>45643</v>
      </c>
      <c r="D2002" t="s">
        <v>47</v>
      </c>
      <c r="E2002" t="s">
        <v>71</v>
      </c>
      <c r="F2002" t="s">
        <v>15</v>
      </c>
      <c r="G2002" t="s">
        <v>20</v>
      </c>
      <c r="H2002" t="s">
        <v>37</v>
      </c>
      <c r="I2002">
        <v>3</v>
      </c>
      <c r="J2002">
        <v>0</v>
      </c>
      <c r="K2002">
        <v>468.96</v>
      </c>
      <c r="L2002">
        <v>6.84</v>
      </c>
      <c r="M2002" t="s">
        <v>2464</v>
      </c>
      <c r="N2002" t="s">
        <v>2458</v>
      </c>
      <c r="O2002" t="s">
        <v>2465</v>
      </c>
      <c r="P2002">
        <v>63.6</v>
      </c>
      <c r="Q2002">
        <v>107.94</v>
      </c>
      <c r="R2002">
        <v>190.8</v>
      </c>
      <c r="S2002">
        <v>271.32</v>
      </c>
      <c r="T2002">
        <v>0.57855680655066533</v>
      </c>
      <c r="U2002" s="1">
        <v>45627</v>
      </c>
      <c r="V2002" t="s">
        <v>2499</v>
      </c>
      <c r="W2002">
        <v>2024</v>
      </c>
    </row>
    <row r="2003" spans="1:23" x14ac:dyDescent="0.25">
      <c r="A2003" t="s">
        <v>2050</v>
      </c>
      <c r="B2003" s="1">
        <v>45668</v>
      </c>
      <c r="C2003" s="1">
        <v>45670</v>
      </c>
      <c r="D2003" t="s">
        <v>23</v>
      </c>
      <c r="E2003" t="s">
        <v>24</v>
      </c>
      <c r="F2003" t="s">
        <v>25</v>
      </c>
      <c r="G2003" t="s">
        <v>20</v>
      </c>
      <c r="H2003" t="s">
        <v>21</v>
      </c>
      <c r="I2003">
        <v>5</v>
      </c>
      <c r="J2003">
        <v>0.05</v>
      </c>
      <c r="K2003">
        <v>472.41</v>
      </c>
      <c r="L2003">
        <v>9.6</v>
      </c>
      <c r="M2003" t="s">
        <v>2462</v>
      </c>
      <c r="N2003" t="s">
        <v>2458</v>
      </c>
      <c r="O2003" t="s">
        <v>2463</v>
      </c>
      <c r="P2003">
        <v>71.489999999999995</v>
      </c>
      <c r="Q2003">
        <v>112.88</v>
      </c>
      <c r="R2003">
        <v>357.45</v>
      </c>
      <c r="S2003">
        <v>105.36000000000004</v>
      </c>
      <c r="T2003">
        <v>0.22302660824283999</v>
      </c>
      <c r="U2003" s="1">
        <v>45658</v>
      </c>
      <c r="V2003" t="s">
        <v>2498</v>
      </c>
      <c r="W2003">
        <v>2025</v>
      </c>
    </row>
    <row r="2004" spans="1:23" x14ac:dyDescent="0.25">
      <c r="A2004" t="s">
        <v>2051</v>
      </c>
      <c r="B2004" s="1">
        <v>45919</v>
      </c>
      <c r="C2004" s="1">
        <v>45924</v>
      </c>
      <c r="D2004" t="s">
        <v>47</v>
      </c>
      <c r="E2004" t="s">
        <v>48</v>
      </c>
      <c r="F2004" t="s">
        <v>15</v>
      </c>
      <c r="G2004" t="s">
        <v>20</v>
      </c>
      <c r="H2004" t="s">
        <v>41</v>
      </c>
      <c r="I2004">
        <v>7</v>
      </c>
      <c r="J2004">
        <v>0</v>
      </c>
      <c r="K2004">
        <v>44.04</v>
      </c>
      <c r="L2004">
        <v>4.59</v>
      </c>
      <c r="M2004" t="s">
        <v>2479</v>
      </c>
      <c r="N2004" t="s">
        <v>2474</v>
      </c>
      <c r="O2004" t="s">
        <v>2459</v>
      </c>
      <c r="P2004">
        <v>3.3</v>
      </c>
      <c r="Q2004">
        <v>6.13</v>
      </c>
      <c r="R2004">
        <v>23.099999999999998</v>
      </c>
      <c r="S2004">
        <v>16.350000000000001</v>
      </c>
      <c r="T2004">
        <v>0.37125340599455042</v>
      </c>
      <c r="U2004" s="1">
        <v>45901</v>
      </c>
      <c r="V2004" t="s">
        <v>2499</v>
      </c>
      <c r="W2004">
        <v>2025</v>
      </c>
    </row>
    <row r="2005" spans="1:23" x14ac:dyDescent="0.25">
      <c r="A2005" t="s">
        <v>2052</v>
      </c>
      <c r="B2005" s="1">
        <v>45788</v>
      </c>
      <c r="C2005" s="1">
        <v>45792</v>
      </c>
      <c r="D2005" t="s">
        <v>32</v>
      </c>
      <c r="E2005" t="s">
        <v>45</v>
      </c>
      <c r="F2005" t="s">
        <v>29</v>
      </c>
      <c r="G2005" t="s">
        <v>16</v>
      </c>
      <c r="H2005" t="s">
        <v>41</v>
      </c>
      <c r="I2005">
        <v>3</v>
      </c>
      <c r="J2005">
        <v>0</v>
      </c>
      <c r="K2005">
        <v>19.2</v>
      </c>
      <c r="L2005">
        <v>5.85</v>
      </c>
      <c r="M2005" t="s">
        <v>2479</v>
      </c>
      <c r="N2005" t="s">
        <v>2474</v>
      </c>
      <c r="O2005" t="s">
        <v>2459</v>
      </c>
      <c r="P2005">
        <v>3.3</v>
      </c>
      <c r="Q2005">
        <v>6.13</v>
      </c>
      <c r="R2005">
        <v>9.8999999999999986</v>
      </c>
      <c r="S2005">
        <v>3.4500000000000011</v>
      </c>
      <c r="T2005">
        <v>0.17968750000000006</v>
      </c>
      <c r="U2005" s="1">
        <v>45778</v>
      </c>
      <c r="V2005" t="s">
        <v>2499</v>
      </c>
      <c r="W2005">
        <v>2025</v>
      </c>
    </row>
    <row r="2006" spans="1:23" x14ac:dyDescent="0.25">
      <c r="A2006" t="s">
        <v>2053</v>
      </c>
      <c r="B2006" s="1">
        <v>45547</v>
      </c>
      <c r="C2006" s="1">
        <v>45548</v>
      </c>
      <c r="D2006" t="s">
        <v>32</v>
      </c>
      <c r="E2006" t="s">
        <v>62</v>
      </c>
      <c r="F2006" t="s">
        <v>15</v>
      </c>
      <c r="G2006" t="s">
        <v>16</v>
      </c>
      <c r="H2006" t="s">
        <v>53</v>
      </c>
      <c r="I2006">
        <v>2</v>
      </c>
      <c r="J2006">
        <v>0.05</v>
      </c>
      <c r="K2006">
        <v>121.07</v>
      </c>
      <c r="L2006">
        <v>7</v>
      </c>
      <c r="M2006" t="s">
        <v>2470</v>
      </c>
      <c r="N2006" t="s">
        <v>2467</v>
      </c>
      <c r="O2006" t="s">
        <v>2459</v>
      </c>
      <c r="P2006">
        <v>31.34</v>
      </c>
      <c r="Q2006">
        <v>56.49</v>
      </c>
      <c r="R2006">
        <v>62.68</v>
      </c>
      <c r="S2006">
        <v>51.389999999999993</v>
      </c>
      <c r="T2006">
        <v>0.42446518542991657</v>
      </c>
      <c r="U2006" s="1">
        <v>45536</v>
      </c>
      <c r="V2006" t="s">
        <v>2498</v>
      </c>
      <c r="W2006">
        <v>2024</v>
      </c>
    </row>
    <row r="2007" spans="1:23" x14ac:dyDescent="0.25">
      <c r="A2007" t="s">
        <v>2054</v>
      </c>
      <c r="B2007" s="1">
        <v>45909</v>
      </c>
      <c r="C2007" s="1">
        <v>45912</v>
      </c>
      <c r="D2007" t="s">
        <v>47</v>
      </c>
      <c r="E2007" t="s">
        <v>50</v>
      </c>
      <c r="F2007" t="s">
        <v>15</v>
      </c>
      <c r="G2007" t="s">
        <v>20</v>
      </c>
      <c r="H2007" t="s">
        <v>37</v>
      </c>
      <c r="I2007">
        <v>2</v>
      </c>
      <c r="J2007">
        <v>0</v>
      </c>
      <c r="K2007">
        <v>224.46</v>
      </c>
      <c r="L2007">
        <v>5.46</v>
      </c>
      <c r="M2007" t="s">
        <v>2464</v>
      </c>
      <c r="N2007" t="s">
        <v>2458</v>
      </c>
      <c r="O2007" t="s">
        <v>2465</v>
      </c>
      <c r="P2007">
        <v>63.6</v>
      </c>
      <c r="Q2007">
        <v>107.94</v>
      </c>
      <c r="R2007">
        <v>127.2</v>
      </c>
      <c r="S2007">
        <v>91.800000000000011</v>
      </c>
      <c r="T2007">
        <v>0.40898155573376105</v>
      </c>
      <c r="U2007" s="1">
        <v>45901</v>
      </c>
      <c r="V2007" t="s">
        <v>2499</v>
      </c>
      <c r="W2007">
        <v>2025</v>
      </c>
    </row>
    <row r="2008" spans="1:23" x14ac:dyDescent="0.25">
      <c r="A2008" t="s">
        <v>2055</v>
      </c>
      <c r="B2008" s="1">
        <v>45359</v>
      </c>
      <c r="C2008" s="1">
        <v>45364</v>
      </c>
      <c r="D2008" t="s">
        <v>23</v>
      </c>
      <c r="E2008" t="s">
        <v>24</v>
      </c>
      <c r="F2008" t="s">
        <v>25</v>
      </c>
      <c r="G2008" t="s">
        <v>20</v>
      </c>
      <c r="H2008" t="s">
        <v>53</v>
      </c>
      <c r="I2008">
        <v>4</v>
      </c>
      <c r="J2008">
        <v>0</v>
      </c>
      <c r="K2008">
        <v>213.07</v>
      </c>
      <c r="L2008">
        <v>5.7</v>
      </c>
      <c r="M2008" t="s">
        <v>2470</v>
      </c>
      <c r="N2008" t="s">
        <v>2467</v>
      </c>
      <c r="O2008" t="s">
        <v>2459</v>
      </c>
      <c r="P2008">
        <v>31.34</v>
      </c>
      <c r="Q2008">
        <v>56.49</v>
      </c>
      <c r="R2008">
        <v>125.36</v>
      </c>
      <c r="S2008">
        <v>82.009999999999991</v>
      </c>
      <c r="T2008">
        <v>0.38489698221241841</v>
      </c>
      <c r="U2008" s="1">
        <v>45352</v>
      </c>
      <c r="V2008" t="s">
        <v>2499</v>
      </c>
      <c r="W2008">
        <v>2024</v>
      </c>
    </row>
    <row r="2009" spans="1:23" x14ac:dyDescent="0.25">
      <c r="A2009" t="s">
        <v>2056</v>
      </c>
      <c r="B2009" s="1">
        <v>45529</v>
      </c>
      <c r="C2009" s="1">
        <v>45532</v>
      </c>
      <c r="D2009" t="s">
        <v>47</v>
      </c>
      <c r="E2009" t="s">
        <v>71</v>
      </c>
      <c r="F2009" t="s">
        <v>29</v>
      </c>
      <c r="G2009" t="s">
        <v>26</v>
      </c>
      <c r="H2009" t="s">
        <v>21</v>
      </c>
      <c r="I2009">
        <v>1</v>
      </c>
      <c r="J2009">
        <v>0.15</v>
      </c>
      <c r="K2009">
        <v>91.01</v>
      </c>
      <c r="L2009">
        <v>4.08</v>
      </c>
      <c r="M2009" t="s">
        <v>2462</v>
      </c>
      <c r="N2009" t="s">
        <v>2458</v>
      </c>
      <c r="O2009" t="s">
        <v>2463</v>
      </c>
      <c r="P2009">
        <v>71.489999999999995</v>
      </c>
      <c r="Q2009">
        <v>112.88</v>
      </c>
      <c r="R2009">
        <v>71.489999999999995</v>
      </c>
      <c r="S2009">
        <v>15.44000000000001</v>
      </c>
      <c r="T2009">
        <v>0.16965168662784319</v>
      </c>
      <c r="U2009" s="1">
        <v>45505</v>
      </c>
      <c r="V2009" t="s">
        <v>2500</v>
      </c>
      <c r="W2009">
        <v>2024</v>
      </c>
    </row>
    <row r="2010" spans="1:23" x14ac:dyDescent="0.25">
      <c r="A2010" t="s">
        <v>2057</v>
      </c>
      <c r="B2010" s="1">
        <v>45876</v>
      </c>
      <c r="C2010" s="1">
        <v>45878</v>
      </c>
      <c r="D2010" t="s">
        <v>32</v>
      </c>
      <c r="E2010" t="s">
        <v>45</v>
      </c>
      <c r="F2010" t="s">
        <v>25</v>
      </c>
      <c r="G2010" t="s">
        <v>20</v>
      </c>
      <c r="H2010" t="s">
        <v>41</v>
      </c>
      <c r="I2010">
        <v>14</v>
      </c>
      <c r="J2010">
        <v>0</v>
      </c>
      <c r="K2010">
        <v>83.75</v>
      </c>
      <c r="L2010">
        <v>10.8</v>
      </c>
      <c r="M2010" t="s">
        <v>2479</v>
      </c>
      <c r="N2010" t="s">
        <v>2474</v>
      </c>
      <c r="O2010" t="s">
        <v>2459</v>
      </c>
      <c r="P2010">
        <v>3.3</v>
      </c>
      <c r="Q2010">
        <v>6.13</v>
      </c>
      <c r="R2010">
        <v>46.199999999999996</v>
      </c>
      <c r="S2010">
        <v>26.750000000000004</v>
      </c>
      <c r="T2010">
        <v>0.31940298507462689</v>
      </c>
      <c r="U2010" s="1">
        <v>45870</v>
      </c>
      <c r="V2010" t="s">
        <v>2499</v>
      </c>
      <c r="W2010">
        <v>2025</v>
      </c>
    </row>
    <row r="2011" spans="1:23" x14ac:dyDescent="0.25">
      <c r="A2011" t="s">
        <v>2058</v>
      </c>
      <c r="B2011" s="1">
        <v>45981</v>
      </c>
      <c r="C2011" s="1">
        <v>45984</v>
      </c>
      <c r="D2011" t="s">
        <v>32</v>
      </c>
      <c r="E2011" t="s">
        <v>33</v>
      </c>
      <c r="F2011" t="s">
        <v>15</v>
      </c>
      <c r="G2011" t="s">
        <v>20</v>
      </c>
      <c r="H2011" t="s">
        <v>68</v>
      </c>
      <c r="I2011">
        <v>4</v>
      </c>
      <c r="J2011">
        <v>0.2</v>
      </c>
      <c r="K2011">
        <v>219.02</v>
      </c>
      <c r="L2011">
        <v>5.7</v>
      </c>
      <c r="M2011" t="s">
        <v>2466</v>
      </c>
      <c r="N2011" t="s">
        <v>2467</v>
      </c>
      <c r="O2011" t="s">
        <v>2468</v>
      </c>
      <c r="P2011">
        <v>25.33</v>
      </c>
      <c r="Q2011">
        <v>51.56</v>
      </c>
      <c r="R2011">
        <v>101.32</v>
      </c>
      <c r="S2011">
        <v>112.00000000000001</v>
      </c>
      <c r="T2011">
        <v>0.51136882476486167</v>
      </c>
      <c r="U2011" s="1">
        <v>45962</v>
      </c>
      <c r="V2011" t="s">
        <v>2500</v>
      </c>
      <c r="W2011">
        <v>2025</v>
      </c>
    </row>
    <row r="2012" spans="1:23" x14ac:dyDescent="0.25">
      <c r="A2012" t="s">
        <v>2059</v>
      </c>
      <c r="B2012" s="1">
        <v>45705</v>
      </c>
      <c r="C2012" s="1">
        <v>45706</v>
      </c>
      <c r="D2012" t="s">
        <v>23</v>
      </c>
      <c r="E2012" t="s">
        <v>59</v>
      </c>
      <c r="F2012" t="s">
        <v>25</v>
      </c>
      <c r="G2012" t="s">
        <v>16</v>
      </c>
      <c r="H2012" t="s">
        <v>27</v>
      </c>
      <c r="I2012">
        <v>5</v>
      </c>
      <c r="J2012">
        <v>0.2</v>
      </c>
      <c r="K2012">
        <v>97.57</v>
      </c>
      <c r="L2012">
        <v>4.05</v>
      </c>
      <c r="M2012" t="s">
        <v>2478</v>
      </c>
      <c r="N2012" t="s">
        <v>2474</v>
      </c>
      <c r="O2012" t="s">
        <v>2463</v>
      </c>
      <c r="P2012">
        <v>16.760000000000002</v>
      </c>
      <c r="Q2012">
        <v>27.71</v>
      </c>
      <c r="R2012">
        <v>83.800000000000011</v>
      </c>
      <c r="S2012">
        <v>9.7199999999999811</v>
      </c>
      <c r="T2012">
        <v>9.9620785077380161E-2</v>
      </c>
      <c r="U2012" s="1">
        <v>45689</v>
      </c>
      <c r="V2012" t="s">
        <v>2500</v>
      </c>
      <c r="W2012">
        <v>2025</v>
      </c>
    </row>
    <row r="2013" spans="1:23" x14ac:dyDescent="0.25">
      <c r="A2013" t="s">
        <v>2060</v>
      </c>
      <c r="B2013" s="1">
        <v>45615</v>
      </c>
      <c r="C2013" s="1">
        <v>45621</v>
      </c>
      <c r="D2013" t="s">
        <v>32</v>
      </c>
      <c r="E2013" t="s">
        <v>45</v>
      </c>
      <c r="F2013" t="s">
        <v>29</v>
      </c>
      <c r="G2013" t="s">
        <v>20</v>
      </c>
      <c r="H2013" t="s">
        <v>27</v>
      </c>
      <c r="I2013">
        <v>12</v>
      </c>
      <c r="J2013">
        <v>0</v>
      </c>
      <c r="K2013">
        <v>454.38</v>
      </c>
      <c r="L2013">
        <v>9.9</v>
      </c>
      <c r="M2013" t="s">
        <v>2478</v>
      </c>
      <c r="N2013" t="s">
        <v>2474</v>
      </c>
      <c r="O2013" t="s">
        <v>2463</v>
      </c>
      <c r="P2013">
        <v>16.760000000000002</v>
      </c>
      <c r="Q2013">
        <v>27.71</v>
      </c>
      <c r="R2013">
        <v>201.12</v>
      </c>
      <c r="S2013">
        <v>243.35999999999999</v>
      </c>
      <c r="T2013">
        <v>0.53558695365112896</v>
      </c>
      <c r="U2013" s="1">
        <v>45597</v>
      </c>
      <c r="V2013" t="s">
        <v>2499</v>
      </c>
      <c r="W2013">
        <v>2024</v>
      </c>
    </row>
    <row r="2014" spans="1:23" x14ac:dyDescent="0.25">
      <c r="A2014" t="s">
        <v>2061</v>
      </c>
      <c r="B2014" s="1">
        <v>45874</v>
      </c>
      <c r="C2014" s="1">
        <v>45879</v>
      </c>
      <c r="D2014" t="s">
        <v>32</v>
      </c>
      <c r="E2014" t="s">
        <v>62</v>
      </c>
      <c r="F2014" t="s">
        <v>15</v>
      </c>
      <c r="G2014" t="s">
        <v>20</v>
      </c>
      <c r="H2014" t="s">
        <v>68</v>
      </c>
      <c r="I2014">
        <v>5</v>
      </c>
      <c r="J2014">
        <v>0</v>
      </c>
      <c r="K2014">
        <v>247.64</v>
      </c>
      <c r="L2014">
        <v>6.45</v>
      </c>
      <c r="M2014" t="s">
        <v>2466</v>
      </c>
      <c r="N2014" t="s">
        <v>2467</v>
      </c>
      <c r="O2014" t="s">
        <v>2468</v>
      </c>
      <c r="P2014">
        <v>25.33</v>
      </c>
      <c r="Q2014">
        <v>51.56</v>
      </c>
      <c r="R2014">
        <v>126.64999999999999</v>
      </c>
      <c r="S2014">
        <v>114.53999999999999</v>
      </c>
      <c r="T2014">
        <v>0.46252624777903406</v>
      </c>
      <c r="U2014" s="1">
        <v>45870</v>
      </c>
      <c r="V2014" t="s">
        <v>2499</v>
      </c>
      <c r="W2014">
        <v>2025</v>
      </c>
    </row>
    <row r="2015" spans="1:23" x14ac:dyDescent="0.25">
      <c r="A2015" t="s">
        <v>2062</v>
      </c>
      <c r="B2015" s="1">
        <v>45656</v>
      </c>
      <c r="C2015" s="1">
        <v>45661</v>
      </c>
      <c r="D2015" t="s">
        <v>13</v>
      </c>
      <c r="E2015" t="s">
        <v>36</v>
      </c>
      <c r="F2015" t="s">
        <v>25</v>
      </c>
      <c r="G2015" t="s">
        <v>16</v>
      </c>
      <c r="H2015" t="s">
        <v>34</v>
      </c>
      <c r="I2015">
        <v>7</v>
      </c>
      <c r="J2015">
        <v>0.15</v>
      </c>
      <c r="K2015">
        <v>1804.35</v>
      </c>
      <c r="L2015">
        <v>20.6</v>
      </c>
      <c r="M2015" t="s">
        <v>2460</v>
      </c>
      <c r="N2015" t="s">
        <v>2458</v>
      </c>
      <c r="O2015" t="s">
        <v>2461</v>
      </c>
      <c r="P2015">
        <v>119.02</v>
      </c>
      <c r="Q2015">
        <v>205.39</v>
      </c>
      <c r="R2015">
        <v>833.14</v>
      </c>
      <c r="S2015">
        <v>950.6099999999999</v>
      </c>
      <c r="T2015">
        <v>0.52684346163438356</v>
      </c>
      <c r="U2015" s="1">
        <v>45627</v>
      </c>
      <c r="V2015" t="s">
        <v>2500</v>
      </c>
      <c r="W2015">
        <v>2024</v>
      </c>
    </row>
    <row r="2016" spans="1:23" x14ac:dyDescent="0.25">
      <c r="A2016" t="s">
        <v>2063</v>
      </c>
      <c r="B2016" s="1">
        <v>45602</v>
      </c>
      <c r="C2016" s="1">
        <v>45608</v>
      </c>
      <c r="D2016" t="s">
        <v>47</v>
      </c>
      <c r="E2016" t="s">
        <v>50</v>
      </c>
      <c r="F2016" t="s">
        <v>25</v>
      </c>
      <c r="G2016" t="s">
        <v>26</v>
      </c>
      <c r="H2016" t="s">
        <v>34</v>
      </c>
      <c r="I2016">
        <v>2</v>
      </c>
      <c r="J2016">
        <v>0</v>
      </c>
      <c r="K2016">
        <v>535.14</v>
      </c>
      <c r="L2016">
        <v>9.1</v>
      </c>
      <c r="M2016" t="s">
        <v>2460</v>
      </c>
      <c r="N2016" t="s">
        <v>2458</v>
      </c>
      <c r="O2016" t="s">
        <v>2461</v>
      </c>
      <c r="P2016">
        <v>119.02</v>
      </c>
      <c r="Q2016">
        <v>205.39</v>
      </c>
      <c r="R2016">
        <v>238.04</v>
      </c>
      <c r="S2016">
        <v>288</v>
      </c>
      <c r="T2016">
        <v>0.53817692566431219</v>
      </c>
      <c r="U2016" s="1">
        <v>45597</v>
      </c>
      <c r="V2016" t="s">
        <v>2499</v>
      </c>
      <c r="W2016">
        <v>2024</v>
      </c>
    </row>
    <row r="2017" spans="1:23" x14ac:dyDescent="0.25">
      <c r="A2017" t="s">
        <v>2064</v>
      </c>
      <c r="B2017" s="1">
        <v>45643</v>
      </c>
      <c r="C2017" s="1">
        <v>45646</v>
      </c>
      <c r="D2017" t="s">
        <v>47</v>
      </c>
      <c r="E2017" t="s">
        <v>48</v>
      </c>
      <c r="F2017" t="s">
        <v>29</v>
      </c>
      <c r="G2017" t="s">
        <v>16</v>
      </c>
      <c r="H2017" t="s">
        <v>37</v>
      </c>
      <c r="I2017">
        <v>4</v>
      </c>
      <c r="J2017">
        <v>0</v>
      </c>
      <c r="K2017">
        <v>608</v>
      </c>
      <c r="L2017">
        <v>13.7</v>
      </c>
      <c r="M2017" t="s">
        <v>2464</v>
      </c>
      <c r="N2017" t="s">
        <v>2458</v>
      </c>
      <c r="O2017" t="s">
        <v>2465</v>
      </c>
      <c r="P2017">
        <v>63.6</v>
      </c>
      <c r="Q2017">
        <v>107.94</v>
      </c>
      <c r="R2017">
        <v>254.4</v>
      </c>
      <c r="S2017">
        <v>339.90000000000003</v>
      </c>
      <c r="T2017">
        <v>0.55904605263157903</v>
      </c>
      <c r="U2017" s="1">
        <v>45627</v>
      </c>
      <c r="V2017" t="s">
        <v>2499</v>
      </c>
      <c r="W2017">
        <v>2024</v>
      </c>
    </row>
    <row r="2018" spans="1:23" x14ac:dyDescent="0.25">
      <c r="A2018" t="s">
        <v>2065</v>
      </c>
      <c r="B2018" s="1">
        <v>45758</v>
      </c>
      <c r="C2018" s="1">
        <v>45761</v>
      </c>
      <c r="D2018" t="s">
        <v>32</v>
      </c>
      <c r="E2018" t="s">
        <v>62</v>
      </c>
      <c r="F2018" t="s">
        <v>29</v>
      </c>
      <c r="G2018" t="s">
        <v>20</v>
      </c>
      <c r="H2018" t="s">
        <v>39</v>
      </c>
      <c r="I2018">
        <v>3</v>
      </c>
      <c r="J2018">
        <v>0.25</v>
      </c>
      <c r="K2018">
        <v>402.52</v>
      </c>
      <c r="L2018">
        <v>8.25</v>
      </c>
      <c r="M2018" t="s">
        <v>2471</v>
      </c>
      <c r="N2018" t="s">
        <v>2467</v>
      </c>
      <c r="O2018" t="s">
        <v>2461</v>
      </c>
      <c r="P2018">
        <v>112.09</v>
      </c>
      <c r="Q2018">
        <v>192.47</v>
      </c>
      <c r="R2018">
        <v>336.27</v>
      </c>
      <c r="S2018">
        <v>58</v>
      </c>
      <c r="T2018">
        <v>0.14409221902017291</v>
      </c>
      <c r="U2018" s="1">
        <v>45748</v>
      </c>
      <c r="V2018" t="s">
        <v>2501</v>
      </c>
      <c r="W2018">
        <v>2025</v>
      </c>
    </row>
    <row r="2019" spans="1:23" x14ac:dyDescent="0.25">
      <c r="A2019" t="s">
        <v>2066</v>
      </c>
      <c r="B2019" s="1">
        <v>45978</v>
      </c>
      <c r="C2019" s="1">
        <v>45979</v>
      </c>
      <c r="D2019" t="s">
        <v>32</v>
      </c>
      <c r="E2019" t="s">
        <v>33</v>
      </c>
      <c r="F2019" t="s">
        <v>15</v>
      </c>
      <c r="G2019" t="s">
        <v>20</v>
      </c>
      <c r="H2019" t="s">
        <v>63</v>
      </c>
      <c r="I2019">
        <v>11</v>
      </c>
      <c r="J2019">
        <v>0</v>
      </c>
      <c r="K2019">
        <v>172.86</v>
      </c>
      <c r="L2019">
        <v>5.67</v>
      </c>
      <c r="M2019" t="s">
        <v>2477</v>
      </c>
      <c r="N2019" t="s">
        <v>2474</v>
      </c>
      <c r="O2019" t="s">
        <v>2468</v>
      </c>
      <c r="P2019">
        <v>6.33</v>
      </c>
      <c r="Q2019">
        <v>12.16</v>
      </c>
      <c r="R2019">
        <v>69.63</v>
      </c>
      <c r="S2019">
        <v>97.560000000000016</v>
      </c>
      <c r="T2019">
        <v>0.56438736549809099</v>
      </c>
      <c r="U2019" s="1">
        <v>45962</v>
      </c>
      <c r="V2019" t="s">
        <v>2499</v>
      </c>
      <c r="W2019">
        <v>2025</v>
      </c>
    </row>
    <row r="2020" spans="1:23" x14ac:dyDescent="0.25">
      <c r="A2020" t="s">
        <v>2067</v>
      </c>
      <c r="B2020" s="1">
        <v>45806</v>
      </c>
      <c r="C2020" s="1">
        <v>45812</v>
      </c>
      <c r="D2020" t="s">
        <v>23</v>
      </c>
      <c r="E2020" t="s">
        <v>43</v>
      </c>
      <c r="F2020" t="s">
        <v>25</v>
      </c>
      <c r="G2020" t="s">
        <v>20</v>
      </c>
      <c r="H2020" t="s">
        <v>34</v>
      </c>
      <c r="I2020">
        <v>3</v>
      </c>
      <c r="J2020">
        <v>0.1</v>
      </c>
      <c r="K2020">
        <v>548.83000000000004</v>
      </c>
      <c r="L2020">
        <v>6.84</v>
      </c>
      <c r="M2020" t="s">
        <v>2460</v>
      </c>
      <c r="N2020" t="s">
        <v>2458</v>
      </c>
      <c r="O2020" t="s">
        <v>2461</v>
      </c>
      <c r="P2020">
        <v>119.02</v>
      </c>
      <c r="Q2020">
        <v>205.39</v>
      </c>
      <c r="R2020">
        <v>357.06</v>
      </c>
      <c r="S2020">
        <v>184.93000000000004</v>
      </c>
      <c r="T2020">
        <v>0.33695315489313632</v>
      </c>
      <c r="U2020" s="1">
        <v>45778</v>
      </c>
      <c r="V2020" t="s">
        <v>2498</v>
      </c>
      <c r="W2020">
        <v>2025</v>
      </c>
    </row>
    <row r="2021" spans="1:23" x14ac:dyDescent="0.25">
      <c r="A2021" t="s">
        <v>2068</v>
      </c>
      <c r="B2021" s="1">
        <v>45815</v>
      </c>
      <c r="C2021" s="1">
        <v>45817</v>
      </c>
      <c r="D2021" t="s">
        <v>32</v>
      </c>
      <c r="E2021" t="s">
        <v>33</v>
      </c>
      <c r="F2021" t="s">
        <v>25</v>
      </c>
      <c r="G2021" t="s">
        <v>26</v>
      </c>
      <c r="H2021" t="s">
        <v>30</v>
      </c>
      <c r="I2021">
        <v>11</v>
      </c>
      <c r="J2021">
        <v>0.25</v>
      </c>
      <c r="K2021">
        <v>49.17</v>
      </c>
      <c r="L2021">
        <v>9.4499999999999993</v>
      </c>
      <c r="M2021" t="s">
        <v>2473</v>
      </c>
      <c r="N2021" t="s">
        <v>2474</v>
      </c>
      <c r="O2021" t="s">
        <v>2463</v>
      </c>
      <c r="P2021">
        <v>3.62</v>
      </c>
      <c r="Q2021">
        <v>6.03</v>
      </c>
      <c r="R2021">
        <v>39.82</v>
      </c>
      <c r="S2021">
        <v>-9.9999999999997868E-2</v>
      </c>
      <c r="T2021">
        <v>-2.0337604230221246E-3</v>
      </c>
      <c r="U2021" s="1">
        <v>45809</v>
      </c>
      <c r="V2021" t="s">
        <v>2501</v>
      </c>
      <c r="W2021">
        <v>2025</v>
      </c>
    </row>
    <row r="2022" spans="1:23" x14ac:dyDescent="0.25">
      <c r="A2022" t="s">
        <v>2069</v>
      </c>
      <c r="B2022" s="1">
        <v>45998</v>
      </c>
      <c r="C2022" s="1">
        <v>46004</v>
      </c>
      <c r="D2022" t="s">
        <v>23</v>
      </c>
      <c r="E2022" t="s">
        <v>43</v>
      </c>
      <c r="F2022" t="s">
        <v>25</v>
      </c>
      <c r="G2022" t="s">
        <v>16</v>
      </c>
      <c r="H2022" t="s">
        <v>37</v>
      </c>
      <c r="I2022">
        <v>3</v>
      </c>
      <c r="J2022">
        <v>0.1</v>
      </c>
      <c r="K2022">
        <v>427.34</v>
      </c>
      <c r="L2022">
        <v>6.84</v>
      </c>
      <c r="M2022" t="s">
        <v>2464</v>
      </c>
      <c r="N2022" t="s">
        <v>2458</v>
      </c>
      <c r="O2022" t="s">
        <v>2465</v>
      </c>
      <c r="P2022">
        <v>63.6</v>
      </c>
      <c r="Q2022">
        <v>107.94</v>
      </c>
      <c r="R2022">
        <v>190.8</v>
      </c>
      <c r="S2022">
        <v>229.69999999999996</v>
      </c>
      <c r="T2022">
        <v>0.53751111527121254</v>
      </c>
      <c r="U2022" s="1">
        <v>45992</v>
      </c>
      <c r="V2022" t="s">
        <v>2498</v>
      </c>
      <c r="W2022">
        <v>2025</v>
      </c>
    </row>
    <row r="2023" spans="1:23" x14ac:dyDescent="0.25">
      <c r="A2023" t="s">
        <v>2070</v>
      </c>
      <c r="B2023" s="1">
        <v>45675</v>
      </c>
      <c r="C2023" s="1">
        <v>45676</v>
      </c>
      <c r="D2023" t="s">
        <v>23</v>
      </c>
      <c r="E2023" t="s">
        <v>43</v>
      </c>
      <c r="F2023" t="s">
        <v>15</v>
      </c>
      <c r="G2023" t="s">
        <v>20</v>
      </c>
      <c r="H2023" t="s">
        <v>60</v>
      </c>
      <c r="I2023">
        <v>2</v>
      </c>
      <c r="J2023">
        <v>0.15</v>
      </c>
      <c r="K2023">
        <v>175.33</v>
      </c>
      <c r="L2023">
        <v>7</v>
      </c>
      <c r="M2023" t="s">
        <v>2469</v>
      </c>
      <c r="N2023" t="s">
        <v>2467</v>
      </c>
      <c r="O2023" t="s">
        <v>2468</v>
      </c>
      <c r="P2023">
        <v>54.95</v>
      </c>
      <c r="Q2023">
        <v>112.56</v>
      </c>
      <c r="R2023">
        <v>109.9</v>
      </c>
      <c r="S2023">
        <v>58.430000000000007</v>
      </c>
      <c r="T2023">
        <v>0.33325728626019507</v>
      </c>
      <c r="U2023" s="1">
        <v>45658</v>
      </c>
      <c r="V2023" t="s">
        <v>2500</v>
      </c>
      <c r="W2023">
        <v>2025</v>
      </c>
    </row>
    <row r="2024" spans="1:23" x14ac:dyDescent="0.25">
      <c r="A2024" t="s">
        <v>2071</v>
      </c>
      <c r="B2024" s="1">
        <v>46015</v>
      </c>
      <c r="C2024" s="1">
        <v>46019</v>
      </c>
      <c r="D2024" t="s">
        <v>32</v>
      </c>
      <c r="E2024" t="s">
        <v>62</v>
      </c>
      <c r="F2024" t="s">
        <v>25</v>
      </c>
      <c r="G2024" t="s">
        <v>20</v>
      </c>
      <c r="H2024" t="s">
        <v>65</v>
      </c>
      <c r="I2024">
        <v>2</v>
      </c>
      <c r="J2024">
        <v>0</v>
      </c>
      <c r="K2024">
        <v>839.53</v>
      </c>
      <c r="L2024">
        <v>5.46</v>
      </c>
      <c r="M2024" t="s">
        <v>2457</v>
      </c>
      <c r="N2024" t="s">
        <v>2458</v>
      </c>
      <c r="O2024" t="s">
        <v>2459</v>
      </c>
      <c r="P2024">
        <v>173.56</v>
      </c>
      <c r="Q2024">
        <v>286.14999999999998</v>
      </c>
      <c r="R2024">
        <v>347.12</v>
      </c>
      <c r="S2024">
        <v>486.95</v>
      </c>
      <c r="T2024">
        <v>0.5800269198241873</v>
      </c>
      <c r="U2024" s="1">
        <v>45992</v>
      </c>
      <c r="V2024" t="s">
        <v>2499</v>
      </c>
      <c r="W2024">
        <v>2025</v>
      </c>
    </row>
    <row r="2025" spans="1:23" x14ac:dyDescent="0.25">
      <c r="A2025" t="s">
        <v>2072</v>
      </c>
      <c r="B2025" s="1">
        <v>45958</v>
      </c>
      <c r="C2025" s="1">
        <v>45964</v>
      </c>
      <c r="D2025" t="s">
        <v>23</v>
      </c>
      <c r="E2025" t="s">
        <v>43</v>
      </c>
      <c r="F2025" t="s">
        <v>15</v>
      </c>
      <c r="G2025" t="s">
        <v>16</v>
      </c>
      <c r="H2025" t="s">
        <v>60</v>
      </c>
      <c r="I2025">
        <v>5</v>
      </c>
      <c r="J2025">
        <v>0.2</v>
      </c>
      <c r="K2025">
        <v>511.12</v>
      </c>
      <c r="L2025">
        <v>6.45</v>
      </c>
      <c r="M2025" t="s">
        <v>2469</v>
      </c>
      <c r="N2025" t="s">
        <v>2467</v>
      </c>
      <c r="O2025" t="s">
        <v>2468</v>
      </c>
      <c r="P2025">
        <v>54.95</v>
      </c>
      <c r="Q2025">
        <v>112.56</v>
      </c>
      <c r="R2025">
        <v>274.75</v>
      </c>
      <c r="S2025">
        <v>229.92000000000002</v>
      </c>
      <c r="T2025">
        <v>0.44983565503208645</v>
      </c>
      <c r="U2025" s="1">
        <v>45931</v>
      </c>
      <c r="V2025" t="s">
        <v>2500</v>
      </c>
      <c r="W2025">
        <v>2025</v>
      </c>
    </row>
    <row r="2026" spans="1:23" x14ac:dyDescent="0.25">
      <c r="A2026" t="s">
        <v>2073</v>
      </c>
      <c r="B2026" s="1">
        <v>45550</v>
      </c>
      <c r="C2026" s="1">
        <v>45553</v>
      </c>
      <c r="D2026" t="s">
        <v>47</v>
      </c>
      <c r="E2026" t="s">
        <v>50</v>
      </c>
      <c r="F2026" t="s">
        <v>25</v>
      </c>
      <c r="G2026" t="s">
        <v>16</v>
      </c>
      <c r="H2026" t="s">
        <v>87</v>
      </c>
      <c r="I2026">
        <v>12</v>
      </c>
      <c r="J2026">
        <v>0.25</v>
      </c>
      <c r="K2026">
        <v>79.88</v>
      </c>
      <c r="L2026">
        <v>5.94</v>
      </c>
      <c r="M2026" t="s">
        <v>2476</v>
      </c>
      <c r="N2026" t="s">
        <v>2474</v>
      </c>
      <c r="O2026" t="s">
        <v>2459</v>
      </c>
      <c r="P2026">
        <v>4.5</v>
      </c>
      <c r="Q2026">
        <v>8.2899999999999991</v>
      </c>
      <c r="R2026">
        <v>54</v>
      </c>
      <c r="S2026">
        <v>19.939999999999994</v>
      </c>
      <c r="T2026">
        <v>0.24962443665498241</v>
      </c>
      <c r="U2026" s="1">
        <v>45536</v>
      </c>
      <c r="V2026" t="s">
        <v>2501</v>
      </c>
      <c r="W2026">
        <v>2024</v>
      </c>
    </row>
    <row r="2027" spans="1:23" x14ac:dyDescent="0.25">
      <c r="A2027" t="s">
        <v>2074</v>
      </c>
      <c r="B2027" s="1">
        <v>46006</v>
      </c>
      <c r="C2027" s="1">
        <v>46011</v>
      </c>
      <c r="D2027" t="s">
        <v>13</v>
      </c>
      <c r="E2027" t="s">
        <v>14</v>
      </c>
      <c r="F2027" t="s">
        <v>15</v>
      </c>
      <c r="G2027" t="s">
        <v>20</v>
      </c>
      <c r="H2027" t="s">
        <v>39</v>
      </c>
      <c r="I2027">
        <v>1</v>
      </c>
      <c r="J2027">
        <v>0</v>
      </c>
      <c r="K2027">
        <v>276.39</v>
      </c>
      <c r="L2027">
        <v>3.45</v>
      </c>
      <c r="M2027" t="s">
        <v>2471</v>
      </c>
      <c r="N2027" t="s">
        <v>2467</v>
      </c>
      <c r="O2027" t="s">
        <v>2461</v>
      </c>
      <c r="P2027">
        <v>112.09</v>
      </c>
      <c r="Q2027">
        <v>192.47</v>
      </c>
      <c r="R2027">
        <v>112.09</v>
      </c>
      <c r="S2027">
        <v>160.85</v>
      </c>
      <c r="T2027">
        <v>0.58196750967835309</v>
      </c>
      <c r="U2027" s="1">
        <v>45992</v>
      </c>
      <c r="V2027" t="s">
        <v>2499</v>
      </c>
      <c r="W2027">
        <v>2025</v>
      </c>
    </row>
    <row r="2028" spans="1:23" x14ac:dyDescent="0.25">
      <c r="A2028" t="s">
        <v>2075</v>
      </c>
      <c r="B2028" s="1">
        <v>45494</v>
      </c>
      <c r="C2028" s="1">
        <v>45499</v>
      </c>
      <c r="D2028" t="s">
        <v>47</v>
      </c>
      <c r="E2028" t="s">
        <v>48</v>
      </c>
      <c r="F2028" t="s">
        <v>25</v>
      </c>
      <c r="G2028" t="s">
        <v>20</v>
      </c>
      <c r="H2028" t="s">
        <v>60</v>
      </c>
      <c r="I2028">
        <v>4</v>
      </c>
      <c r="J2028">
        <v>0.25</v>
      </c>
      <c r="K2028">
        <v>325.41000000000003</v>
      </c>
      <c r="L2028">
        <v>5.7</v>
      </c>
      <c r="M2028" t="s">
        <v>2469</v>
      </c>
      <c r="N2028" t="s">
        <v>2467</v>
      </c>
      <c r="O2028" t="s">
        <v>2468</v>
      </c>
      <c r="P2028">
        <v>54.95</v>
      </c>
      <c r="Q2028">
        <v>112.56</v>
      </c>
      <c r="R2028">
        <v>219.8</v>
      </c>
      <c r="S2028">
        <v>99.910000000000011</v>
      </c>
      <c r="T2028">
        <v>0.3070280569128177</v>
      </c>
      <c r="U2028" s="1">
        <v>45474</v>
      </c>
      <c r="V2028" t="s">
        <v>2501</v>
      </c>
      <c r="W2028">
        <v>2024</v>
      </c>
    </row>
    <row r="2029" spans="1:23" x14ac:dyDescent="0.25">
      <c r="A2029" t="s">
        <v>2076</v>
      </c>
      <c r="B2029" s="1">
        <v>45857</v>
      </c>
      <c r="C2029" s="1">
        <v>45863</v>
      </c>
      <c r="D2029" t="s">
        <v>47</v>
      </c>
      <c r="E2029" t="s">
        <v>50</v>
      </c>
      <c r="F2029" t="s">
        <v>15</v>
      </c>
      <c r="G2029" t="s">
        <v>26</v>
      </c>
      <c r="H2029" t="s">
        <v>53</v>
      </c>
      <c r="I2029">
        <v>4</v>
      </c>
      <c r="J2029">
        <v>0.2</v>
      </c>
      <c r="K2029">
        <v>162.38999999999999</v>
      </c>
      <c r="L2029">
        <v>5.7</v>
      </c>
      <c r="M2029" t="s">
        <v>2470</v>
      </c>
      <c r="N2029" t="s">
        <v>2467</v>
      </c>
      <c r="O2029" t="s">
        <v>2459</v>
      </c>
      <c r="P2029">
        <v>31.34</v>
      </c>
      <c r="Q2029">
        <v>56.49</v>
      </c>
      <c r="R2029">
        <v>125.36</v>
      </c>
      <c r="S2029">
        <v>31.329999999999988</v>
      </c>
      <c r="T2029">
        <v>0.19293059917482597</v>
      </c>
      <c r="U2029" s="1">
        <v>45839</v>
      </c>
      <c r="V2029" t="s">
        <v>2500</v>
      </c>
      <c r="W2029">
        <v>2025</v>
      </c>
    </row>
    <row r="2030" spans="1:23" x14ac:dyDescent="0.25">
      <c r="A2030" t="s">
        <v>2077</v>
      </c>
      <c r="B2030" s="1">
        <v>45941</v>
      </c>
      <c r="C2030" s="1">
        <v>45943</v>
      </c>
      <c r="D2030" t="s">
        <v>32</v>
      </c>
      <c r="E2030" t="s">
        <v>45</v>
      </c>
      <c r="F2030" t="s">
        <v>25</v>
      </c>
      <c r="G2030" t="s">
        <v>20</v>
      </c>
      <c r="H2030" t="s">
        <v>68</v>
      </c>
      <c r="I2030">
        <v>2</v>
      </c>
      <c r="J2030">
        <v>0.05</v>
      </c>
      <c r="K2030">
        <v>120.06</v>
      </c>
      <c r="L2030">
        <v>7</v>
      </c>
      <c r="M2030" t="s">
        <v>2466</v>
      </c>
      <c r="N2030" t="s">
        <v>2467</v>
      </c>
      <c r="O2030" t="s">
        <v>2468</v>
      </c>
      <c r="P2030">
        <v>25.33</v>
      </c>
      <c r="Q2030">
        <v>51.56</v>
      </c>
      <c r="R2030">
        <v>50.66</v>
      </c>
      <c r="S2030">
        <v>62.400000000000006</v>
      </c>
      <c r="T2030">
        <v>0.51974012993503249</v>
      </c>
      <c r="U2030" s="1">
        <v>45931</v>
      </c>
      <c r="V2030" t="s">
        <v>2498</v>
      </c>
      <c r="W2030">
        <v>2025</v>
      </c>
    </row>
    <row r="2031" spans="1:23" x14ac:dyDescent="0.25">
      <c r="A2031" t="s">
        <v>2078</v>
      </c>
      <c r="B2031" s="1">
        <v>45604</v>
      </c>
      <c r="C2031" s="1">
        <v>45610</v>
      </c>
      <c r="D2031" t="s">
        <v>47</v>
      </c>
      <c r="E2031" t="s">
        <v>50</v>
      </c>
      <c r="F2031" t="s">
        <v>15</v>
      </c>
      <c r="G2031" t="s">
        <v>26</v>
      </c>
      <c r="H2031" t="s">
        <v>65</v>
      </c>
      <c r="I2031">
        <v>7</v>
      </c>
      <c r="J2031">
        <v>0</v>
      </c>
      <c r="K2031">
        <v>2598.19</v>
      </c>
      <c r="L2031">
        <v>20.6</v>
      </c>
      <c r="M2031" t="s">
        <v>2457</v>
      </c>
      <c r="N2031" t="s">
        <v>2458</v>
      </c>
      <c r="O2031" t="s">
        <v>2459</v>
      </c>
      <c r="P2031">
        <v>173.56</v>
      </c>
      <c r="Q2031">
        <v>286.14999999999998</v>
      </c>
      <c r="R2031">
        <v>1214.92</v>
      </c>
      <c r="S2031">
        <v>1362.67</v>
      </c>
      <c r="T2031">
        <v>0.52446895723561404</v>
      </c>
      <c r="U2031" s="1">
        <v>45597</v>
      </c>
      <c r="V2031" t="s">
        <v>2499</v>
      </c>
      <c r="W2031">
        <v>2024</v>
      </c>
    </row>
    <row r="2032" spans="1:23" x14ac:dyDescent="0.25">
      <c r="A2032" t="s">
        <v>2079</v>
      </c>
      <c r="B2032" s="1">
        <v>45536</v>
      </c>
      <c r="C2032" s="1">
        <v>45542</v>
      </c>
      <c r="D2032" t="s">
        <v>47</v>
      </c>
      <c r="E2032" t="s">
        <v>50</v>
      </c>
      <c r="F2032" t="s">
        <v>15</v>
      </c>
      <c r="G2032" t="s">
        <v>20</v>
      </c>
      <c r="H2032" t="s">
        <v>60</v>
      </c>
      <c r="I2032">
        <v>2</v>
      </c>
      <c r="J2032">
        <v>0</v>
      </c>
      <c r="K2032">
        <v>256.91000000000003</v>
      </c>
      <c r="L2032">
        <v>4.2</v>
      </c>
      <c r="M2032" t="s">
        <v>2469</v>
      </c>
      <c r="N2032" t="s">
        <v>2467</v>
      </c>
      <c r="O2032" t="s">
        <v>2468</v>
      </c>
      <c r="P2032">
        <v>54.95</v>
      </c>
      <c r="Q2032">
        <v>112.56</v>
      </c>
      <c r="R2032">
        <v>109.9</v>
      </c>
      <c r="S2032">
        <v>142.81000000000003</v>
      </c>
      <c r="T2032">
        <v>0.55587559845860424</v>
      </c>
      <c r="U2032" s="1">
        <v>45536</v>
      </c>
      <c r="V2032" t="s">
        <v>2499</v>
      </c>
      <c r="W2032">
        <v>2024</v>
      </c>
    </row>
    <row r="2033" spans="1:23" x14ac:dyDescent="0.25">
      <c r="A2033" t="s">
        <v>2080</v>
      </c>
      <c r="B2033" s="1">
        <v>45446</v>
      </c>
      <c r="C2033" s="1">
        <v>45451</v>
      </c>
      <c r="D2033" t="s">
        <v>47</v>
      </c>
      <c r="E2033" t="s">
        <v>48</v>
      </c>
      <c r="F2033" t="s">
        <v>29</v>
      </c>
      <c r="G2033" t="s">
        <v>20</v>
      </c>
      <c r="H2033" t="s">
        <v>34</v>
      </c>
      <c r="I2033">
        <v>3</v>
      </c>
      <c r="J2033">
        <v>0</v>
      </c>
      <c r="K2033">
        <v>662.98</v>
      </c>
      <c r="L2033">
        <v>6.84</v>
      </c>
      <c r="M2033" t="s">
        <v>2460</v>
      </c>
      <c r="N2033" t="s">
        <v>2458</v>
      </c>
      <c r="O2033" t="s">
        <v>2461</v>
      </c>
      <c r="P2033">
        <v>119.02</v>
      </c>
      <c r="Q2033">
        <v>205.39</v>
      </c>
      <c r="R2033">
        <v>357.06</v>
      </c>
      <c r="S2033">
        <v>299.08000000000004</v>
      </c>
      <c r="T2033">
        <v>0.45111466409243117</v>
      </c>
      <c r="U2033" s="1">
        <v>45444</v>
      </c>
      <c r="V2033" t="s">
        <v>2499</v>
      </c>
      <c r="W2033">
        <v>2024</v>
      </c>
    </row>
    <row r="2034" spans="1:23" x14ac:dyDescent="0.25">
      <c r="A2034" t="s">
        <v>2081</v>
      </c>
      <c r="B2034" s="1">
        <v>45295</v>
      </c>
      <c r="C2034" s="1">
        <v>45301</v>
      </c>
      <c r="D2034" t="s">
        <v>47</v>
      </c>
      <c r="E2034" t="s">
        <v>50</v>
      </c>
      <c r="F2034" t="s">
        <v>15</v>
      </c>
      <c r="G2034" t="s">
        <v>26</v>
      </c>
      <c r="H2034" t="s">
        <v>60</v>
      </c>
      <c r="I2034">
        <v>4</v>
      </c>
      <c r="J2034">
        <v>0</v>
      </c>
      <c r="K2034">
        <v>387.34</v>
      </c>
      <c r="L2034">
        <v>9.5</v>
      </c>
      <c r="M2034" t="s">
        <v>2469</v>
      </c>
      <c r="N2034" t="s">
        <v>2467</v>
      </c>
      <c r="O2034" t="s">
        <v>2468</v>
      </c>
      <c r="P2034">
        <v>54.95</v>
      </c>
      <c r="Q2034">
        <v>112.56</v>
      </c>
      <c r="R2034">
        <v>219.8</v>
      </c>
      <c r="S2034">
        <v>158.03999999999996</v>
      </c>
      <c r="T2034">
        <v>0.40801363143491498</v>
      </c>
      <c r="U2034" s="1">
        <v>45292</v>
      </c>
      <c r="V2034" t="s">
        <v>2499</v>
      </c>
      <c r="W2034">
        <v>2024</v>
      </c>
    </row>
    <row r="2035" spans="1:23" x14ac:dyDescent="0.25">
      <c r="A2035" t="s">
        <v>2082</v>
      </c>
      <c r="B2035" s="1">
        <v>45558</v>
      </c>
      <c r="C2035" s="1">
        <v>45560</v>
      </c>
      <c r="D2035" t="s">
        <v>13</v>
      </c>
      <c r="E2035" t="s">
        <v>14</v>
      </c>
      <c r="F2035" t="s">
        <v>29</v>
      </c>
      <c r="G2035" t="s">
        <v>16</v>
      </c>
      <c r="H2035" t="s">
        <v>30</v>
      </c>
      <c r="I2035">
        <v>14</v>
      </c>
      <c r="J2035">
        <v>0</v>
      </c>
      <c r="K2035">
        <v>88.25</v>
      </c>
      <c r="L2035">
        <v>6.48</v>
      </c>
      <c r="M2035" t="s">
        <v>2473</v>
      </c>
      <c r="N2035" t="s">
        <v>2474</v>
      </c>
      <c r="O2035" t="s">
        <v>2463</v>
      </c>
      <c r="P2035">
        <v>3.62</v>
      </c>
      <c r="Q2035">
        <v>6.03</v>
      </c>
      <c r="R2035">
        <v>50.68</v>
      </c>
      <c r="S2035">
        <v>31.09</v>
      </c>
      <c r="T2035">
        <v>0.35229461756373937</v>
      </c>
      <c r="U2035" s="1">
        <v>45536</v>
      </c>
      <c r="V2035" t="s">
        <v>2499</v>
      </c>
      <c r="W2035">
        <v>2024</v>
      </c>
    </row>
    <row r="2036" spans="1:23" x14ac:dyDescent="0.25">
      <c r="A2036" t="s">
        <v>2083</v>
      </c>
      <c r="B2036" s="1">
        <v>45861</v>
      </c>
      <c r="C2036" s="1">
        <v>45864</v>
      </c>
      <c r="D2036" t="s">
        <v>32</v>
      </c>
      <c r="E2036" t="s">
        <v>45</v>
      </c>
      <c r="F2036" t="s">
        <v>15</v>
      </c>
      <c r="G2036" t="s">
        <v>20</v>
      </c>
      <c r="H2036" t="s">
        <v>60</v>
      </c>
      <c r="I2036">
        <v>2</v>
      </c>
      <c r="J2036">
        <v>0</v>
      </c>
      <c r="K2036">
        <v>217.37</v>
      </c>
      <c r="L2036">
        <v>7</v>
      </c>
      <c r="M2036" t="s">
        <v>2469</v>
      </c>
      <c r="N2036" t="s">
        <v>2467</v>
      </c>
      <c r="O2036" t="s">
        <v>2468</v>
      </c>
      <c r="P2036">
        <v>54.95</v>
      </c>
      <c r="Q2036">
        <v>112.56</v>
      </c>
      <c r="R2036">
        <v>109.9</v>
      </c>
      <c r="S2036">
        <v>100.47</v>
      </c>
      <c r="T2036">
        <v>0.46220729631503887</v>
      </c>
      <c r="U2036" s="1">
        <v>45839</v>
      </c>
      <c r="V2036" t="s">
        <v>2499</v>
      </c>
      <c r="W2036">
        <v>2025</v>
      </c>
    </row>
    <row r="2037" spans="1:23" x14ac:dyDescent="0.25">
      <c r="A2037" t="s">
        <v>2084</v>
      </c>
      <c r="B2037" s="1">
        <v>45915</v>
      </c>
      <c r="C2037" s="1">
        <v>45920</v>
      </c>
      <c r="D2037" t="s">
        <v>13</v>
      </c>
      <c r="E2037" t="s">
        <v>36</v>
      </c>
      <c r="F2037" t="s">
        <v>25</v>
      </c>
      <c r="G2037" t="s">
        <v>26</v>
      </c>
      <c r="H2037" t="s">
        <v>51</v>
      </c>
      <c r="I2037">
        <v>7</v>
      </c>
      <c r="J2037">
        <v>0</v>
      </c>
      <c r="K2037">
        <v>112.69</v>
      </c>
      <c r="L2037">
        <v>7.65</v>
      </c>
      <c r="M2037" t="s">
        <v>2475</v>
      </c>
      <c r="N2037" t="s">
        <v>2474</v>
      </c>
      <c r="O2037" t="s">
        <v>2463</v>
      </c>
      <c r="P2037">
        <v>7.93</v>
      </c>
      <c r="Q2037">
        <v>14.78</v>
      </c>
      <c r="R2037">
        <v>55.51</v>
      </c>
      <c r="S2037">
        <v>49.53</v>
      </c>
      <c r="T2037">
        <v>0.43952435886059105</v>
      </c>
      <c r="U2037" s="1">
        <v>45901</v>
      </c>
      <c r="V2037" t="s">
        <v>2499</v>
      </c>
      <c r="W2037">
        <v>2025</v>
      </c>
    </row>
    <row r="2038" spans="1:23" x14ac:dyDescent="0.25">
      <c r="A2038" t="s">
        <v>2085</v>
      </c>
      <c r="B2038" s="1">
        <v>45874</v>
      </c>
      <c r="C2038" s="1">
        <v>45878</v>
      </c>
      <c r="D2038" t="s">
        <v>23</v>
      </c>
      <c r="E2038" t="s">
        <v>43</v>
      </c>
      <c r="F2038" t="s">
        <v>15</v>
      </c>
      <c r="G2038" t="s">
        <v>26</v>
      </c>
      <c r="H2038" t="s">
        <v>30</v>
      </c>
      <c r="I2038">
        <v>18</v>
      </c>
      <c r="J2038">
        <v>0</v>
      </c>
      <c r="K2038">
        <v>105.07</v>
      </c>
      <c r="L2038">
        <v>12.6</v>
      </c>
      <c r="M2038" t="s">
        <v>2473</v>
      </c>
      <c r="N2038" t="s">
        <v>2474</v>
      </c>
      <c r="O2038" t="s">
        <v>2463</v>
      </c>
      <c r="P2038">
        <v>3.62</v>
      </c>
      <c r="Q2038">
        <v>6.03</v>
      </c>
      <c r="R2038">
        <v>65.16</v>
      </c>
      <c r="S2038">
        <v>27.309999999999995</v>
      </c>
      <c r="T2038">
        <v>0.25992195679071095</v>
      </c>
      <c r="U2038" s="1">
        <v>45870</v>
      </c>
      <c r="V2038" t="s">
        <v>2499</v>
      </c>
      <c r="W2038">
        <v>2025</v>
      </c>
    </row>
    <row r="2039" spans="1:23" x14ac:dyDescent="0.25">
      <c r="A2039" t="s">
        <v>2086</v>
      </c>
      <c r="B2039" s="1">
        <v>45634</v>
      </c>
      <c r="C2039" s="1">
        <v>45636</v>
      </c>
      <c r="D2039" t="s">
        <v>47</v>
      </c>
      <c r="E2039" t="s">
        <v>50</v>
      </c>
      <c r="F2039" t="s">
        <v>29</v>
      </c>
      <c r="G2039" t="s">
        <v>20</v>
      </c>
      <c r="H2039" t="s">
        <v>53</v>
      </c>
      <c r="I2039">
        <v>4</v>
      </c>
      <c r="J2039">
        <v>0</v>
      </c>
      <c r="K2039">
        <v>321.57</v>
      </c>
      <c r="L2039">
        <v>5.7</v>
      </c>
      <c r="M2039" t="s">
        <v>2470</v>
      </c>
      <c r="N2039" t="s">
        <v>2467</v>
      </c>
      <c r="O2039" t="s">
        <v>2459</v>
      </c>
      <c r="P2039">
        <v>31.34</v>
      </c>
      <c r="Q2039">
        <v>56.49</v>
      </c>
      <c r="R2039">
        <v>125.36</v>
      </c>
      <c r="S2039">
        <v>190.51</v>
      </c>
      <c r="T2039">
        <v>0.59243710545137918</v>
      </c>
      <c r="U2039" s="1">
        <v>45627</v>
      </c>
      <c r="V2039" t="s">
        <v>2499</v>
      </c>
      <c r="W2039">
        <v>2024</v>
      </c>
    </row>
    <row r="2040" spans="1:23" x14ac:dyDescent="0.25">
      <c r="A2040" t="s">
        <v>2087</v>
      </c>
      <c r="B2040" s="1">
        <v>45497</v>
      </c>
      <c r="C2040" s="1">
        <v>45501</v>
      </c>
      <c r="D2040" t="s">
        <v>13</v>
      </c>
      <c r="E2040" t="s">
        <v>19</v>
      </c>
      <c r="F2040" t="s">
        <v>25</v>
      </c>
      <c r="G2040" t="s">
        <v>20</v>
      </c>
      <c r="H2040" t="s">
        <v>21</v>
      </c>
      <c r="I2040">
        <v>3</v>
      </c>
      <c r="J2040">
        <v>0</v>
      </c>
      <c r="K2040">
        <v>304.49</v>
      </c>
      <c r="L2040">
        <v>6.84</v>
      </c>
      <c r="M2040" t="s">
        <v>2462</v>
      </c>
      <c r="N2040" t="s">
        <v>2458</v>
      </c>
      <c r="O2040" t="s">
        <v>2463</v>
      </c>
      <c r="P2040">
        <v>71.489999999999995</v>
      </c>
      <c r="Q2040">
        <v>112.88</v>
      </c>
      <c r="R2040">
        <v>214.46999999999997</v>
      </c>
      <c r="S2040">
        <v>83.180000000000035</v>
      </c>
      <c r="T2040">
        <v>0.2731781010870637</v>
      </c>
      <c r="U2040" s="1">
        <v>45474</v>
      </c>
      <c r="V2040" t="s">
        <v>2499</v>
      </c>
      <c r="W2040">
        <v>2024</v>
      </c>
    </row>
    <row r="2041" spans="1:23" x14ac:dyDescent="0.25">
      <c r="A2041" t="s">
        <v>2088</v>
      </c>
      <c r="B2041" s="1">
        <v>45781</v>
      </c>
      <c r="C2041" s="1">
        <v>45784</v>
      </c>
      <c r="D2041" t="s">
        <v>47</v>
      </c>
      <c r="E2041" t="s">
        <v>50</v>
      </c>
      <c r="F2041" t="s">
        <v>29</v>
      </c>
      <c r="G2041" t="s">
        <v>16</v>
      </c>
      <c r="H2041" t="s">
        <v>60</v>
      </c>
      <c r="I2041">
        <v>3</v>
      </c>
      <c r="J2041">
        <v>0.15</v>
      </c>
      <c r="K2041">
        <v>306.67</v>
      </c>
      <c r="L2041">
        <v>4.95</v>
      </c>
      <c r="M2041" t="s">
        <v>2469</v>
      </c>
      <c r="N2041" t="s">
        <v>2467</v>
      </c>
      <c r="O2041" t="s">
        <v>2468</v>
      </c>
      <c r="P2041">
        <v>54.95</v>
      </c>
      <c r="Q2041">
        <v>112.56</v>
      </c>
      <c r="R2041">
        <v>164.85000000000002</v>
      </c>
      <c r="S2041">
        <v>136.87</v>
      </c>
      <c r="T2041">
        <v>0.4463103661916718</v>
      </c>
      <c r="U2041" s="1">
        <v>45778</v>
      </c>
      <c r="V2041" t="s">
        <v>2500</v>
      </c>
      <c r="W2041">
        <v>2025</v>
      </c>
    </row>
    <row r="2042" spans="1:23" x14ac:dyDescent="0.25">
      <c r="A2042" t="s">
        <v>2089</v>
      </c>
      <c r="B2042" s="1">
        <v>45352</v>
      </c>
      <c r="C2042" s="1">
        <v>45358</v>
      </c>
      <c r="D2042" t="s">
        <v>32</v>
      </c>
      <c r="E2042" t="s">
        <v>33</v>
      </c>
      <c r="F2042" t="s">
        <v>29</v>
      </c>
      <c r="G2042" t="s">
        <v>20</v>
      </c>
      <c r="H2042" t="s">
        <v>37</v>
      </c>
      <c r="I2042">
        <v>4</v>
      </c>
      <c r="J2042">
        <v>0.1</v>
      </c>
      <c r="K2042">
        <v>352.13</v>
      </c>
      <c r="L2042">
        <v>8.2200000000000006</v>
      </c>
      <c r="M2042" t="s">
        <v>2464</v>
      </c>
      <c r="N2042" t="s">
        <v>2458</v>
      </c>
      <c r="O2042" t="s">
        <v>2465</v>
      </c>
      <c r="P2042">
        <v>63.6</v>
      </c>
      <c r="Q2042">
        <v>107.94</v>
      </c>
      <c r="R2042">
        <v>254.4</v>
      </c>
      <c r="S2042">
        <v>89.509999999999991</v>
      </c>
      <c r="T2042">
        <v>0.2541958935620367</v>
      </c>
      <c r="U2042" s="1">
        <v>45352</v>
      </c>
      <c r="V2042" t="s">
        <v>2498</v>
      </c>
      <c r="W2042">
        <v>2024</v>
      </c>
    </row>
    <row r="2043" spans="1:23" x14ac:dyDescent="0.25">
      <c r="A2043" t="s">
        <v>2090</v>
      </c>
      <c r="B2043" s="1">
        <v>45429</v>
      </c>
      <c r="C2043" s="1">
        <v>45431</v>
      </c>
      <c r="D2043" t="s">
        <v>13</v>
      </c>
      <c r="E2043" t="s">
        <v>14</v>
      </c>
      <c r="F2043" t="s">
        <v>29</v>
      </c>
      <c r="G2043" t="s">
        <v>26</v>
      </c>
      <c r="H2043" t="s">
        <v>39</v>
      </c>
      <c r="I2043">
        <v>4</v>
      </c>
      <c r="J2043">
        <v>0.2</v>
      </c>
      <c r="K2043">
        <v>601.71</v>
      </c>
      <c r="L2043">
        <v>5.7</v>
      </c>
      <c r="M2043" t="s">
        <v>2471</v>
      </c>
      <c r="N2043" t="s">
        <v>2467</v>
      </c>
      <c r="O2043" t="s">
        <v>2461</v>
      </c>
      <c r="P2043">
        <v>112.09</v>
      </c>
      <c r="Q2043">
        <v>192.47</v>
      </c>
      <c r="R2043">
        <v>448.36</v>
      </c>
      <c r="S2043">
        <v>147.65000000000003</v>
      </c>
      <c r="T2043">
        <v>0.24538398896478375</v>
      </c>
      <c r="U2043" s="1">
        <v>45413</v>
      </c>
      <c r="V2043" t="s">
        <v>2500</v>
      </c>
      <c r="W2043">
        <v>2024</v>
      </c>
    </row>
    <row r="2044" spans="1:23" x14ac:dyDescent="0.25">
      <c r="A2044" t="s">
        <v>2091</v>
      </c>
      <c r="B2044" s="1">
        <v>45990</v>
      </c>
      <c r="C2044" s="1">
        <v>45996</v>
      </c>
      <c r="D2044" t="s">
        <v>23</v>
      </c>
      <c r="E2044" t="s">
        <v>24</v>
      </c>
      <c r="F2044" t="s">
        <v>15</v>
      </c>
      <c r="G2044" t="s">
        <v>20</v>
      </c>
      <c r="H2044" t="s">
        <v>37</v>
      </c>
      <c r="I2044">
        <v>4</v>
      </c>
      <c r="J2044">
        <v>0</v>
      </c>
      <c r="K2044">
        <v>582.09</v>
      </c>
      <c r="L2044">
        <v>13.7</v>
      </c>
      <c r="M2044" t="s">
        <v>2464</v>
      </c>
      <c r="N2044" t="s">
        <v>2458</v>
      </c>
      <c r="O2044" t="s">
        <v>2465</v>
      </c>
      <c r="P2044">
        <v>63.6</v>
      </c>
      <c r="Q2044">
        <v>107.94</v>
      </c>
      <c r="R2044">
        <v>254.4</v>
      </c>
      <c r="S2044">
        <v>313.99000000000007</v>
      </c>
      <c r="T2044">
        <v>0.53941830301156191</v>
      </c>
      <c r="U2044" s="1">
        <v>45962</v>
      </c>
      <c r="V2044" t="s">
        <v>2499</v>
      </c>
      <c r="W2044">
        <v>2025</v>
      </c>
    </row>
    <row r="2045" spans="1:23" x14ac:dyDescent="0.25">
      <c r="A2045" t="s">
        <v>2092</v>
      </c>
      <c r="B2045" s="1">
        <v>45417</v>
      </c>
      <c r="C2045" s="1">
        <v>45418</v>
      </c>
      <c r="D2045" t="s">
        <v>47</v>
      </c>
      <c r="E2045" t="s">
        <v>50</v>
      </c>
      <c r="F2045" t="s">
        <v>15</v>
      </c>
      <c r="G2045" t="s">
        <v>20</v>
      </c>
      <c r="H2045" t="s">
        <v>60</v>
      </c>
      <c r="I2045">
        <v>4</v>
      </c>
      <c r="J2045">
        <v>0</v>
      </c>
      <c r="K2045">
        <v>477.78</v>
      </c>
      <c r="L2045">
        <v>9.5</v>
      </c>
      <c r="M2045" t="s">
        <v>2469</v>
      </c>
      <c r="N2045" t="s">
        <v>2467</v>
      </c>
      <c r="O2045" t="s">
        <v>2468</v>
      </c>
      <c r="P2045">
        <v>54.95</v>
      </c>
      <c r="Q2045">
        <v>112.56</v>
      </c>
      <c r="R2045">
        <v>219.8</v>
      </c>
      <c r="S2045">
        <v>248.47999999999996</v>
      </c>
      <c r="T2045">
        <v>0.52007199966511775</v>
      </c>
      <c r="U2045" s="1">
        <v>45413</v>
      </c>
      <c r="V2045" t="s">
        <v>2499</v>
      </c>
      <c r="W2045">
        <v>2024</v>
      </c>
    </row>
    <row r="2046" spans="1:23" x14ac:dyDescent="0.25">
      <c r="A2046" t="s">
        <v>2093</v>
      </c>
      <c r="B2046" s="1">
        <v>45634</v>
      </c>
      <c r="C2046" s="1">
        <v>45637</v>
      </c>
      <c r="D2046" t="s">
        <v>47</v>
      </c>
      <c r="E2046" t="s">
        <v>48</v>
      </c>
      <c r="F2046" t="s">
        <v>29</v>
      </c>
      <c r="G2046" t="s">
        <v>26</v>
      </c>
      <c r="H2046" t="s">
        <v>51</v>
      </c>
      <c r="I2046">
        <v>9</v>
      </c>
      <c r="J2046">
        <v>0</v>
      </c>
      <c r="K2046">
        <v>195.72</v>
      </c>
      <c r="L2046">
        <v>8.5500000000000007</v>
      </c>
      <c r="M2046" t="s">
        <v>2475</v>
      </c>
      <c r="N2046" t="s">
        <v>2474</v>
      </c>
      <c r="O2046" t="s">
        <v>2463</v>
      </c>
      <c r="P2046">
        <v>7.93</v>
      </c>
      <c r="Q2046">
        <v>14.78</v>
      </c>
      <c r="R2046">
        <v>71.37</v>
      </c>
      <c r="S2046">
        <v>115.8</v>
      </c>
      <c r="T2046">
        <v>0.59166155732679337</v>
      </c>
      <c r="U2046" s="1">
        <v>45627</v>
      </c>
      <c r="V2046" t="s">
        <v>2499</v>
      </c>
      <c r="W2046">
        <v>2024</v>
      </c>
    </row>
    <row r="2047" spans="1:23" x14ac:dyDescent="0.25">
      <c r="A2047" t="s">
        <v>2094</v>
      </c>
      <c r="B2047" s="1">
        <v>45404</v>
      </c>
      <c r="C2047" s="1">
        <v>45405</v>
      </c>
      <c r="D2047" t="s">
        <v>13</v>
      </c>
      <c r="E2047" t="s">
        <v>36</v>
      </c>
      <c r="F2047" t="s">
        <v>15</v>
      </c>
      <c r="G2047" t="s">
        <v>16</v>
      </c>
      <c r="H2047" t="s">
        <v>17</v>
      </c>
      <c r="I2047">
        <v>4</v>
      </c>
      <c r="J2047">
        <v>0.1</v>
      </c>
      <c r="K2047">
        <v>421.64</v>
      </c>
      <c r="L2047">
        <v>5.7</v>
      </c>
      <c r="M2047" t="s">
        <v>2472</v>
      </c>
      <c r="N2047" t="s">
        <v>2467</v>
      </c>
      <c r="O2047" t="s">
        <v>2468</v>
      </c>
      <c r="P2047">
        <v>63.69</v>
      </c>
      <c r="Q2047">
        <v>125.5</v>
      </c>
      <c r="R2047">
        <v>254.76</v>
      </c>
      <c r="S2047">
        <v>161.18</v>
      </c>
      <c r="T2047">
        <v>0.38226923441798694</v>
      </c>
      <c r="U2047" s="1">
        <v>45383</v>
      </c>
      <c r="V2047" t="s">
        <v>2498</v>
      </c>
      <c r="W2047">
        <v>2024</v>
      </c>
    </row>
    <row r="2048" spans="1:23" x14ac:dyDescent="0.25">
      <c r="A2048" t="s">
        <v>2095</v>
      </c>
      <c r="B2048" s="1">
        <v>45981</v>
      </c>
      <c r="C2048" s="1">
        <v>45987</v>
      </c>
      <c r="D2048" t="s">
        <v>23</v>
      </c>
      <c r="E2048" t="s">
        <v>59</v>
      </c>
      <c r="F2048" t="s">
        <v>15</v>
      </c>
      <c r="G2048" t="s">
        <v>20</v>
      </c>
      <c r="H2048" t="s">
        <v>41</v>
      </c>
      <c r="I2048">
        <v>9</v>
      </c>
      <c r="J2048">
        <v>0</v>
      </c>
      <c r="K2048">
        <v>71.709999999999994</v>
      </c>
      <c r="L2048">
        <v>8.5500000000000007</v>
      </c>
      <c r="M2048" t="s">
        <v>2479</v>
      </c>
      <c r="N2048" t="s">
        <v>2474</v>
      </c>
      <c r="O2048" t="s">
        <v>2459</v>
      </c>
      <c r="P2048">
        <v>3.3</v>
      </c>
      <c r="Q2048">
        <v>6.13</v>
      </c>
      <c r="R2048">
        <v>29.7</v>
      </c>
      <c r="S2048">
        <v>33.459999999999994</v>
      </c>
      <c r="T2048">
        <v>0.46660158973643839</v>
      </c>
      <c r="U2048" s="1">
        <v>45962</v>
      </c>
      <c r="V2048" t="s">
        <v>2499</v>
      </c>
      <c r="W2048">
        <v>2025</v>
      </c>
    </row>
    <row r="2049" spans="1:23" x14ac:dyDescent="0.25">
      <c r="A2049" t="s">
        <v>2096</v>
      </c>
      <c r="B2049" s="1">
        <v>45390</v>
      </c>
      <c r="C2049" s="1">
        <v>45394</v>
      </c>
      <c r="D2049" t="s">
        <v>47</v>
      </c>
      <c r="E2049" t="s">
        <v>48</v>
      </c>
      <c r="F2049" t="s">
        <v>25</v>
      </c>
      <c r="G2049" t="s">
        <v>26</v>
      </c>
      <c r="H2049" t="s">
        <v>63</v>
      </c>
      <c r="I2049">
        <v>10</v>
      </c>
      <c r="J2049">
        <v>0.15</v>
      </c>
      <c r="K2049">
        <v>103.07</v>
      </c>
      <c r="L2049">
        <v>9</v>
      </c>
      <c r="M2049" t="s">
        <v>2477</v>
      </c>
      <c r="N2049" t="s">
        <v>2474</v>
      </c>
      <c r="O2049" t="s">
        <v>2468</v>
      </c>
      <c r="P2049">
        <v>6.33</v>
      </c>
      <c r="Q2049">
        <v>12.16</v>
      </c>
      <c r="R2049">
        <v>63.3</v>
      </c>
      <c r="S2049">
        <v>30.769999999999996</v>
      </c>
      <c r="T2049">
        <v>0.29853497622974673</v>
      </c>
      <c r="U2049" s="1">
        <v>45383</v>
      </c>
      <c r="V2049" t="s">
        <v>2500</v>
      </c>
      <c r="W2049">
        <v>2024</v>
      </c>
    </row>
    <row r="2050" spans="1:23" x14ac:dyDescent="0.25">
      <c r="A2050" t="s">
        <v>2097</v>
      </c>
      <c r="B2050" s="1">
        <v>45910</v>
      </c>
      <c r="C2050" s="1">
        <v>45914</v>
      </c>
      <c r="D2050" t="s">
        <v>13</v>
      </c>
      <c r="E2050" t="s">
        <v>14</v>
      </c>
      <c r="F2050" t="s">
        <v>15</v>
      </c>
      <c r="G2050" t="s">
        <v>20</v>
      </c>
      <c r="H2050" t="s">
        <v>60</v>
      </c>
      <c r="I2050">
        <v>3</v>
      </c>
      <c r="J2050">
        <v>0.25</v>
      </c>
      <c r="K2050">
        <v>265.55</v>
      </c>
      <c r="L2050">
        <v>4.95</v>
      </c>
      <c r="M2050" t="s">
        <v>2469</v>
      </c>
      <c r="N2050" t="s">
        <v>2467</v>
      </c>
      <c r="O2050" t="s">
        <v>2468</v>
      </c>
      <c r="P2050">
        <v>54.95</v>
      </c>
      <c r="Q2050">
        <v>112.56</v>
      </c>
      <c r="R2050">
        <v>164.85000000000002</v>
      </c>
      <c r="S2050">
        <v>95.749999999999986</v>
      </c>
      <c r="T2050">
        <v>0.36057239691206922</v>
      </c>
      <c r="U2050" s="1">
        <v>45901</v>
      </c>
      <c r="V2050" t="s">
        <v>2501</v>
      </c>
      <c r="W2050">
        <v>2025</v>
      </c>
    </row>
    <row r="2051" spans="1:23" x14ac:dyDescent="0.25">
      <c r="A2051" t="s">
        <v>2098</v>
      </c>
      <c r="B2051" s="1">
        <v>45466</v>
      </c>
      <c r="C2051" s="1">
        <v>45469</v>
      </c>
      <c r="D2051" t="s">
        <v>23</v>
      </c>
      <c r="E2051" t="s">
        <v>43</v>
      </c>
      <c r="F2051" t="s">
        <v>29</v>
      </c>
      <c r="G2051" t="s">
        <v>26</v>
      </c>
      <c r="H2051" t="s">
        <v>41</v>
      </c>
      <c r="I2051">
        <v>7</v>
      </c>
      <c r="J2051">
        <v>0</v>
      </c>
      <c r="K2051">
        <v>45.35</v>
      </c>
      <c r="L2051">
        <v>7.65</v>
      </c>
      <c r="M2051" t="s">
        <v>2479</v>
      </c>
      <c r="N2051" t="s">
        <v>2474</v>
      </c>
      <c r="O2051" t="s">
        <v>2459</v>
      </c>
      <c r="P2051">
        <v>3.3</v>
      </c>
      <c r="Q2051">
        <v>6.13</v>
      </c>
      <c r="R2051">
        <v>23.099999999999998</v>
      </c>
      <c r="S2051">
        <v>14.600000000000003</v>
      </c>
      <c r="T2051">
        <v>0.3219404630650497</v>
      </c>
      <c r="U2051" s="1">
        <v>45444</v>
      </c>
      <c r="V2051" t="s">
        <v>2499</v>
      </c>
      <c r="W2051">
        <v>2024</v>
      </c>
    </row>
    <row r="2052" spans="1:23" x14ac:dyDescent="0.25">
      <c r="A2052" t="s">
        <v>2099</v>
      </c>
      <c r="B2052" s="1">
        <v>45572</v>
      </c>
      <c r="C2052" s="1">
        <v>45576</v>
      </c>
      <c r="D2052" t="s">
        <v>32</v>
      </c>
      <c r="E2052" t="s">
        <v>45</v>
      </c>
      <c r="F2052" t="s">
        <v>29</v>
      </c>
      <c r="G2052" t="s">
        <v>26</v>
      </c>
      <c r="H2052" t="s">
        <v>37</v>
      </c>
      <c r="I2052">
        <v>4</v>
      </c>
      <c r="J2052">
        <v>0</v>
      </c>
      <c r="K2052">
        <v>512.89</v>
      </c>
      <c r="L2052">
        <v>8.2200000000000006</v>
      </c>
      <c r="M2052" t="s">
        <v>2464</v>
      </c>
      <c r="N2052" t="s">
        <v>2458</v>
      </c>
      <c r="O2052" t="s">
        <v>2465</v>
      </c>
      <c r="P2052">
        <v>63.6</v>
      </c>
      <c r="Q2052">
        <v>107.94</v>
      </c>
      <c r="R2052">
        <v>254.4</v>
      </c>
      <c r="S2052">
        <v>250.27</v>
      </c>
      <c r="T2052">
        <v>0.48796038136832465</v>
      </c>
      <c r="U2052" s="1">
        <v>45566</v>
      </c>
      <c r="V2052" t="s">
        <v>2499</v>
      </c>
      <c r="W2052">
        <v>2024</v>
      </c>
    </row>
    <row r="2053" spans="1:23" x14ac:dyDescent="0.25">
      <c r="A2053" t="s">
        <v>2100</v>
      </c>
      <c r="B2053" s="1">
        <v>45428</v>
      </c>
      <c r="C2053" s="1">
        <v>45434</v>
      </c>
      <c r="D2053" t="s">
        <v>23</v>
      </c>
      <c r="E2053" t="s">
        <v>43</v>
      </c>
      <c r="F2053" t="s">
        <v>29</v>
      </c>
      <c r="G2053" t="s">
        <v>16</v>
      </c>
      <c r="H2053" t="s">
        <v>51</v>
      </c>
      <c r="I2053">
        <v>14</v>
      </c>
      <c r="J2053">
        <v>0.1</v>
      </c>
      <c r="K2053">
        <v>193.41</v>
      </c>
      <c r="L2053">
        <v>6.48</v>
      </c>
      <c r="M2053" t="s">
        <v>2475</v>
      </c>
      <c r="N2053" t="s">
        <v>2474</v>
      </c>
      <c r="O2053" t="s">
        <v>2463</v>
      </c>
      <c r="P2053">
        <v>7.93</v>
      </c>
      <c r="Q2053">
        <v>14.78</v>
      </c>
      <c r="R2053">
        <v>111.02</v>
      </c>
      <c r="S2053">
        <v>75.91</v>
      </c>
      <c r="T2053">
        <v>0.39248229150509278</v>
      </c>
      <c r="U2053" s="1">
        <v>45413</v>
      </c>
      <c r="V2053" t="s">
        <v>2498</v>
      </c>
      <c r="W2053">
        <v>2024</v>
      </c>
    </row>
    <row r="2054" spans="1:23" x14ac:dyDescent="0.25">
      <c r="A2054" t="s">
        <v>2101</v>
      </c>
      <c r="B2054" s="1">
        <v>45972</v>
      </c>
      <c r="C2054" s="1">
        <v>45978</v>
      </c>
      <c r="D2054" t="s">
        <v>13</v>
      </c>
      <c r="E2054" t="s">
        <v>19</v>
      </c>
      <c r="F2054" t="s">
        <v>29</v>
      </c>
      <c r="G2054" t="s">
        <v>20</v>
      </c>
      <c r="H2054" t="s">
        <v>21</v>
      </c>
      <c r="I2054">
        <v>7</v>
      </c>
      <c r="J2054">
        <v>0</v>
      </c>
      <c r="K2054">
        <v>1005.69</v>
      </c>
      <c r="L2054">
        <v>20.6</v>
      </c>
      <c r="M2054" t="s">
        <v>2462</v>
      </c>
      <c r="N2054" t="s">
        <v>2458</v>
      </c>
      <c r="O2054" t="s">
        <v>2463</v>
      </c>
      <c r="P2054">
        <v>71.489999999999995</v>
      </c>
      <c r="Q2054">
        <v>112.88</v>
      </c>
      <c r="R2054">
        <v>500.42999999999995</v>
      </c>
      <c r="S2054">
        <v>484.66000000000008</v>
      </c>
      <c r="T2054">
        <v>0.48191788722170853</v>
      </c>
      <c r="U2054" s="1">
        <v>45962</v>
      </c>
      <c r="V2054" t="s">
        <v>2499</v>
      </c>
      <c r="W2054">
        <v>2025</v>
      </c>
    </row>
    <row r="2055" spans="1:23" x14ac:dyDescent="0.25">
      <c r="A2055" t="s">
        <v>2102</v>
      </c>
      <c r="B2055" s="1">
        <v>45783</v>
      </c>
      <c r="C2055" s="1">
        <v>45785</v>
      </c>
      <c r="D2055" t="s">
        <v>23</v>
      </c>
      <c r="E2055" t="s">
        <v>24</v>
      </c>
      <c r="F2055" t="s">
        <v>25</v>
      </c>
      <c r="G2055" t="s">
        <v>16</v>
      </c>
      <c r="H2055" t="s">
        <v>68</v>
      </c>
      <c r="I2055">
        <v>3</v>
      </c>
      <c r="J2055">
        <v>0</v>
      </c>
      <c r="K2055">
        <v>165.26</v>
      </c>
      <c r="L2055">
        <v>8.25</v>
      </c>
      <c r="M2055" t="s">
        <v>2466</v>
      </c>
      <c r="N2055" t="s">
        <v>2467</v>
      </c>
      <c r="O2055" t="s">
        <v>2468</v>
      </c>
      <c r="P2055">
        <v>25.33</v>
      </c>
      <c r="Q2055">
        <v>51.56</v>
      </c>
      <c r="R2055">
        <v>75.989999999999995</v>
      </c>
      <c r="S2055">
        <v>81.02</v>
      </c>
      <c r="T2055">
        <v>0.49025777562628586</v>
      </c>
      <c r="U2055" s="1">
        <v>45778</v>
      </c>
      <c r="V2055" t="s">
        <v>2499</v>
      </c>
      <c r="W2055">
        <v>2025</v>
      </c>
    </row>
    <row r="2056" spans="1:23" x14ac:dyDescent="0.25">
      <c r="A2056" t="s">
        <v>2103</v>
      </c>
      <c r="B2056" s="1">
        <v>45412</v>
      </c>
      <c r="C2056" s="1">
        <v>45415</v>
      </c>
      <c r="D2056" t="s">
        <v>47</v>
      </c>
      <c r="E2056" t="s">
        <v>48</v>
      </c>
      <c r="F2056" t="s">
        <v>15</v>
      </c>
      <c r="G2056" t="s">
        <v>20</v>
      </c>
      <c r="H2056" t="s">
        <v>37</v>
      </c>
      <c r="I2056">
        <v>3</v>
      </c>
      <c r="J2056">
        <v>0.1</v>
      </c>
      <c r="K2056">
        <v>302.68</v>
      </c>
      <c r="L2056">
        <v>6.84</v>
      </c>
      <c r="M2056" t="s">
        <v>2464</v>
      </c>
      <c r="N2056" t="s">
        <v>2458</v>
      </c>
      <c r="O2056" t="s">
        <v>2465</v>
      </c>
      <c r="P2056">
        <v>63.6</v>
      </c>
      <c r="Q2056">
        <v>107.94</v>
      </c>
      <c r="R2056">
        <v>190.8</v>
      </c>
      <c r="S2056">
        <v>105.03999999999999</v>
      </c>
      <c r="T2056">
        <v>0.34703317034491871</v>
      </c>
      <c r="U2056" s="1">
        <v>45383</v>
      </c>
      <c r="V2056" t="s">
        <v>2498</v>
      </c>
      <c r="W2056">
        <v>2024</v>
      </c>
    </row>
    <row r="2057" spans="1:23" x14ac:dyDescent="0.25">
      <c r="A2057" t="s">
        <v>2104</v>
      </c>
      <c r="B2057" s="1">
        <v>45666</v>
      </c>
      <c r="C2057" s="1">
        <v>45671</v>
      </c>
      <c r="D2057" t="s">
        <v>13</v>
      </c>
      <c r="E2057" t="s">
        <v>14</v>
      </c>
      <c r="F2057" t="s">
        <v>15</v>
      </c>
      <c r="G2057" t="s">
        <v>20</v>
      </c>
      <c r="H2057" t="s">
        <v>34</v>
      </c>
      <c r="I2057">
        <v>2</v>
      </c>
      <c r="J2057">
        <v>0.15</v>
      </c>
      <c r="K2057">
        <v>316.38</v>
      </c>
      <c r="L2057">
        <v>5.46</v>
      </c>
      <c r="M2057" t="s">
        <v>2460</v>
      </c>
      <c r="N2057" t="s">
        <v>2458</v>
      </c>
      <c r="O2057" t="s">
        <v>2461</v>
      </c>
      <c r="P2057">
        <v>119.02</v>
      </c>
      <c r="Q2057">
        <v>205.39</v>
      </c>
      <c r="R2057">
        <v>238.04</v>
      </c>
      <c r="S2057">
        <v>72.88000000000001</v>
      </c>
      <c r="T2057">
        <v>0.23035590113155069</v>
      </c>
      <c r="U2057" s="1">
        <v>45658</v>
      </c>
      <c r="V2057" t="s">
        <v>2500</v>
      </c>
      <c r="W2057">
        <v>2025</v>
      </c>
    </row>
    <row r="2058" spans="1:23" x14ac:dyDescent="0.25">
      <c r="A2058" t="s">
        <v>2105</v>
      </c>
      <c r="B2058" s="1">
        <v>45341</v>
      </c>
      <c r="C2058" s="1">
        <v>45344</v>
      </c>
      <c r="D2058" t="s">
        <v>32</v>
      </c>
      <c r="E2058" t="s">
        <v>62</v>
      </c>
      <c r="F2058" t="s">
        <v>25</v>
      </c>
      <c r="G2058" t="s">
        <v>16</v>
      </c>
      <c r="H2058" t="s">
        <v>17</v>
      </c>
      <c r="I2058">
        <v>4</v>
      </c>
      <c r="J2058">
        <v>0</v>
      </c>
      <c r="K2058">
        <v>442.57</v>
      </c>
      <c r="L2058">
        <v>5.7</v>
      </c>
      <c r="M2058" t="s">
        <v>2472</v>
      </c>
      <c r="N2058" t="s">
        <v>2467</v>
      </c>
      <c r="O2058" t="s">
        <v>2468</v>
      </c>
      <c r="P2058">
        <v>63.69</v>
      </c>
      <c r="Q2058">
        <v>125.5</v>
      </c>
      <c r="R2058">
        <v>254.76</v>
      </c>
      <c r="S2058">
        <v>182.11</v>
      </c>
      <c r="T2058">
        <v>0.41148292925412933</v>
      </c>
      <c r="U2058" s="1">
        <v>45323</v>
      </c>
      <c r="V2058" t="s">
        <v>2499</v>
      </c>
      <c r="W2058">
        <v>2024</v>
      </c>
    </row>
    <row r="2059" spans="1:23" x14ac:dyDescent="0.25">
      <c r="A2059" t="s">
        <v>2106</v>
      </c>
      <c r="B2059" s="1">
        <v>45575</v>
      </c>
      <c r="C2059" s="1">
        <v>45577</v>
      </c>
      <c r="D2059" t="s">
        <v>23</v>
      </c>
      <c r="E2059" t="s">
        <v>59</v>
      </c>
      <c r="F2059" t="s">
        <v>29</v>
      </c>
      <c r="G2059" t="s">
        <v>16</v>
      </c>
      <c r="H2059" t="s">
        <v>41</v>
      </c>
      <c r="I2059">
        <v>20</v>
      </c>
      <c r="J2059">
        <v>0.1</v>
      </c>
      <c r="K2059">
        <v>123.56</v>
      </c>
      <c r="L2059">
        <v>8.1</v>
      </c>
      <c r="M2059" t="s">
        <v>2479</v>
      </c>
      <c r="N2059" t="s">
        <v>2474</v>
      </c>
      <c r="O2059" t="s">
        <v>2459</v>
      </c>
      <c r="P2059">
        <v>3.3</v>
      </c>
      <c r="Q2059">
        <v>6.13</v>
      </c>
      <c r="R2059">
        <v>66</v>
      </c>
      <c r="S2059">
        <v>49.46</v>
      </c>
      <c r="T2059">
        <v>0.40029135642602787</v>
      </c>
      <c r="U2059" s="1">
        <v>45566</v>
      </c>
      <c r="V2059" t="s">
        <v>2498</v>
      </c>
      <c r="W2059">
        <v>2024</v>
      </c>
    </row>
    <row r="2060" spans="1:23" x14ac:dyDescent="0.25">
      <c r="A2060" t="s">
        <v>2107</v>
      </c>
      <c r="B2060" s="1">
        <v>45625</v>
      </c>
      <c r="C2060" s="1">
        <v>45626</v>
      </c>
      <c r="D2060" t="s">
        <v>23</v>
      </c>
      <c r="E2060" t="s">
        <v>43</v>
      </c>
      <c r="F2060" t="s">
        <v>29</v>
      </c>
      <c r="G2060" t="s">
        <v>16</v>
      </c>
      <c r="H2060" t="s">
        <v>65</v>
      </c>
      <c r="I2060">
        <v>4</v>
      </c>
      <c r="J2060">
        <v>0.25</v>
      </c>
      <c r="K2060">
        <v>1198.3599999999999</v>
      </c>
      <c r="L2060">
        <v>8.2200000000000006</v>
      </c>
      <c r="M2060" t="s">
        <v>2457</v>
      </c>
      <c r="N2060" t="s">
        <v>2458</v>
      </c>
      <c r="O2060" t="s">
        <v>2459</v>
      </c>
      <c r="P2060">
        <v>173.56</v>
      </c>
      <c r="Q2060">
        <v>286.14999999999998</v>
      </c>
      <c r="R2060">
        <v>694.24</v>
      </c>
      <c r="S2060">
        <v>495.89999999999986</v>
      </c>
      <c r="T2060">
        <v>0.41381554791548442</v>
      </c>
      <c r="U2060" s="1">
        <v>45597</v>
      </c>
      <c r="V2060" t="s">
        <v>2501</v>
      </c>
      <c r="W2060">
        <v>2024</v>
      </c>
    </row>
    <row r="2061" spans="1:23" x14ac:dyDescent="0.25">
      <c r="A2061" t="s">
        <v>2108</v>
      </c>
      <c r="B2061" s="1">
        <v>45987</v>
      </c>
      <c r="C2061" s="1">
        <v>45991</v>
      </c>
      <c r="D2061" t="s">
        <v>13</v>
      </c>
      <c r="E2061" t="s">
        <v>36</v>
      </c>
      <c r="F2061" t="s">
        <v>25</v>
      </c>
      <c r="G2061" t="s">
        <v>20</v>
      </c>
      <c r="H2061" t="s">
        <v>41</v>
      </c>
      <c r="I2061">
        <v>25</v>
      </c>
      <c r="J2061">
        <v>0.15</v>
      </c>
      <c r="K2061">
        <v>165.43</v>
      </c>
      <c r="L2061">
        <v>9.4499999999999993</v>
      </c>
      <c r="M2061" t="s">
        <v>2479</v>
      </c>
      <c r="N2061" t="s">
        <v>2474</v>
      </c>
      <c r="O2061" t="s">
        <v>2459</v>
      </c>
      <c r="P2061">
        <v>3.3</v>
      </c>
      <c r="Q2061">
        <v>6.13</v>
      </c>
      <c r="R2061">
        <v>82.5</v>
      </c>
      <c r="S2061">
        <v>73.48</v>
      </c>
      <c r="T2061">
        <v>0.44417578431965182</v>
      </c>
      <c r="U2061" s="1">
        <v>45962</v>
      </c>
      <c r="V2061" t="s">
        <v>2500</v>
      </c>
      <c r="W2061">
        <v>2025</v>
      </c>
    </row>
    <row r="2062" spans="1:23" x14ac:dyDescent="0.25">
      <c r="A2062" t="s">
        <v>2109</v>
      </c>
      <c r="B2062" s="1">
        <v>45586</v>
      </c>
      <c r="C2062" s="1">
        <v>45589</v>
      </c>
      <c r="D2062" t="s">
        <v>47</v>
      </c>
      <c r="E2062" t="s">
        <v>50</v>
      </c>
      <c r="F2062" t="s">
        <v>15</v>
      </c>
      <c r="G2062" t="s">
        <v>20</v>
      </c>
      <c r="H2062" t="s">
        <v>53</v>
      </c>
      <c r="I2062">
        <v>2</v>
      </c>
      <c r="J2062">
        <v>0.1</v>
      </c>
      <c r="K2062">
        <v>123.73</v>
      </c>
      <c r="L2062">
        <v>4.2</v>
      </c>
      <c r="M2062" t="s">
        <v>2470</v>
      </c>
      <c r="N2062" t="s">
        <v>2467</v>
      </c>
      <c r="O2062" t="s">
        <v>2459</v>
      </c>
      <c r="P2062">
        <v>31.34</v>
      </c>
      <c r="Q2062">
        <v>56.49</v>
      </c>
      <c r="R2062">
        <v>62.68</v>
      </c>
      <c r="S2062">
        <v>56.85</v>
      </c>
      <c r="T2062">
        <v>0.45946819688030388</v>
      </c>
      <c r="U2062" s="1">
        <v>45566</v>
      </c>
      <c r="V2062" t="s">
        <v>2498</v>
      </c>
      <c r="W2062">
        <v>2024</v>
      </c>
    </row>
    <row r="2063" spans="1:23" x14ac:dyDescent="0.25">
      <c r="A2063" t="s">
        <v>2110</v>
      </c>
      <c r="B2063" s="1">
        <v>45821</v>
      </c>
      <c r="C2063" s="1">
        <v>45827</v>
      </c>
      <c r="D2063" t="s">
        <v>47</v>
      </c>
      <c r="E2063" t="s">
        <v>71</v>
      </c>
      <c r="F2063" t="s">
        <v>29</v>
      </c>
      <c r="G2063" t="s">
        <v>20</v>
      </c>
      <c r="H2063" t="s">
        <v>41</v>
      </c>
      <c r="I2063">
        <v>4</v>
      </c>
      <c r="J2063">
        <v>0.1</v>
      </c>
      <c r="K2063">
        <v>22.63</v>
      </c>
      <c r="L2063">
        <v>6.3</v>
      </c>
      <c r="M2063" t="s">
        <v>2479</v>
      </c>
      <c r="N2063" t="s">
        <v>2474</v>
      </c>
      <c r="O2063" t="s">
        <v>2459</v>
      </c>
      <c r="P2063">
        <v>3.3</v>
      </c>
      <c r="Q2063">
        <v>6.13</v>
      </c>
      <c r="R2063">
        <v>13.2</v>
      </c>
      <c r="S2063">
        <v>3.13</v>
      </c>
      <c r="T2063">
        <v>0.1383119752540875</v>
      </c>
      <c r="U2063" s="1">
        <v>45809</v>
      </c>
      <c r="V2063" t="s">
        <v>2498</v>
      </c>
      <c r="W2063">
        <v>2025</v>
      </c>
    </row>
    <row r="2064" spans="1:23" x14ac:dyDescent="0.25">
      <c r="A2064" t="s">
        <v>2111</v>
      </c>
      <c r="B2064" s="1">
        <v>45457</v>
      </c>
      <c r="C2064" s="1">
        <v>45458</v>
      </c>
      <c r="D2064" t="s">
        <v>23</v>
      </c>
      <c r="E2064" t="s">
        <v>59</v>
      </c>
      <c r="F2064" t="s">
        <v>15</v>
      </c>
      <c r="G2064" t="s">
        <v>20</v>
      </c>
      <c r="H2064" t="s">
        <v>68</v>
      </c>
      <c r="I2064">
        <v>1</v>
      </c>
      <c r="J2064">
        <v>0</v>
      </c>
      <c r="K2064">
        <v>54.74</v>
      </c>
      <c r="L2064">
        <v>3.45</v>
      </c>
      <c r="M2064" t="s">
        <v>2466</v>
      </c>
      <c r="N2064" t="s">
        <v>2467</v>
      </c>
      <c r="O2064" t="s">
        <v>2468</v>
      </c>
      <c r="P2064">
        <v>25.33</v>
      </c>
      <c r="Q2064">
        <v>51.56</v>
      </c>
      <c r="R2064">
        <v>25.33</v>
      </c>
      <c r="S2064">
        <v>25.960000000000004</v>
      </c>
      <c r="T2064">
        <v>0.47424187066130807</v>
      </c>
      <c r="U2064" s="1">
        <v>45444</v>
      </c>
      <c r="V2064" t="s">
        <v>2499</v>
      </c>
      <c r="W2064">
        <v>2024</v>
      </c>
    </row>
    <row r="2065" spans="1:23" x14ac:dyDescent="0.25">
      <c r="A2065" t="s">
        <v>2112</v>
      </c>
      <c r="B2065" s="1">
        <v>45501</v>
      </c>
      <c r="C2065" s="1">
        <v>45503</v>
      </c>
      <c r="D2065" t="s">
        <v>23</v>
      </c>
      <c r="E2065" t="s">
        <v>59</v>
      </c>
      <c r="F2065" t="s">
        <v>15</v>
      </c>
      <c r="G2065" t="s">
        <v>16</v>
      </c>
      <c r="H2065" t="s">
        <v>51</v>
      </c>
      <c r="I2065">
        <v>12</v>
      </c>
      <c r="J2065">
        <v>0.15</v>
      </c>
      <c r="K2065">
        <v>142.47</v>
      </c>
      <c r="L2065">
        <v>5.94</v>
      </c>
      <c r="M2065" t="s">
        <v>2475</v>
      </c>
      <c r="N2065" t="s">
        <v>2474</v>
      </c>
      <c r="O2065" t="s">
        <v>2463</v>
      </c>
      <c r="P2065">
        <v>7.93</v>
      </c>
      <c r="Q2065">
        <v>14.78</v>
      </c>
      <c r="R2065">
        <v>95.16</v>
      </c>
      <c r="S2065">
        <v>41.370000000000005</v>
      </c>
      <c r="T2065">
        <v>0.29037692145714888</v>
      </c>
      <c r="U2065" s="1">
        <v>45474</v>
      </c>
      <c r="V2065" t="s">
        <v>2500</v>
      </c>
      <c r="W2065">
        <v>2024</v>
      </c>
    </row>
    <row r="2066" spans="1:23" x14ac:dyDescent="0.25">
      <c r="A2066" t="s">
        <v>2113</v>
      </c>
      <c r="B2066" s="1">
        <v>45654</v>
      </c>
      <c r="C2066" s="1">
        <v>45655</v>
      </c>
      <c r="D2066" t="s">
        <v>13</v>
      </c>
      <c r="E2066" t="s">
        <v>36</v>
      </c>
      <c r="F2066" t="s">
        <v>29</v>
      </c>
      <c r="G2066" t="s">
        <v>20</v>
      </c>
      <c r="H2066" t="s">
        <v>21</v>
      </c>
      <c r="I2066">
        <v>4</v>
      </c>
      <c r="J2066">
        <v>0</v>
      </c>
      <c r="K2066">
        <v>679.71</v>
      </c>
      <c r="L2066">
        <v>8.2200000000000006</v>
      </c>
      <c r="M2066" t="s">
        <v>2462</v>
      </c>
      <c r="N2066" t="s">
        <v>2458</v>
      </c>
      <c r="O2066" t="s">
        <v>2463</v>
      </c>
      <c r="P2066">
        <v>71.489999999999995</v>
      </c>
      <c r="Q2066">
        <v>112.88</v>
      </c>
      <c r="R2066">
        <v>285.95999999999998</v>
      </c>
      <c r="S2066">
        <v>385.53000000000003</v>
      </c>
      <c r="T2066">
        <v>0.56719777552191375</v>
      </c>
      <c r="U2066" s="1">
        <v>45627</v>
      </c>
      <c r="V2066" t="s">
        <v>2499</v>
      </c>
      <c r="W2066">
        <v>2024</v>
      </c>
    </row>
    <row r="2067" spans="1:23" x14ac:dyDescent="0.25">
      <c r="A2067" t="s">
        <v>2114</v>
      </c>
      <c r="B2067" s="1">
        <v>45792</v>
      </c>
      <c r="C2067" s="1">
        <v>45796</v>
      </c>
      <c r="D2067" t="s">
        <v>13</v>
      </c>
      <c r="E2067" t="s">
        <v>19</v>
      </c>
      <c r="F2067" t="s">
        <v>15</v>
      </c>
      <c r="G2067" t="s">
        <v>20</v>
      </c>
      <c r="H2067" t="s">
        <v>17</v>
      </c>
      <c r="I2067">
        <v>1</v>
      </c>
      <c r="J2067">
        <v>0.15</v>
      </c>
      <c r="K2067">
        <v>105.91</v>
      </c>
      <c r="L2067">
        <v>5.75</v>
      </c>
      <c r="M2067" t="s">
        <v>2472</v>
      </c>
      <c r="N2067" t="s">
        <v>2467</v>
      </c>
      <c r="O2067" t="s">
        <v>2468</v>
      </c>
      <c r="P2067">
        <v>63.69</v>
      </c>
      <c r="Q2067">
        <v>125.5</v>
      </c>
      <c r="R2067">
        <v>63.69</v>
      </c>
      <c r="S2067">
        <v>36.47</v>
      </c>
      <c r="T2067">
        <v>0.34434897554527427</v>
      </c>
      <c r="U2067" s="1">
        <v>45778</v>
      </c>
      <c r="V2067" t="s">
        <v>2500</v>
      </c>
      <c r="W2067">
        <v>2025</v>
      </c>
    </row>
    <row r="2068" spans="1:23" x14ac:dyDescent="0.25">
      <c r="A2068" t="s">
        <v>2115</v>
      </c>
      <c r="B2068" s="1">
        <v>46009</v>
      </c>
      <c r="C2068" s="1">
        <v>46010</v>
      </c>
      <c r="D2068" t="s">
        <v>23</v>
      </c>
      <c r="E2068" t="s">
        <v>43</v>
      </c>
      <c r="F2068" t="s">
        <v>25</v>
      </c>
      <c r="G2068" t="s">
        <v>26</v>
      </c>
      <c r="H2068" t="s">
        <v>34</v>
      </c>
      <c r="I2068">
        <v>2</v>
      </c>
      <c r="J2068">
        <v>0</v>
      </c>
      <c r="K2068">
        <v>599.66</v>
      </c>
      <c r="L2068">
        <v>5.46</v>
      </c>
      <c r="M2068" t="s">
        <v>2460</v>
      </c>
      <c r="N2068" t="s">
        <v>2458</v>
      </c>
      <c r="O2068" t="s">
        <v>2461</v>
      </c>
      <c r="P2068">
        <v>119.02</v>
      </c>
      <c r="Q2068">
        <v>205.39</v>
      </c>
      <c r="R2068">
        <v>238.04</v>
      </c>
      <c r="S2068">
        <v>356.16</v>
      </c>
      <c r="T2068">
        <v>0.59393656405296347</v>
      </c>
      <c r="U2068" s="1">
        <v>45992</v>
      </c>
      <c r="V2068" t="s">
        <v>2499</v>
      </c>
      <c r="W2068">
        <v>2025</v>
      </c>
    </row>
    <row r="2069" spans="1:23" x14ac:dyDescent="0.25">
      <c r="A2069" t="s">
        <v>2116</v>
      </c>
      <c r="B2069" s="1">
        <v>45789</v>
      </c>
      <c r="C2069" s="1">
        <v>45792</v>
      </c>
      <c r="D2069" t="s">
        <v>32</v>
      </c>
      <c r="E2069" t="s">
        <v>45</v>
      </c>
      <c r="F2069" t="s">
        <v>29</v>
      </c>
      <c r="G2069" t="s">
        <v>20</v>
      </c>
      <c r="H2069" t="s">
        <v>65</v>
      </c>
      <c r="I2069">
        <v>4</v>
      </c>
      <c r="J2069">
        <v>0</v>
      </c>
      <c r="K2069">
        <v>1231.43</v>
      </c>
      <c r="L2069">
        <v>13.7</v>
      </c>
      <c r="M2069" t="s">
        <v>2457</v>
      </c>
      <c r="N2069" t="s">
        <v>2458</v>
      </c>
      <c r="O2069" t="s">
        <v>2459</v>
      </c>
      <c r="P2069">
        <v>173.56</v>
      </c>
      <c r="Q2069">
        <v>286.14999999999998</v>
      </c>
      <c r="R2069">
        <v>694.24</v>
      </c>
      <c r="S2069">
        <v>523.49</v>
      </c>
      <c r="T2069">
        <v>0.42510739546705861</v>
      </c>
      <c r="U2069" s="1">
        <v>45778</v>
      </c>
      <c r="V2069" t="s">
        <v>2499</v>
      </c>
      <c r="W2069">
        <v>2025</v>
      </c>
    </row>
    <row r="2070" spans="1:23" x14ac:dyDescent="0.25">
      <c r="A2070" t="s">
        <v>2117</v>
      </c>
      <c r="B2070" s="1">
        <v>45580</v>
      </c>
      <c r="C2070" s="1">
        <v>45582</v>
      </c>
      <c r="D2070" t="s">
        <v>47</v>
      </c>
      <c r="E2070" t="s">
        <v>71</v>
      </c>
      <c r="F2070" t="s">
        <v>15</v>
      </c>
      <c r="G2070" t="s">
        <v>20</v>
      </c>
      <c r="H2070" t="s">
        <v>60</v>
      </c>
      <c r="I2070">
        <v>1</v>
      </c>
      <c r="J2070">
        <v>0</v>
      </c>
      <c r="K2070">
        <v>123.43</v>
      </c>
      <c r="L2070">
        <v>3.45</v>
      </c>
      <c r="M2070" t="s">
        <v>2469</v>
      </c>
      <c r="N2070" t="s">
        <v>2467</v>
      </c>
      <c r="O2070" t="s">
        <v>2468</v>
      </c>
      <c r="P2070">
        <v>54.95</v>
      </c>
      <c r="Q2070">
        <v>112.56</v>
      </c>
      <c r="R2070">
        <v>54.95</v>
      </c>
      <c r="S2070">
        <v>65.03</v>
      </c>
      <c r="T2070">
        <v>0.5268573280401847</v>
      </c>
      <c r="U2070" s="1">
        <v>45566</v>
      </c>
      <c r="V2070" t="s">
        <v>2499</v>
      </c>
      <c r="W2070">
        <v>2024</v>
      </c>
    </row>
    <row r="2071" spans="1:23" x14ac:dyDescent="0.25">
      <c r="A2071" t="s">
        <v>2118</v>
      </c>
      <c r="B2071" s="1">
        <v>45548</v>
      </c>
      <c r="C2071" s="1">
        <v>45551</v>
      </c>
      <c r="D2071" t="s">
        <v>47</v>
      </c>
      <c r="E2071" t="s">
        <v>48</v>
      </c>
      <c r="F2071" t="s">
        <v>29</v>
      </c>
      <c r="G2071" t="s">
        <v>20</v>
      </c>
      <c r="H2071" t="s">
        <v>34</v>
      </c>
      <c r="I2071">
        <v>2</v>
      </c>
      <c r="J2071">
        <v>0</v>
      </c>
      <c r="K2071">
        <v>464.95</v>
      </c>
      <c r="L2071">
        <v>9.1</v>
      </c>
      <c r="M2071" t="s">
        <v>2460</v>
      </c>
      <c r="N2071" t="s">
        <v>2458</v>
      </c>
      <c r="O2071" t="s">
        <v>2461</v>
      </c>
      <c r="P2071">
        <v>119.02</v>
      </c>
      <c r="Q2071">
        <v>205.39</v>
      </c>
      <c r="R2071">
        <v>238.04</v>
      </c>
      <c r="S2071">
        <v>217.81</v>
      </c>
      <c r="T2071">
        <v>0.46845897408323478</v>
      </c>
      <c r="U2071" s="1">
        <v>45536</v>
      </c>
      <c r="V2071" t="s">
        <v>2499</v>
      </c>
      <c r="W2071">
        <v>2024</v>
      </c>
    </row>
    <row r="2072" spans="1:23" x14ac:dyDescent="0.25">
      <c r="A2072" t="s">
        <v>2119</v>
      </c>
      <c r="B2072" s="1">
        <v>45774</v>
      </c>
      <c r="C2072" s="1">
        <v>45780</v>
      </c>
      <c r="D2072" t="s">
        <v>32</v>
      </c>
      <c r="E2072" t="s">
        <v>45</v>
      </c>
      <c r="F2072" t="s">
        <v>29</v>
      </c>
      <c r="G2072" t="s">
        <v>26</v>
      </c>
      <c r="H2072" t="s">
        <v>37</v>
      </c>
      <c r="I2072">
        <v>2</v>
      </c>
      <c r="J2072">
        <v>0.25</v>
      </c>
      <c r="K2072">
        <v>164.36</v>
      </c>
      <c r="L2072">
        <v>9.1</v>
      </c>
      <c r="M2072" t="s">
        <v>2464</v>
      </c>
      <c r="N2072" t="s">
        <v>2458</v>
      </c>
      <c r="O2072" t="s">
        <v>2465</v>
      </c>
      <c r="P2072">
        <v>63.6</v>
      </c>
      <c r="Q2072">
        <v>107.94</v>
      </c>
      <c r="R2072">
        <v>127.2</v>
      </c>
      <c r="S2072">
        <v>28.060000000000009</v>
      </c>
      <c r="T2072">
        <v>0.17072280360184963</v>
      </c>
      <c r="U2072" s="1">
        <v>45748</v>
      </c>
      <c r="V2072" t="s">
        <v>2501</v>
      </c>
      <c r="W2072">
        <v>2025</v>
      </c>
    </row>
    <row r="2073" spans="1:23" x14ac:dyDescent="0.25">
      <c r="A2073" t="s">
        <v>2120</v>
      </c>
      <c r="B2073" s="1">
        <v>45616</v>
      </c>
      <c r="C2073" s="1">
        <v>45621</v>
      </c>
      <c r="D2073" t="s">
        <v>13</v>
      </c>
      <c r="E2073" t="s">
        <v>19</v>
      </c>
      <c r="F2073" t="s">
        <v>29</v>
      </c>
      <c r="G2073" t="s">
        <v>16</v>
      </c>
      <c r="H2073" t="s">
        <v>30</v>
      </c>
      <c r="I2073">
        <v>6</v>
      </c>
      <c r="J2073">
        <v>0</v>
      </c>
      <c r="K2073">
        <v>51.43</v>
      </c>
      <c r="L2073">
        <v>4.32</v>
      </c>
      <c r="M2073" t="s">
        <v>2473</v>
      </c>
      <c r="N2073" t="s">
        <v>2474</v>
      </c>
      <c r="O2073" t="s">
        <v>2463</v>
      </c>
      <c r="P2073">
        <v>3.62</v>
      </c>
      <c r="Q2073">
        <v>6.03</v>
      </c>
      <c r="R2073">
        <v>21.72</v>
      </c>
      <c r="S2073">
        <v>25.39</v>
      </c>
      <c r="T2073">
        <v>0.49368073109080307</v>
      </c>
      <c r="U2073" s="1">
        <v>45597</v>
      </c>
      <c r="V2073" t="s">
        <v>2499</v>
      </c>
      <c r="W2073">
        <v>2024</v>
      </c>
    </row>
    <row r="2074" spans="1:23" x14ac:dyDescent="0.25">
      <c r="A2074" t="s">
        <v>2121</v>
      </c>
      <c r="B2074" s="1">
        <v>45905</v>
      </c>
      <c r="C2074" s="1">
        <v>45908</v>
      </c>
      <c r="D2074" t="s">
        <v>13</v>
      </c>
      <c r="E2074" t="s">
        <v>14</v>
      </c>
      <c r="F2074" t="s">
        <v>29</v>
      </c>
      <c r="G2074" t="s">
        <v>16</v>
      </c>
      <c r="H2074" t="s">
        <v>27</v>
      </c>
      <c r="I2074">
        <v>3</v>
      </c>
      <c r="J2074">
        <v>0</v>
      </c>
      <c r="K2074">
        <v>85.99</v>
      </c>
      <c r="L2074">
        <v>3.51</v>
      </c>
      <c r="M2074" t="s">
        <v>2478</v>
      </c>
      <c r="N2074" t="s">
        <v>2474</v>
      </c>
      <c r="O2074" t="s">
        <v>2463</v>
      </c>
      <c r="P2074">
        <v>16.760000000000002</v>
      </c>
      <c r="Q2074">
        <v>27.71</v>
      </c>
      <c r="R2074">
        <v>50.28</v>
      </c>
      <c r="S2074">
        <v>32.199999999999996</v>
      </c>
      <c r="T2074">
        <v>0.37446214676125128</v>
      </c>
      <c r="U2074" s="1">
        <v>45901</v>
      </c>
      <c r="V2074" t="s">
        <v>2499</v>
      </c>
      <c r="W2074">
        <v>2025</v>
      </c>
    </row>
    <row r="2075" spans="1:23" x14ac:dyDescent="0.25">
      <c r="A2075" t="s">
        <v>2122</v>
      </c>
      <c r="B2075" s="1">
        <v>45675</v>
      </c>
      <c r="C2075" s="1">
        <v>45676</v>
      </c>
      <c r="D2075" t="s">
        <v>47</v>
      </c>
      <c r="E2075" t="s">
        <v>48</v>
      </c>
      <c r="F2075" t="s">
        <v>15</v>
      </c>
      <c r="G2075" t="s">
        <v>16</v>
      </c>
      <c r="H2075" t="s">
        <v>34</v>
      </c>
      <c r="I2075">
        <v>4</v>
      </c>
      <c r="J2075">
        <v>0</v>
      </c>
      <c r="K2075">
        <v>727.35</v>
      </c>
      <c r="L2075">
        <v>8.2200000000000006</v>
      </c>
      <c r="M2075" t="s">
        <v>2460</v>
      </c>
      <c r="N2075" t="s">
        <v>2458</v>
      </c>
      <c r="O2075" t="s">
        <v>2461</v>
      </c>
      <c r="P2075">
        <v>119.02</v>
      </c>
      <c r="Q2075">
        <v>205.39</v>
      </c>
      <c r="R2075">
        <v>476.08</v>
      </c>
      <c r="S2075">
        <v>243.05000000000004</v>
      </c>
      <c r="T2075">
        <v>0.33415824568639585</v>
      </c>
      <c r="U2075" s="1">
        <v>45658</v>
      </c>
      <c r="V2075" t="s">
        <v>2499</v>
      </c>
      <c r="W2075">
        <v>2025</v>
      </c>
    </row>
    <row r="2076" spans="1:23" x14ac:dyDescent="0.25">
      <c r="A2076" t="s">
        <v>2123</v>
      </c>
      <c r="B2076" s="1">
        <v>45626</v>
      </c>
      <c r="C2076" s="1">
        <v>45632</v>
      </c>
      <c r="D2076" t="s">
        <v>23</v>
      </c>
      <c r="E2076" t="s">
        <v>24</v>
      </c>
      <c r="F2076" t="s">
        <v>29</v>
      </c>
      <c r="G2076" t="s">
        <v>20</v>
      </c>
      <c r="H2076" t="s">
        <v>60</v>
      </c>
      <c r="I2076">
        <v>4</v>
      </c>
      <c r="J2076">
        <v>0</v>
      </c>
      <c r="K2076">
        <v>624.92999999999995</v>
      </c>
      <c r="L2076">
        <v>5.7</v>
      </c>
      <c r="M2076" t="s">
        <v>2469</v>
      </c>
      <c r="N2076" t="s">
        <v>2467</v>
      </c>
      <c r="O2076" t="s">
        <v>2468</v>
      </c>
      <c r="P2076">
        <v>54.95</v>
      </c>
      <c r="Q2076">
        <v>112.56</v>
      </c>
      <c r="R2076">
        <v>219.8</v>
      </c>
      <c r="S2076">
        <v>399.42999999999995</v>
      </c>
      <c r="T2076">
        <v>0.63915958587361776</v>
      </c>
      <c r="U2076" s="1">
        <v>45597</v>
      </c>
      <c r="V2076" t="s">
        <v>2499</v>
      </c>
      <c r="W2076">
        <v>2024</v>
      </c>
    </row>
    <row r="2077" spans="1:23" x14ac:dyDescent="0.25">
      <c r="A2077" t="s">
        <v>2124</v>
      </c>
      <c r="B2077" s="1">
        <v>45996</v>
      </c>
      <c r="C2077" s="1">
        <v>46000</v>
      </c>
      <c r="D2077" t="s">
        <v>23</v>
      </c>
      <c r="E2077" t="s">
        <v>24</v>
      </c>
      <c r="F2077" t="s">
        <v>15</v>
      </c>
      <c r="G2077" t="s">
        <v>20</v>
      </c>
      <c r="H2077" t="s">
        <v>34</v>
      </c>
      <c r="I2077">
        <v>1</v>
      </c>
      <c r="J2077">
        <v>0.05</v>
      </c>
      <c r="K2077">
        <v>274.07</v>
      </c>
      <c r="L2077">
        <v>4.08</v>
      </c>
      <c r="M2077" t="s">
        <v>2460</v>
      </c>
      <c r="N2077" t="s">
        <v>2458</v>
      </c>
      <c r="O2077" t="s">
        <v>2461</v>
      </c>
      <c r="P2077">
        <v>119.02</v>
      </c>
      <c r="Q2077">
        <v>205.39</v>
      </c>
      <c r="R2077">
        <v>119.02</v>
      </c>
      <c r="S2077">
        <v>150.97</v>
      </c>
      <c r="T2077">
        <v>0.55084467471813769</v>
      </c>
      <c r="U2077" s="1">
        <v>45992</v>
      </c>
      <c r="V2077" t="s">
        <v>2498</v>
      </c>
      <c r="W2077">
        <v>2025</v>
      </c>
    </row>
    <row r="2078" spans="1:23" x14ac:dyDescent="0.25">
      <c r="A2078" t="s">
        <v>2125</v>
      </c>
      <c r="B2078" s="1">
        <v>45907</v>
      </c>
      <c r="C2078" s="1">
        <v>45911</v>
      </c>
      <c r="D2078" t="s">
        <v>23</v>
      </c>
      <c r="E2078" t="s">
        <v>59</v>
      </c>
      <c r="F2078" t="s">
        <v>29</v>
      </c>
      <c r="G2078" t="s">
        <v>26</v>
      </c>
      <c r="H2078" t="s">
        <v>34</v>
      </c>
      <c r="I2078">
        <v>3</v>
      </c>
      <c r="J2078">
        <v>0.25</v>
      </c>
      <c r="K2078">
        <v>489.17</v>
      </c>
      <c r="L2078">
        <v>6.84</v>
      </c>
      <c r="M2078" t="s">
        <v>2460</v>
      </c>
      <c r="N2078" t="s">
        <v>2458</v>
      </c>
      <c r="O2078" t="s">
        <v>2461</v>
      </c>
      <c r="P2078">
        <v>119.02</v>
      </c>
      <c r="Q2078">
        <v>205.39</v>
      </c>
      <c r="R2078">
        <v>357.06</v>
      </c>
      <c r="S2078">
        <v>125.27000000000001</v>
      </c>
      <c r="T2078">
        <v>0.25608684097552997</v>
      </c>
      <c r="U2078" s="1">
        <v>45901</v>
      </c>
      <c r="V2078" t="s">
        <v>2501</v>
      </c>
      <c r="W2078">
        <v>2025</v>
      </c>
    </row>
    <row r="2079" spans="1:23" x14ac:dyDescent="0.25">
      <c r="A2079" t="s">
        <v>2126</v>
      </c>
      <c r="B2079" s="1">
        <v>45365</v>
      </c>
      <c r="C2079" s="1">
        <v>45369</v>
      </c>
      <c r="D2079" t="s">
        <v>23</v>
      </c>
      <c r="E2079" t="s">
        <v>24</v>
      </c>
      <c r="F2079" t="s">
        <v>29</v>
      </c>
      <c r="G2079" t="s">
        <v>16</v>
      </c>
      <c r="H2079" t="s">
        <v>60</v>
      </c>
      <c r="I2079">
        <v>3</v>
      </c>
      <c r="J2079">
        <v>0.2</v>
      </c>
      <c r="K2079">
        <v>241.56</v>
      </c>
      <c r="L2079">
        <v>4.95</v>
      </c>
      <c r="M2079" t="s">
        <v>2469</v>
      </c>
      <c r="N2079" t="s">
        <v>2467</v>
      </c>
      <c r="O2079" t="s">
        <v>2468</v>
      </c>
      <c r="P2079">
        <v>54.95</v>
      </c>
      <c r="Q2079">
        <v>112.56</v>
      </c>
      <c r="R2079">
        <v>164.85000000000002</v>
      </c>
      <c r="S2079">
        <v>71.759999999999977</v>
      </c>
      <c r="T2079">
        <v>0.29706905116741172</v>
      </c>
      <c r="U2079" s="1">
        <v>45352</v>
      </c>
      <c r="V2079" t="s">
        <v>2500</v>
      </c>
      <c r="W2079">
        <v>2024</v>
      </c>
    </row>
    <row r="2080" spans="1:23" x14ac:dyDescent="0.25">
      <c r="A2080" t="s">
        <v>2127</v>
      </c>
      <c r="B2080" s="1">
        <v>45707</v>
      </c>
      <c r="C2080" s="1">
        <v>45712</v>
      </c>
      <c r="D2080" t="s">
        <v>23</v>
      </c>
      <c r="E2080" t="s">
        <v>24</v>
      </c>
      <c r="F2080" t="s">
        <v>29</v>
      </c>
      <c r="G2080" t="s">
        <v>20</v>
      </c>
      <c r="H2080" t="s">
        <v>34</v>
      </c>
      <c r="I2080">
        <v>4</v>
      </c>
      <c r="J2080">
        <v>0</v>
      </c>
      <c r="K2080">
        <v>742.62</v>
      </c>
      <c r="L2080">
        <v>8.2200000000000006</v>
      </c>
      <c r="M2080" t="s">
        <v>2460</v>
      </c>
      <c r="N2080" t="s">
        <v>2458</v>
      </c>
      <c r="O2080" t="s">
        <v>2461</v>
      </c>
      <c r="P2080">
        <v>119.02</v>
      </c>
      <c r="Q2080">
        <v>205.39</v>
      </c>
      <c r="R2080">
        <v>476.08</v>
      </c>
      <c r="S2080">
        <v>258.32</v>
      </c>
      <c r="T2080">
        <v>0.34784950580377583</v>
      </c>
      <c r="U2080" s="1">
        <v>45689</v>
      </c>
      <c r="V2080" t="s">
        <v>2499</v>
      </c>
      <c r="W2080">
        <v>2025</v>
      </c>
    </row>
    <row r="2081" spans="1:23" x14ac:dyDescent="0.25">
      <c r="A2081" t="s">
        <v>2128</v>
      </c>
      <c r="B2081" s="1">
        <v>45931</v>
      </c>
      <c r="C2081" s="1">
        <v>45932</v>
      </c>
      <c r="D2081" t="s">
        <v>47</v>
      </c>
      <c r="E2081" t="s">
        <v>50</v>
      </c>
      <c r="F2081" t="s">
        <v>25</v>
      </c>
      <c r="G2081" t="s">
        <v>20</v>
      </c>
      <c r="H2081" t="s">
        <v>34</v>
      </c>
      <c r="I2081">
        <v>2</v>
      </c>
      <c r="J2081">
        <v>0.25</v>
      </c>
      <c r="K2081">
        <v>375.18</v>
      </c>
      <c r="L2081">
        <v>5.46</v>
      </c>
      <c r="M2081" t="s">
        <v>2460</v>
      </c>
      <c r="N2081" t="s">
        <v>2458</v>
      </c>
      <c r="O2081" t="s">
        <v>2461</v>
      </c>
      <c r="P2081">
        <v>119.02</v>
      </c>
      <c r="Q2081">
        <v>205.39</v>
      </c>
      <c r="R2081">
        <v>238.04</v>
      </c>
      <c r="S2081">
        <v>131.68</v>
      </c>
      <c r="T2081">
        <v>0.35097819713204331</v>
      </c>
      <c r="U2081" s="1">
        <v>45931</v>
      </c>
      <c r="V2081" t="s">
        <v>2501</v>
      </c>
      <c r="W2081">
        <v>2025</v>
      </c>
    </row>
    <row r="2082" spans="1:23" x14ac:dyDescent="0.25">
      <c r="A2082" t="s">
        <v>2129</v>
      </c>
      <c r="B2082" s="1">
        <v>45490</v>
      </c>
      <c r="C2082" s="1">
        <v>45492</v>
      </c>
      <c r="D2082" t="s">
        <v>23</v>
      </c>
      <c r="E2082" t="s">
        <v>43</v>
      </c>
      <c r="F2082" t="s">
        <v>29</v>
      </c>
      <c r="G2082" t="s">
        <v>20</v>
      </c>
      <c r="H2082" t="s">
        <v>41</v>
      </c>
      <c r="I2082">
        <v>10</v>
      </c>
      <c r="J2082">
        <v>0</v>
      </c>
      <c r="K2082">
        <v>56.88</v>
      </c>
      <c r="L2082">
        <v>9</v>
      </c>
      <c r="M2082" t="s">
        <v>2479</v>
      </c>
      <c r="N2082" t="s">
        <v>2474</v>
      </c>
      <c r="O2082" t="s">
        <v>2459</v>
      </c>
      <c r="P2082">
        <v>3.3</v>
      </c>
      <c r="Q2082">
        <v>6.13</v>
      </c>
      <c r="R2082">
        <v>33</v>
      </c>
      <c r="S2082">
        <v>14.880000000000003</v>
      </c>
      <c r="T2082">
        <v>0.26160337552742619</v>
      </c>
      <c r="U2082" s="1">
        <v>45474</v>
      </c>
      <c r="V2082" t="s">
        <v>2499</v>
      </c>
      <c r="W2082">
        <v>2024</v>
      </c>
    </row>
    <row r="2083" spans="1:23" x14ac:dyDescent="0.25">
      <c r="A2083" t="s">
        <v>2130</v>
      </c>
      <c r="B2083" s="1">
        <v>45635</v>
      </c>
      <c r="C2083" s="1">
        <v>45639</v>
      </c>
      <c r="D2083" t="s">
        <v>32</v>
      </c>
      <c r="E2083" t="s">
        <v>33</v>
      </c>
      <c r="F2083" t="s">
        <v>15</v>
      </c>
      <c r="G2083" t="s">
        <v>20</v>
      </c>
      <c r="H2083" t="s">
        <v>53</v>
      </c>
      <c r="I2083">
        <v>4</v>
      </c>
      <c r="J2083">
        <v>0</v>
      </c>
      <c r="K2083">
        <v>310.8</v>
      </c>
      <c r="L2083">
        <v>9.5</v>
      </c>
      <c r="M2083" t="s">
        <v>2470</v>
      </c>
      <c r="N2083" t="s">
        <v>2467</v>
      </c>
      <c r="O2083" t="s">
        <v>2459</v>
      </c>
      <c r="P2083">
        <v>31.34</v>
      </c>
      <c r="Q2083">
        <v>56.49</v>
      </c>
      <c r="R2083">
        <v>125.36</v>
      </c>
      <c r="S2083">
        <v>175.94</v>
      </c>
      <c r="T2083">
        <v>0.56608751608751606</v>
      </c>
      <c r="U2083" s="1">
        <v>45627</v>
      </c>
      <c r="V2083" t="s">
        <v>2499</v>
      </c>
      <c r="W2083">
        <v>2024</v>
      </c>
    </row>
    <row r="2084" spans="1:23" x14ac:dyDescent="0.25">
      <c r="A2084" t="s">
        <v>2131</v>
      </c>
      <c r="B2084" s="1">
        <v>45748</v>
      </c>
      <c r="C2084" s="1">
        <v>45752</v>
      </c>
      <c r="D2084" t="s">
        <v>13</v>
      </c>
      <c r="E2084" t="s">
        <v>19</v>
      </c>
      <c r="F2084" t="s">
        <v>15</v>
      </c>
      <c r="G2084" t="s">
        <v>20</v>
      </c>
      <c r="H2084" t="s">
        <v>37</v>
      </c>
      <c r="I2084">
        <v>2</v>
      </c>
      <c r="J2084">
        <v>0.1</v>
      </c>
      <c r="K2084">
        <v>182.23</v>
      </c>
      <c r="L2084">
        <v>9.1</v>
      </c>
      <c r="M2084" t="s">
        <v>2464</v>
      </c>
      <c r="N2084" t="s">
        <v>2458</v>
      </c>
      <c r="O2084" t="s">
        <v>2465</v>
      </c>
      <c r="P2084">
        <v>63.6</v>
      </c>
      <c r="Q2084">
        <v>107.94</v>
      </c>
      <c r="R2084">
        <v>127.2</v>
      </c>
      <c r="S2084">
        <v>45.929999999999986</v>
      </c>
      <c r="T2084">
        <v>0.25204412006804583</v>
      </c>
      <c r="U2084" s="1">
        <v>45748</v>
      </c>
      <c r="V2084" t="s">
        <v>2498</v>
      </c>
      <c r="W2084">
        <v>2025</v>
      </c>
    </row>
    <row r="2085" spans="1:23" x14ac:dyDescent="0.25">
      <c r="A2085" t="s">
        <v>2132</v>
      </c>
      <c r="B2085" s="1">
        <v>45411</v>
      </c>
      <c r="C2085" s="1">
        <v>45412</v>
      </c>
      <c r="D2085" t="s">
        <v>32</v>
      </c>
      <c r="E2085" t="s">
        <v>33</v>
      </c>
      <c r="F2085" t="s">
        <v>29</v>
      </c>
      <c r="G2085" t="s">
        <v>16</v>
      </c>
      <c r="H2085" t="s">
        <v>41</v>
      </c>
      <c r="I2085">
        <v>11</v>
      </c>
      <c r="J2085">
        <v>0</v>
      </c>
      <c r="K2085">
        <v>63.73</v>
      </c>
      <c r="L2085">
        <v>5.67</v>
      </c>
      <c r="M2085" t="s">
        <v>2479</v>
      </c>
      <c r="N2085" t="s">
        <v>2474</v>
      </c>
      <c r="O2085" t="s">
        <v>2459</v>
      </c>
      <c r="P2085">
        <v>3.3</v>
      </c>
      <c r="Q2085">
        <v>6.13</v>
      </c>
      <c r="R2085">
        <v>36.299999999999997</v>
      </c>
      <c r="S2085">
        <v>21.759999999999998</v>
      </c>
      <c r="T2085">
        <v>0.34144045190648042</v>
      </c>
      <c r="U2085" s="1">
        <v>45383</v>
      </c>
      <c r="V2085" t="s">
        <v>2499</v>
      </c>
      <c r="W2085">
        <v>2024</v>
      </c>
    </row>
    <row r="2086" spans="1:23" x14ac:dyDescent="0.25">
      <c r="A2086" t="s">
        <v>2133</v>
      </c>
      <c r="B2086" s="1">
        <v>45317</v>
      </c>
      <c r="C2086" s="1">
        <v>45323</v>
      </c>
      <c r="D2086" t="s">
        <v>23</v>
      </c>
      <c r="E2086" t="s">
        <v>59</v>
      </c>
      <c r="F2086" t="s">
        <v>29</v>
      </c>
      <c r="G2086" t="s">
        <v>20</v>
      </c>
      <c r="H2086" t="s">
        <v>41</v>
      </c>
      <c r="I2086">
        <v>7</v>
      </c>
      <c r="J2086">
        <v>0.1</v>
      </c>
      <c r="K2086">
        <v>32.29</v>
      </c>
      <c r="L2086">
        <v>4.59</v>
      </c>
      <c r="M2086" t="s">
        <v>2479</v>
      </c>
      <c r="N2086" t="s">
        <v>2474</v>
      </c>
      <c r="O2086" t="s">
        <v>2459</v>
      </c>
      <c r="P2086">
        <v>3.3</v>
      </c>
      <c r="Q2086">
        <v>6.13</v>
      </c>
      <c r="R2086">
        <v>23.099999999999998</v>
      </c>
      <c r="S2086">
        <v>4.6000000000000014</v>
      </c>
      <c r="T2086">
        <v>0.14245896562403226</v>
      </c>
      <c r="U2086" s="1">
        <v>45292</v>
      </c>
      <c r="V2086" t="s">
        <v>2498</v>
      </c>
      <c r="W2086">
        <v>2024</v>
      </c>
    </row>
    <row r="2087" spans="1:23" x14ac:dyDescent="0.25">
      <c r="A2087" t="s">
        <v>2134</v>
      </c>
      <c r="B2087" s="1">
        <v>45479</v>
      </c>
      <c r="C2087" s="1">
        <v>45480</v>
      </c>
      <c r="D2087" t="s">
        <v>32</v>
      </c>
      <c r="E2087" t="s">
        <v>62</v>
      </c>
      <c r="F2087" t="s">
        <v>25</v>
      </c>
      <c r="G2087" t="s">
        <v>26</v>
      </c>
      <c r="H2087" t="s">
        <v>21</v>
      </c>
      <c r="I2087">
        <v>4</v>
      </c>
      <c r="J2087">
        <v>0.05</v>
      </c>
      <c r="K2087">
        <v>373.6</v>
      </c>
      <c r="L2087">
        <v>13.7</v>
      </c>
      <c r="M2087" t="s">
        <v>2462</v>
      </c>
      <c r="N2087" t="s">
        <v>2458</v>
      </c>
      <c r="O2087" t="s">
        <v>2463</v>
      </c>
      <c r="P2087">
        <v>71.489999999999995</v>
      </c>
      <c r="Q2087">
        <v>112.88</v>
      </c>
      <c r="R2087">
        <v>285.95999999999998</v>
      </c>
      <c r="S2087">
        <v>73.94000000000004</v>
      </c>
      <c r="T2087">
        <v>0.19791220556745193</v>
      </c>
      <c r="U2087" s="1">
        <v>45474</v>
      </c>
      <c r="V2087" t="s">
        <v>2498</v>
      </c>
      <c r="W2087">
        <v>2024</v>
      </c>
    </row>
    <row r="2088" spans="1:23" x14ac:dyDescent="0.25">
      <c r="A2088" t="s">
        <v>2135</v>
      </c>
      <c r="B2088" s="1">
        <v>45875</v>
      </c>
      <c r="C2088" s="1">
        <v>45876</v>
      </c>
      <c r="D2088" t="s">
        <v>47</v>
      </c>
      <c r="E2088" t="s">
        <v>50</v>
      </c>
      <c r="F2088" t="s">
        <v>29</v>
      </c>
      <c r="G2088" t="s">
        <v>26</v>
      </c>
      <c r="H2088" t="s">
        <v>34</v>
      </c>
      <c r="I2088">
        <v>3</v>
      </c>
      <c r="J2088">
        <v>0</v>
      </c>
      <c r="K2088">
        <v>571.35</v>
      </c>
      <c r="L2088">
        <v>6.84</v>
      </c>
      <c r="M2088" t="s">
        <v>2460</v>
      </c>
      <c r="N2088" t="s">
        <v>2458</v>
      </c>
      <c r="O2088" t="s">
        <v>2461</v>
      </c>
      <c r="P2088">
        <v>119.02</v>
      </c>
      <c r="Q2088">
        <v>205.39</v>
      </c>
      <c r="R2088">
        <v>357.06</v>
      </c>
      <c r="S2088">
        <v>207.45000000000002</v>
      </c>
      <c r="T2088">
        <v>0.36308742452087162</v>
      </c>
      <c r="U2088" s="1">
        <v>45870</v>
      </c>
      <c r="V2088" t="s">
        <v>2499</v>
      </c>
      <c r="W2088">
        <v>2025</v>
      </c>
    </row>
    <row r="2089" spans="1:23" x14ac:dyDescent="0.25">
      <c r="A2089" t="s">
        <v>2136</v>
      </c>
      <c r="B2089" s="1">
        <v>45977</v>
      </c>
      <c r="C2089" s="1">
        <v>45979</v>
      </c>
      <c r="D2089" t="s">
        <v>13</v>
      </c>
      <c r="E2089" t="s">
        <v>19</v>
      </c>
      <c r="F2089" t="s">
        <v>25</v>
      </c>
      <c r="G2089" t="s">
        <v>20</v>
      </c>
      <c r="H2089" t="s">
        <v>30</v>
      </c>
      <c r="I2089">
        <v>6</v>
      </c>
      <c r="J2089">
        <v>0.15</v>
      </c>
      <c r="K2089">
        <v>43.72</v>
      </c>
      <c r="L2089">
        <v>7.2</v>
      </c>
      <c r="M2089" t="s">
        <v>2473</v>
      </c>
      <c r="N2089" t="s">
        <v>2474</v>
      </c>
      <c r="O2089" t="s">
        <v>2463</v>
      </c>
      <c r="P2089">
        <v>3.62</v>
      </c>
      <c r="Q2089">
        <v>6.03</v>
      </c>
      <c r="R2089">
        <v>21.72</v>
      </c>
      <c r="S2089">
        <v>14.8</v>
      </c>
      <c r="T2089">
        <v>0.33851784080512354</v>
      </c>
      <c r="U2089" s="1">
        <v>45962</v>
      </c>
      <c r="V2089" t="s">
        <v>2500</v>
      </c>
      <c r="W2089">
        <v>2025</v>
      </c>
    </row>
    <row r="2090" spans="1:23" x14ac:dyDescent="0.25">
      <c r="A2090" t="s">
        <v>2137</v>
      </c>
      <c r="B2090" s="1">
        <v>45368</v>
      </c>
      <c r="C2090" s="1">
        <v>45371</v>
      </c>
      <c r="D2090" t="s">
        <v>32</v>
      </c>
      <c r="E2090" t="s">
        <v>33</v>
      </c>
      <c r="F2090" t="s">
        <v>15</v>
      </c>
      <c r="G2090" t="s">
        <v>16</v>
      </c>
      <c r="H2090" t="s">
        <v>87</v>
      </c>
      <c r="I2090">
        <v>7</v>
      </c>
      <c r="J2090">
        <v>0</v>
      </c>
      <c r="K2090">
        <v>56.53</v>
      </c>
      <c r="L2090">
        <v>4.59</v>
      </c>
      <c r="M2090" t="s">
        <v>2476</v>
      </c>
      <c r="N2090" t="s">
        <v>2474</v>
      </c>
      <c r="O2090" t="s">
        <v>2459</v>
      </c>
      <c r="P2090">
        <v>4.5</v>
      </c>
      <c r="Q2090">
        <v>8.2899999999999991</v>
      </c>
      <c r="R2090">
        <v>31.5</v>
      </c>
      <c r="S2090">
        <v>20.440000000000001</v>
      </c>
      <c r="T2090">
        <v>0.36157792322660537</v>
      </c>
      <c r="U2090" s="1">
        <v>45352</v>
      </c>
      <c r="V2090" t="s">
        <v>2499</v>
      </c>
      <c r="W2090">
        <v>2024</v>
      </c>
    </row>
    <row r="2091" spans="1:23" x14ac:dyDescent="0.25">
      <c r="A2091" t="s">
        <v>2138</v>
      </c>
      <c r="B2091" s="1">
        <v>45704</v>
      </c>
      <c r="C2091" s="1">
        <v>45709</v>
      </c>
      <c r="D2091" t="s">
        <v>13</v>
      </c>
      <c r="E2091" t="s">
        <v>14</v>
      </c>
      <c r="F2091" t="s">
        <v>29</v>
      </c>
      <c r="G2091" t="s">
        <v>26</v>
      </c>
      <c r="H2091" t="s">
        <v>87</v>
      </c>
      <c r="I2091">
        <v>10</v>
      </c>
      <c r="J2091">
        <v>0</v>
      </c>
      <c r="K2091">
        <v>70.849999999999994</v>
      </c>
      <c r="L2091">
        <v>5.4</v>
      </c>
      <c r="M2091" t="s">
        <v>2476</v>
      </c>
      <c r="N2091" t="s">
        <v>2474</v>
      </c>
      <c r="O2091" t="s">
        <v>2459</v>
      </c>
      <c r="P2091">
        <v>4.5</v>
      </c>
      <c r="Q2091">
        <v>8.2899999999999991</v>
      </c>
      <c r="R2091">
        <v>45</v>
      </c>
      <c r="S2091">
        <v>20.449999999999996</v>
      </c>
      <c r="T2091">
        <v>0.28863796753705007</v>
      </c>
      <c r="U2091" s="1">
        <v>45689</v>
      </c>
      <c r="V2091" t="s">
        <v>2499</v>
      </c>
      <c r="W2091">
        <v>2025</v>
      </c>
    </row>
    <row r="2092" spans="1:23" x14ac:dyDescent="0.25">
      <c r="A2092" t="s">
        <v>2139</v>
      </c>
      <c r="B2092" s="1">
        <v>45446</v>
      </c>
      <c r="C2092" s="1">
        <v>45450</v>
      </c>
      <c r="D2092" t="s">
        <v>47</v>
      </c>
      <c r="E2092" t="s">
        <v>48</v>
      </c>
      <c r="F2092" t="s">
        <v>15</v>
      </c>
      <c r="G2092" t="s">
        <v>26</v>
      </c>
      <c r="H2092" t="s">
        <v>21</v>
      </c>
      <c r="I2092">
        <v>2</v>
      </c>
      <c r="J2092">
        <v>0</v>
      </c>
      <c r="K2092">
        <v>235.51</v>
      </c>
      <c r="L2092">
        <v>9.1</v>
      </c>
      <c r="M2092" t="s">
        <v>2462</v>
      </c>
      <c r="N2092" t="s">
        <v>2458</v>
      </c>
      <c r="O2092" t="s">
        <v>2463</v>
      </c>
      <c r="P2092">
        <v>71.489999999999995</v>
      </c>
      <c r="Q2092">
        <v>112.88</v>
      </c>
      <c r="R2092">
        <v>142.97999999999999</v>
      </c>
      <c r="S2092">
        <v>83.43</v>
      </c>
      <c r="T2092">
        <v>0.35425247335569621</v>
      </c>
      <c r="U2092" s="1">
        <v>45444</v>
      </c>
      <c r="V2092" t="s">
        <v>2499</v>
      </c>
      <c r="W2092">
        <v>2024</v>
      </c>
    </row>
    <row r="2093" spans="1:23" x14ac:dyDescent="0.25">
      <c r="A2093" t="s">
        <v>2140</v>
      </c>
      <c r="B2093" s="1">
        <v>45382</v>
      </c>
      <c r="C2093" s="1">
        <v>45388</v>
      </c>
      <c r="D2093" t="s">
        <v>32</v>
      </c>
      <c r="E2093" t="s">
        <v>45</v>
      </c>
      <c r="F2093" t="s">
        <v>29</v>
      </c>
      <c r="G2093" t="s">
        <v>26</v>
      </c>
      <c r="H2093" t="s">
        <v>37</v>
      </c>
      <c r="I2093">
        <v>3</v>
      </c>
      <c r="J2093">
        <v>0.2</v>
      </c>
      <c r="K2093">
        <v>254.68</v>
      </c>
      <c r="L2093">
        <v>11.4</v>
      </c>
      <c r="M2093" t="s">
        <v>2464</v>
      </c>
      <c r="N2093" t="s">
        <v>2458</v>
      </c>
      <c r="O2093" t="s">
        <v>2465</v>
      </c>
      <c r="P2093">
        <v>63.6</v>
      </c>
      <c r="Q2093">
        <v>107.94</v>
      </c>
      <c r="R2093">
        <v>190.8</v>
      </c>
      <c r="S2093">
        <v>52.48</v>
      </c>
      <c r="T2093">
        <v>0.20606250981623997</v>
      </c>
      <c r="U2093" s="1">
        <v>45352</v>
      </c>
      <c r="V2093" t="s">
        <v>2500</v>
      </c>
      <c r="W2093">
        <v>2024</v>
      </c>
    </row>
    <row r="2094" spans="1:23" x14ac:dyDescent="0.25">
      <c r="A2094" t="s">
        <v>2141</v>
      </c>
      <c r="B2094" s="1">
        <v>45475</v>
      </c>
      <c r="C2094" s="1">
        <v>45476</v>
      </c>
      <c r="D2094" t="s">
        <v>23</v>
      </c>
      <c r="E2094" t="s">
        <v>43</v>
      </c>
      <c r="F2094" t="s">
        <v>15</v>
      </c>
      <c r="G2094" t="s">
        <v>20</v>
      </c>
      <c r="H2094" t="s">
        <v>87</v>
      </c>
      <c r="I2094">
        <v>13</v>
      </c>
      <c r="J2094">
        <v>0</v>
      </c>
      <c r="K2094">
        <v>93.75</v>
      </c>
      <c r="L2094">
        <v>6.21</v>
      </c>
      <c r="M2094" t="s">
        <v>2476</v>
      </c>
      <c r="N2094" t="s">
        <v>2474</v>
      </c>
      <c r="O2094" t="s">
        <v>2459</v>
      </c>
      <c r="P2094">
        <v>4.5</v>
      </c>
      <c r="Q2094">
        <v>8.2899999999999991</v>
      </c>
      <c r="R2094">
        <v>58.5</v>
      </c>
      <c r="S2094">
        <v>29.04</v>
      </c>
      <c r="T2094">
        <v>0.30975999999999998</v>
      </c>
      <c r="U2094" s="1">
        <v>45474</v>
      </c>
      <c r="V2094" t="s">
        <v>2499</v>
      </c>
      <c r="W2094">
        <v>2024</v>
      </c>
    </row>
    <row r="2095" spans="1:23" x14ac:dyDescent="0.25">
      <c r="A2095" t="s">
        <v>2142</v>
      </c>
      <c r="B2095" s="1">
        <v>45987</v>
      </c>
      <c r="C2095" s="1">
        <v>45991</v>
      </c>
      <c r="D2095" t="s">
        <v>23</v>
      </c>
      <c r="E2095" t="s">
        <v>24</v>
      </c>
      <c r="F2095" t="s">
        <v>25</v>
      </c>
      <c r="G2095" t="s">
        <v>16</v>
      </c>
      <c r="H2095" t="s">
        <v>63</v>
      </c>
      <c r="I2095">
        <v>6</v>
      </c>
      <c r="J2095">
        <v>0</v>
      </c>
      <c r="K2095">
        <v>102.91</v>
      </c>
      <c r="L2095">
        <v>4.32</v>
      </c>
      <c r="M2095" t="s">
        <v>2477</v>
      </c>
      <c r="N2095" t="s">
        <v>2474</v>
      </c>
      <c r="O2095" t="s">
        <v>2468</v>
      </c>
      <c r="P2095">
        <v>6.33</v>
      </c>
      <c r="Q2095">
        <v>12.16</v>
      </c>
      <c r="R2095">
        <v>37.980000000000004</v>
      </c>
      <c r="S2095">
        <v>60.609999999999992</v>
      </c>
      <c r="T2095">
        <v>0.58896122825770081</v>
      </c>
      <c r="U2095" s="1">
        <v>45962</v>
      </c>
      <c r="V2095" t="s">
        <v>2499</v>
      </c>
      <c r="W2095">
        <v>2025</v>
      </c>
    </row>
    <row r="2096" spans="1:23" x14ac:dyDescent="0.25">
      <c r="A2096" t="s">
        <v>2143</v>
      </c>
      <c r="B2096" s="1">
        <v>45323</v>
      </c>
      <c r="C2096" s="1">
        <v>45326</v>
      </c>
      <c r="D2096" t="s">
        <v>32</v>
      </c>
      <c r="E2096" t="s">
        <v>62</v>
      </c>
      <c r="F2096" t="s">
        <v>15</v>
      </c>
      <c r="G2096" t="s">
        <v>16</v>
      </c>
      <c r="H2096" t="s">
        <v>63</v>
      </c>
      <c r="I2096">
        <v>14</v>
      </c>
      <c r="J2096">
        <v>0</v>
      </c>
      <c r="K2096">
        <v>156.68</v>
      </c>
      <c r="L2096">
        <v>6.48</v>
      </c>
      <c r="M2096" t="s">
        <v>2477</v>
      </c>
      <c r="N2096" t="s">
        <v>2474</v>
      </c>
      <c r="O2096" t="s">
        <v>2468</v>
      </c>
      <c r="P2096">
        <v>6.33</v>
      </c>
      <c r="Q2096">
        <v>12.16</v>
      </c>
      <c r="R2096">
        <v>88.62</v>
      </c>
      <c r="S2096">
        <v>61.58</v>
      </c>
      <c r="T2096">
        <v>0.39303038039315802</v>
      </c>
      <c r="U2096" s="1">
        <v>45323</v>
      </c>
      <c r="V2096" t="s">
        <v>2499</v>
      </c>
      <c r="W2096">
        <v>2024</v>
      </c>
    </row>
    <row r="2097" spans="1:23" x14ac:dyDescent="0.25">
      <c r="A2097" t="s">
        <v>2144</v>
      </c>
      <c r="B2097" s="1">
        <v>45364</v>
      </c>
      <c r="C2097" s="1">
        <v>45365</v>
      </c>
      <c r="D2097" t="s">
        <v>13</v>
      </c>
      <c r="E2097" t="s">
        <v>36</v>
      </c>
      <c r="F2097" t="s">
        <v>25</v>
      </c>
      <c r="G2097" t="s">
        <v>20</v>
      </c>
      <c r="H2097" t="s">
        <v>30</v>
      </c>
      <c r="I2097">
        <v>13</v>
      </c>
      <c r="J2097">
        <v>0</v>
      </c>
      <c r="K2097">
        <v>73.67</v>
      </c>
      <c r="L2097">
        <v>6.21</v>
      </c>
      <c r="M2097" t="s">
        <v>2473</v>
      </c>
      <c r="N2097" t="s">
        <v>2474</v>
      </c>
      <c r="O2097" t="s">
        <v>2463</v>
      </c>
      <c r="P2097">
        <v>3.62</v>
      </c>
      <c r="Q2097">
        <v>6.03</v>
      </c>
      <c r="R2097">
        <v>47.06</v>
      </c>
      <c r="S2097">
        <v>20.399999999999999</v>
      </c>
      <c r="T2097">
        <v>0.27691054703407081</v>
      </c>
      <c r="U2097" s="1">
        <v>45352</v>
      </c>
      <c r="V2097" t="s">
        <v>2499</v>
      </c>
      <c r="W2097">
        <v>2024</v>
      </c>
    </row>
    <row r="2098" spans="1:23" x14ac:dyDescent="0.25">
      <c r="A2098" t="s">
        <v>2145</v>
      </c>
      <c r="B2098" s="1">
        <v>45301</v>
      </c>
      <c r="C2098" s="1">
        <v>45304</v>
      </c>
      <c r="D2098" t="s">
        <v>13</v>
      </c>
      <c r="E2098" t="s">
        <v>14</v>
      </c>
      <c r="F2098" t="s">
        <v>25</v>
      </c>
      <c r="G2098" t="s">
        <v>16</v>
      </c>
      <c r="H2098" t="s">
        <v>63</v>
      </c>
      <c r="I2098">
        <v>7</v>
      </c>
      <c r="J2098">
        <v>0</v>
      </c>
      <c r="K2098">
        <v>77.78</v>
      </c>
      <c r="L2098">
        <v>7.65</v>
      </c>
      <c r="M2098" t="s">
        <v>2477</v>
      </c>
      <c r="N2098" t="s">
        <v>2474</v>
      </c>
      <c r="O2098" t="s">
        <v>2468</v>
      </c>
      <c r="P2098">
        <v>6.33</v>
      </c>
      <c r="Q2098">
        <v>12.16</v>
      </c>
      <c r="R2098">
        <v>44.31</v>
      </c>
      <c r="S2098">
        <v>25.82</v>
      </c>
      <c r="T2098">
        <v>0.33196194394445872</v>
      </c>
      <c r="U2098" s="1">
        <v>45292</v>
      </c>
      <c r="V2098" t="s">
        <v>2499</v>
      </c>
      <c r="W2098">
        <v>2024</v>
      </c>
    </row>
    <row r="2099" spans="1:23" x14ac:dyDescent="0.25">
      <c r="A2099" t="s">
        <v>2146</v>
      </c>
      <c r="B2099" s="1">
        <v>45871</v>
      </c>
      <c r="C2099" s="1">
        <v>45875</v>
      </c>
      <c r="D2099" t="s">
        <v>13</v>
      </c>
      <c r="E2099" t="s">
        <v>36</v>
      </c>
      <c r="F2099" t="s">
        <v>29</v>
      </c>
      <c r="G2099" t="s">
        <v>20</v>
      </c>
      <c r="H2099" t="s">
        <v>34</v>
      </c>
      <c r="I2099">
        <v>1</v>
      </c>
      <c r="J2099">
        <v>0.25</v>
      </c>
      <c r="K2099">
        <v>144.49</v>
      </c>
      <c r="L2099">
        <v>4.08</v>
      </c>
      <c r="M2099" t="s">
        <v>2460</v>
      </c>
      <c r="N2099" t="s">
        <v>2458</v>
      </c>
      <c r="O2099" t="s">
        <v>2461</v>
      </c>
      <c r="P2099">
        <v>119.02</v>
      </c>
      <c r="Q2099">
        <v>205.39</v>
      </c>
      <c r="R2099">
        <v>119.02</v>
      </c>
      <c r="S2099">
        <v>21.390000000000015</v>
      </c>
      <c r="T2099">
        <v>0.14803792650010392</v>
      </c>
      <c r="U2099" s="1">
        <v>45870</v>
      </c>
      <c r="V2099" t="s">
        <v>2501</v>
      </c>
      <c r="W2099">
        <v>2025</v>
      </c>
    </row>
    <row r="2100" spans="1:23" x14ac:dyDescent="0.25">
      <c r="A2100" t="s">
        <v>2147</v>
      </c>
      <c r="B2100" s="1">
        <v>45797</v>
      </c>
      <c r="C2100" s="1">
        <v>45799</v>
      </c>
      <c r="D2100" t="s">
        <v>13</v>
      </c>
      <c r="E2100" t="s">
        <v>36</v>
      </c>
      <c r="F2100" t="s">
        <v>15</v>
      </c>
      <c r="G2100" t="s">
        <v>16</v>
      </c>
      <c r="H2100" t="s">
        <v>60</v>
      </c>
      <c r="I2100">
        <v>2</v>
      </c>
      <c r="J2100">
        <v>0</v>
      </c>
      <c r="K2100">
        <v>221.19</v>
      </c>
      <c r="L2100">
        <v>7</v>
      </c>
      <c r="M2100" t="s">
        <v>2469</v>
      </c>
      <c r="N2100" t="s">
        <v>2467</v>
      </c>
      <c r="O2100" t="s">
        <v>2468</v>
      </c>
      <c r="P2100">
        <v>54.95</v>
      </c>
      <c r="Q2100">
        <v>112.56</v>
      </c>
      <c r="R2100">
        <v>109.9</v>
      </c>
      <c r="S2100">
        <v>104.28999999999999</v>
      </c>
      <c r="T2100">
        <v>0.47149509471495094</v>
      </c>
      <c r="U2100" s="1">
        <v>45778</v>
      </c>
      <c r="V2100" t="s">
        <v>2499</v>
      </c>
      <c r="W2100">
        <v>2025</v>
      </c>
    </row>
    <row r="2101" spans="1:23" x14ac:dyDescent="0.25">
      <c r="A2101" t="s">
        <v>2148</v>
      </c>
      <c r="B2101" s="1">
        <v>45518</v>
      </c>
      <c r="C2101" s="1">
        <v>45520</v>
      </c>
      <c r="D2101" t="s">
        <v>47</v>
      </c>
      <c r="E2101" t="s">
        <v>50</v>
      </c>
      <c r="F2101" t="s">
        <v>15</v>
      </c>
      <c r="G2101" t="s">
        <v>16</v>
      </c>
      <c r="H2101" t="s">
        <v>41</v>
      </c>
      <c r="I2101">
        <v>11</v>
      </c>
      <c r="J2101">
        <v>0</v>
      </c>
      <c r="K2101">
        <v>65.44</v>
      </c>
      <c r="L2101">
        <v>9.4499999999999993</v>
      </c>
      <c r="M2101" t="s">
        <v>2479</v>
      </c>
      <c r="N2101" t="s">
        <v>2474</v>
      </c>
      <c r="O2101" t="s">
        <v>2459</v>
      </c>
      <c r="P2101">
        <v>3.3</v>
      </c>
      <c r="Q2101">
        <v>6.13</v>
      </c>
      <c r="R2101">
        <v>36.299999999999997</v>
      </c>
      <c r="S2101">
        <v>19.690000000000001</v>
      </c>
      <c r="T2101">
        <v>0.30088630806845967</v>
      </c>
      <c r="U2101" s="1">
        <v>45505</v>
      </c>
      <c r="V2101" t="s">
        <v>2499</v>
      </c>
      <c r="W2101">
        <v>2024</v>
      </c>
    </row>
    <row r="2102" spans="1:23" x14ac:dyDescent="0.25">
      <c r="A2102" t="s">
        <v>2149</v>
      </c>
      <c r="B2102" s="1">
        <v>45816</v>
      </c>
      <c r="C2102" s="1">
        <v>45822</v>
      </c>
      <c r="D2102" t="s">
        <v>32</v>
      </c>
      <c r="E2102" t="s">
        <v>62</v>
      </c>
      <c r="F2102" t="s">
        <v>25</v>
      </c>
      <c r="G2102" t="s">
        <v>26</v>
      </c>
      <c r="H2102" t="s">
        <v>27</v>
      </c>
      <c r="I2102">
        <v>13</v>
      </c>
      <c r="J2102">
        <v>0</v>
      </c>
      <c r="K2102">
        <v>393.1</v>
      </c>
      <c r="L2102">
        <v>6.21</v>
      </c>
      <c r="M2102" t="s">
        <v>2478</v>
      </c>
      <c r="N2102" t="s">
        <v>2474</v>
      </c>
      <c r="O2102" t="s">
        <v>2463</v>
      </c>
      <c r="P2102">
        <v>16.760000000000002</v>
      </c>
      <c r="Q2102">
        <v>27.71</v>
      </c>
      <c r="R2102">
        <v>217.88000000000002</v>
      </c>
      <c r="S2102">
        <v>169.01</v>
      </c>
      <c r="T2102">
        <v>0.42994149071483079</v>
      </c>
      <c r="U2102" s="1">
        <v>45809</v>
      </c>
      <c r="V2102" t="s">
        <v>2499</v>
      </c>
      <c r="W2102">
        <v>2025</v>
      </c>
    </row>
    <row r="2103" spans="1:23" x14ac:dyDescent="0.25">
      <c r="A2103" t="s">
        <v>2150</v>
      </c>
      <c r="B2103" s="1">
        <v>45651</v>
      </c>
      <c r="C2103" s="1">
        <v>45654</v>
      </c>
      <c r="D2103" t="s">
        <v>13</v>
      </c>
      <c r="E2103" t="s">
        <v>14</v>
      </c>
      <c r="F2103" t="s">
        <v>15</v>
      </c>
      <c r="G2103" t="s">
        <v>20</v>
      </c>
      <c r="H2103" t="s">
        <v>39</v>
      </c>
      <c r="I2103">
        <v>2</v>
      </c>
      <c r="J2103">
        <v>0.25</v>
      </c>
      <c r="K2103">
        <v>429.8</v>
      </c>
      <c r="L2103">
        <v>4.2</v>
      </c>
      <c r="M2103" t="s">
        <v>2471</v>
      </c>
      <c r="N2103" t="s">
        <v>2467</v>
      </c>
      <c r="O2103" t="s">
        <v>2461</v>
      </c>
      <c r="P2103">
        <v>112.09</v>
      </c>
      <c r="Q2103">
        <v>192.47</v>
      </c>
      <c r="R2103">
        <v>224.18</v>
      </c>
      <c r="S2103">
        <v>201.42000000000002</v>
      </c>
      <c r="T2103">
        <v>0.46863657515123314</v>
      </c>
      <c r="U2103" s="1">
        <v>45627</v>
      </c>
      <c r="V2103" t="s">
        <v>2501</v>
      </c>
      <c r="W2103">
        <v>2024</v>
      </c>
    </row>
    <row r="2104" spans="1:23" x14ac:dyDescent="0.25">
      <c r="A2104" t="s">
        <v>2151</v>
      </c>
      <c r="B2104" s="1">
        <v>45526</v>
      </c>
      <c r="C2104" s="1">
        <v>45530</v>
      </c>
      <c r="D2104" t="s">
        <v>23</v>
      </c>
      <c r="E2104" t="s">
        <v>24</v>
      </c>
      <c r="F2104" t="s">
        <v>15</v>
      </c>
      <c r="G2104" t="s">
        <v>20</v>
      </c>
      <c r="H2104" t="s">
        <v>68</v>
      </c>
      <c r="I2104">
        <v>3</v>
      </c>
      <c r="J2104">
        <v>0.1</v>
      </c>
      <c r="K2104">
        <v>132.03</v>
      </c>
      <c r="L2104">
        <v>4.95</v>
      </c>
      <c r="M2104" t="s">
        <v>2466</v>
      </c>
      <c r="N2104" t="s">
        <v>2467</v>
      </c>
      <c r="O2104" t="s">
        <v>2468</v>
      </c>
      <c r="P2104">
        <v>25.33</v>
      </c>
      <c r="Q2104">
        <v>51.56</v>
      </c>
      <c r="R2104">
        <v>75.989999999999995</v>
      </c>
      <c r="S2104">
        <v>51.09</v>
      </c>
      <c r="T2104">
        <v>0.38695750965689618</v>
      </c>
      <c r="U2104" s="1">
        <v>45505</v>
      </c>
      <c r="V2104" t="s">
        <v>2498</v>
      </c>
      <c r="W2104">
        <v>2024</v>
      </c>
    </row>
    <row r="2105" spans="1:23" x14ac:dyDescent="0.25">
      <c r="A2105" t="s">
        <v>2152</v>
      </c>
      <c r="B2105" s="1">
        <v>45524</v>
      </c>
      <c r="C2105" s="1">
        <v>45529</v>
      </c>
      <c r="D2105" t="s">
        <v>13</v>
      </c>
      <c r="E2105" t="s">
        <v>19</v>
      </c>
      <c r="F2105" t="s">
        <v>15</v>
      </c>
      <c r="G2105" t="s">
        <v>20</v>
      </c>
      <c r="H2105" t="s">
        <v>21</v>
      </c>
      <c r="I2105">
        <v>2</v>
      </c>
      <c r="J2105">
        <v>0</v>
      </c>
      <c r="K2105">
        <v>225.27</v>
      </c>
      <c r="L2105">
        <v>9.1</v>
      </c>
      <c r="M2105" t="s">
        <v>2462</v>
      </c>
      <c r="N2105" t="s">
        <v>2458</v>
      </c>
      <c r="O2105" t="s">
        <v>2463</v>
      </c>
      <c r="P2105">
        <v>71.489999999999995</v>
      </c>
      <c r="Q2105">
        <v>112.88</v>
      </c>
      <c r="R2105">
        <v>142.97999999999999</v>
      </c>
      <c r="S2105">
        <v>73.190000000000026</v>
      </c>
      <c r="T2105">
        <v>0.32489901007679683</v>
      </c>
      <c r="U2105" s="1">
        <v>45505</v>
      </c>
      <c r="V2105" t="s">
        <v>2499</v>
      </c>
      <c r="W2105">
        <v>2024</v>
      </c>
    </row>
    <row r="2106" spans="1:23" x14ac:dyDescent="0.25">
      <c r="A2106" t="s">
        <v>2153</v>
      </c>
      <c r="B2106" s="1">
        <v>45451</v>
      </c>
      <c r="C2106" s="1">
        <v>45456</v>
      </c>
      <c r="D2106" t="s">
        <v>13</v>
      </c>
      <c r="E2106" t="s">
        <v>14</v>
      </c>
      <c r="F2106" t="s">
        <v>29</v>
      </c>
      <c r="G2106" t="s">
        <v>20</v>
      </c>
      <c r="H2106" t="s">
        <v>51</v>
      </c>
      <c r="I2106">
        <v>8</v>
      </c>
      <c r="J2106">
        <v>0.1</v>
      </c>
      <c r="K2106">
        <v>106.07</v>
      </c>
      <c r="L2106">
        <v>4.8600000000000003</v>
      </c>
      <c r="M2106" t="s">
        <v>2475</v>
      </c>
      <c r="N2106" t="s">
        <v>2474</v>
      </c>
      <c r="O2106" t="s">
        <v>2463</v>
      </c>
      <c r="P2106">
        <v>7.93</v>
      </c>
      <c r="Q2106">
        <v>14.78</v>
      </c>
      <c r="R2106">
        <v>63.44</v>
      </c>
      <c r="S2106">
        <v>37.769999999999996</v>
      </c>
      <c r="T2106">
        <v>0.35608560384651644</v>
      </c>
      <c r="U2106" s="1">
        <v>45444</v>
      </c>
      <c r="V2106" t="s">
        <v>2498</v>
      </c>
      <c r="W2106">
        <v>2024</v>
      </c>
    </row>
    <row r="2107" spans="1:23" x14ac:dyDescent="0.25">
      <c r="A2107" t="s">
        <v>2154</v>
      </c>
      <c r="B2107" s="1">
        <v>45866</v>
      </c>
      <c r="C2107" s="1">
        <v>45868</v>
      </c>
      <c r="D2107" t="s">
        <v>13</v>
      </c>
      <c r="E2107" t="s">
        <v>19</v>
      </c>
      <c r="F2107" t="s">
        <v>25</v>
      </c>
      <c r="G2107" t="s">
        <v>26</v>
      </c>
      <c r="H2107" t="s">
        <v>53</v>
      </c>
      <c r="I2107">
        <v>2</v>
      </c>
      <c r="J2107">
        <v>0.1</v>
      </c>
      <c r="K2107">
        <v>96.88</v>
      </c>
      <c r="L2107">
        <v>4.2</v>
      </c>
      <c r="M2107" t="s">
        <v>2470</v>
      </c>
      <c r="N2107" t="s">
        <v>2467</v>
      </c>
      <c r="O2107" t="s">
        <v>2459</v>
      </c>
      <c r="P2107">
        <v>31.34</v>
      </c>
      <c r="Q2107">
        <v>56.49</v>
      </c>
      <c r="R2107">
        <v>62.68</v>
      </c>
      <c r="S2107">
        <v>29.999999999999996</v>
      </c>
      <c r="T2107">
        <v>0.30966143682906688</v>
      </c>
      <c r="U2107" s="1">
        <v>45839</v>
      </c>
      <c r="V2107" t="s">
        <v>2498</v>
      </c>
      <c r="W2107">
        <v>2025</v>
      </c>
    </row>
    <row r="2108" spans="1:23" x14ac:dyDescent="0.25">
      <c r="A2108" t="s">
        <v>2155</v>
      </c>
      <c r="B2108" s="1">
        <v>45965</v>
      </c>
      <c r="C2108" s="1">
        <v>45969</v>
      </c>
      <c r="D2108" t="s">
        <v>13</v>
      </c>
      <c r="E2108" t="s">
        <v>36</v>
      </c>
      <c r="F2108" t="s">
        <v>29</v>
      </c>
      <c r="G2108" t="s">
        <v>20</v>
      </c>
      <c r="H2108" t="s">
        <v>21</v>
      </c>
      <c r="I2108">
        <v>1</v>
      </c>
      <c r="J2108">
        <v>0</v>
      </c>
      <c r="K2108">
        <v>150.12</v>
      </c>
      <c r="L2108">
        <v>6.8</v>
      </c>
      <c r="M2108" t="s">
        <v>2462</v>
      </c>
      <c r="N2108" t="s">
        <v>2458</v>
      </c>
      <c r="O2108" t="s">
        <v>2463</v>
      </c>
      <c r="P2108">
        <v>71.489999999999995</v>
      </c>
      <c r="Q2108">
        <v>112.88</v>
      </c>
      <c r="R2108">
        <v>71.489999999999995</v>
      </c>
      <c r="S2108">
        <v>71.830000000000013</v>
      </c>
      <c r="T2108">
        <v>0.4784838795630163</v>
      </c>
      <c r="U2108" s="1">
        <v>45962</v>
      </c>
      <c r="V2108" t="s">
        <v>2499</v>
      </c>
      <c r="W2108">
        <v>2025</v>
      </c>
    </row>
    <row r="2109" spans="1:23" x14ac:dyDescent="0.25">
      <c r="A2109" t="s">
        <v>2156</v>
      </c>
      <c r="B2109" s="1">
        <v>45847</v>
      </c>
      <c r="C2109" s="1">
        <v>45852</v>
      </c>
      <c r="D2109" t="s">
        <v>47</v>
      </c>
      <c r="E2109" t="s">
        <v>50</v>
      </c>
      <c r="F2109" t="s">
        <v>15</v>
      </c>
      <c r="G2109" t="s">
        <v>26</v>
      </c>
      <c r="H2109" t="s">
        <v>60</v>
      </c>
      <c r="I2109">
        <v>5</v>
      </c>
      <c r="J2109">
        <v>0.25</v>
      </c>
      <c r="K2109">
        <v>365.35</v>
      </c>
      <c r="L2109">
        <v>6.45</v>
      </c>
      <c r="M2109" t="s">
        <v>2469</v>
      </c>
      <c r="N2109" t="s">
        <v>2467</v>
      </c>
      <c r="O2109" t="s">
        <v>2468</v>
      </c>
      <c r="P2109">
        <v>54.95</v>
      </c>
      <c r="Q2109">
        <v>112.56</v>
      </c>
      <c r="R2109">
        <v>274.75</v>
      </c>
      <c r="S2109">
        <v>84.15000000000002</v>
      </c>
      <c r="T2109">
        <v>0.23032708361844811</v>
      </c>
      <c r="U2109" s="1">
        <v>45839</v>
      </c>
      <c r="V2109" t="s">
        <v>2501</v>
      </c>
      <c r="W2109">
        <v>2025</v>
      </c>
    </row>
    <row r="2110" spans="1:23" x14ac:dyDescent="0.25">
      <c r="A2110" t="s">
        <v>2157</v>
      </c>
      <c r="B2110" s="1">
        <v>45946</v>
      </c>
      <c r="C2110" s="1">
        <v>45947</v>
      </c>
      <c r="D2110" t="s">
        <v>47</v>
      </c>
      <c r="E2110" t="s">
        <v>50</v>
      </c>
      <c r="F2110" t="s">
        <v>25</v>
      </c>
      <c r="G2110" t="s">
        <v>20</v>
      </c>
      <c r="H2110" t="s">
        <v>53</v>
      </c>
      <c r="I2110">
        <v>1</v>
      </c>
      <c r="J2110">
        <v>0.25</v>
      </c>
      <c r="K2110">
        <v>49.68</v>
      </c>
      <c r="L2110">
        <v>3.45</v>
      </c>
      <c r="M2110" t="s">
        <v>2470</v>
      </c>
      <c r="N2110" t="s">
        <v>2467</v>
      </c>
      <c r="O2110" t="s">
        <v>2459</v>
      </c>
      <c r="P2110">
        <v>31.34</v>
      </c>
      <c r="Q2110">
        <v>56.49</v>
      </c>
      <c r="R2110">
        <v>31.34</v>
      </c>
      <c r="S2110">
        <v>14.89</v>
      </c>
      <c r="T2110">
        <v>0.29971819645732689</v>
      </c>
      <c r="U2110" s="1">
        <v>45931</v>
      </c>
      <c r="V2110" t="s">
        <v>2501</v>
      </c>
      <c r="W2110">
        <v>2025</v>
      </c>
    </row>
    <row r="2111" spans="1:23" x14ac:dyDescent="0.25">
      <c r="A2111" t="s">
        <v>2158</v>
      </c>
      <c r="B2111" s="1">
        <v>45426</v>
      </c>
      <c r="C2111" s="1">
        <v>45427</v>
      </c>
      <c r="D2111" t="s">
        <v>13</v>
      </c>
      <c r="E2111" t="s">
        <v>14</v>
      </c>
      <c r="F2111" t="s">
        <v>25</v>
      </c>
      <c r="G2111" t="s">
        <v>16</v>
      </c>
      <c r="H2111" t="s">
        <v>30</v>
      </c>
      <c r="I2111">
        <v>25</v>
      </c>
      <c r="J2111">
        <v>0</v>
      </c>
      <c r="K2111">
        <v>160.47999999999999</v>
      </c>
      <c r="L2111">
        <v>9.4499999999999993</v>
      </c>
      <c r="M2111" t="s">
        <v>2473</v>
      </c>
      <c r="N2111" t="s">
        <v>2474</v>
      </c>
      <c r="O2111" t="s">
        <v>2463</v>
      </c>
      <c r="P2111">
        <v>3.62</v>
      </c>
      <c r="Q2111">
        <v>6.03</v>
      </c>
      <c r="R2111">
        <v>90.5</v>
      </c>
      <c r="S2111">
        <v>60.529999999999987</v>
      </c>
      <c r="T2111">
        <v>0.3771809571286141</v>
      </c>
      <c r="U2111" s="1">
        <v>45413</v>
      </c>
      <c r="V2111" t="s">
        <v>2499</v>
      </c>
      <c r="W2111">
        <v>2024</v>
      </c>
    </row>
    <row r="2112" spans="1:23" x14ac:dyDescent="0.25">
      <c r="A2112" t="s">
        <v>2159</v>
      </c>
      <c r="B2112" s="1">
        <v>45625</v>
      </c>
      <c r="C2112" s="1">
        <v>45628</v>
      </c>
      <c r="D2112" t="s">
        <v>13</v>
      </c>
      <c r="E2112" t="s">
        <v>36</v>
      </c>
      <c r="F2112" t="s">
        <v>15</v>
      </c>
      <c r="G2112" t="s">
        <v>20</v>
      </c>
      <c r="H2112" t="s">
        <v>21</v>
      </c>
      <c r="I2112">
        <v>1</v>
      </c>
      <c r="J2112">
        <v>0</v>
      </c>
      <c r="K2112">
        <v>149.22</v>
      </c>
      <c r="L2112">
        <v>4.08</v>
      </c>
      <c r="M2112" t="s">
        <v>2462</v>
      </c>
      <c r="N2112" t="s">
        <v>2458</v>
      </c>
      <c r="O2112" t="s">
        <v>2463</v>
      </c>
      <c r="P2112">
        <v>71.489999999999995</v>
      </c>
      <c r="Q2112">
        <v>112.88</v>
      </c>
      <c r="R2112">
        <v>71.489999999999995</v>
      </c>
      <c r="S2112">
        <v>73.650000000000006</v>
      </c>
      <c r="T2112">
        <v>0.49356654603940497</v>
      </c>
      <c r="U2112" s="1">
        <v>45597</v>
      </c>
      <c r="V2112" t="s">
        <v>2499</v>
      </c>
      <c r="W2112">
        <v>2024</v>
      </c>
    </row>
    <row r="2113" spans="1:23" x14ac:dyDescent="0.25">
      <c r="A2113" t="s">
        <v>2160</v>
      </c>
      <c r="B2113" s="1">
        <v>45938</v>
      </c>
      <c r="C2113" s="1">
        <v>45941</v>
      </c>
      <c r="D2113" t="s">
        <v>32</v>
      </c>
      <c r="E2113" t="s">
        <v>62</v>
      </c>
      <c r="F2113" t="s">
        <v>25</v>
      </c>
      <c r="G2113" t="s">
        <v>26</v>
      </c>
      <c r="H2113" t="s">
        <v>37</v>
      </c>
      <c r="I2113">
        <v>5</v>
      </c>
      <c r="J2113">
        <v>0</v>
      </c>
      <c r="K2113">
        <v>616.98</v>
      </c>
      <c r="L2113">
        <v>16</v>
      </c>
      <c r="M2113" t="s">
        <v>2464</v>
      </c>
      <c r="N2113" t="s">
        <v>2458</v>
      </c>
      <c r="O2113" t="s">
        <v>2465</v>
      </c>
      <c r="P2113">
        <v>63.6</v>
      </c>
      <c r="Q2113">
        <v>107.94</v>
      </c>
      <c r="R2113">
        <v>318</v>
      </c>
      <c r="S2113">
        <v>282.98</v>
      </c>
      <c r="T2113">
        <v>0.45865344095432592</v>
      </c>
      <c r="U2113" s="1">
        <v>45931</v>
      </c>
      <c r="V2113" t="s">
        <v>2499</v>
      </c>
      <c r="W2113">
        <v>2025</v>
      </c>
    </row>
    <row r="2114" spans="1:23" x14ac:dyDescent="0.25">
      <c r="A2114" t="s">
        <v>2161</v>
      </c>
      <c r="B2114" s="1">
        <v>45802</v>
      </c>
      <c r="C2114" s="1">
        <v>45808</v>
      </c>
      <c r="D2114" t="s">
        <v>13</v>
      </c>
      <c r="E2114" t="s">
        <v>14</v>
      </c>
      <c r="F2114" t="s">
        <v>15</v>
      </c>
      <c r="G2114" t="s">
        <v>20</v>
      </c>
      <c r="H2114" t="s">
        <v>68</v>
      </c>
      <c r="I2114">
        <v>2</v>
      </c>
      <c r="J2114">
        <v>0</v>
      </c>
      <c r="K2114">
        <v>98.96</v>
      </c>
      <c r="L2114">
        <v>7</v>
      </c>
      <c r="M2114" t="s">
        <v>2466</v>
      </c>
      <c r="N2114" t="s">
        <v>2467</v>
      </c>
      <c r="O2114" t="s">
        <v>2468</v>
      </c>
      <c r="P2114">
        <v>25.33</v>
      </c>
      <c r="Q2114">
        <v>51.56</v>
      </c>
      <c r="R2114">
        <v>50.66</v>
      </c>
      <c r="S2114">
        <v>41.3</v>
      </c>
      <c r="T2114">
        <v>0.41734033953112371</v>
      </c>
      <c r="U2114" s="1">
        <v>45778</v>
      </c>
      <c r="V2114" t="s">
        <v>2499</v>
      </c>
      <c r="W2114">
        <v>2025</v>
      </c>
    </row>
    <row r="2115" spans="1:23" x14ac:dyDescent="0.25">
      <c r="A2115" t="s">
        <v>2162</v>
      </c>
      <c r="B2115" s="1">
        <v>45360</v>
      </c>
      <c r="C2115" s="1">
        <v>45365</v>
      </c>
      <c r="D2115" t="s">
        <v>23</v>
      </c>
      <c r="E2115" t="s">
        <v>59</v>
      </c>
      <c r="F2115" t="s">
        <v>25</v>
      </c>
      <c r="G2115" t="s">
        <v>20</v>
      </c>
      <c r="H2115" t="s">
        <v>37</v>
      </c>
      <c r="I2115">
        <v>3</v>
      </c>
      <c r="J2115">
        <v>0.1</v>
      </c>
      <c r="K2115">
        <v>262.68</v>
      </c>
      <c r="L2115">
        <v>6.84</v>
      </c>
      <c r="M2115" t="s">
        <v>2464</v>
      </c>
      <c r="N2115" t="s">
        <v>2458</v>
      </c>
      <c r="O2115" t="s">
        <v>2465</v>
      </c>
      <c r="P2115">
        <v>63.6</v>
      </c>
      <c r="Q2115">
        <v>107.94</v>
      </c>
      <c r="R2115">
        <v>190.8</v>
      </c>
      <c r="S2115">
        <v>65.039999999999992</v>
      </c>
      <c r="T2115">
        <v>0.24760164458656916</v>
      </c>
      <c r="U2115" s="1">
        <v>45352</v>
      </c>
      <c r="V2115" t="s">
        <v>2498</v>
      </c>
      <c r="W2115">
        <v>2024</v>
      </c>
    </row>
    <row r="2116" spans="1:23" x14ac:dyDescent="0.25">
      <c r="A2116" t="s">
        <v>2163</v>
      </c>
      <c r="B2116" s="1">
        <v>45482</v>
      </c>
      <c r="C2116" s="1">
        <v>45483</v>
      </c>
      <c r="D2116" t="s">
        <v>23</v>
      </c>
      <c r="E2116" t="s">
        <v>59</v>
      </c>
      <c r="F2116" t="s">
        <v>29</v>
      </c>
      <c r="G2116" t="s">
        <v>16</v>
      </c>
      <c r="H2116" t="s">
        <v>41</v>
      </c>
      <c r="I2116">
        <v>13</v>
      </c>
      <c r="J2116">
        <v>0</v>
      </c>
      <c r="K2116">
        <v>69.2</v>
      </c>
      <c r="L2116">
        <v>6.21</v>
      </c>
      <c r="M2116" t="s">
        <v>2479</v>
      </c>
      <c r="N2116" t="s">
        <v>2474</v>
      </c>
      <c r="O2116" t="s">
        <v>2459</v>
      </c>
      <c r="P2116">
        <v>3.3</v>
      </c>
      <c r="Q2116">
        <v>6.13</v>
      </c>
      <c r="R2116">
        <v>42.9</v>
      </c>
      <c r="S2116">
        <v>20.090000000000003</v>
      </c>
      <c r="T2116">
        <v>0.29031791907514454</v>
      </c>
      <c r="U2116" s="1">
        <v>45474</v>
      </c>
      <c r="V2116" t="s">
        <v>2499</v>
      </c>
      <c r="W2116">
        <v>2024</v>
      </c>
    </row>
    <row r="2117" spans="1:23" x14ac:dyDescent="0.25">
      <c r="A2117" t="s">
        <v>2164</v>
      </c>
      <c r="B2117" s="1">
        <v>45604</v>
      </c>
      <c r="C2117" s="1">
        <v>45609</v>
      </c>
      <c r="D2117" t="s">
        <v>13</v>
      </c>
      <c r="E2117" t="s">
        <v>14</v>
      </c>
      <c r="F2117" t="s">
        <v>29</v>
      </c>
      <c r="G2117" t="s">
        <v>20</v>
      </c>
      <c r="H2117" t="s">
        <v>17</v>
      </c>
      <c r="I2117">
        <v>3</v>
      </c>
      <c r="J2117">
        <v>0</v>
      </c>
      <c r="K2117">
        <v>522.29999999999995</v>
      </c>
      <c r="L2117">
        <v>8.25</v>
      </c>
      <c r="M2117" t="s">
        <v>2472</v>
      </c>
      <c r="N2117" t="s">
        <v>2467</v>
      </c>
      <c r="O2117" t="s">
        <v>2468</v>
      </c>
      <c r="P2117">
        <v>63.69</v>
      </c>
      <c r="Q2117">
        <v>125.5</v>
      </c>
      <c r="R2117">
        <v>191.07</v>
      </c>
      <c r="S2117">
        <v>322.97999999999996</v>
      </c>
      <c r="T2117">
        <v>0.61838024124066626</v>
      </c>
      <c r="U2117" s="1">
        <v>45597</v>
      </c>
      <c r="V2117" t="s">
        <v>2499</v>
      </c>
      <c r="W2117">
        <v>2024</v>
      </c>
    </row>
    <row r="2118" spans="1:23" x14ac:dyDescent="0.25">
      <c r="A2118" t="s">
        <v>2165</v>
      </c>
      <c r="B2118" s="1">
        <v>45330</v>
      </c>
      <c r="C2118" s="1">
        <v>45334</v>
      </c>
      <c r="D2118" t="s">
        <v>13</v>
      </c>
      <c r="E2118" t="s">
        <v>36</v>
      </c>
      <c r="F2118" t="s">
        <v>29</v>
      </c>
      <c r="G2118" t="s">
        <v>16</v>
      </c>
      <c r="H2118" t="s">
        <v>27</v>
      </c>
      <c r="I2118">
        <v>8</v>
      </c>
      <c r="J2118">
        <v>0.1</v>
      </c>
      <c r="K2118">
        <v>184.5</v>
      </c>
      <c r="L2118">
        <v>4.8600000000000003</v>
      </c>
      <c r="M2118" t="s">
        <v>2478</v>
      </c>
      <c r="N2118" t="s">
        <v>2474</v>
      </c>
      <c r="O2118" t="s">
        <v>2463</v>
      </c>
      <c r="P2118">
        <v>16.760000000000002</v>
      </c>
      <c r="Q2118">
        <v>27.71</v>
      </c>
      <c r="R2118">
        <v>134.08000000000001</v>
      </c>
      <c r="S2118">
        <v>45.559999999999988</v>
      </c>
      <c r="T2118">
        <v>0.2469376693766937</v>
      </c>
      <c r="U2118" s="1">
        <v>45323</v>
      </c>
      <c r="V2118" t="s">
        <v>2498</v>
      </c>
      <c r="W2118">
        <v>2024</v>
      </c>
    </row>
    <row r="2119" spans="1:23" x14ac:dyDescent="0.25">
      <c r="A2119" t="s">
        <v>2166</v>
      </c>
      <c r="B2119" s="1">
        <v>45534</v>
      </c>
      <c r="C2119" s="1">
        <v>45537</v>
      </c>
      <c r="D2119" t="s">
        <v>32</v>
      </c>
      <c r="E2119" t="s">
        <v>45</v>
      </c>
      <c r="F2119" t="s">
        <v>25</v>
      </c>
      <c r="G2119" t="s">
        <v>26</v>
      </c>
      <c r="H2119" t="s">
        <v>60</v>
      </c>
      <c r="I2119">
        <v>4</v>
      </c>
      <c r="J2119">
        <v>0</v>
      </c>
      <c r="K2119">
        <v>437.37</v>
      </c>
      <c r="L2119">
        <v>5.7</v>
      </c>
      <c r="M2119" t="s">
        <v>2469</v>
      </c>
      <c r="N2119" t="s">
        <v>2467</v>
      </c>
      <c r="O2119" t="s">
        <v>2468</v>
      </c>
      <c r="P2119">
        <v>54.95</v>
      </c>
      <c r="Q2119">
        <v>112.56</v>
      </c>
      <c r="R2119">
        <v>219.8</v>
      </c>
      <c r="S2119">
        <v>211.87</v>
      </c>
      <c r="T2119">
        <v>0.48441822713034732</v>
      </c>
      <c r="U2119" s="1">
        <v>45505</v>
      </c>
      <c r="V2119" t="s">
        <v>2499</v>
      </c>
      <c r="W2119">
        <v>2024</v>
      </c>
    </row>
    <row r="2120" spans="1:23" x14ac:dyDescent="0.25">
      <c r="A2120" t="s">
        <v>2167</v>
      </c>
      <c r="B2120" s="1">
        <v>45388</v>
      </c>
      <c r="C2120" s="1">
        <v>45389</v>
      </c>
      <c r="D2120" t="s">
        <v>13</v>
      </c>
      <c r="E2120" t="s">
        <v>36</v>
      </c>
      <c r="F2120" t="s">
        <v>25</v>
      </c>
      <c r="G2120" t="s">
        <v>20</v>
      </c>
      <c r="H2120" t="s">
        <v>34</v>
      </c>
      <c r="I2120">
        <v>2</v>
      </c>
      <c r="J2120">
        <v>0</v>
      </c>
      <c r="K2120">
        <v>390.79</v>
      </c>
      <c r="L2120">
        <v>5.46</v>
      </c>
      <c r="M2120" t="s">
        <v>2460</v>
      </c>
      <c r="N2120" t="s">
        <v>2458</v>
      </c>
      <c r="O2120" t="s">
        <v>2461</v>
      </c>
      <c r="P2120">
        <v>119.02</v>
      </c>
      <c r="Q2120">
        <v>205.39</v>
      </c>
      <c r="R2120">
        <v>238.04</v>
      </c>
      <c r="S2120">
        <v>147.29000000000002</v>
      </c>
      <c r="T2120">
        <v>0.37690319608997164</v>
      </c>
      <c r="U2120" s="1">
        <v>45383</v>
      </c>
      <c r="V2120" t="s">
        <v>2499</v>
      </c>
      <c r="W2120">
        <v>2024</v>
      </c>
    </row>
    <row r="2121" spans="1:23" x14ac:dyDescent="0.25">
      <c r="A2121" t="s">
        <v>2168</v>
      </c>
      <c r="B2121" s="1">
        <v>45296</v>
      </c>
      <c r="C2121" s="1">
        <v>45301</v>
      </c>
      <c r="D2121" t="s">
        <v>47</v>
      </c>
      <c r="E2121" t="s">
        <v>71</v>
      </c>
      <c r="F2121" t="s">
        <v>29</v>
      </c>
      <c r="G2121" t="s">
        <v>16</v>
      </c>
      <c r="H2121" t="s">
        <v>65</v>
      </c>
      <c r="I2121">
        <v>7</v>
      </c>
      <c r="J2121">
        <v>0</v>
      </c>
      <c r="K2121">
        <v>1697.1</v>
      </c>
      <c r="L2121">
        <v>20.6</v>
      </c>
      <c r="M2121" t="s">
        <v>2457</v>
      </c>
      <c r="N2121" t="s">
        <v>2458</v>
      </c>
      <c r="O2121" t="s">
        <v>2459</v>
      </c>
      <c r="P2121">
        <v>173.56</v>
      </c>
      <c r="Q2121">
        <v>286.14999999999998</v>
      </c>
      <c r="R2121">
        <v>1214.92</v>
      </c>
      <c r="S2121">
        <v>461.57999999999981</v>
      </c>
      <c r="T2121">
        <v>0.27198161569736601</v>
      </c>
      <c r="U2121" s="1">
        <v>45292</v>
      </c>
      <c r="V2121" t="s">
        <v>2499</v>
      </c>
      <c r="W2121">
        <v>2024</v>
      </c>
    </row>
    <row r="2122" spans="1:23" x14ac:dyDescent="0.25">
      <c r="A2122" t="s">
        <v>2169</v>
      </c>
      <c r="B2122" s="1">
        <v>45914</v>
      </c>
      <c r="C2122" s="1">
        <v>45919</v>
      </c>
      <c r="D2122" t="s">
        <v>32</v>
      </c>
      <c r="E2122" t="s">
        <v>45</v>
      </c>
      <c r="F2122" t="s">
        <v>15</v>
      </c>
      <c r="G2122" t="s">
        <v>16</v>
      </c>
      <c r="H2122" t="s">
        <v>39</v>
      </c>
      <c r="I2122">
        <v>3</v>
      </c>
      <c r="J2122">
        <v>0</v>
      </c>
      <c r="K2122">
        <v>615.14</v>
      </c>
      <c r="L2122">
        <v>8.25</v>
      </c>
      <c r="M2122" t="s">
        <v>2471</v>
      </c>
      <c r="N2122" t="s">
        <v>2467</v>
      </c>
      <c r="O2122" t="s">
        <v>2461</v>
      </c>
      <c r="P2122">
        <v>112.09</v>
      </c>
      <c r="Q2122">
        <v>192.47</v>
      </c>
      <c r="R2122">
        <v>336.27</v>
      </c>
      <c r="S2122">
        <v>270.62</v>
      </c>
      <c r="T2122">
        <v>0.43993237311831457</v>
      </c>
      <c r="U2122" s="1">
        <v>45901</v>
      </c>
      <c r="V2122" t="s">
        <v>2499</v>
      </c>
      <c r="W2122">
        <v>2025</v>
      </c>
    </row>
    <row r="2123" spans="1:23" x14ac:dyDescent="0.25">
      <c r="A2123" t="s">
        <v>2170</v>
      </c>
      <c r="B2123" s="1">
        <v>45408</v>
      </c>
      <c r="C2123" s="1">
        <v>45411</v>
      </c>
      <c r="D2123" t="s">
        <v>47</v>
      </c>
      <c r="E2123" t="s">
        <v>50</v>
      </c>
      <c r="F2123" t="s">
        <v>29</v>
      </c>
      <c r="G2123" t="s">
        <v>20</v>
      </c>
      <c r="H2123" t="s">
        <v>51</v>
      </c>
      <c r="I2123">
        <v>7</v>
      </c>
      <c r="J2123">
        <v>0</v>
      </c>
      <c r="K2123">
        <v>97.73</v>
      </c>
      <c r="L2123">
        <v>4.59</v>
      </c>
      <c r="M2123" t="s">
        <v>2475</v>
      </c>
      <c r="N2123" t="s">
        <v>2474</v>
      </c>
      <c r="O2123" t="s">
        <v>2463</v>
      </c>
      <c r="P2123">
        <v>7.93</v>
      </c>
      <c r="Q2123">
        <v>14.78</v>
      </c>
      <c r="R2123">
        <v>55.51</v>
      </c>
      <c r="S2123">
        <v>37.63000000000001</v>
      </c>
      <c r="T2123">
        <v>0.38504041747672169</v>
      </c>
      <c r="U2123" s="1">
        <v>45383</v>
      </c>
      <c r="V2123" t="s">
        <v>2499</v>
      </c>
      <c r="W2123">
        <v>2024</v>
      </c>
    </row>
    <row r="2124" spans="1:23" x14ac:dyDescent="0.25">
      <c r="A2124" t="s">
        <v>2171</v>
      </c>
      <c r="B2124" s="1">
        <v>45470</v>
      </c>
      <c r="C2124" s="1">
        <v>45474</v>
      </c>
      <c r="D2124" t="s">
        <v>23</v>
      </c>
      <c r="E2124" t="s">
        <v>43</v>
      </c>
      <c r="F2124" t="s">
        <v>15</v>
      </c>
      <c r="G2124" t="s">
        <v>16</v>
      </c>
      <c r="H2124" t="s">
        <v>60</v>
      </c>
      <c r="I2124">
        <v>4</v>
      </c>
      <c r="J2124">
        <v>0.15</v>
      </c>
      <c r="K2124">
        <v>385.1</v>
      </c>
      <c r="L2124">
        <v>5.7</v>
      </c>
      <c r="M2124" t="s">
        <v>2469</v>
      </c>
      <c r="N2124" t="s">
        <v>2467</v>
      </c>
      <c r="O2124" t="s">
        <v>2468</v>
      </c>
      <c r="P2124">
        <v>54.95</v>
      </c>
      <c r="Q2124">
        <v>112.56</v>
      </c>
      <c r="R2124">
        <v>219.8</v>
      </c>
      <c r="S2124">
        <v>159.60000000000002</v>
      </c>
      <c r="T2124">
        <v>0.4144378083614646</v>
      </c>
      <c r="U2124" s="1">
        <v>45444</v>
      </c>
      <c r="V2124" t="s">
        <v>2500</v>
      </c>
      <c r="W2124">
        <v>2024</v>
      </c>
    </row>
    <row r="2125" spans="1:23" x14ac:dyDescent="0.25">
      <c r="A2125" t="s">
        <v>2172</v>
      </c>
      <c r="B2125" s="1">
        <v>45395</v>
      </c>
      <c r="C2125" s="1">
        <v>45396</v>
      </c>
      <c r="D2125" t="s">
        <v>13</v>
      </c>
      <c r="E2125" t="s">
        <v>14</v>
      </c>
      <c r="F2125" t="s">
        <v>15</v>
      </c>
      <c r="G2125" t="s">
        <v>16</v>
      </c>
      <c r="H2125" t="s">
        <v>21</v>
      </c>
      <c r="I2125">
        <v>4</v>
      </c>
      <c r="J2125">
        <v>0</v>
      </c>
      <c r="K2125">
        <v>452.34</v>
      </c>
      <c r="L2125">
        <v>8.2200000000000006</v>
      </c>
      <c r="M2125" t="s">
        <v>2462</v>
      </c>
      <c r="N2125" t="s">
        <v>2458</v>
      </c>
      <c r="O2125" t="s">
        <v>2463</v>
      </c>
      <c r="P2125">
        <v>71.489999999999995</v>
      </c>
      <c r="Q2125">
        <v>112.88</v>
      </c>
      <c r="R2125">
        <v>285.95999999999998</v>
      </c>
      <c r="S2125">
        <v>158.16</v>
      </c>
      <c r="T2125">
        <v>0.34964849449529117</v>
      </c>
      <c r="U2125" s="1">
        <v>45383</v>
      </c>
      <c r="V2125" t="s">
        <v>2499</v>
      </c>
      <c r="W2125">
        <v>2024</v>
      </c>
    </row>
    <row r="2126" spans="1:23" x14ac:dyDescent="0.25">
      <c r="A2126" t="s">
        <v>2173</v>
      </c>
      <c r="B2126" s="1">
        <v>45336</v>
      </c>
      <c r="C2126" s="1">
        <v>45341</v>
      </c>
      <c r="D2126" t="s">
        <v>47</v>
      </c>
      <c r="E2126" t="s">
        <v>50</v>
      </c>
      <c r="F2126" t="s">
        <v>15</v>
      </c>
      <c r="G2126" t="s">
        <v>20</v>
      </c>
      <c r="H2126" t="s">
        <v>53</v>
      </c>
      <c r="I2126">
        <v>3</v>
      </c>
      <c r="J2126">
        <v>0.25</v>
      </c>
      <c r="K2126">
        <v>117.29</v>
      </c>
      <c r="L2126">
        <v>8.25</v>
      </c>
      <c r="M2126" t="s">
        <v>2470</v>
      </c>
      <c r="N2126" t="s">
        <v>2467</v>
      </c>
      <c r="O2126" t="s">
        <v>2459</v>
      </c>
      <c r="P2126">
        <v>31.34</v>
      </c>
      <c r="Q2126">
        <v>56.49</v>
      </c>
      <c r="R2126">
        <v>94.02</v>
      </c>
      <c r="S2126">
        <v>15.02000000000001</v>
      </c>
      <c r="T2126">
        <v>0.12805865802711236</v>
      </c>
      <c r="U2126" s="1">
        <v>45323</v>
      </c>
      <c r="V2126" t="s">
        <v>2501</v>
      </c>
      <c r="W2126">
        <v>2024</v>
      </c>
    </row>
    <row r="2127" spans="1:23" x14ac:dyDescent="0.25">
      <c r="A2127" t="s">
        <v>2174</v>
      </c>
      <c r="B2127" s="1">
        <v>45861</v>
      </c>
      <c r="C2127" s="1">
        <v>45863</v>
      </c>
      <c r="D2127" t="s">
        <v>32</v>
      </c>
      <c r="E2127" t="s">
        <v>45</v>
      </c>
      <c r="F2127" t="s">
        <v>15</v>
      </c>
      <c r="G2127" t="s">
        <v>26</v>
      </c>
      <c r="H2127" t="s">
        <v>60</v>
      </c>
      <c r="I2127">
        <v>1</v>
      </c>
      <c r="J2127">
        <v>0</v>
      </c>
      <c r="K2127">
        <v>108.56</v>
      </c>
      <c r="L2127">
        <v>5.75</v>
      </c>
      <c r="M2127" t="s">
        <v>2469</v>
      </c>
      <c r="N2127" t="s">
        <v>2467</v>
      </c>
      <c r="O2127" t="s">
        <v>2468</v>
      </c>
      <c r="P2127">
        <v>54.95</v>
      </c>
      <c r="Q2127">
        <v>112.56</v>
      </c>
      <c r="R2127">
        <v>54.95</v>
      </c>
      <c r="S2127">
        <v>47.86</v>
      </c>
      <c r="T2127">
        <v>0.44086219602063376</v>
      </c>
      <c r="U2127" s="1">
        <v>45839</v>
      </c>
      <c r="V2127" t="s">
        <v>2499</v>
      </c>
      <c r="W2127">
        <v>2025</v>
      </c>
    </row>
    <row r="2128" spans="1:23" x14ac:dyDescent="0.25">
      <c r="A2128" t="s">
        <v>2175</v>
      </c>
      <c r="B2128" s="1">
        <v>45764</v>
      </c>
      <c r="C2128" s="1">
        <v>45767</v>
      </c>
      <c r="D2128" t="s">
        <v>23</v>
      </c>
      <c r="E2128" t="s">
        <v>59</v>
      </c>
      <c r="F2128" t="s">
        <v>25</v>
      </c>
      <c r="G2128" t="s">
        <v>26</v>
      </c>
      <c r="H2128" t="s">
        <v>39</v>
      </c>
      <c r="I2128">
        <v>4</v>
      </c>
      <c r="J2128">
        <v>0.1</v>
      </c>
      <c r="K2128">
        <v>640.49</v>
      </c>
      <c r="L2128">
        <v>5.7</v>
      </c>
      <c r="M2128" t="s">
        <v>2471</v>
      </c>
      <c r="N2128" t="s">
        <v>2467</v>
      </c>
      <c r="O2128" t="s">
        <v>2461</v>
      </c>
      <c r="P2128">
        <v>112.09</v>
      </c>
      <c r="Q2128">
        <v>192.47</v>
      </c>
      <c r="R2128">
        <v>448.36</v>
      </c>
      <c r="S2128">
        <v>186.43</v>
      </c>
      <c r="T2128">
        <v>0.29107402145232558</v>
      </c>
      <c r="U2128" s="1">
        <v>45748</v>
      </c>
      <c r="V2128" t="s">
        <v>2498</v>
      </c>
      <c r="W2128">
        <v>2025</v>
      </c>
    </row>
    <row r="2129" spans="1:23" x14ac:dyDescent="0.25">
      <c r="A2129" t="s">
        <v>2176</v>
      </c>
      <c r="B2129" s="1">
        <v>45980</v>
      </c>
      <c r="C2129" s="1">
        <v>45985</v>
      </c>
      <c r="D2129" t="s">
        <v>23</v>
      </c>
      <c r="E2129" t="s">
        <v>43</v>
      </c>
      <c r="F2129" t="s">
        <v>15</v>
      </c>
      <c r="G2129" t="s">
        <v>26</v>
      </c>
      <c r="H2129" t="s">
        <v>68</v>
      </c>
      <c r="I2129">
        <v>1</v>
      </c>
      <c r="J2129">
        <v>0.05</v>
      </c>
      <c r="K2129">
        <v>66.11</v>
      </c>
      <c r="L2129">
        <v>3.45</v>
      </c>
      <c r="M2129" t="s">
        <v>2466</v>
      </c>
      <c r="N2129" t="s">
        <v>2467</v>
      </c>
      <c r="O2129" t="s">
        <v>2468</v>
      </c>
      <c r="P2129">
        <v>25.33</v>
      </c>
      <c r="Q2129">
        <v>51.56</v>
      </c>
      <c r="R2129">
        <v>25.33</v>
      </c>
      <c r="S2129">
        <v>37.33</v>
      </c>
      <c r="T2129">
        <v>0.56466495235214031</v>
      </c>
      <c r="U2129" s="1">
        <v>45962</v>
      </c>
      <c r="V2129" t="s">
        <v>2498</v>
      </c>
      <c r="W2129">
        <v>2025</v>
      </c>
    </row>
    <row r="2130" spans="1:23" x14ac:dyDescent="0.25">
      <c r="A2130" t="s">
        <v>2177</v>
      </c>
      <c r="B2130" s="1">
        <v>46000</v>
      </c>
      <c r="C2130" s="1">
        <v>46001</v>
      </c>
      <c r="D2130" t="s">
        <v>13</v>
      </c>
      <c r="E2130" t="s">
        <v>19</v>
      </c>
      <c r="F2130" t="s">
        <v>15</v>
      </c>
      <c r="G2130" t="s">
        <v>26</v>
      </c>
      <c r="H2130" t="s">
        <v>27</v>
      </c>
      <c r="I2130">
        <v>11</v>
      </c>
      <c r="J2130">
        <v>0.15</v>
      </c>
      <c r="K2130">
        <v>389.21</v>
      </c>
      <c r="L2130">
        <v>9.4499999999999993</v>
      </c>
      <c r="M2130" t="s">
        <v>2478</v>
      </c>
      <c r="N2130" t="s">
        <v>2474</v>
      </c>
      <c r="O2130" t="s">
        <v>2463</v>
      </c>
      <c r="P2130">
        <v>16.760000000000002</v>
      </c>
      <c r="Q2130">
        <v>27.71</v>
      </c>
      <c r="R2130">
        <v>184.36</v>
      </c>
      <c r="S2130">
        <v>195.39999999999998</v>
      </c>
      <c r="T2130">
        <v>0.50204259911101967</v>
      </c>
      <c r="U2130" s="1">
        <v>45992</v>
      </c>
      <c r="V2130" t="s">
        <v>2500</v>
      </c>
      <c r="W2130">
        <v>2025</v>
      </c>
    </row>
    <row r="2131" spans="1:23" x14ac:dyDescent="0.25">
      <c r="A2131" t="s">
        <v>2178</v>
      </c>
      <c r="B2131" s="1">
        <v>45494</v>
      </c>
      <c r="C2131" s="1">
        <v>45496</v>
      </c>
      <c r="D2131" t="s">
        <v>13</v>
      </c>
      <c r="E2131" t="s">
        <v>36</v>
      </c>
      <c r="F2131" t="s">
        <v>25</v>
      </c>
      <c r="G2131" t="s">
        <v>26</v>
      </c>
      <c r="H2131" t="s">
        <v>51</v>
      </c>
      <c r="I2131">
        <v>10</v>
      </c>
      <c r="J2131">
        <v>0</v>
      </c>
      <c r="K2131">
        <v>136.55000000000001</v>
      </c>
      <c r="L2131">
        <v>9</v>
      </c>
      <c r="M2131" t="s">
        <v>2475</v>
      </c>
      <c r="N2131" t="s">
        <v>2474</v>
      </c>
      <c r="O2131" t="s">
        <v>2463</v>
      </c>
      <c r="P2131">
        <v>7.93</v>
      </c>
      <c r="Q2131">
        <v>14.78</v>
      </c>
      <c r="R2131">
        <v>79.3</v>
      </c>
      <c r="S2131">
        <v>48.250000000000014</v>
      </c>
      <c r="T2131">
        <v>0.35335042109117548</v>
      </c>
      <c r="U2131" s="1">
        <v>45474</v>
      </c>
      <c r="V2131" t="s">
        <v>2499</v>
      </c>
      <c r="W2131">
        <v>2024</v>
      </c>
    </row>
    <row r="2132" spans="1:23" x14ac:dyDescent="0.25">
      <c r="A2132" t="s">
        <v>2179</v>
      </c>
      <c r="B2132" s="1">
        <v>45812</v>
      </c>
      <c r="C2132" s="1">
        <v>45813</v>
      </c>
      <c r="D2132" t="s">
        <v>23</v>
      </c>
      <c r="E2132" t="s">
        <v>59</v>
      </c>
      <c r="F2132" t="s">
        <v>29</v>
      </c>
      <c r="G2132" t="s">
        <v>16</v>
      </c>
      <c r="H2132" t="s">
        <v>68</v>
      </c>
      <c r="I2132">
        <v>3</v>
      </c>
      <c r="J2132">
        <v>0.15</v>
      </c>
      <c r="K2132">
        <v>134.96</v>
      </c>
      <c r="L2132">
        <v>4.95</v>
      </c>
      <c r="M2132" t="s">
        <v>2466</v>
      </c>
      <c r="N2132" t="s">
        <v>2467</v>
      </c>
      <c r="O2132" t="s">
        <v>2468</v>
      </c>
      <c r="P2132">
        <v>25.33</v>
      </c>
      <c r="Q2132">
        <v>51.56</v>
      </c>
      <c r="R2132">
        <v>75.989999999999995</v>
      </c>
      <c r="S2132">
        <v>54.02000000000001</v>
      </c>
      <c r="T2132">
        <v>0.40026674570243043</v>
      </c>
      <c r="U2132" s="1">
        <v>45809</v>
      </c>
      <c r="V2132" t="s">
        <v>2500</v>
      </c>
      <c r="W2132">
        <v>2025</v>
      </c>
    </row>
    <row r="2133" spans="1:23" x14ac:dyDescent="0.25">
      <c r="A2133" t="s">
        <v>2180</v>
      </c>
      <c r="B2133" s="1">
        <v>45355</v>
      </c>
      <c r="C2133" s="1">
        <v>45361</v>
      </c>
      <c r="D2133" t="s">
        <v>13</v>
      </c>
      <c r="E2133" t="s">
        <v>36</v>
      </c>
      <c r="F2133" t="s">
        <v>15</v>
      </c>
      <c r="G2133" t="s">
        <v>26</v>
      </c>
      <c r="H2133" t="s">
        <v>68</v>
      </c>
      <c r="I2133">
        <v>4</v>
      </c>
      <c r="J2133">
        <v>0</v>
      </c>
      <c r="K2133">
        <v>192.75</v>
      </c>
      <c r="L2133">
        <v>9.5</v>
      </c>
      <c r="M2133" t="s">
        <v>2466</v>
      </c>
      <c r="N2133" t="s">
        <v>2467</v>
      </c>
      <c r="O2133" t="s">
        <v>2468</v>
      </c>
      <c r="P2133">
        <v>25.33</v>
      </c>
      <c r="Q2133">
        <v>51.56</v>
      </c>
      <c r="R2133">
        <v>101.32</v>
      </c>
      <c r="S2133">
        <v>81.93</v>
      </c>
      <c r="T2133">
        <v>0.42505836575875489</v>
      </c>
      <c r="U2133" s="1">
        <v>45352</v>
      </c>
      <c r="V2133" t="s">
        <v>2499</v>
      </c>
      <c r="W2133">
        <v>2024</v>
      </c>
    </row>
    <row r="2134" spans="1:23" x14ac:dyDescent="0.25">
      <c r="A2134" t="s">
        <v>2181</v>
      </c>
      <c r="B2134" s="1">
        <v>45484</v>
      </c>
      <c r="C2134" s="1">
        <v>45485</v>
      </c>
      <c r="D2134" t="s">
        <v>47</v>
      </c>
      <c r="E2134" t="s">
        <v>48</v>
      </c>
      <c r="F2134" t="s">
        <v>15</v>
      </c>
      <c r="G2134" t="s">
        <v>16</v>
      </c>
      <c r="H2134" t="s">
        <v>34</v>
      </c>
      <c r="I2134">
        <v>2</v>
      </c>
      <c r="J2134">
        <v>0.25</v>
      </c>
      <c r="K2134">
        <v>269.16000000000003</v>
      </c>
      <c r="L2134">
        <v>5.46</v>
      </c>
      <c r="M2134" t="s">
        <v>2460</v>
      </c>
      <c r="N2134" t="s">
        <v>2458</v>
      </c>
      <c r="O2134" t="s">
        <v>2461</v>
      </c>
      <c r="P2134">
        <v>119.02</v>
      </c>
      <c r="Q2134">
        <v>205.39</v>
      </c>
      <c r="R2134">
        <v>238.04</v>
      </c>
      <c r="S2134">
        <v>25.660000000000032</v>
      </c>
      <c r="T2134">
        <v>9.5333630554317247E-2</v>
      </c>
      <c r="U2134" s="1">
        <v>45474</v>
      </c>
      <c r="V2134" t="s">
        <v>2501</v>
      </c>
      <c r="W2134">
        <v>2024</v>
      </c>
    </row>
    <row r="2135" spans="1:23" x14ac:dyDescent="0.25">
      <c r="A2135" t="s">
        <v>2182</v>
      </c>
      <c r="B2135" s="1">
        <v>45673</v>
      </c>
      <c r="C2135" s="1">
        <v>45674</v>
      </c>
      <c r="D2135" t="s">
        <v>23</v>
      </c>
      <c r="E2135" t="s">
        <v>43</v>
      </c>
      <c r="F2135" t="s">
        <v>29</v>
      </c>
      <c r="G2135" t="s">
        <v>20</v>
      </c>
      <c r="H2135" t="s">
        <v>37</v>
      </c>
      <c r="I2135">
        <v>5</v>
      </c>
      <c r="J2135">
        <v>0.25</v>
      </c>
      <c r="K2135">
        <v>368.05</v>
      </c>
      <c r="L2135">
        <v>16</v>
      </c>
      <c r="M2135" t="s">
        <v>2464</v>
      </c>
      <c r="N2135" t="s">
        <v>2458</v>
      </c>
      <c r="O2135" t="s">
        <v>2465</v>
      </c>
      <c r="P2135">
        <v>63.6</v>
      </c>
      <c r="Q2135">
        <v>107.94</v>
      </c>
      <c r="R2135">
        <v>318</v>
      </c>
      <c r="S2135">
        <v>34.050000000000011</v>
      </c>
      <c r="T2135">
        <v>9.2514603994022573E-2</v>
      </c>
      <c r="U2135" s="1">
        <v>45658</v>
      </c>
      <c r="V2135" t="s">
        <v>2501</v>
      </c>
      <c r="W2135">
        <v>2025</v>
      </c>
    </row>
    <row r="2136" spans="1:23" x14ac:dyDescent="0.25">
      <c r="A2136" t="s">
        <v>2183</v>
      </c>
      <c r="B2136" s="1">
        <v>45691</v>
      </c>
      <c r="C2136" s="1">
        <v>45692</v>
      </c>
      <c r="D2136" t="s">
        <v>32</v>
      </c>
      <c r="E2136" t="s">
        <v>45</v>
      </c>
      <c r="F2136" t="s">
        <v>25</v>
      </c>
      <c r="G2136" t="s">
        <v>20</v>
      </c>
      <c r="H2136" t="s">
        <v>39</v>
      </c>
      <c r="I2136">
        <v>4</v>
      </c>
      <c r="J2136">
        <v>0</v>
      </c>
      <c r="K2136">
        <v>707.84</v>
      </c>
      <c r="L2136">
        <v>5.7</v>
      </c>
      <c r="M2136" t="s">
        <v>2471</v>
      </c>
      <c r="N2136" t="s">
        <v>2467</v>
      </c>
      <c r="O2136" t="s">
        <v>2461</v>
      </c>
      <c r="P2136">
        <v>112.09</v>
      </c>
      <c r="Q2136">
        <v>192.47</v>
      </c>
      <c r="R2136">
        <v>448.36</v>
      </c>
      <c r="S2136">
        <v>253.78000000000003</v>
      </c>
      <c r="T2136">
        <v>0.35852735081374326</v>
      </c>
      <c r="U2136" s="1">
        <v>45689</v>
      </c>
      <c r="V2136" t="s">
        <v>2499</v>
      </c>
      <c r="W2136">
        <v>2025</v>
      </c>
    </row>
    <row r="2137" spans="1:23" x14ac:dyDescent="0.25">
      <c r="A2137" t="s">
        <v>2184</v>
      </c>
      <c r="B2137" s="1">
        <v>45593</v>
      </c>
      <c r="C2137" s="1">
        <v>45599</v>
      </c>
      <c r="D2137" t="s">
        <v>13</v>
      </c>
      <c r="E2137" t="s">
        <v>14</v>
      </c>
      <c r="F2137" t="s">
        <v>25</v>
      </c>
      <c r="G2137" t="s">
        <v>26</v>
      </c>
      <c r="H2137" t="s">
        <v>53</v>
      </c>
      <c r="I2137">
        <v>2</v>
      </c>
      <c r="J2137">
        <v>0</v>
      </c>
      <c r="K2137">
        <v>133.68</v>
      </c>
      <c r="L2137">
        <v>7</v>
      </c>
      <c r="M2137" t="s">
        <v>2470</v>
      </c>
      <c r="N2137" t="s">
        <v>2467</v>
      </c>
      <c r="O2137" t="s">
        <v>2459</v>
      </c>
      <c r="P2137">
        <v>31.34</v>
      </c>
      <c r="Q2137">
        <v>56.49</v>
      </c>
      <c r="R2137">
        <v>62.68</v>
      </c>
      <c r="S2137">
        <v>64</v>
      </c>
      <c r="T2137">
        <v>0.47875523638539796</v>
      </c>
      <c r="U2137" s="1">
        <v>45566</v>
      </c>
      <c r="V2137" t="s">
        <v>2499</v>
      </c>
      <c r="W2137">
        <v>2024</v>
      </c>
    </row>
    <row r="2138" spans="1:23" x14ac:dyDescent="0.25">
      <c r="A2138" t="s">
        <v>2185</v>
      </c>
      <c r="B2138" s="1">
        <v>45520</v>
      </c>
      <c r="C2138" s="1">
        <v>45521</v>
      </c>
      <c r="D2138" t="s">
        <v>13</v>
      </c>
      <c r="E2138" t="s">
        <v>36</v>
      </c>
      <c r="F2138" t="s">
        <v>25</v>
      </c>
      <c r="G2138" t="s">
        <v>26</v>
      </c>
      <c r="H2138" t="s">
        <v>41</v>
      </c>
      <c r="I2138">
        <v>6</v>
      </c>
      <c r="J2138">
        <v>0.15</v>
      </c>
      <c r="K2138">
        <v>30.45</v>
      </c>
      <c r="L2138">
        <v>4.32</v>
      </c>
      <c r="M2138" t="s">
        <v>2479</v>
      </c>
      <c r="N2138" t="s">
        <v>2474</v>
      </c>
      <c r="O2138" t="s">
        <v>2459</v>
      </c>
      <c r="P2138">
        <v>3.3</v>
      </c>
      <c r="Q2138">
        <v>6.13</v>
      </c>
      <c r="R2138">
        <v>19.799999999999997</v>
      </c>
      <c r="S2138">
        <v>6.3300000000000018</v>
      </c>
      <c r="T2138">
        <v>0.20788177339901484</v>
      </c>
      <c r="U2138" s="1">
        <v>45505</v>
      </c>
      <c r="V2138" t="s">
        <v>2500</v>
      </c>
      <c r="W2138">
        <v>2024</v>
      </c>
    </row>
    <row r="2139" spans="1:23" x14ac:dyDescent="0.25">
      <c r="A2139" t="s">
        <v>2186</v>
      </c>
      <c r="B2139" s="1">
        <v>45407</v>
      </c>
      <c r="C2139" s="1">
        <v>45411</v>
      </c>
      <c r="D2139" t="s">
        <v>47</v>
      </c>
      <c r="E2139" t="s">
        <v>48</v>
      </c>
      <c r="F2139" t="s">
        <v>29</v>
      </c>
      <c r="G2139" t="s">
        <v>26</v>
      </c>
      <c r="H2139" t="s">
        <v>63</v>
      </c>
      <c r="I2139">
        <v>7</v>
      </c>
      <c r="J2139">
        <v>0</v>
      </c>
      <c r="K2139">
        <v>84.56</v>
      </c>
      <c r="L2139">
        <v>4.59</v>
      </c>
      <c r="M2139" t="s">
        <v>2477</v>
      </c>
      <c r="N2139" t="s">
        <v>2474</v>
      </c>
      <c r="O2139" t="s">
        <v>2468</v>
      </c>
      <c r="P2139">
        <v>6.33</v>
      </c>
      <c r="Q2139">
        <v>12.16</v>
      </c>
      <c r="R2139">
        <v>44.31</v>
      </c>
      <c r="S2139">
        <v>35.659999999999997</v>
      </c>
      <c r="T2139">
        <v>0.42171239356669815</v>
      </c>
      <c r="U2139" s="1">
        <v>45383</v>
      </c>
      <c r="V2139" t="s">
        <v>2499</v>
      </c>
      <c r="W2139">
        <v>2024</v>
      </c>
    </row>
    <row r="2140" spans="1:23" x14ac:dyDescent="0.25">
      <c r="A2140" t="s">
        <v>2187</v>
      </c>
      <c r="B2140" s="1">
        <v>45878</v>
      </c>
      <c r="C2140" s="1">
        <v>45884</v>
      </c>
      <c r="D2140" t="s">
        <v>13</v>
      </c>
      <c r="E2140" t="s">
        <v>36</v>
      </c>
      <c r="F2140" t="s">
        <v>25</v>
      </c>
      <c r="G2140" t="s">
        <v>16</v>
      </c>
      <c r="H2140" t="s">
        <v>37</v>
      </c>
      <c r="I2140">
        <v>1</v>
      </c>
      <c r="J2140">
        <v>0</v>
      </c>
      <c r="K2140">
        <v>105.14</v>
      </c>
      <c r="L2140">
        <v>4.08</v>
      </c>
      <c r="M2140" t="s">
        <v>2464</v>
      </c>
      <c r="N2140" t="s">
        <v>2458</v>
      </c>
      <c r="O2140" t="s">
        <v>2465</v>
      </c>
      <c r="P2140">
        <v>63.6</v>
      </c>
      <c r="Q2140">
        <v>107.94</v>
      </c>
      <c r="R2140">
        <v>63.6</v>
      </c>
      <c r="S2140">
        <v>37.46</v>
      </c>
      <c r="T2140">
        <v>0.35628685562107665</v>
      </c>
      <c r="U2140" s="1">
        <v>45870</v>
      </c>
      <c r="V2140" t="s">
        <v>2499</v>
      </c>
      <c r="W2140">
        <v>2025</v>
      </c>
    </row>
    <row r="2141" spans="1:23" x14ac:dyDescent="0.25">
      <c r="A2141" t="s">
        <v>2188</v>
      </c>
      <c r="B2141" s="1">
        <v>45344</v>
      </c>
      <c r="C2141" s="1">
        <v>45350</v>
      </c>
      <c r="D2141" t="s">
        <v>32</v>
      </c>
      <c r="E2141" t="s">
        <v>33</v>
      </c>
      <c r="F2141" t="s">
        <v>25</v>
      </c>
      <c r="G2141" t="s">
        <v>26</v>
      </c>
      <c r="H2141" t="s">
        <v>87</v>
      </c>
      <c r="I2141">
        <v>14</v>
      </c>
      <c r="J2141">
        <v>0</v>
      </c>
      <c r="K2141">
        <v>109.95</v>
      </c>
      <c r="L2141">
        <v>6.48</v>
      </c>
      <c r="M2141" t="s">
        <v>2476</v>
      </c>
      <c r="N2141" t="s">
        <v>2474</v>
      </c>
      <c r="O2141" t="s">
        <v>2459</v>
      </c>
      <c r="P2141">
        <v>4.5</v>
      </c>
      <c r="Q2141">
        <v>8.2899999999999991</v>
      </c>
      <c r="R2141">
        <v>63</v>
      </c>
      <c r="S2141">
        <v>40.47</v>
      </c>
      <c r="T2141">
        <v>0.36807639836289219</v>
      </c>
      <c r="U2141" s="1">
        <v>45323</v>
      </c>
      <c r="V2141" t="s">
        <v>2499</v>
      </c>
      <c r="W2141">
        <v>2024</v>
      </c>
    </row>
    <row r="2142" spans="1:23" x14ac:dyDescent="0.25">
      <c r="A2142" t="s">
        <v>2189</v>
      </c>
      <c r="B2142" s="1">
        <v>45823</v>
      </c>
      <c r="C2142" s="1">
        <v>45829</v>
      </c>
      <c r="D2142" t="s">
        <v>32</v>
      </c>
      <c r="E2142" t="s">
        <v>33</v>
      </c>
      <c r="F2142" t="s">
        <v>15</v>
      </c>
      <c r="G2142" t="s">
        <v>26</v>
      </c>
      <c r="H2142" t="s">
        <v>21</v>
      </c>
      <c r="I2142">
        <v>3</v>
      </c>
      <c r="J2142">
        <v>0</v>
      </c>
      <c r="K2142">
        <v>365.02</v>
      </c>
      <c r="L2142">
        <v>11.4</v>
      </c>
      <c r="M2142" t="s">
        <v>2462</v>
      </c>
      <c r="N2142" t="s">
        <v>2458</v>
      </c>
      <c r="O2142" t="s">
        <v>2463</v>
      </c>
      <c r="P2142">
        <v>71.489999999999995</v>
      </c>
      <c r="Q2142">
        <v>112.88</v>
      </c>
      <c r="R2142">
        <v>214.46999999999997</v>
      </c>
      <c r="S2142">
        <v>139.15</v>
      </c>
      <c r="T2142">
        <v>0.38121198838419817</v>
      </c>
      <c r="U2142" s="1">
        <v>45809</v>
      </c>
      <c r="V2142" t="s">
        <v>2499</v>
      </c>
      <c r="W2142">
        <v>2025</v>
      </c>
    </row>
    <row r="2143" spans="1:23" x14ac:dyDescent="0.25">
      <c r="A2143" t="s">
        <v>2190</v>
      </c>
      <c r="B2143" s="1">
        <v>45534</v>
      </c>
      <c r="C2143" s="1">
        <v>45535</v>
      </c>
      <c r="D2143" t="s">
        <v>23</v>
      </c>
      <c r="E2143" t="s">
        <v>43</v>
      </c>
      <c r="F2143" t="s">
        <v>25</v>
      </c>
      <c r="G2143" t="s">
        <v>26</v>
      </c>
      <c r="H2143" t="s">
        <v>53</v>
      </c>
      <c r="I2143">
        <v>2</v>
      </c>
      <c r="J2143">
        <v>0</v>
      </c>
      <c r="K2143">
        <v>106.22</v>
      </c>
      <c r="L2143">
        <v>7</v>
      </c>
      <c r="M2143" t="s">
        <v>2470</v>
      </c>
      <c r="N2143" t="s">
        <v>2467</v>
      </c>
      <c r="O2143" t="s">
        <v>2459</v>
      </c>
      <c r="P2143">
        <v>31.34</v>
      </c>
      <c r="Q2143">
        <v>56.49</v>
      </c>
      <c r="R2143">
        <v>62.68</v>
      </c>
      <c r="S2143">
        <v>36.54</v>
      </c>
      <c r="T2143">
        <v>0.34400301261532668</v>
      </c>
      <c r="U2143" s="1">
        <v>45505</v>
      </c>
      <c r="V2143" t="s">
        <v>2499</v>
      </c>
      <c r="W2143">
        <v>2024</v>
      </c>
    </row>
    <row r="2144" spans="1:23" x14ac:dyDescent="0.25">
      <c r="A2144" t="s">
        <v>2191</v>
      </c>
      <c r="B2144" s="1">
        <v>45853</v>
      </c>
      <c r="C2144" s="1">
        <v>45856</v>
      </c>
      <c r="D2144" t="s">
        <v>23</v>
      </c>
      <c r="E2144" t="s">
        <v>59</v>
      </c>
      <c r="F2144" t="s">
        <v>29</v>
      </c>
      <c r="G2144" t="s">
        <v>26</v>
      </c>
      <c r="H2144" t="s">
        <v>30</v>
      </c>
      <c r="I2144">
        <v>6</v>
      </c>
      <c r="J2144">
        <v>0</v>
      </c>
      <c r="K2144">
        <v>31.44</v>
      </c>
      <c r="L2144">
        <v>4.32</v>
      </c>
      <c r="M2144" t="s">
        <v>2473</v>
      </c>
      <c r="N2144" t="s">
        <v>2474</v>
      </c>
      <c r="O2144" t="s">
        <v>2463</v>
      </c>
      <c r="P2144">
        <v>3.62</v>
      </c>
      <c r="Q2144">
        <v>6.03</v>
      </c>
      <c r="R2144">
        <v>21.72</v>
      </c>
      <c r="S2144">
        <v>5.4000000000000021</v>
      </c>
      <c r="T2144">
        <v>0.17175572519083976</v>
      </c>
      <c r="U2144" s="1">
        <v>45839</v>
      </c>
      <c r="V2144" t="s">
        <v>2499</v>
      </c>
      <c r="W2144">
        <v>2025</v>
      </c>
    </row>
    <row r="2145" spans="1:23" x14ac:dyDescent="0.25">
      <c r="A2145" t="s">
        <v>2192</v>
      </c>
      <c r="B2145" s="1">
        <v>45571</v>
      </c>
      <c r="C2145" s="1">
        <v>45574</v>
      </c>
      <c r="D2145" t="s">
        <v>13</v>
      </c>
      <c r="E2145" t="s">
        <v>19</v>
      </c>
      <c r="F2145" t="s">
        <v>25</v>
      </c>
      <c r="G2145" t="s">
        <v>20</v>
      </c>
      <c r="H2145" t="s">
        <v>68</v>
      </c>
      <c r="I2145">
        <v>3</v>
      </c>
      <c r="J2145">
        <v>0.2</v>
      </c>
      <c r="K2145">
        <v>140.24</v>
      </c>
      <c r="L2145">
        <v>4.95</v>
      </c>
      <c r="M2145" t="s">
        <v>2466</v>
      </c>
      <c r="N2145" t="s">
        <v>2467</v>
      </c>
      <c r="O2145" t="s">
        <v>2468</v>
      </c>
      <c r="P2145">
        <v>25.33</v>
      </c>
      <c r="Q2145">
        <v>51.56</v>
      </c>
      <c r="R2145">
        <v>75.989999999999995</v>
      </c>
      <c r="S2145">
        <v>59.300000000000011</v>
      </c>
      <c r="T2145">
        <v>0.42284654877353112</v>
      </c>
      <c r="U2145" s="1">
        <v>45566</v>
      </c>
      <c r="V2145" t="s">
        <v>2500</v>
      </c>
      <c r="W2145">
        <v>2024</v>
      </c>
    </row>
    <row r="2146" spans="1:23" x14ac:dyDescent="0.25">
      <c r="A2146" t="s">
        <v>2193</v>
      </c>
      <c r="B2146" s="1">
        <v>45641</v>
      </c>
      <c r="C2146" s="1">
        <v>45642</v>
      </c>
      <c r="D2146" t="s">
        <v>23</v>
      </c>
      <c r="E2146" t="s">
        <v>24</v>
      </c>
      <c r="F2146" t="s">
        <v>29</v>
      </c>
      <c r="G2146" t="s">
        <v>20</v>
      </c>
      <c r="H2146" t="s">
        <v>63</v>
      </c>
      <c r="I2146">
        <v>11</v>
      </c>
      <c r="J2146">
        <v>0</v>
      </c>
      <c r="K2146">
        <v>193.19</v>
      </c>
      <c r="L2146">
        <v>5.67</v>
      </c>
      <c r="M2146" t="s">
        <v>2477</v>
      </c>
      <c r="N2146" t="s">
        <v>2474</v>
      </c>
      <c r="O2146" t="s">
        <v>2468</v>
      </c>
      <c r="P2146">
        <v>6.33</v>
      </c>
      <c r="Q2146">
        <v>12.16</v>
      </c>
      <c r="R2146">
        <v>69.63</v>
      </c>
      <c r="S2146">
        <v>117.89</v>
      </c>
      <c r="T2146">
        <v>0.61022827268492164</v>
      </c>
      <c r="U2146" s="1">
        <v>45627</v>
      </c>
      <c r="V2146" t="s">
        <v>2499</v>
      </c>
      <c r="W2146">
        <v>2024</v>
      </c>
    </row>
    <row r="2147" spans="1:23" x14ac:dyDescent="0.25">
      <c r="A2147" t="s">
        <v>2194</v>
      </c>
      <c r="B2147" s="1">
        <v>45468</v>
      </c>
      <c r="C2147" s="1">
        <v>45473</v>
      </c>
      <c r="D2147" t="s">
        <v>23</v>
      </c>
      <c r="E2147" t="s">
        <v>24</v>
      </c>
      <c r="F2147" t="s">
        <v>25</v>
      </c>
      <c r="G2147" t="s">
        <v>20</v>
      </c>
      <c r="H2147" t="s">
        <v>37</v>
      </c>
      <c r="I2147">
        <v>4</v>
      </c>
      <c r="J2147">
        <v>0</v>
      </c>
      <c r="K2147">
        <v>436.4</v>
      </c>
      <c r="L2147">
        <v>8.2200000000000006</v>
      </c>
      <c r="M2147" t="s">
        <v>2464</v>
      </c>
      <c r="N2147" t="s">
        <v>2458</v>
      </c>
      <c r="O2147" t="s">
        <v>2465</v>
      </c>
      <c r="P2147">
        <v>63.6</v>
      </c>
      <c r="Q2147">
        <v>107.94</v>
      </c>
      <c r="R2147">
        <v>254.4</v>
      </c>
      <c r="S2147">
        <v>173.77999999999997</v>
      </c>
      <c r="T2147">
        <v>0.39821264894592112</v>
      </c>
      <c r="U2147" s="1">
        <v>45444</v>
      </c>
      <c r="V2147" t="s">
        <v>2499</v>
      </c>
      <c r="W2147">
        <v>2024</v>
      </c>
    </row>
    <row r="2148" spans="1:23" x14ac:dyDescent="0.25">
      <c r="A2148" t="s">
        <v>2195</v>
      </c>
      <c r="B2148" s="1">
        <v>45851</v>
      </c>
      <c r="C2148" s="1">
        <v>45857</v>
      </c>
      <c r="D2148" t="s">
        <v>13</v>
      </c>
      <c r="E2148" t="s">
        <v>14</v>
      </c>
      <c r="F2148" t="s">
        <v>29</v>
      </c>
      <c r="G2148" t="s">
        <v>16</v>
      </c>
      <c r="H2148" t="s">
        <v>63</v>
      </c>
      <c r="I2148">
        <v>4</v>
      </c>
      <c r="J2148">
        <v>0</v>
      </c>
      <c r="K2148">
        <v>45.09</v>
      </c>
      <c r="L2148">
        <v>6.3</v>
      </c>
      <c r="M2148" t="s">
        <v>2477</v>
      </c>
      <c r="N2148" t="s">
        <v>2474</v>
      </c>
      <c r="O2148" t="s">
        <v>2468</v>
      </c>
      <c r="P2148">
        <v>6.33</v>
      </c>
      <c r="Q2148">
        <v>12.16</v>
      </c>
      <c r="R2148">
        <v>25.32</v>
      </c>
      <c r="S2148">
        <v>13.470000000000002</v>
      </c>
      <c r="T2148">
        <v>0.29873586161011312</v>
      </c>
      <c r="U2148" s="1">
        <v>45839</v>
      </c>
      <c r="V2148" t="s">
        <v>2499</v>
      </c>
      <c r="W2148">
        <v>2025</v>
      </c>
    </row>
    <row r="2149" spans="1:23" x14ac:dyDescent="0.25">
      <c r="A2149" t="s">
        <v>2196</v>
      </c>
      <c r="B2149" s="1">
        <v>46001</v>
      </c>
      <c r="C2149" s="1">
        <v>46007</v>
      </c>
      <c r="D2149" t="s">
        <v>23</v>
      </c>
      <c r="E2149" t="s">
        <v>24</v>
      </c>
      <c r="F2149" t="s">
        <v>25</v>
      </c>
      <c r="G2149" t="s">
        <v>20</v>
      </c>
      <c r="H2149" t="s">
        <v>21</v>
      </c>
      <c r="I2149">
        <v>4</v>
      </c>
      <c r="J2149">
        <v>0.15</v>
      </c>
      <c r="K2149">
        <v>552.9</v>
      </c>
      <c r="L2149">
        <v>13.7</v>
      </c>
      <c r="M2149" t="s">
        <v>2462</v>
      </c>
      <c r="N2149" t="s">
        <v>2458</v>
      </c>
      <c r="O2149" t="s">
        <v>2463</v>
      </c>
      <c r="P2149">
        <v>71.489999999999995</v>
      </c>
      <c r="Q2149">
        <v>112.88</v>
      </c>
      <c r="R2149">
        <v>285.95999999999998</v>
      </c>
      <c r="S2149">
        <v>253.24</v>
      </c>
      <c r="T2149">
        <v>0.45802134201483091</v>
      </c>
      <c r="U2149" s="1">
        <v>45992</v>
      </c>
      <c r="V2149" t="s">
        <v>2500</v>
      </c>
      <c r="W2149">
        <v>2025</v>
      </c>
    </row>
    <row r="2150" spans="1:23" x14ac:dyDescent="0.25">
      <c r="A2150" t="s">
        <v>2197</v>
      </c>
      <c r="B2150" s="1">
        <v>46009</v>
      </c>
      <c r="C2150" s="1">
        <v>46013</v>
      </c>
      <c r="D2150" t="s">
        <v>23</v>
      </c>
      <c r="E2150" t="s">
        <v>43</v>
      </c>
      <c r="F2150" t="s">
        <v>25</v>
      </c>
      <c r="G2150" t="s">
        <v>16</v>
      </c>
      <c r="H2150" t="s">
        <v>27</v>
      </c>
      <c r="I2150">
        <v>12</v>
      </c>
      <c r="J2150">
        <v>0</v>
      </c>
      <c r="K2150">
        <v>468.69</v>
      </c>
      <c r="L2150">
        <v>9.9</v>
      </c>
      <c r="M2150" t="s">
        <v>2478</v>
      </c>
      <c r="N2150" t="s">
        <v>2474</v>
      </c>
      <c r="O2150" t="s">
        <v>2463</v>
      </c>
      <c r="P2150">
        <v>16.760000000000002</v>
      </c>
      <c r="Q2150">
        <v>27.71</v>
      </c>
      <c r="R2150">
        <v>201.12</v>
      </c>
      <c r="S2150">
        <v>257.67</v>
      </c>
      <c r="T2150">
        <v>0.54976637009537221</v>
      </c>
      <c r="U2150" s="1">
        <v>45992</v>
      </c>
      <c r="V2150" t="s">
        <v>2499</v>
      </c>
      <c r="W2150">
        <v>2025</v>
      </c>
    </row>
    <row r="2151" spans="1:23" x14ac:dyDescent="0.25">
      <c r="A2151" t="s">
        <v>2198</v>
      </c>
      <c r="B2151" s="1">
        <v>45882</v>
      </c>
      <c r="C2151" s="1">
        <v>45886</v>
      </c>
      <c r="D2151" t="s">
        <v>13</v>
      </c>
      <c r="E2151" t="s">
        <v>36</v>
      </c>
      <c r="F2151" t="s">
        <v>25</v>
      </c>
      <c r="G2151" t="s">
        <v>26</v>
      </c>
      <c r="H2151" t="s">
        <v>34</v>
      </c>
      <c r="I2151">
        <v>2</v>
      </c>
      <c r="J2151">
        <v>0</v>
      </c>
      <c r="K2151">
        <v>396.87</v>
      </c>
      <c r="L2151">
        <v>5.46</v>
      </c>
      <c r="M2151" t="s">
        <v>2460</v>
      </c>
      <c r="N2151" t="s">
        <v>2458</v>
      </c>
      <c r="O2151" t="s">
        <v>2461</v>
      </c>
      <c r="P2151">
        <v>119.02</v>
      </c>
      <c r="Q2151">
        <v>205.39</v>
      </c>
      <c r="R2151">
        <v>238.04</v>
      </c>
      <c r="S2151">
        <v>153.37</v>
      </c>
      <c r="T2151">
        <v>0.38644896313654348</v>
      </c>
      <c r="U2151" s="1">
        <v>45870</v>
      </c>
      <c r="V2151" t="s">
        <v>2499</v>
      </c>
      <c r="W2151">
        <v>2025</v>
      </c>
    </row>
    <row r="2152" spans="1:23" x14ac:dyDescent="0.25">
      <c r="A2152" t="s">
        <v>2199</v>
      </c>
      <c r="B2152" s="1">
        <v>45455</v>
      </c>
      <c r="C2152" s="1">
        <v>45456</v>
      </c>
      <c r="D2152" t="s">
        <v>13</v>
      </c>
      <c r="E2152" t="s">
        <v>19</v>
      </c>
      <c r="F2152" t="s">
        <v>15</v>
      </c>
      <c r="G2152" t="s">
        <v>20</v>
      </c>
      <c r="H2152" t="s">
        <v>41</v>
      </c>
      <c r="I2152">
        <v>7</v>
      </c>
      <c r="J2152">
        <v>0</v>
      </c>
      <c r="K2152">
        <v>42.68</v>
      </c>
      <c r="L2152">
        <v>7.65</v>
      </c>
      <c r="M2152" t="s">
        <v>2479</v>
      </c>
      <c r="N2152" t="s">
        <v>2474</v>
      </c>
      <c r="O2152" t="s">
        <v>2459</v>
      </c>
      <c r="P2152">
        <v>3.3</v>
      </c>
      <c r="Q2152">
        <v>6.13</v>
      </c>
      <c r="R2152">
        <v>23.099999999999998</v>
      </c>
      <c r="S2152">
        <v>11.930000000000001</v>
      </c>
      <c r="T2152">
        <v>0.27952202436738521</v>
      </c>
      <c r="U2152" s="1">
        <v>45444</v>
      </c>
      <c r="V2152" t="s">
        <v>2499</v>
      </c>
      <c r="W2152">
        <v>2024</v>
      </c>
    </row>
    <row r="2153" spans="1:23" x14ac:dyDescent="0.25">
      <c r="A2153" t="s">
        <v>2200</v>
      </c>
      <c r="B2153" s="1">
        <v>45809</v>
      </c>
      <c r="C2153" s="1">
        <v>45812</v>
      </c>
      <c r="D2153" t="s">
        <v>23</v>
      </c>
      <c r="E2153" t="s">
        <v>43</v>
      </c>
      <c r="F2153" t="s">
        <v>25</v>
      </c>
      <c r="G2153" t="s">
        <v>26</v>
      </c>
      <c r="H2153" t="s">
        <v>63</v>
      </c>
      <c r="I2153">
        <v>9</v>
      </c>
      <c r="J2153">
        <v>0.1</v>
      </c>
      <c r="K2153">
        <v>105.5</v>
      </c>
      <c r="L2153">
        <v>8.5500000000000007</v>
      </c>
      <c r="M2153" t="s">
        <v>2477</v>
      </c>
      <c r="N2153" t="s">
        <v>2474</v>
      </c>
      <c r="O2153" t="s">
        <v>2468</v>
      </c>
      <c r="P2153">
        <v>6.33</v>
      </c>
      <c r="Q2153">
        <v>12.16</v>
      </c>
      <c r="R2153">
        <v>56.97</v>
      </c>
      <c r="S2153">
        <v>39.980000000000004</v>
      </c>
      <c r="T2153">
        <v>0.378957345971564</v>
      </c>
      <c r="U2153" s="1">
        <v>45809</v>
      </c>
      <c r="V2153" t="s">
        <v>2498</v>
      </c>
      <c r="W2153">
        <v>2025</v>
      </c>
    </row>
    <row r="2154" spans="1:23" x14ac:dyDescent="0.25">
      <c r="A2154" t="s">
        <v>2201</v>
      </c>
      <c r="B2154" s="1">
        <v>45455</v>
      </c>
      <c r="C2154" s="1">
        <v>45459</v>
      </c>
      <c r="D2154" t="s">
        <v>32</v>
      </c>
      <c r="E2154" t="s">
        <v>45</v>
      </c>
      <c r="F2154" t="s">
        <v>25</v>
      </c>
      <c r="G2154" t="s">
        <v>20</v>
      </c>
      <c r="H2154" t="s">
        <v>41</v>
      </c>
      <c r="I2154">
        <v>11</v>
      </c>
      <c r="J2154">
        <v>0.1</v>
      </c>
      <c r="K2154">
        <v>62.19</v>
      </c>
      <c r="L2154">
        <v>5.67</v>
      </c>
      <c r="M2154" t="s">
        <v>2479</v>
      </c>
      <c r="N2154" t="s">
        <v>2474</v>
      </c>
      <c r="O2154" t="s">
        <v>2459</v>
      </c>
      <c r="P2154">
        <v>3.3</v>
      </c>
      <c r="Q2154">
        <v>6.13</v>
      </c>
      <c r="R2154">
        <v>36.299999999999997</v>
      </c>
      <c r="S2154">
        <v>20.22</v>
      </c>
      <c r="T2154">
        <v>0.32513265798359864</v>
      </c>
      <c r="U2154" s="1">
        <v>45444</v>
      </c>
      <c r="V2154" t="s">
        <v>2498</v>
      </c>
      <c r="W2154">
        <v>2024</v>
      </c>
    </row>
    <row r="2155" spans="1:23" x14ac:dyDescent="0.25">
      <c r="A2155" t="s">
        <v>2202</v>
      </c>
      <c r="B2155" s="1">
        <v>45925</v>
      </c>
      <c r="C2155" s="1">
        <v>45926</v>
      </c>
      <c r="D2155" t="s">
        <v>13</v>
      </c>
      <c r="E2155" t="s">
        <v>19</v>
      </c>
      <c r="F2155" t="s">
        <v>25</v>
      </c>
      <c r="G2155" t="s">
        <v>26</v>
      </c>
      <c r="H2155" t="s">
        <v>51</v>
      </c>
      <c r="I2155">
        <v>9</v>
      </c>
      <c r="J2155">
        <v>0.1</v>
      </c>
      <c r="K2155">
        <v>125.28</v>
      </c>
      <c r="L2155">
        <v>8.5500000000000007</v>
      </c>
      <c r="M2155" t="s">
        <v>2475</v>
      </c>
      <c r="N2155" t="s">
        <v>2474</v>
      </c>
      <c r="O2155" t="s">
        <v>2463</v>
      </c>
      <c r="P2155">
        <v>7.93</v>
      </c>
      <c r="Q2155">
        <v>14.78</v>
      </c>
      <c r="R2155">
        <v>71.37</v>
      </c>
      <c r="S2155">
        <v>45.36</v>
      </c>
      <c r="T2155">
        <v>0.36206896551724138</v>
      </c>
      <c r="U2155" s="1">
        <v>45901</v>
      </c>
      <c r="V2155" t="s">
        <v>2498</v>
      </c>
      <c r="W2155">
        <v>2025</v>
      </c>
    </row>
    <row r="2156" spans="1:23" x14ac:dyDescent="0.25">
      <c r="A2156" t="s">
        <v>2203</v>
      </c>
      <c r="B2156" s="1">
        <v>45536</v>
      </c>
      <c r="C2156" s="1">
        <v>45541</v>
      </c>
      <c r="D2156" t="s">
        <v>23</v>
      </c>
      <c r="E2156" t="s">
        <v>24</v>
      </c>
      <c r="F2156" t="s">
        <v>15</v>
      </c>
      <c r="G2156" t="s">
        <v>26</v>
      </c>
      <c r="H2156" t="s">
        <v>68</v>
      </c>
      <c r="I2156">
        <v>3</v>
      </c>
      <c r="J2156">
        <v>0.2</v>
      </c>
      <c r="K2156">
        <v>130.63999999999999</v>
      </c>
      <c r="L2156">
        <v>4.95</v>
      </c>
      <c r="M2156" t="s">
        <v>2466</v>
      </c>
      <c r="N2156" t="s">
        <v>2467</v>
      </c>
      <c r="O2156" t="s">
        <v>2468</v>
      </c>
      <c r="P2156">
        <v>25.33</v>
      </c>
      <c r="Q2156">
        <v>51.56</v>
      </c>
      <c r="R2156">
        <v>75.989999999999995</v>
      </c>
      <c r="S2156">
        <v>49.699999999999989</v>
      </c>
      <c r="T2156">
        <v>0.38043478260869562</v>
      </c>
      <c r="U2156" s="1">
        <v>45536</v>
      </c>
      <c r="V2156" t="s">
        <v>2500</v>
      </c>
      <c r="W2156">
        <v>2024</v>
      </c>
    </row>
    <row r="2157" spans="1:23" x14ac:dyDescent="0.25">
      <c r="A2157" t="s">
        <v>2204</v>
      </c>
      <c r="B2157" s="1">
        <v>45795</v>
      </c>
      <c r="C2157" s="1">
        <v>45800</v>
      </c>
      <c r="D2157" t="s">
        <v>13</v>
      </c>
      <c r="E2157" t="s">
        <v>36</v>
      </c>
      <c r="F2157" t="s">
        <v>29</v>
      </c>
      <c r="G2157" t="s">
        <v>16</v>
      </c>
      <c r="H2157" t="s">
        <v>34</v>
      </c>
      <c r="I2157">
        <v>4</v>
      </c>
      <c r="J2157">
        <v>0</v>
      </c>
      <c r="K2157">
        <v>881.04</v>
      </c>
      <c r="L2157">
        <v>13.7</v>
      </c>
      <c r="M2157" t="s">
        <v>2460</v>
      </c>
      <c r="N2157" t="s">
        <v>2458</v>
      </c>
      <c r="O2157" t="s">
        <v>2461</v>
      </c>
      <c r="P2157">
        <v>119.02</v>
      </c>
      <c r="Q2157">
        <v>205.39</v>
      </c>
      <c r="R2157">
        <v>476.08</v>
      </c>
      <c r="S2157">
        <v>391.26</v>
      </c>
      <c r="T2157">
        <v>0.44408880414056118</v>
      </c>
      <c r="U2157" s="1">
        <v>45778</v>
      </c>
      <c r="V2157" t="s">
        <v>2499</v>
      </c>
      <c r="W2157">
        <v>2025</v>
      </c>
    </row>
    <row r="2158" spans="1:23" x14ac:dyDescent="0.25">
      <c r="A2158" t="s">
        <v>2205</v>
      </c>
      <c r="B2158" s="1">
        <v>45661</v>
      </c>
      <c r="C2158" s="1">
        <v>45662</v>
      </c>
      <c r="D2158" t="s">
        <v>13</v>
      </c>
      <c r="E2158" t="s">
        <v>19</v>
      </c>
      <c r="F2158" t="s">
        <v>15</v>
      </c>
      <c r="G2158" t="s">
        <v>20</v>
      </c>
      <c r="H2158" t="s">
        <v>27</v>
      </c>
      <c r="I2158">
        <v>8</v>
      </c>
      <c r="J2158">
        <v>0.1</v>
      </c>
      <c r="K2158">
        <v>165.81</v>
      </c>
      <c r="L2158">
        <v>8.1</v>
      </c>
      <c r="M2158" t="s">
        <v>2478</v>
      </c>
      <c r="N2158" t="s">
        <v>2474</v>
      </c>
      <c r="O2158" t="s">
        <v>2463</v>
      </c>
      <c r="P2158">
        <v>16.760000000000002</v>
      </c>
      <c r="Q2158">
        <v>27.71</v>
      </c>
      <c r="R2158">
        <v>134.08000000000001</v>
      </c>
      <c r="S2158">
        <v>23.629999999999988</v>
      </c>
      <c r="T2158">
        <v>0.14251251432362336</v>
      </c>
      <c r="U2158" s="1">
        <v>45658</v>
      </c>
      <c r="V2158" t="s">
        <v>2498</v>
      </c>
      <c r="W2158">
        <v>2025</v>
      </c>
    </row>
    <row r="2159" spans="1:23" x14ac:dyDescent="0.25">
      <c r="A2159" t="s">
        <v>2206</v>
      </c>
      <c r="B2159" s="1">
        <v>45538</v>
      </c>
      <c r="C2159" s="1">
        <v>45539</v>
      </c>
      <c r="D2159" t="s">
        <v>13</v>
      </c>
      <c r="E2159" t="s">
        <v>14</v>
      </c>
      <c r="F2159" t="s">
        <v>15</v>
      </c>
      <c r="G2159" t="s">
        <v>26</v>
      </c>
      <c r="H2159" t="s">
        <v>17</v>
      </c>
      <c r="I2159">
        <v>2</v>
      </c>
      <c r="J2159">
        <v>0</v>
      </c>
      <c r="K2159">
        <v>268.91000000000003</v>
      </c>
      <c r="L2159">
        <v>4.2</v>
      </c>
      <c r="M2159" t="s">
        <v>2472</v>
      </c>
      <c r="N2159" t="s">
        <v>2467</v>
      </c>
      <c r="O2159" t="s">
        <v>2468</v>
      </c>
      <c r="P2159">
        <v>63.69</v>
      </c>
      <c r="Q2159">
        <v>125.5</v>
      </c>
      <c r="R2159">
        <v>127.38</v>
      </c>
      <c r="S2159">
        <v>137.33000000000004</v>
      </c>
      <c r="T2159">
        <v>0.51069130936000906</v>
      </c>
      <c r="U2159" s="1">
        <v>45536</v>
      </c>
      <c r="V2159" t="s">
        <v>2499</v>
      </c>
      <c r="W2159">
        <v>2024</v>
      </c>
    </row>
    <row r="2160" spans="1:23" x14ac:dyDescent="0.25">
      <c r="A2160" t="s">
        <v>2207</v>
      </c>
      <c r="B2160" s="1">
        <v>45859</v>
      </c>
      <c r="C2160" s="1">
        <v>45862</v>
      </c>
      <c r="D2160" t="s">
        <v>23</v>
      </c>
      <c r="E2160" t="s">
        <v>24</v>
      </c>
      <c r="F2160" t="s">
        <v>25</v>
      </c>
      <c r="G2160" t="s">
        <v>26</v>
      </c>
      <c r="H2160" t="s">
        <v>30</v>
      </c>
      <c r="I2160">
        <v>13</v>
      </c>
      <c r="J2160">
        <v>0.15</v>
      </c>
      <c r="K2160">
        <v>58.06</v>
      </c>
      <c r="L2160">
        <v>10.35</v>
      </c>
      <c r="M2160" t="s">
        <v>2473</v>
      </c>
      <c r="N2160" t="s">
        <v>2474</v>
      </c>
      <c r="O2160" t="s">
        <v>2463</v>
      </c>
      <c r="P2160">
        <v>3.62</v>
      </c>
      <c r="Q2160">
        <v>6.03</v>
      </c>
      <c r="R2160">
        <v>47.06</v>
      </c>
      <c r="S2160">
        <v>0.65000000000000036</v>
      </c>
      <c r="T2160">
        <v>1.1195315191181542E-2</v>
      </c>
      <c r="U2160" s="1">
        <v>45839</v>
      </c>
      <c r="V2160" t="s">
        <v>2500</v>
      </c>
      <c r="W2160">
        <v>2025</v>
      </c>
    </row>
    <row r="2161" spans="1:23" x14ac:dyDescent="0.25">
      <c r="A2161" t="s">
        <v>2208</v>
      </c>
      <c r="B2161" s="1">
        <v>45424</v>
      </c>
      <c r="C2161" s="1">
        <v>45429</v>
      </c>
      <c r="D2161" t="s">
        <v>23</v>
      </c>
      <c r="E2161" t="s">
        <v>43</v>
      </c>
      <c r="F2161" t="s">
        <v>29</v>
      </c>
      <c r="G2161" t="s">
        <v>16</v>
      </c>
      <c r="H2161" t="s">
        <v>21</v>
      </c>
      <c r="I2161">
        <v>4</v>
      </c>
      <c r="J2161">
        <v>0</v>
      </c>
      <c r="K2161">
        <v>480.82</v>
      </c>
      <c r="L2161">
        <v>8.2200000000000006</v>
      </c>
      <c r="M2161" t="s">
        <v>2462</v>
      </c>
      <c r="N2161" t="s">
        <v>2458</v>
      </c>
      <c r="O2161" t="s">
        <v>2463</v>
      </c>
      <c r="P2161">
        <v>71.489999999999995</v>
      </c>
      <c r="Q2161">
        <v>112.88</v>
      </c>
      <c r="R2161">
        <v>285.95999999999998</v>
      </c>
      <c r="S2161">
        <v>186.64000000000001</v>
      </c>
      <c r="T2161">
        <v>0.38817020922590578</v>
      </c>
      <c r="U2161" s="1">
        <v>45413</v>
      </c>
      <c r="V2161" t="s">
        <v>2499</v>
      </c>
      <c r="W2161">
        <v>2024</v>
      </c>
    </row>
    <row r="2162" spans="1:23" x14ac:dyDescent="0.25">
      <c r="A2162" t="s">
        <v>2209</v>
      </c>
      <c r="B2162" s="1">
        <v>45814</v>
      </c>
      <c r="C2162" s="1">
        <v>45818</v>
      </c>
      <c r="D2162" t="s">
        <v>23</v>
      </c>
      <c r="E2162" t="s">
        <v>43</v>
      </c>
      <c r="F2162" t="s">
        <v>25</v>
      </c>
      <c r="G2162" t="s">
        <v>16</v>
      </c>
      <c r="H2162" t="s">
        <v>63</v>
      </c>
      <c r="I2162">
        <v>13</v>
      </c>
      <c r="J2162">
        <v>0</v>
      </c>
      <c r="K2162">
        <v>168.38</v>
      </c>
      <c r="L2162">
        <v>6.21</v>
      </c>
      <c r="M2162" t="s">
        <v>2477</v>
      </c>
      <c r="N2162" t="s">
        <v>2474</v>
      </c>
      <c r="O2162" t="s">
        <v>2468</v>
      </c>
      <c r="P2162">
        <v>6.33</v>
      </c>
      <c r="Q2162">
        <v>12.16</v>
      </c>
      <c r="R2162">
        <v>82.29</v>
      </c>
      <c r="S2162">
        <v>79.88</v>
      </c>
      <c r="T2162">
        <v>0.47440313576434257</v>
      </c>
      <c r="U2162" s="1">
        <v>45809</v>
      </c>
      <c r="V2162" t="s">
        <v>2499</v>
      </c>
      <c r="W2162">
        <v>2025</v>
      </c>
    </row>
    <row r="2163" spans="1:23" x14ac:dyDescent="0.25">
      <c r="A2163" t="s">
        <v>2210</v>
      </c>
      <c r="B2163" s="1">
        <v>45730</v>
      </c>
      <c r="C2163" s="1">
        <v>45732</v>
      </c>
      <c r="D2163" t="s">
        <v>13</v>
      </c>
      <c r="E2163" t="s">
        <v>14</v>
      </c>
      <c r="F2163" t="s">
        <v>29</v>
      </c>
      <c r="G2163" t="s">
        <v>16</v>
      </c>
      <c r="H2163" t="s">
        <v>63</v>
      </c>
      <c r="I2163">
        <v>3</v>
      </c>
      <c r="J2163">
        <v>0</v>
      </c>
      <c r="K2163">
        <v>35.479999999999997</v>
      </c>
      <c r="L2163">
        <v>3.51</v>
      </c>
      <c r="M2163" t="s">
        <v>2477</v>
      </c>
      <c r="N2163" t="s">
        <v>2474</v>
      </c>
      <c r="O2163" t="s">
        <v>2468</v>
      </c>
      <c r="P2163">
        <v>6.33</v>
      </c>
      <c r="Q2163">
        <v>12.16</v>
      </c>
      <c r="R2163">
        <v>18.990000000000002</v>
      </c>
      <c r="S2163">
        <v>12.979999999999995</v>
      </c>
      <c r="T2163">
        <v>0.36583990980834263</v>
      </c>
      <c r="U2163" s="1">
        <v>45717</v>
      </c>
      <c r="V2163" t="s">
        <v>2499</v>
      </c>
      <c r="W2163">
        <v>2025</v>
      </c>
    </row>
    <row r="2164" spans="1:23" x14ac:dyDescent="0.25">
      <c r="A2164" t="s">
        <v>2211</v>
      </c>
      <c r="B2164" s="1">
        <v>45751</v>
      </c>
      <c r="C2164" s="1">
        <v>45756</v>
      </c>
      <c r="D2164" t="s">
        <v>23</v>
      </c>
      <c r="E2164" t="s">
        <v>59</v>
      </c>
      <c r="F2164" t="s">
        <v>15</v>
      </c>
      <c r="G2164" t="s">
        <v>16</v>
      </c>
      <c r="H2164" t="s">
        <v>21</v>
      </c>
      <c r="I2164">
        <v>2</v>
      </c>
      <c r="J2164">
        <v>0.25</v>
      </c>
      <c r="K2164">
        <v>161.47</v>
      </c>
      <c r="L2164">
        <v>5.46</v>
      </c>
      <c r="M2164" t="s">
        <v>2462</v>
      </c>
      <c r="N2164" t="s">
        <v>2458</v>
      </c>
      <c r="O2164" t="s">
        <v>2463</v>
      </c>
      <c r="P2164">
        <v>71.489999999999995</v>
      </c>
      <c r="Q2164">
        <v>112.88</v>
      </c>
      <c r="R2164">
        <v>142.97999999999999</v>
      </c>
      <c r="S2164">
        <v>13.030000000000008</v>
      </c>
      <c r="T2164">
        <v>8.0696104539542998E-2</v>
      </c>
      <c r="U2164" s="1">
        <v>45748</v>
      </c>
      <c r="V2164" t="s">
        <v>2501</v>
      </c>
      <c r="W2164">
        <v>2025</v>
      </c>
    </row>
    <row r="2165" spans="1:23" x14ac:dyDescent="0.25">
      <c r="A2165" t="s">
        <v>2212</v>
      </c>
      <c r="B2165" s="1">
        <v>45309</v>
      </c>
      <c r="C2165" s="1">
        <v>45314</v>
      </c>
      <c r="D2165" t="s">
        <v>23</v>
      </c>
      <c r="E2165" t="s">
        <v>43</v>
      </c>
      <c r="F2165" t="s">
        <v>29</v>
      </c>
      <c r="G2165" t="s">
        <v>20</v>
      </c>
      <c r="H2165" t="s">
        <v>41</v>
      </c>
      <c r="I2165">
        <v>11</v>
      </c>
      <c r="J2165">
        <v>0</v>
      </c>
      <c r="K2165">
        <v>59.33</v>
      </c>
      <c r="L2165">
        <v>9.4499999999999993</v>
      </c>
      <c r="M2165" t="s">
        <v>2479</v>
      </c>
      <c r="N2165" t="s">
        <v>2474</v>
      </c>
      <c r="O2165" t="s">
        <v>2459</v>
      </c>
      <c r="P2165">
        <v>3.3</v>
      </c>
      <c r="Q2165">
        <v>6.13</v>
      </c>
      <c r="R2165">
        <v>36.299999999999997</v>
      </c>
      <c r="S2165">
        <v>13.580000000000002</v>
      </c>
      <c r="T2165">
        <v>0.22888926344176644</v>
      </c>
      <c r="U2165" s="1">
        <v>45292</v>
      </c>
      <c r="V2165" t="s">
        <v>2499</v>
      </c>
      <c r="W2165">
        <v>2024</v>
      </c>
    </row>
    <row r="2166" spans="1:23" x14ac:dyDescent="0.25">
      <c r="A2166" t="s">
        <v>2213</v>
      </c>
      <c r="B2166" s="1">
        <v>45622</v>
      </c>
      <c r="C2166" s="1">
        <v>45625</v>
      </c>
      <c r="D2166" t="s">
        <v>47</v>
      </c>
      <c r="E2166" t="s">
        <v>50</v>
      </c>
      <c r="F2166" t="s">
        <v>25</v>
      </c>
      <c r="G2166" t="s">
        <v>26</v>
      </c>
      <c r="H2166" t="s">
        <v>34</v>
      </c>
      <c r="I2166">
        <v>4</v>
      </c>
      <c r="J2166">
        <v>0.15</v>
      </c>
      <c r="K2166">
        <v>974.77</v>
      </c>
      <c r="L2166">
        <v>8.2200000000000006</v>
      </c>
      <c r="M2166" t="s">
        <v>2460</v>
      </c>
      <c r="N2166" t="s">
        <v>2458</v>
      </c>
      <c r="O2166" t="s">
        <v>2461</v>
      </c>
      <c r="P2166">
        <v>119.02</v>
      </c>
      <c r="Q2166">
        <v>205.39</v>
      </c>
      <c r="R2166">
        <v>476.08</v>
      </c>
      <c r="S2166">
        <v>490.46999999999997</v>
      </c>
      <c r="T2166">
        <v>0.50316484914390058</v>
      </c>
      <c r="U2166" s="1">
        <v>45597</v>
      </c>
      <c r="V2166" t="s">
        <v>2500</v>
      </c>
      <c r="W2166">
        <v>2024</v>
      </c>
    </row>
    <row r="2167" spans="1:23" x14ac:dyDescent="0.25">
      <c r="A2167" t="s">
        <v>2214</v>
      </c>
      <c r="B2167" s="1">
        <v>45385</v>
      </c>
      <c r="C2167" s="1">
        <v>45387</v>
      </c>
      <c r="D2167" t="s">
        <v>32</v>
      </c>
      <c r="E2167" t="s">
        <v>45</v>
      </c>
      <c r="F2167" t="s">
        <v>29</v>
      </c>
      <c r="G2167" t="s">
        <v>26</v>
      </c>
      <c r="H2167" t="s">
        <v>37</v>
      </c>
      <c r="I2167">
        <v>2</v>
      </c>
      <c r="J2167">
        <v>0</v>
      </c>
      <c r="K2167">
        <v>202.78</v>
      </c>
      <c r="L2167">
        <v>5.46</v>
      </c>
      <c r="M2167" t="s">
        <v>2464</v>
      </c>
      <c r="N2167" t="s">
        <v>2458</v>
      </c>
      <c r="O2167" t="s">
        <v>2465</v>
      </c>
      <c r="P2167">
        <v>63.6</v>
      </c>
      <c r="Q2167">
        <v>107.94</v>
      </c>
      <c r="R2167">
        <v>127.2</v>
      </c>
      <c r="S2167">
        <v>70.12</v>
      </c>
      <c r="T2167">
        <v>0.34579347075648487</v>
      </c>
      <c r="U2167" s="1">
        <v>45383</v>
      </c>
      <c r="V2167" t="s">
        <v>2499</v>
      </c>
      <c r="W2167">
        <v>2024</v>
      </c>
    </row>
    <row r="2168" spans="1:23" x14ac:dyDescent="0.25">
      <c r="A2168" t="s">
        <v>2215</v>
      </c>
      <c r="B2168" s="1">
        <v>45465</v>
      </c>
      <c r="C2168" s="1">
        <v>45469</v>
      </c>
      <c r="D2168" t="s">
        <v>23</v>
      </c>
      <c r="E2168" t="s">
        <v>43</v>
      </c>
      <c r="F2168" t="s">
        <v>29</v>
      </c>
      <c r="G2168" t="s">
        <v>16</v>
      </c>
      <c r="H2168" t="s">
        <v>41</v>
      </c>
      <c r="I2168">
        <v>11</v>
      </c>
      <c r="J2168">
        <v>0.2</v>
      </c>
      <c r="K2168">
        <v>58.99</v>
      </c>
      <c r="L2168">
        <v>9.4499999999999993</v>
      </c>
      <c r="M2168" t="s">
        <v>2479</v>
      </c>
      <c r="N2168" t="s">
        <v>2474</v>
      </c>
      <c r="O2168" t="s">
        <v>2459</v>
      </c>
      <c r="P2168">
        <v>3.3</v>
      </c>
      <c r="Q2168">
        <v>6.13</v>
      </c>
      <c r="R2168">
        <v>36.299999999999997</v>
      </c>
      <c r="S2168">
        <v>13.240000000000006</v>
      </c>
      <c r="T2168">
        <v>0.22444482115612824</v>
      </c>
      <c r="U2168" s="1">
        <v>45444</v>
      </c>
      <c r="V2168" t="s">
        <v>2500</v>
      </c>
      <c r="W2168">
        <v>2024</v>
      </c>
    </row>
    <row r="2169" spans="1:23" x14ac:dyDescent="0.25">
      <c r="A2169" t="s">
        <v>2216</v>
      </c>
      <c r="B2169" s="1">
        <v>45653</v>
      </c>
      <c r="C2169" s="1">
        <v>45656</v>
      </c>
      <c r="D2169" t="s">
        <v>13</v>
      </c>
      <c r="E2169" t="s">
        <v>19</v>
      </c>
      <c r="F2169" t="s">
        <v>29</v>
      </c>
      <c r="G2169" t="s">
        <v>16</v>
      </c>
      <c r="H2169" t="s">
        <v>27</v>
      </c>
      <c r="I2169">
        <v>22</v>
      </c>
      <c r="J2169">
        <v>0.15</v>
      </c>
      <c r="K2169">
        <v>764.35</v>
      </c>
      <c r="L2169">
        <v>8.64</v>
      </c>
      <c r="M2169" t="s">
        <v>2478</v>
      </c>
      <c r="N2169" t="s">
        <v>2474</v>
      </c>
      <c r="O2169" t="s">
        <v>2463</v>
      </c>
      <c r="P2169">
        <v>16.760000000000002</v>
      </c>
      <c r="Q2169">
        <v>27.71</v>
      </c>
      <c r="R2169">
        <v>368.72</v>
      </c>
      <c r="S2169">
        <v>386.99</v>
      </c>
      <c r="T2169">
        <v>0.50629947013802579</v>
      </c>
      <c r="U2169" s="1">
        <v>45627</v>
      </c>
      <c r="V2169" t="s">
        <v>2500</v>
      </c>
      <c r="W2169">
        <v>2024</v>
      </c>
    </row>
    <row r="2170" spans="1:23" x14ac:dyDescent="0.25">
      <c r="A2170" t="s">
        <v>2217</v>
      </c>
      <c r="B2170" s="1">
        <v>46012</v>
      </c>
      <c r="C2170" s="1">
        <v>46014</v>
      </c>
      <c r="D2170" t="s">
        <v>13</v>
      </c>
      <c r="E2170" t="s">
        <v>14</v>
      </c>
      <c r="F2170" t="s">
        <v>15</v>
      </c>
      <c r="G2170" t="s">
        <v>16</v>
      </c>
      <c r="H2170" t="s">
        <v>51</v>
      </c>
      <c r="I2170">
        <v>8</v>
      </c>
      <c r="J2170">
        <v>0.05</v>
      </c>
      <c r="K2170">
        <v>162.56</v>
      </c>
      <c r="L2170">
        <v>4.8600000000000003</v>
      </c>
      <c r="M2170" t="s">
        <v>2475</v>
      </c>
      <c r="N2170" t="s">
        <v>2474</v>
      </c>
      <c r="O2170" t="s">
        <v>2463</v>
      </c>
      <c r="P2170">
        <v>7.93</v>
      </c>
      <c r="Q2170">
        <v>14.78</v>
      </c>
      <c r="R2170">
        <v>63.44</v>
      </c>
      <c r="S2170">
        <v>94.26</v>
      </c>
      <c r="T2170">
        <v>0.57984744094488194</v>
      </c>
      <c r="U2170" s="1">
        <v>45992</v>
      </c>
      <c r="V2170" t="s">
        <v>2498</v>
      </c>
      <c r="W2170">
        <v>2025</v>
      </c>
    </row>
    <row r="2171" spans="1:23" x14ac:dyDescent="0.25">
      <c r="A2171" t="s">
        <v>2218</v>
      </c>
      <c r="B2171" s="1">
        <v>45476</v>
      </c>
      <c r="C2171" s="1">
        <v>45481</v>
      </c>
      <c r="D2171" t="s">
        <v>32</v>
      </c>
      <c r="E2171" t="s">
        <v>45</v>
      </c>
      <c r="F2171" t="s">
        <v>29</v>
      </c>
      <c r="G2171" t="s">
        <v>26</v>
      </c>
      <c r="H2171" t="s">
        <v>87</v>
      </c>
      <c r="I2171">
        <v>10</v>
      </c>
      <c r="J2171">
        <v>0</v>
      </c>
      <c r="K2171">
        <v>79.319999999999993</v>
      </c>
      <c r="L2171">
        <v>9</v>
      </c>
      <c r="M2171" t="s">
        <v>2476</v>
      </c>
      <c r="N2171" t="s">
        <v>2474</v>
      </c>
      <c r="O2171" t="s">
        <v>2459</v>
      </c>
      <c r="P2171">
        <v>4.5</v>
      </c>
      <c r="Q2171">
        <v>8.2899999999999991</v>
      </c>
      <c r="R2171">
        <v>45</v>
      </c>
      <c r="S2171">
        <v>25.319999999999993</v>
      </c>
      <c r="T2171">
        <v>0.3192133131618759</v>
      </c>
      <c r="U2171" s="1">
        <v>45474</v>
      </c>
      <c r="V2171" t="s">
        <v>2499</v>
      </c>
      <c r="W2171">
        <v>2024</v>
      </c>
    </row>
    <row r="2172" spans="1:23" x14ac:dyDescent="0.25">
      <c r="A2172" t="s">
        <v>2219</v>
      </c>
      <c r="B2172" s="1">
        <v>45695</v>
      </c>
      <c r="C2172" s="1">
        <v>45701</v>
      </c>
      <c r="D2172" t="s">
        <v>47</v>
      </c>
      <c r="E2172" t="s">
        <v>71</v>
      </c>
      <c r="F2172" t="s">
        <v>15</v>
      </c>
      <c r="G2172" t="s">
        <v>26</v>
      </c>
      <c r="H2172" t="s">
        <v>68</v>
      </c>
      <c r="I2172">
        <v>1</v>
      </c>
      <c r="J2172">
        <v>0</v>
      </c>
      <c r="K2172">
        <v>43.97</v>
      </c>
      <c r="L2172">
        <v>3.45</v>
      </c>
      <c r="M2172" t="s">
        <v>2466</v>
      </c>
      <c r="N2172" t="s">
        <v>2467</v>
      </c>
      <c r="O2172" t="s">
        <v>2468</v>
      </c>
      <c r="P2172">
        <v>25.33</v>
      </c>
      <c r="Q2172">
        <v>51.56</v>
      </c>
      <c r="R2172">
        <v>25.33</v>
      </c>
      <c r="S2172">
        <v>15.190000000000001</v>
      </c>
      <c r="T2172">
        <v>0.34546281555606101</v>
      </c>
      <c r="U2172" s="1">
        <v>45689</v>
      </c>
      <c r="V2172" t="s">
        <v>2499</v>
      </c>
      <c r="W2172">
        <v>2025</v>
      </c>
    </row>
    <row r="2173" spans="1:23" x14ac:dyDescent="0.25">
      <c r="A2173" t="s">
        <v>2220</v>
      </c>
      <c r="B2173" s="1">
        <v>45439</v>
      </c>
      <c r="C2173" s="1">
        <v>45445</v>
      </c>
      <c r="D2173" t="s">
        <v>32</v>
      </c>
      <c r="E2173" t="s">
        <v>62</v>
      </c>
      <c r="F2173" t="s">
        <v>15</v>
      </c>
      <c r="G2173" t="s">
        <v>20</v>
      </c>
      <c r="H2173" t="s">
        <v>27</v>
      </c>
      <c r="I2173">
        <v>13</v>
      </c>
      <c r="J2173">
        <v>0</v>
      </c>
      <c r="K2173">
        <v>370.26</v>
      </c>
      <c r="L2173">
        <v>6.21</v>
      </c>
      <c r="M2173" t="s">
        <v>2478</v>
      </c>
      <c r="N2173" t="s">
        <v>2474</v>
      </c>
      <c r="O2173" t="s">
        <v>2463</v>
      </c>
      <c r="P2173">
        <v>16.760000000000002</v>
      </c>
      <c r="Q2173">
        <v>27.71</v>
      </c>
      <c r="R2173">
        <v>217.88000000000002</v>
      </c>
      <c r="S2173">
        <v>146.16999999999996</v>
      </c>
      <c r="T2173">
        <v>0.39477664343974495</v>
      </c>
      <c r="U2173" s="1">
        <v>45413</v>
      </c>
      <c r="V2173" t="s">
        <v>2499</v>
      </c>
      <c r="W2173">
        <v>2024</v>
      </c>
    </row>
    <row r="2174" spans="1:23" x14ac:dyDescent="0.25">
      <c r="A2174" t="s">
        <v>2221</v>
      </c>
      <c r="B2174" s="1">
        <v>46004</v>
      </c>
      <c r="C2174" s="1">
        <v>46008</v>
      </c>
      <c r="D2174" t="s">
        <v>13</v>
      </c>
      <c r="E2174" t="s">
        <v>19</v>
      </c>
      <c r="F2174" t="s">
        <v>25</v>
      </c>
      <c r="G2174" t="s">
        <v>26</v>
      </c>
      <c r="H2174" t="s">
        <v>65</v>
      </c>
      <c r="I2174">
        <v>4</v>
      </c>
      <c r="J2174">
        <v>0</v>
      </c>
      <c r="K2174">
        <v>1714.39</v>
      </c>
      <c r="L2174">
        <v>8.2200000000000006</v>
      </c>
      <c r="M2174" t="s">
        <v>2457</v>
      </c>
      <c r="N2174" t="s">
        <v>2458</v>
      </c>
      <c r="O2174" t="s">
        <v>2459</v>
      </c>
      <c r="P2174">
        <v>173.56</v>
      </c>
      <c r="Q2174">
        <v>286.14999999999998</v>
      </c>
      <c r="R2174">
        <v>694.24</v>
      </c>
      <c r="S2174">
        <v>1011.9300000000001</v>
      </c>
      <c r="T2174">
        <v>0.5902565927239426</v>
      </c>
      <c r="U2174" s="1">
        <v>45992</v>
      </c>
      <c r="V2174" t="s">
        <v>2499</v>
      </c>
      <c r="W2174">
        <v>2025</v>
      </c>
    </row>
    <row r="2175" spans="1:23" x14ac:dyDescent="0.25">
      <c r="A2175" t="s">
        <v>2222</v>
      </c>
      <c r="B2175" s="1">
        <v>45382</v>
      </c>
      <c r="C2175" s="1">
        <v>45387</v>
      </c>
      <c r="D2175" t="s">
        <v>13</v>
      </c>
      <c r="E2175" t="s">
        <v>19</v>
      </c>
      <c r="F2175" t="s">
        <v>15</v>
      </c>
      <c r="G2175" t="s">
        <v>16</v>
      </c>
      <c r="H2175" t="s">
        <v>41</v>
      </c>
      <c r="I2175">
        <v>8</v>
      </c>
      <c r="J2175">
        <v>0</v>
      </c>
      <c r="K2175">
        <v>44.35</v>
      </c>
      <c r="L2175">
        <v>4.8600000000000003</v>
      </c>
      <c r="M2175" t="s">
        <v>2479</v>
      </c>
      <c r="N2175" t="s">
        <v>2474</v>
      </c>
      <c r="O2175" t="s">
        <v>2459</v>
      </c>
      <c r="P2175">
        <v>3.3</v>
      </c>
      <c r="Q2175">
        <v>6.13</v>
      </c>
      <c r="R2175">
        <v>26.4</v>
      </c>
      <c r="S2175">
        <v>13.090000000000003</v>
      </c>
      <c r="T2175">
        <v>0.29515219842164608</v>
      </c>
      <c r="U2175" s="1">
        <v>45352</v>
      </c>
      <c r="V2175" t="s">
        <v>2499</v>
      </c>
      <c r="W2175">
        <v>2024</v>
      </c>
    </row>
    <row r="2176" spans="1:23" x14ac:dyDescent="0.25">
      <c r="A2176" t="s">
        <v>2223</v>
      </c>
      <c r="B2176" s="1">
        <v>45708</v>
      </c>
      <c r="C2176" s="1">
        <v>45713</v>
      </c>
      <c r="D2176" t="s">
        <v>23</v>
      </c>
      <c r="E2176" t="s">
        <v>24</v>
      </c>
      <c r="F2176" t="s">
        <v>25</v>
      </c>
      <c r="G2176" t="s">
        <v>26</v>
      </c>
      <c r="H2176" t="s">
        <v>34</v>
      </c>
      <c r="I2176">
        <v>3</v>
      </c>
      <c r="J2176">
        <v>0</v>
      </c>
      <c r="K2176">
        <v>578.29999999999995</v>
      </c>
      <c r="L2176">
        <v>6.84</v>
      </c>
      <c r="M2176" t="s">
        <v>2460</v>
      </c>
      <c r="N2176" t="s">
        <v>2458</v>
      </c>
      <c r="O2176" t="s">
        <v>2461</v>
      </c>
      <c r="P2176">
        <v>119.02</v>
      </c>
      <c r="Q2176">
        <v>205.39</v>
      </c>
      <c r="R2176">
        <v>357.06</v>
      </c>
      <c r="S2176">
        <v>214.39999999999995</v>
      </c>
      <c r="T2176">
        <v>0.3707418295002593</v>
      </c>
      <c r="U2176" s="1">
        <v>45689</v>
      </c>
      <c r="V2176" t="s">
        <v>2499</v>
      </c>
      <c r="W2176">
        <v>2025</v>
      </c>
    </row>
    <row r="2177" spans="1:23" x14ac:dyDescent="0.25">
      <c r="A2177" t="s">
        <v>2224</v>
      </c>
      <c r="B2177" s="1">
        <v>45681</v>
      </c>
      <c r="C2177" s="1">
        <v>45685</v>
      </c>
      <c r="D2177" t="s">
        <v>32</v>
      </c>
      <c r="E2177" t="s">
        <v>33</v>
      </c>
      <c r="F2177" t="s">
        <v>25</v>
      </c>
      <c r="G2177" t="s">
        <v>20</v>
      </c>
      <c r="H2177" t="s">
        <v>17</v>
      </c>
      <c r="I2177">
        <v>4</v>
      </c>
      <c r="J2177">
        <v>0</v>
      </c>
      <c r="K2177">
        <v>420.03</v>
      </c>
      <c r="L2177">
        <v>5.7</v>
      </c>
      <c r="M2177" t="s">
        <v>2472</v>
      </c>
      <c r="N2177" t="s">
        <v>2467</v>
      </c>
      <c r="O2177" t="s">
        <v>2468</v>
      </c>
      <c r="P2177">
        <v>63.69</v>
      </c>
      <c r="Q2177">
        <v>125.5</v>
      </c>
      <c r="R2177">
        <v>254.76</v>
      </c>
      <c r="S2177">
        <v>159.57</v>
      </c>
      <c r="T2177">
        <v>0.379901435611742</v>
      </c>
      <c r="U2177" s="1">
        <v>45658</v>
      </c>
      <c r="V2177" t="s">
        <v>2499</v>
      </c>
      <c r="W2177">
        <v>2025</v>
      </c>
    </row>
    <row r="2178" spans="1:23" x14ac:dyDescent="0.25">
      <c r="A2178" t="s">
        <v>2225</v>
      </c>
      <c r="B2178" s="1">
        <v>45596</v>
      </c>
      <c r="C2178" s="1">
        <v>45602</v>
      </c>
      <c r="D2178" t="s">
        <v>23</v>
      </c>
      <c r="E2178" t="s">
        <v>24</v>
      </c>
      <c r="F2178" t="s">
        <v>15</v>
      </c>
      <c r="G2178" t="s">
        <v>16</v>
      </c>
      <c r="H2178" t="s">
        <v>30</v>
      </c>
      <c r="I2178">
        <v>14</v>
      </c>
      <c r="J2178">
        <v>0.1</v>
      </c>
      <c r="K2178">
        <v>87.99</v>
      </c>
      <c r="L2178">
        <v>6.48</v>
      </c>
      <c r="M2178" t="s">
        <v>2473</v>
      </c>
      <c r="N2178" t="s">
        <v>2474</v>
      </c>
      <c r="O2178" t="s">
        <v>2463</v>
      </c>
      <c r="P2178">
        <v>3.62</v>
      </c>
      <c r="Q2178">
        <v>6.03</v>
      </c>
      <c r="R2178">
        <v>50.68</v>
      </c>
      <c r="S2178">
        <v>30.829999999999995</v>
      </c>
      <c r="T2178">
        <v>0.35038072508239571</v>
      </c>
      <c r="U2178" s="1">
        <v>45566</v>
      </c>
      <c r="V2178" t="s">
        <v>2498</v>
      </c>
      <c r="W2178">
        <v>2024</v>
      </c>
    </row>
    <row r="2179" spans="1:23" x14ac:dyDescent="0.25">
      <c r="A2179" t="s">
        <v>2226</v>
      </c>
      <c r="B2179" s="1">
        <v>45568</v>
      </c>
      <c r="C2179" s="1">
        <v>45570</v>
      </c>
      <c r="D2179" t="s">
        <v>32</v>
      </c>
      <c r="E2179" t="s">
        <v>33</v>
      </c>
      <c r="F2179" t="s">
        <v>15</v>
      </c>
      <c r="G2179" t="s">
        <v>20</v>
      </c>
      <c r="H2179" t="s">
        <v>60</v>
      </c>
      <c r="I2179">
        <v>1</v>
      </c>
      <c r="J2179">
        <v>0</v>
      </c>
      <c r="K2179">
        <v>122.97</v>
      </c>
      <c r="L2179">
        <v>3.45</v>
      </c>
      <c r="M2179" t="s">
        <v>2469</v>
      </c>
      <c r="N2179" t="s">
        <v>2467</v>
      </c>
      <c r="O2179" t="s">
        <v>2468</v>
      </c>
      <c r="P2179">
        <v>54.95</v>
      </c>
      <c r="Q2179">
        <v>112.56</v>
      </c>
      <c r="R2179">
        <v>54.95</v>
      </c>
      <c r="S2179">
        <v>64.569999999999993</v>
      </c>
      <c r="T2179">
        <v>0.5250874196958607</v>
      </c>
      <c r="U2179" s="1">
        <v>45566</v>
      </c>
      <c r="V2179" t="s">
        <v>2499</v>
      </c>
      <c r="W2179">
        <v>2024</v>
      </c>
    </row>
    <row r="2180" spans="1:23" x14ac:dyDescent="0.25">
      <c r="A2180" t="s">
        <v>2227</v>
      </c>
      <c r="B2180" s="1">
        <v>45510</v>
      </c>
      <c r="C2180" s="1">
        <v>45516</v>
      </c>
      <c r="D2180" t="s">
        <v>13</v>
      </c>
      <c r="E2180" t="s">
        <v>36</v>
      </c>
      <c r="F2180" t="s">
        <v>25</v>
      </c>
      <c r="G2180" t="s">
        <v>20</v>
      </c>
      <c r="H2180" t="s">
        <v>39</v>
      </c>
      <c r="I2180">
        <v>4</v>
      </c>
      <c r="J2180">
        <v>0.15</v>
      </c>
      <c r="K2180">
        <v>631.73</v>
      </c>
      <c r="L2180">
        <v>5.7</v>
      </c>
      <c r="M2180" t="s">
        <v>2471</v>
      </c>
      <c r="N2180" t="s">
        <v>2467</v>
      </c>
      <c r="O2180" t="s">
        <v>2461</v>
      </c>
      <c r="P2180">
        <v>112.09</v>
      </c>
      <c r="Q2180">
        <v>192.47</v>
      </c>
      <c r="R2180">
        <v>448.36</v>
      </c>
      <c r="S2180">
        <v>177.67000000000002</v>
      </c>
      <c r="T2180">
        <v>0.28124356924635524</v>
      </c>
      <c r="U2180" s="1">
        <v>45505</v>
      </c>
      <c r="V2180" t="s">
        <v>2500</v>
      </c>
      <c r="W2180">
        <v>2024</v>
      </c>
    </row>
    <row r="2181" spans="1:23" x14ac:dyDescent="0.25">
      <c r="A2181" t="s">
        <v>2228</v>
      </c>
      <c r="B2181" s="1">
        <v>45612</v>
      </c>
      <c r="C2181" s="1">
        <v>45618</v>
      </c>
      <c r="D2181" t="s">
        <v>23</v>
      </c>
      <c r="E2181" t="s">
        <v>24</v>
      </c>
      <c r="F2181" t="s">
        <v>15</v>
      </c>
      <c r="G2181" t="s">
        <v>20</v>
      </c>
      <c r="H2181" t="s">
        <v>30</v>
      </c>
      <c r="I2181">
        <v>5</v>
      </c>
      <c r="J2181">
        <v>0</v>
      </c>
      <c r="K2181">
        <v>41.07</v>
      </c>
      <c r="L2181">
        <v>4.05</v>
      </c>
      <c r="M2181" t="s">
        <v>2473</v>
      </c>
      <c r="N2181" t="s">
        <v>2474</v>
      </c>
      <c r="O2181" t="s">
        <v>2463</v>
      </c>
      <c r="P2181">
        <v>3.62</v>
      </c>
      <c r="Q2181">
        <v>6.03</v>
      </c>
      <c r="R2181">
        <v>18.100000000000001</v>
      </c>
      <c r="S2181">
        <v>18.919999999999998</v>
      </c>
      <c r="T2181">
        <v>0.46067689310932547</v>
      </c>
      <c r="U2181" s="1">
        <v>45597</v>
      </c>
      <c r="V2181" t="s">
        <v>2499</v>
      </c>
      <c r="W2181">
        <v>2024</v>
      </c>
    </row>
    <row r="2182" spans="1:23" x14ac:dyDescent="0.25">
      <c r="A2182" t="s">
        <v>2229</v>
      </c>
      <c r="B2182" s="1">
        <v>45661</v>
      </c>
      <c r="C2182" s="1">
        <v>45665</v>
      </c>
      <c r="D2182" t="s">
        <v>13</v>
      </c>
      <c r="E2182" t="s">
        <v>19</v>
      </c>
      <c r="F2182" t="s">
        <v>15</v>
      </c>
      <c r="G2182" t="s">
        <v>26</v>
      </c>
      <c r="H2182" t="s">
        <v>51</v>
      </c>
      <c r="I2182">
        <v>14</v>
      </c>
      <c r="J2182">
        <v>0.25</v>
      </c>
      <c r="K2182">
        <v>132.1</v>
      </c>
      <c r="L2182">
        <v>6.48</v>
      </c>
      <c r="M2182" t="s">
        <v>2475</v>
      </c>
      <c r="N2182" t="s">
        <v>2474</v>
      </c>
      <c r="O2182" t="s">
        <v>2463</v>
      </c>
      <c r="P2182">
        <v>7.93</v>
      </c>
      <c r="Q2182">
        <v>14.78</v>
      </c>
      <c r="R2182">
        <v>111.02</v>
      </c>
      <c r="S2182">
        <v>14.599999999999998</v>
      </c>
      <c r="T2182">
        <v>0.11052233156699469</v>
      </c>
      <c r="U2182" s="1">
        <v>45658</v>
      </c>
      <c r="V2182" t="s">
        <v>2501</v>
      </c>
      <c r="W2182">
        <v>2025</v>
      </c>
    </row>
    <row r="2183" spans="1:23" x14ac:dyDescent="0.25">
      <c r="A2183" t="s">
        <v>2230</v>
      </c>
      <c r="B2183" s="1">
        <v>45364</v>
      </c>
      <c r="C2183" s="1">
        <v>45365</v>
      </c>
      <c r="D2183" t="s">
        <v>32</v>
      </c>
      <c r="E2183" t="s">
        <v>62</v>
      </c>
      <c r="F2183" t="s">
        <v>29</v>
      </c>
      <c r="G2183" t="s">
        <v>16</v>
      </c>
      <c r="H2183" t="s">
        <v>68</v>
      </c>
      <c r="I2183">
        <v>3</v>
      </c>
      <c r="J2183">
        <v>0.25</v>
      </c>
      <c r="K2183">
        <v>103.3</v>
      </c>
      <c r="L2183">
        <v>8.25</v>
      </c>
      <c r="M2183" t="s">
        <v>2466</v>
      </c>
      <c r="N2183" t="s">
        <v>2467</v>
      </c>
      <c r="O2183" t="s">
        <v>2468</v>
      </c>
      <c r="P2183">
        <v>25.33</v>
      </c>
      <c r="Q2183">
        <v>51.56</v>
      </c>
      <c r="R2183">
        <v>75.989999999999995</v>
      </c>
      <c r="S2183">
        <v>19.060000000000002</v>
      </c>
      <c r="T2183">
        <v>0.18451113262342694</v>
      </c>
      <c r="U2183" s="1">
        <v>45352</v>
      </c>
      <c r="V2183" t="s">
        <v>2501</v>
      </c>
      <c r="W2183">
        <v>2024</v>
      </c>
    </row>
    <row r="2184" spans="1:23" x14ac:dyDescent="0.25">
      <c r="A2184" t="s">
        <v>2231</v>
      </c>
      <c r="B2184" s="1">
        <v>45458</v>
      </c>
      <c r="C2184" s="1">
        <v>45460</v>
      </c>
      <c r="D2184" t="s">
        <v>47</v>
      </c>
      <c r="E2184" t="s">
        <v>50</v>
      </c>
      <c r="F2184" t="s">
        <v>25</v>
      </c>
      <c r="G2184" t="s">
        <v>16</v>
      </c>
      <c r="H2184" t="s">
        <v>37</v>
      </c>
      <c r="I2184">
        <v>2</v>
      </c>
      <c r="J2184">
        <v>0</v>
      </c>
      <c r="K2184">
        <v>217.13</v>
      </c>
      <c r="L2184">
        <v>5.46</v>
      </c>
      <c r="M2184" t="s">
        <v>2464</v>
      </c>
      <c r="N2184" t="s">
        <v>2458</v>
      </c>
      <c r="O2184" t="s">
        <v>2465</v>
      </c>
      <c r="P2184">
        <v>63.6</v>
      </c>
      <c r="Q2184">
        <v>107.94</v>
      </c>
      <c r="R2184">
        <v>127.2</v>
      </c>
      <c r="S2184">
        <v>84.47</v>
      </c>
      <c r="T2184">
        <v>0.38902961359554183</v>
      </c>
      <c r="U2184" s="1">
        <v>45444</v>
      </c>
      <c r="V2184" t="s">
        <v>2499</v>
      </c>
      <c r="W2184">
        <v>2024</v>
      </c>
    </row>
    <row r="2185" spans="1:23" x14ac:dyDescent="0.25">
      <c r="A2185" t="s">
        <v>2232</v>
      </c>
      <c r="B2185" s="1">
        <v>45846</v>
      </c>
      <c r="C2185" s="1">
        <v>45848</v>
      </c>
      <c r="D2185" t="s">
        <v>47</v>
      </c>
      <c r="E2185" t="s">
        <v>50</v>
      </c>
      <c r="F2185" t="s">
        <v>15</v>
      </c>
      <c r="G2185" t="s">
        <v>16</v>
      </c>
      <c r="H2185" t="s">
        <v>37</v>
      </c>
      <c r="I2185">
        <v>3</v>
      </c>
      <c r="J2185">
        <v>0.2</v>
      </c>
      <c r="K2185">
        <v>232.45</v>
      </c>
      <c r="L2185">
        <v>11.4</v>
      </c>
      <c r="M2185" t="s">
        <v>2464</v>
      </c>
      <c r="N2185" t="s">
        <v>2458</v>
      </c>
      <c r="O2185" t="s">
        <v>2465</v>
      </c>
      <c r="P2185">
        <v>63.6</v>
      </c>
      <c r="Q2185">
        <v>107.94</v>
      </c>
      <c r="R2185">
        <v>190.8</v>
      </c>
      <c r="S2185">
        <v>30.249999999999979</v>
      </c>
      <c r="T2185">
        <v>0.13013551301355122</v>
      </c>
      <c r="U2185" s="1">
        <v>45839</v>
      </c>
      <c r="V2185" t="s">
        <v>2500</v>
      </c>
      <c r="W2185">
        <v>2025</v>
      </c>
    </row>
    <row r="2186" spans="1:23" x14ac:dyDescent="0.25">
      <c r="A2186" t="s">
        <v>2233</v>
      </c>
      <c r="B2186" s="1">
        <v>45951</v>
      </c>
      <c r="C2186" s="1">
        <v>45957</v>
      </c>
      <c r="D2186" t="s">
        <v>13</v>
      </c>
      <c r="E2186" t="s">
        <v>14</v>
      </c>
      <c r="F2186" t="s">
        <v>25</v>
      </c>
      <c r="G2186" t="s">
        <v>26</v>
      </c>
      <c r="H2186" t="s">
        <v>87</v>
      </c>
      <c r="I2186">
        <v>10</v>
      </c>
      <c r="J2186">
        <v>0</v>
      </c>
      <c r="K2186">
        <v>90.99</v>
      </c>
      <c r="L2186">
        <v>5.4</v>
      </c>
      <c r="M2186" t="s">
        <v>2476</v>
      </c>
      <c r="N2186" t="s">
        <v>2474</v>
      </c>
      <c r="O2186" t="s">
        <v>2459</v>
      </c>
      <c r="P2186">
        <v>4.5</v>
      </c>
      <c r="Q2186">
        <v>8.2899999999999991</v>
      </c>
      <c r="R2186">
        <v>45</v>
      </c>
      <c r="S2186">
        <v>40.589999999999996</v>
      </c>
      <c r="T2186">
        <v>0.44609297725024727</v>
      </c>
      <c r="U2186" s="1">
        <v>45931</v>
      </c>
      <c r="V2186" t="s">
        <v>2499</v>
      </c>
      <c r="W2186">
        <v>2025</v>
      </c>
    </row>
    <row r="2187" spans="1:23" x14ac:dyDescent="0.25">
      <c r="A2187" t="s">
        <v>2234</v>
      </c>
      <c r="B2187" s="1">
        <v>45544</v>
      </c>
      <c r="C2187" s="1">
        <v>45550</v>
      </c>
      <c r="D2187" t="s">
        <v>23</v>
      </c>
      <c r="E2187" t="s">
        <v>24</v>
      </c>
      <c r="F2187" t="s">
        <v>29</v>
      </c>
      <c r="G2187" t="s">
        <v>16</v>
      </c>
      <c r="H2187" t="s">
        <v>27</v>
      </c>
      <c r="I2187">
        <v>12</v>
      </c>
      <c r="J2187">
        <v>0</v>
      </c>
      <c r="K2187">
        <v>349.38</v>
      </c>
      <c r="L2187">
        <v>5.94</v>
      </c>
      <c r="M2187" t="s">
        <v>2478</v>
      </c>
      <c r="N2187" t="s">
        <v>2474</v>
      </c>
      <c r="O2187" t="s">
        <v>2463</v>
      </c>
      <c r="P2187">
        <v>16.760000000000002</v>
      </c>
      <c r="Q2187">
        <v>27.71</v>
      </c>
      <c r="R2187">
        <v>201.12</v>
      </c>
      <c r="S2187">
        <v>142.32</v>
      </c>
      <c r="T2187">
        <v>0.40735016314614458</v>
      </c>
      <c r="U2187" s="1">
        <v>45536</v>
      </c>
      <c r="V2187" t="s">
        <v>2499</v>
      </c>
      <c r="W2187">
        <v>2024</v>
      </c>
    </row>
    <row r="2188" spans="1:23" x14ac:dyDescent="0.25">
      <c r="A2188" t="s">
        <v>2235</v>
      </c>
      <c r="B2188" s="1">
        <v>45447</v>
      </c>
      <c r="C2188" s="1">
        <v>45448</v>
      </c>
      <c r="D2188" t="s">
        <v>13</v>
      </c>
      <c r="E2188" t="s">
        <v>36</v>
      </c>
      <c r="F2188" t="s">
        <v>25</v>
      </c>
      <c r="G2188" t="s">
        <v>16</v>
      </c>
      <c r="H2188" t="s">
        <v>34</v>
      </c>
      <c r="I2188">
        <v>1</v>
      </c>
      <c r="J2188">
        <v>0.1</v>
      </c>
      <c r="K2188">
        <v>196.64</v>
      </c>
      <c r="L2188">
        <v>4.08</v>
      </c>
      <c r="M2188" t="s">
        <v>2460</v>
      </c>
      <c r="N2188" t="s">
        <v>2458</v>
      </c>
      <c r="O2188" t="s">
        <v>2461</v>
      </c>
      <c r="P2188">
        <v>119.02</v>
      </c>
      <c r="Q2188">
        <v>205.39</v>
      </c>
      <c r="R2188">
        <v>119.02</v>
      </c>
      <c r="S2188">
        <v>73.539999999999992</v>
      </c>
      <c r="T2188">
        <v>0.37398291293734742</v>
      </c>
      <c r="U2188" s="1">
        <v>45444</v>
      </c>
      <c r="V2188" t="s">
        <v>2498</v>
      </c>
      <c r="W2188">
        <v>2024</v>
      </c>
    </row>
    <row r="2189" spans="1:23" x14ac:dyDescent="0.25">
      <c r="A2189" t="s">
        <v>2236</v>
      </c>
      <c r="B2189" s="1">
        <v>45368</v>
      </c>
      <c r="C2189" s="1">
        <v>45372</v>
      </c>
      <c r="D2189" t="s">
        <v>13</v>
      </c>
      <c r="E2189" t="s">
        <v>19</v>
      </c>
      <c r="F2189" t="s">
        <v>25</v>
      </c>
      <c r="G2189" t="s">
        <v>20</v>
      </c>
      <c r="H2189" t="s">
        <v>34</v>
      </c>
      <c r="I2189">
        <v>2</v>
      </c>
      <c r="J2189">
        <v>0</v>
      </c>
      <c r="K2189">
        <v>393.58</v>
      </c>
      <c r="L2189">
        <v>9.1</v>
      </c>
      <c r="M2189" t="s">
        <v>2460</v>
      </c>
      <c r="N2189" t="s">
        <v>2458</v>
      </c>
      <c r="O2189" t="s">
        <v>2461</v>
      </c>
      <c r="P2189">
        <v>119.02</v>
      </c>
      <c r="Q2189">
        <v>205.39</v>
      </c>
      <c r="R2189">
        <v>238.04</v>
      </c>
      <c r="S2189">
        <v>146.44</v>
      </c>
      <c r="T2189">
        <v>0.37207175161339501</v>
      </c>
      <c r="U2189" s="1">
        <v>45352</v>
      </c>
      <c r="V2189" t="s">
        <v>2499</v>
      </c>
      <c r="W2189">
        <v>2024</v>
      </c>
    </row>
    <row r="2190" spans="1:23" x14ac:dyDescent="0.25">
      <c r="A2190" t="s">
        <v>2237</v>
      </c>
      <c r="B2190" s="1">
        <v>45839</v>
      </c>
      <c r="C2190" s="1">
        <v>45842</v>
      </c>
      <c r="D2190" t="s">
        <v>47</v>
      </c>
      <c r="E2190" t="s">
        <v>71</v>
      </c>
      <c r="F2190" t="s">
        <v>25</v>
      </c>
      <c r="G2190" t="s">
        <v>26</v>
      </c>
      <c r="H2190" t="s">
        <v>41</v>
      </c>
      <c r="I2190">
        <v>23</v>
      </c>
      <c r="J2190">
        <v>0</v>
      </c>
      <c r="K2190">
        <v>128.15</v>
      </c>
      <c r="L2190">
        <v>8.91</v>
      </c>
      <c r="M2190" t="s">
        <v>2479</v>
      </c>
      <c r="N2190" t="s">
        <v>2474</v>
      </c>
      <c r="O2190" t="s">
        <v>2459</v>
      </c>
      <c r="P2190">
        <v>3.3</v>
      </c>
      <c r="Q2190">
        <v>6.13</v>
      </c>
      <c r="R2190">
        <v>75.899999999999991</v>
      </c>
      <c r="S2190">
        <v>43.340000000000018</v>
      </c>
      <c r="T2190">
        <v>0.33819742489270399</v>
      </c>
      <c r="U2190" s="1">
        <v>45839</v>
      </c>
      <c r="V2190" t="s">
        <v>2499</v>
      </c>
      <c r="W2190">
        <v>2025</v>
      </c>
    </row>
    <row r="2191" spans="1:23" x14ac:dyDescent="0.25">
      <c r="A2191" t="s">
        <v>2238</v>
      </c>
      <c r="B2191" s="1">
        <v>45621</v>
      </c>
      <c r="C2191" s="1">
        <v>45626</v>
      </c>
      <c r="D2191" t="s">
        <v>13</v>
      </c>
      <c r="E2191" t="s">
        <v>36</v>
      </c>
      <c r="F2191" t="s">
        <v>25</v>
      </c>
      <c r="G2191" t="s">
        <v>16</v>
      </c>
      <c r="H2191" t="s">
        <v>17</v>
      </c>
      <c r="I2191">
        <v>2</v>
      </c>
      <c r="J2191">
        <v>0</v>
      </c>
      <c r="K2191">
        <v>325.77999999999997</v>
      </c>
      <c r="L2191">
        <v>7</v>
      </c>
      <c r="M2191" t="s">
        <v>2472</v>
      </c>
      <c r="N2191" t="s">
        <v>2467</v>
      </c>
      <c r="O2191" t="s">
        <v>2468</v>
      </c>
      <c r="P2191">
        <v>63.69</v>
      </c>
      <c r="Q2191">
        <v>125.5</v>
      </c>
      <c r="R2191">
        <v>127.38</v>
      </c>
      <c r="S2191">
        <v>191.39999999999998</v>
      </c>
      <c r="T2191">
        <v>0.58751304561360429</v>
      </c>
      <c r="U2191" s="1">
        <v>45597</v>
      </c>
      <c r="V2191" t="s">
        <v>2499</v>
      </c>
      <c r="W2191">
        <v>2024</v>
      </c>
    </row>
    <row r="2192" spans="1:23" x14ac:dyDescent="0.25">
      <c r="A2192" t="s">
        <v>2239</v>
      </c>
      <c r="B2192" s="1">
        <v>45427</v>
      </c>
      <c r="C2192" s="1">
        <v>45430</v>
      </c>
      <c r="D2192" t="s">
        <v>47</v>
      </c>
      <c r="E2192" t="s">
        <v>48</v>
      </c>
      <c r="F2192" t="s">
        <v>29</v>
      </c>
      <c r="G2192" t="s">
        <v>26</v>
      </c>
      <c r="H2192" t="s">
        <v>39</v>
      </c>
      <c r="I2192">
        <v>3</v>
      </c>
      <c r="J2192">
        <v>0</v>
      </c>
      <c r="K2192">
        <v>582.96</v>
      </c>
      <c r="L2192">
        <v>4.95</v>
      </c>
      <c r="M2192" t="s">
        <v>2471</v>
      </c>
      <c r="N2192" t="s">
        <v>2467</v>
      </c>
      <c r="O2192" t="s">
        <v>2461</v>
      </c>
      <c r="P2192">
        <v>112.09</v>
      </c>
      <c r="Q2192">
        <v>192.47</v>
      </c>
      <c r="R2192">
        <v>336.27</v>
      </c>
      <c r="S2192">
        <v>241.74000000000007</v>
      </c>
      <c r="T2192">
        <v>0.41467682173734055</v>
      </c>
      <c r="U2192" s="1">
        <v>45413</v>
      </c>
      <c r="V2192" t="s">
        <v>2499</v>
      </c>
      <c r="W2192">
        <v>2024</v>
      </c>
    </row>
    <row r="2193" spans="1:23" x14ac:dyDescent="0.25">
      <c r="A2193" t="s">
        <v>2240</v>
      </c>
      <c r="B2193" s="1">
        <v>45525</v>
      </c>
      <c r="C2193" s="1">
        <v>45526</v>
      </c>
      <c r="D2193" t="s">
        <v>47</v>
      </c>
      <c r="E2193" t="s">
        <v>50</v>
      </c>
      <c r="F2193" t="s">
        <v>29</v>
      </c>
      <c r="G2193" t="s">
        <v>26</v>
      </c>
      <c r="H2193" t="s">
        <v>87</v>
      </c>
      <c r="I2193">
        <v>6</v>
      </c>
      <c r="J2193">
        <v>0</v>
      </c>
      <c r="K2193">
        <v>44.5</v>
      </c>
      <c r="L2193">
        <v>4.32</v>
      </c>
      <c r="M2193" t="s">
        <v>2476</v>
      </c>
      <c r="N2193" t="s">
        <v>2474</v>
      </c>
      <c r="O2193" t="s">
        <v>2459</v>
      </c>
      <c r="P2193">
        <v>4.5</v>
      </c>
      <c r="Q2193">
        <v>8.2899999999999991</v>
      </c>
      <c r="R2193">
        <v>27</v>
      </c>
      <c r="S2193">
        <v>13.18</v>
      </c>
      <c r="T2193">
        <v>0.29617977528089889</v>
      </c>
      <c r="U2193" s="1">
        <v>45505</v>
      </c>
      <c r="V2193" t="s">
        <v>2499</v>
      </c>
      <c r="W2193">
        <v>2024</v>
      </c>
    </row>
    <row r="2194" spans="1:23" x14ac:dyDescent="0.25">
      <c r="A2194" t="s">
        <v>2241</v>
      </c>
      <c r="B2194" s="1">
        <v>45717</v>
      </c>
      <c r="C2194" s="1">
        <v>45723</v>
      </c>
      <c r="D2194" t="s">
        <v>47</v>
      </c>
      <c r="E2194" t="s">
        <v>71</v>
      </c>
      <c r="F2194" t="s">
        <v>25</v>
      </c>
      <c r="G2194" t="s">
        <v>26</v>
      </c>
      <c r="H2194" t="s">
        <v>30</v>
      </c>
      <c r="I2194">
        <v>10</v>
      </c>
      <c r="J2194">
        <v>0</v>
      </c>
      <c r="K2194">
        <v>56.54</v>
      </c>
      <c r="L2194">
        <v>5.4</v>
      </c>
      <c r="M2194" t="s">
        <v>2473</v>
      </c>
      <c r="N2194" t="s">
        <v>2474</v>
      </c>
      <c r="O2194" t="s">
        <v>2463</v>
      </c>
      <c r="P2194">
        <v>3.62</v>
      </c>
      <c r="Q2194">
        <v>6.03</v>
      </c>
      <c r="R2194">
        <v>36.200000000000003</v>
      </c>
      <c r="S2194">
        <v>14.939999999999996</v>
      </c>
      <c r="T2194">
        <v>0.2642377078174743</v>
      </c>
      <c r="U2194" s="1">
        <v>45717</v>
      </c>
      <c r="V2194" t="s">
        <v>2499</v>
      </c>
      <c r="W2194">
        <v>2025</v>
      </c>
    </row>
    <row r="2195" spans="1:23" x14ac:dyDescent="0.25">
      <c r="A2195" t="s">
        <v>2242</v>
      </c>
      <c r="B2195" s="1">
        <v>45495</v>
      </c>
      <c r="C2195" s="1">
        <v>45500</v>
      </c>
      <c r="D2195" t="s">
        <v>23</v>
      </c>
      <c r="E2195" t="s">
        <v>59</v>
      </c>
      <c r="F2195" t="s">
        <v>29</v>
      </c>
      <c r="G2195" t="s">
        <v>20</v>
      </c>
      <c r="H2195" t="s">
        <v>51</v>
      </c>
      <c r="I2195">
        <v>8</v>
      </c>
      <c r="J2195">
        <v>0</v>
      </c>
      <c r="K2195">
        <v>102.75</v>
      </c>
      <c r="L2195">
        <v>4.8600000000000003</v>
      </c>
      <c r="M2195" t="s">
        <v>2475</v>
      </c>
      <c r="N2195" t="s">
        <v>2474</v>
      </c>
      <c r="O2195" t="s">
        <v>2463</v>
      </c>
      <c r="P2195">
        <v>7.93</v>
      </c>
      <c r="Q2195">
        <v>14.78</v>
      </c>
      <c r="R2195">
        <v>63.44</v>
      </c>
      <c r="S2195">
        <v>34.450000000000003</v>
      </c>
      <c r="T2195">
        <v>0.33527980535279805</v>
      </c>
      <c r="U2195" s="1">
        <v>45474</v>
      </c>
      <c r="V2195" t="s">
        <v>2499</v>
      </c>
      <c r="W2195">
        <v>2024</v>
      </c>
    </row>
    <row r="2196" spans="1:23" x14ac:dyDescent="0.25">
      <c r="A2196" t="s">
        <v>2243</v>
      </c>
      <c r="B2196" s="1">
        <v>45916</v>
      </c>
      <c r="C2196" s="1">
        <v>45918</v>
      </c>
      <c r="D2196" t="s">
        <v>47</v>
      </c>
      <c r="E2196" t="s">
        <v>71</v>
      </c>
      <c r="F2196" t="s">
        <v>29</v>
      </c>
      <c r="G2196" t="s">
        <v>20</v>
      </c>
      <c r="H2196" t="s">
        <v>39</v>
      </c>
      <c r="I2196">
        <v>1</v>
      </c>
      <c r="J2196">
        <v>0</v>
      </c>
      <c r="K2196">
        <v>200.71</v>
      </c>
      <c r="L2196">
        <v>5.75</v>
      </c>
      <c r="M2196" t="s">
        <v>2471</v>
      </c>
      <c r="N2196" t="s">
        <v>2467</v>
      </c>
      <c r="O2196" t="s">
        <v>2461</v>
      </c>
      <c r="P2196">
        <v>112.09</v>
      </c>
      <c r="Q2196">
        <v>192.47</v>
      </c>
      <c r="R2196">
        <v>112.09</v>
      </c>
      <c r="S2196">
        <v>82.87</v>
      </c>
      <c r="T2196">
        <v>0.41288426087389768</v>
      </c>
      <c r="U2196" s="1">
        <v>45901</v>
      </c>
      <c r="V2196" t="s">
        <v>2499</v>
      </c>
      <c r="W2196">
        <v>2025</v>
      </c>
    </row>
    <row r="2197" spans="1:23" x14ac:dyDescent="0.25">
      <c r="A2197" t="s">
        <v>2244</v>
      </c>
      <c r="B2197" s="1">
        <v>45869</v>
      </c>
      <c r="C2197" s="1">
        <v>45874</v>
      </c>
      <c r="D2197" t="s">
        <v>32</v>
      </c>
      <c r="E2197" t="s">
        <v>62</v>
      </c>
      <c r="F2197" t="s">
        <v>29</v>
      </c>
      <c r="G2197" t="s">
        <v>16</v>
      </c>
      <c r="H2197" t="s">
        <v>17</v>
      </c>
      <c r="I2197">
        <v>4</v>
      </c>
      <c r="J2197">
        <v>0</v>
      </c>
      <c r="K2197">
        <v>450.1</v>
      </c>
      <c r="L2197">
        <v>9.5</v>
      </c>
      <c r="M2197" t="s">
        <v>2472</v>
      </c>
      <c r="N2197" t="s">
        <v>2467</v>
      </c>
      <c r="O2197" t="s">
        <v>2468</v>
      </c>
      <c r="P2197">
        <v>63.69</v>
      </c>
      <c r="Q2197">
        <v>125.5</v>
      </c>
      <c r="R2197">
        <v>254.76</v>
      </c>
      <c r="S2197">
        <v>185.84000000000003</v>
      </c>
      <c r="T2197">
        <v>0.41288602532770502</v>
      </c>
      <c r="U2197" s="1">
        <v>45839</v>
      </c>
      <c r="V2197" t="s">
        <v>2499</v>
      </c>
      <c r="W2197">
        <v>2025</v>
      </c>
    </row>
    <row r="2198" spans="1:23" x14ac:dyDescent="0.25">
      <c r="A2198" t="s">
        <v>2245</v>
      </c>
      <c r="B2198" s="1">
        <v>45930</v>
      </c>
      <c r="C2198" s="1">
        <v>45934</v>
      </c>
      <c r="D2198" t="s">
        <v>13</v>
      </c>
      <c r="E2198" t="s">
        <v>19</v>
      </c>
      <c r="F2198" t="s">
        <v>29</v>
      </c>
      <c r="G2198" t="s">
        <v>16</v>
      </c>
      <c r="H2198" t="s">
        <v>39</v>
      </c>
      <c r="I2198">
        <v>2</v>
      </c>
      <c r="J2198">
        <v>0</v>
      </c>
      <c r="K2198">
        <v>427.98</v>
      </c>
      <c r="L2198">
        <v>4.2</v>
      </c>
      <c r="M2198" t="s">
        <v>2471</v>
      </c>
      <c r="N2198" t="s">
        <v>2467</v>
      </c>
      <c r="O2198" t="s">
        <v>2461</v>
      </c>
      <c r="P2198">
        <v>112.09</v>
      </c>
      <c r="Q2198">
        <v>192.47</v>
      </c>
      <c r="R2198">
        <v>224.18</v>
      </c>
      <c r="S2198">
        <v>199.60000000000002</v>
      </c>
      <c r="T2198">
        <v>0.4663769335015655</v>
      </c>
      <c r="U2198" s="1">
        <v>45901</v>
      </c>
      <c r="V2198" t="s">
        <v>2499</v>
      </c>
      <c r="W2198">
        <v>2025</v>
      </c>
    </row>
    <row r="2199" spans="1:23" x14ac:dyDescent="0.25">
      <c r="A2199" t="s">
        <v>2246</v>
      </c>
      <c r="B2199" s="1">
        <v>45380</v>
      </c>
      <c r="C2199" s="1">
        <v>45382</v>
      </c>
      <c r="D2199" t="s">
        <v>13</v>
      </c>
      <c r="E2199" t="s">
        <v>36</v>
      </c>
      <c r="F2199" t="s">
        <v>25</v>
      </c>
      <c r="G2199" t="s">
        <v>16</v>
      </c>
      <c r="H2199" t="s">
        <v>41</v>
      </c>
      <c r="I2199">
        <v>13</v>
      </c>
      <c r="J2199">
        <v>0</v>
      </c>
      <c r="K2199">
        <v>72.97</v>
      </c>
      <c r="L2199">
        <v>10.35</v>
      </c>
      <c r="M2199" t="s">
        <v>2479</v>
      </c>
      <c r="N2199" t="s">
        <v>2474</v>
      </c>
      <c r="O2199" t="s">
        <v>2459</v>
      </c>
      <c r="P2199">
        <v>3.3</v>
      </c>
      <c r="Q2199">
        <v>6.13</v>
      </c>
      <c r="R2199">
        <v>42.9</v>
      </c>
      <c r="S2199">
        <v>19.72</v>
      </c>
      <c r="T2199">
        <v>0.27024804714266137</v>
      </c>
      <c r="U2199" s="1">
        <v>45352</v>
      </c>
      <c r="V2199" t="s">
        <v>2499</v>
      </c>
      <c r="W2199">
        <v>2024</v>
      </c>
    </row>
    <row r="2200" spans="1:23" x14ac:dyDescent="0.25">
      <c r="A2200" t="s">
        <v>2247</v>
      </c>
      <c r="B2200" s="1">
        <v>45371</v>
      </c>
      <c r="C2200" s="1">
        <v>45374</v>
      </c>
      <c r="D2200" t="s">
        <v>23</v>
      </c>
      <c r="E2200" t="s">
        <v>59</v>
      </c>
      <c r="F2200" t="s">
        <v>25</v>
      </c>
      <c r="G2200" t="s">
        <v>16</v>
      </c>
      <c r="H2200" t="s">
        <v>34</v>
      </c>
      <c r="I2200">
        <v>4</v>
      </c>
      <c r="J2200">
        <v>0.15</v>
      </c>
      <c r="K2200">
        <v>672.95</v>
      </c>
      <c r="L2200">
        <v>13.7</v>
      </c>
      <c r="M2200" t="s">
        <v>2460</v>
      </c>
      <c r="N2200" t="s">
        <v>2458</v>
      </c>
      <c r="O2200" t="s">
        <v>2461</v>
      </c>
      <c r="P2200">
        <v>119.02</v>
      </c>
      <c r="Q2200">
        <v>205.39</v>
      </c>
      <c r="R2200">
        <v>476.08</v>
      </c>
      <c r="S2200">
        <v>183.17000000000007</v>
      </c>
      <c r="T2200">
        <v>0.27218961289843235</v>
      </c>
      <c r="U2200" s="1">
        <v>45352</v>
      </c>
      <c r="V2200" t="s">
        <v>2500</v>
      </c>
      <c r="W2200">
        <v>2024</v>
      </c>
    </row>
    <row r="2201" spans="1:23" x14ac:dyDescent="0.25">
      <c r="A2201" t="s">
        <v>2248</v>
      </c>
      <c r="B2201" s="1">
        <v>45367</v>
      </c>
      <c r="C2201" s="1">
        <v>45371</v>
      </c>
      <c r="D2201" t="s">
        <v>32</v>
      </c>
      <c r="E2201" t="s">
        <v>33</v>
      </c>
      <c r="F2201" t="s">
        <v>29</v>
      </c>
      <c r="G2201" t="s">
        <v>16</v>
      </c>
      <c r="H2201" t="s">
        <v>65</v>
      </c>
      <c r="I2201">
        <v>5</v>
      </c>
      <c r="J2201">
        <v>0</v>
      </c>
      <c r="K2201">
        <v>1303.82</v>
      </c>
      <c r="L2201">
        <v>9.6</v>
      </c>
      <c r="M2201" t="s">
        <v>2457</v>
      </c>
      <c r="N2201" t="s">
        <v>2458</v>
      </c>
      <c r="O2201" t="s">
        <v>2459</v>
      </c>
      <c r="P2201">
        <v>173.56</v>
      </c>
      <c r="Q2201">
        <v>286.14999999999998</v>
      </c>
      <c r="R2201">
        <v>867.8</v>
      </c>
      <c r="S2201">
        <v>426.41999999999996</v>
      </c>
      <c r="T2201">
        <v>0.32705434799282107</v>
      </c>
      <c r="U2201" s="1">
        <v>45352</v>
      </c>
      <c r="V2201" t="s">
        <v>2499</v>
      </c>
      <c r="W2201">
        <v>2024</v>
      </c>
    </row>
    <row r="2202" spans="1:23" x14ac:dyDescent="0.25">
      <c r="A2202" t="s">
        <v>2249</v>
      </c>
      <c r="B2202" s="1">
        <v>45470</v>
      </c>
      <c r="C2202" s="1">
        <v>45474</v>
      </c>
      <c r="D2202" t="s">
        <v>32</v>
      </c>
      <c r="E2202" t="s">
        <v>33</v>
      </c>
      <c r="F2202" t="s">
        <v>29</v>
      </c>
      <c r="G2202" t="s">
        <v>20</v>
      </c>
      <c r="H2202" t="s">
        <v>37</v>
      </c>
      <c r="I2202">
        <v>3</v>
      </c>
      <c r="J2202">
        <v>0.2</v>
      </c>
      <c r="K2202">
        <v>264.41000000000003</v>
      </c>
      <c r="L2202">
        <v>11.4</v>
      </c>
      <c r="M2202" t="s">
        <v>2464</v>
      </c>
      <c r="N2202" t="s">
        <v>2458</v>
      </c>
      <c r="O2202" t="s">
        <v>2465</v>
      </c>
      <c r="P2202">
        <v>63.6</v>
      </c>
      <c r="Q2202">
        <v>107.94</v>
      </c>
      <c r="R2202">
        <v>190.8</v>
      </c>
      <c r="S2202">
        <v>62.210000000000015</v>
      </c>
      <c r="T2202">
        <v>0.23527854468439169</v>
      </c>
      <c r="U2202" s="1">
        <v>45444</v>
      </c>
      <c r="V2202" t="s">
        <v>2500</v>
      </c>
      <c r="W2202">
        <v>2024</v>
      </c>
    </row>
    <row r="2203" spans="1:23" x14ac:dyDescent="0.25">
      <c r="A2203" t="s">
        <v>2250</v>
      </c>
      <c r="B2203" s="1">
        <v>45440</v>
      </c>
      <c r="C2203" s="1">
        <v>45444</v>
      </c>
      <c r="D2203" t="s">
        <v>32</v>
      </c>
      <c r="E2203" t="s">
        <v>62</v>
      </c>
      <c r="F2203" t="s">
        <v>25</v>
      </c>
      <c r="G2203" t="s">
        <v>16</v>
      </c>
      <c r="H2203" t="s">
        <v>65</v>
      </c>
      <c r="I2203">
        <v>1</v>
      </c>
      <c r="J2203">
        <v>0</v>
      </c>
      <c r="K2203">
        <v>300.76</v>
      </c>
      <c r="L2203">
        <v>6.8</v>
      </c>
      <c r="M2203" t="s">
        <v>2457</v>
      </c>
      <c r="N2203" t="s">
        <v>2458</v>
      </c>
      <c r="O2203" t="s">
        <v>2459</v>
      </c>
      <c r="P2203">
        <v>173.56</v>
      </c>
      <c r="Q2203">
        <v>286.14999999999998</v>
      </c>
      <c r="R2203">
        <v>173.56</v>
      </c>
      <c r="S2203">
        <v>120.39999999999999</v>
      </c>
      <c r="T2203">
        <v>0.4003191913818327</v>
      </c>
      <c r="U2203" s="1">
        <v>45413</v>
      </c>
      <c r="V2203" t="s">
        <v>2499</v>
      </c>
      <c r="W2203">
        <v>2024</v>
      </c>
    </row>
    <row r="2204" spans="1:23" x14ac:dyDescent="0.25">
      <c r="A2204" t="s">
        <v>2251</v>
      </c>
      <c r="B2204" s="1">
        <v>45642</v>
      </c>
      <c r="C2204" s="1">
        <v>45644</v>
      </c>
      <c r="D2204" t="s">
        <v>32</v>
      </c>
      <c r="E2204" t="s">
        <v>33</v>
      </c>
      <c r="F2204" t="s">
        <v>15</v>
      </c>
      <c r="G2204" t="s">
        <v>20</v>
      </c>
      <c r="H2204" t="s">
        <v>39</v>
      </c>
      <c r="I2204">
        <v>1</v>
      </c>
      <c r="J2204">
        <v>0</v>
      </c>
      <c r="K2204">
        <v>288.69</v>
      </c>
      <c r="L2204">
        <v>3.45</v>
      </c>
      <c r="M2204" t="s">
        <v>2471</v>
      </c>
      <c r="N2204" t="s">
        <v>2467</v>
      </c>
      <c r="O2204" t="s">
        <v>2461</v>
      </c>
      <c r="P2204">
        <v>112.09</v>
      </c>
      <c r="Q2204">
        <v>192.47</v>
      </c>
      <c r="R2204">
        <v>112.09</v>
      </c>
      <c r="S2204">
        <v>173.15</v>
      </c>
      <c r="T2204">
        <v>0.59977830891267447</v>
      </c>
      <c r="U2204" s="1">
        <v>45627</v>
      </c>
      <c r="V2204" t="s">
        <v>2499</v>
      </c>
      <c r="W2204">
        <v>2024</v>
      </c>
    </row>
    <row r="2205" spans="1:23" x14ac:dyDescent="0.25">
      <c r="A2205" t="s">
        <v>2252</v>
      </c>
      <c r="B2205" s="1">
        <v>45479</v>
      </c>
      <c r="C2205" s="1">
        <v>45484</v>
      </c>
      <c r="D2205" t="s">
        <v>13</v>
      </c>
      <c r="E2205" t="s">
        <v>36</v>
      </c>
      <c r="F2205" t="s">
        <v>25</v>
      </c>
      <c r="G2205" t="s">
        <v>26</v>
      </c>
      <c r="H2205" t="s">
        <v>65</v>
      </c>
      <c r="I2205">
        <v>2</v>
      </c>
      <c r="J2205">
        <v>0.2</v>
      </c>
      <c r="K2205">
        <v>404.34</v>
      </c>
      <c r="L2205">
        <v>9.1</v>
      </c>
      <c r="M2205" t="s">
        <v>2457</v>
      </c>
      <c r="N2205" t="s">
        <v>2458</v>
      </c>
      <c r="O2205" t="s">
        <v>2459</v>
      </c>
      <c r="P2205">
        <v>173.56</v>
      </c>
      <c r="Q2205">
        <v>286.14999999999998</v>
      </c>
      <c r="R2205">
        <v>347.12</v>
      </c>
      <c r="S2205">
        <v>48.119999999999969</v>
      </c>
      <c r="T2205">
        <v>0.11900875500816138</v>
      </c>
      <c r="U2205" s="1">
        <v>45474</v>
      </c>
      <c r="V2205" t="s">
        <v>2500</v>
      </c>
      <c r="W2205">
        <v>2024</v>
      </c>
    </row>
    <row r="2206" spans="1:23" x14ac:dyDescent="0.25">
      <c r="A2206" t="s">
        <v>2253</v>
      </c>
      <c r="B2206" s="1">
        <v>45485</v>
      </c>
      <c r="C2206" s="1">
        <v>45486</v>
      </c>
      <c r="D2206" t="s">
        <v>23</v>
      </c>
      <c r="E2206" t="s">
        <v>43</v>
      </c>
      <c r="F2206" t="s">
        <v>29</v>
      </c>
      <c r="G2206" t="s">
        <v>20</v>
      </c>
      <c r="H2206" t="s">
        <v>39</v>
      </c>
      <c r="I2206">
        <v>2</v>
      </c>
      <c r="J2206">
        <v>0.15</v>
      </c>
      <c r="K2206">
        <v>303.08999999999997</v>
      </c>
      <c r="L2206">
        <v>7</v>
      </c>
      <c r="M2206" t="s">
        <v>2471</v>
      </c>
      <c r="N2206" t="s">
        <v>2467</v>
      </c>
      <c r="O2206" t="s">
        <v>2461</v>
      </c>
      <c r="P2206">
        <v>112.09</v>
      </c>
      <c r="Q2206">
        <v>192.47</v>
      </c>
      <c r="R2206">
        <v>224.18</v>
      </c>
      <c r="S2206">
        <v>71.909999999999968</v>
      </c>
      <c r="T2206">
        <v>0.23725626051667814</v>
      </c>
      <c r="U2206" s="1">
        <v>45474</v>
      </c>
      <c r="V2206" t="s">
        <v>2500</v>
      </c>
      <c r="W2206">
        <v>2024</v>
      </c>
    </row>
    <row r="2207" spans="1:23" x14ac:dyDescent="0.25">
      <c r="A2207" t="s">
        <v>2254</v>
      </c>
      <c r="B2207" s="1">
        <v>45338</v>
      </c>
      <c r="C2207" s="1">
        <v>45340</v>
      </c>
      <c r="D2207" t="s">
        <v>13</v>
      </c>
      <c r="E2207" t="s">
        <v>19</v>
      </c>
      <c r="F2207" t="s">
        <v>29</v>
      </c>
      <c r="G2207" t="s">
        <v>16</v>
      </c>
      <c r="H2207" t="s">
        <v>17</v>
      </c>
      <c r="I2207">
        <v>2</v>
      </c>
      <c r="J2207">
        <v>0</v>
      </c>
      <c r="K2207">
        <v>223.57</v>
      </c>
      <c r="L2207">
        <v>7</v>
      </c>
      <c r="M2207" t="s">
        <v>2472</v>
      </c>
      <c r="N2207" t="s">
        <v>2467</v>
      </c>
      <c r="O2207" t="s">
        <v>2468</v>
      </c>
      <c r="P2207">
        <v>63.69</v>
      </c>
      <c r="Q2207">
        <v>125.5</v>
      </c>
      <c r="R2207">
        <v>127.38</v>
      </c>
      <c r="S2207">
        <v>89.19</v>
      </c>
      <c r="T2207">
        <v>0.39893545645659079</v>
      </c>
      <c r="U2207" s="1">
        <v>45323</v>
      </c>
      <c r="V2207" t="s">
        <v>2499</v>
      </c>
      <c r="W2207">
        <v>2024</v>
      </c>
    </row>
    <row r="2208" spans="1:23" x14ac:dyDescent="0.25">
      <c r="A2208" t="s">
        <v>2255</v>
      </c>
      <c r="B2208" s="1">
        <v>45898</v>
      </c>
      <c r="C2208" s="1">
        <v>45901</v>
      </c>
      <c r="D2208" t="s">
        <v>23</v>
      </c>
      <c r="E2208" t="s">
        <v>59</v>
      </c>
      <c r="F2208" t="s">
        <v>29</v>
      </c>
      <c r="G2208" t="s">
        <v>26</v>
      </c>
      <c r="H2208" t="s">
        <v>87</v>
      </c>
      <c r="I2208">
        <v>8</v>
      </c>
      <c r="J2208">
        <v>0.1</v>
      </c>
      <c r="K2208">
        <v>59.16</v>
      </c>
      <c r="L2208">
        <v>4.8600000000000003</v>
      </c>
      <c r="M2208" t="s">
        <v>2476</v>
      </c>
      <c r="N2208" t="s">
        <v>2474</v>
      </c>
      <c r="O2208" t="s">
        <v>2459</v>
      </c>
      <c r="P2208">
        <v>4.5</v>
      </c>
      <c r="Q2208">
        <v>8.2899999999999991</v>
      </c>
      <c r="R2208">
        <v>36</v>
      </c>
      <c r="S2208">
        <v>18.299999999999997</v>
      </c>
      <c r="T2208">
        <v>0.30933062880324541</v>
      </c>
      <c r="U2208" s="1">
        <v>45870</v>
      </c>
      <c r="V2208" t="s">
        <v>2498</v>
      </c>
      <c r="W2208">
        <v>2025</v>
      </c>
    </row>
    <row r="2209" spans="1:23" x14ac:dyDescent="0.25">
      <c r="A2209" t="s">
        <v>2256</v>
      </c>
      <c r="B2209" s="1">
        <v>45410</v>
      </c>
      <c r="C2209" s="1">
        <v>45411</v>
      </c>
      <c r="D2209" t="s">
        <v>23</v>
      </c>
      <c r="E2209" t="s">
        <v>59</v>
      </c>
      <c r="F2209" t="s">
        <v>15</v>
      </c>
      <c r="G2209" t="s">
        <v>16</v>
      </c>
      <c r="H2209" t="s">
        <v>41</v>
      </c>
      <c r="I2209">
        <v>5</v>
      </c>
      <c r="J2209">
        <v>0.25</v>
      </c>
      <c r="K2209">
        <v>22.41</v>
      </c>
      <c r="L2209">
        <v>4.05</v>
      </c>
      <c r="M2209" t="s">
        <v>2479</v>
      </c>
      <c r="N2209" t="s">
        <v>2474</v>
      </c>
      <c r="O2209" t="s">
        <v>2459</v>
      </c>
      <c r="P2209">
        <v>3.3</v>
      </c>
      <c r="Q2209">
        <v>6.13</v>
      </c>
      <c r="R2209">
        <v>16.5</v>
      </c>
      <c r="S2209">
        <v>1.8600000000000003</v>
      </c>
      <c r="T2209">
        <v>8.2998661311914343E-2</v>
      </c>
      <c r="U2209" s="1">
        <v>45383</v>
      </c>
      <c r="V2209" t="s">
        <v>2501</v>
      </c>
      <c r="W2209">
        <v>2024</v>
      </c>
    </row>
    <row r="2210" spans="1:23" x14ac:dyDescent="0.25">
      <c r="A2210" t="s">
        <v>2257</v>
      </c>
      <c r="B2210" s="1">
        <v>45757</v>
      </c>
      <c r="C2210" s="1">
        <v>45758</v>
      </c>
      <c r="D2210" t="s">
        <v>47</v>
      </c>
      <c r="E2210" t="s">
        <v>50</v>
      </c>
      <c r="F2210" t="s">
        <v>15</v>
      </c>
      <c r="G2210" t="s">
        <v>26</v>
      </c>
      <c r="H2210" t="s">
        <v>41</v>
      </c>
      <c r="I2210">
        <v>10</v>
      </c>
      <c r="J2210">
        <v>0.2</v>
      </c>
      <c r="K2210">
        <v>50.13</v>
      </c>
      <c r="L2210">
        <v>5.4</v>
      </c>
      <c r="M2210" t="s">
        <v>2479</v>
      </c>
      <c r="N2210" t="s">
        <v>2474</v>
      </c>
      <c r="O2210" t="s">
        <v>2459</v>
      </c>
      <c r="P2210">
        <v>3.3</v>
      </c>
      <c r="Q2210">
        <v>6.13</v>
      </c>
      <c r="R2210">
        <v>33</v>
      </c>
      <c r="S2210">
        <v>11.730000000000002</v>
      </c>
      <c r="T2210">
        <v>0.23399162178336327</v>
      </c>
      <c r="U2210" s="1">
        <v>45748</v>
      </c>
      <c r="V2210" t="s">
        <v>2500</v>
      </c>
      <c r="W2210">
        <v>2025</v>
      </c>
    </row>
    <row r="2211" spans="1:23" x14ac:dyDescent="0.25">
      <c r="A2211" t="s">
        <v>2258</v>
      </c>
      <c r="B2211" s="1">
        <v>45674</v>
      </c>
      <c r="C2211" s="1">
        <v>45678</v>
      </c>
      <c r="D2211" t="s">
        <v>32</v>
      </c>
      <c r="E2211" t="s">
        <v>45</v>
      </c>
      <c r="F2211" t="s">
        <v>25</v>
      </c>
      <c r="G2211" t="s">
        <v>26</v>
      </c>
      <c r="H2211" t="s">
        <v>34</v>
      </c>
      <c r="I2211">
        <v>4</v>
      </c>
      <c r="J2211">
        <v>0</v>
      </c>
      <c r="K2211">
        <v>690.8</v>
      </c>
      <c r="L2211">
        <v>8.2200000000000006</v>
      </c>
      <c r="M2211" t="s">
        <v>2460</v>
      </c>
      <c r="N2211" t="s">
        <v>2458</v>
      </c>
      <c r="O2211" t="s">
        <v>2461</v>
      </c>
      <c r="P2211">
        <v>119.02</v>
      </c>
      <c r="Q2211">
        <v>205.39</v>
      </c>
      <c r="R2211">
        <v>476.08</v>
      </c>
      <c r="S2211">
        <v>206.49999999999997</v>
      </c>
      <c r="T2211">
        <v>0.29892877822814129</v>
      </c>
      <c r="U2211" s="1">
        <v>45658</v>
      </c>
      <c r="V2211" t="s">
        <v>2499</v>
      </c>
      <c r="W2211">
        <v>2025</v>
      </c>
    </row>
    <row r="2212" spans="1:23" x14ac:dyDescent="0.25">
      <c r="A2212" t="s">
        <v>2259</v>
      </c>
      <c r="B2212" s="1">
        <v>45687</v>
      </c>
      <c r="C2212" s="1">
        <v>45690</v>
      </c>
      <c r="D2212" t="s">
        <v>47</v>
      </c>
      <c r="E2212" t="s">
        <v>50</v>
      </c>
      <c r="F2212" t="s">
        <v>25</v>
      </c>
      <c r="G2212" t="s">
        <v>20</v>
      </c>
      <c r="H2212" t="s">
        <v>27</v>
      </c>
      <c r="I2212">
        <v>13</v>
      </c>
      <c r="J2212">
        <v>0.15</v>
      </c>
      <c r="K2212">
        <v>277.25</v>
      </c>
      <c r="L2212">
        <v>6.21</v>
      </c>
      <c r="M2212" t="s">
        <v>2478</v>
      </c>
      <c r="N2212" t="s">
        <v>2474</v>
      </c>
      <c r="O2212" t="s">
        <v>2463</v>
      </c>
      <c r="P2212">
        <v>16.760000000000002</v>
      </c>
      <c r="Q2212">
        <v>27.71</v>
      </c>
      <c r="R2212">
        <v>217.88000000000002</v>
      </c>
      <c r="S2212">
        <v>53.159999999999975</v>
      </c>
      <c r="T2212">
        <v>0.19174030658250668</v>
      </c>
      <c r="U2212" s="1">
        <v>45658</v>
      </c>
      <c r="V2212" t="s">
        <v>2500</v>
      </c>
      <c r="W2212">
        <v>2025</v>
      </c>
    </row>
    <row r="2213" spans="1:23" x14ac:dyDescent="0.25">
      <c r="A2213" t="s">
        <v>2260</v>
      </c>
      <c r="B2213" s="1">
        <v>45946</v>
      </c>
      <c r="C2213" s="1">
        <v>45952</v>
      </c>
      <c r="D2213" t="s">
        <v>47</v>
      </c>
      <c r="E2213" t="s">
        <v>71</v>
      </c>
      <c r="F2213" t="s">
        <v>29</v>
      </c>
      <c r="G2213" t="s">
        <v>20</v>
      </c>
      <c r="H2213" t="s">
        <v>30</v>
      </c>
      <c r="I2213">
        <v>11</v>
      </c>
      <c r="J2213">
        <v>0.15</v>
      </c>
      <c r="K2213">
        <v>63.87</v>
      </c>
      <c r="L2213">
        <v>5.67</v>
      </c>
      <c r="M2213" t="s">
        <v>2473</v>
      </c>
      <c r="N2213" t="s">
        <v>2474</v>
      </c>
      <c r="O2213" t="s">
        <v>2463</v>
      </c>
      <c r="P2213">
        <v>3.62</v>
      </c>
      <c r="Q2213">
        <v>6.03</v>
      </c>
      <c r="R2213">
        <v>39.82</v>
      </c>
      <c r="S2213">
        <v>18.379999999999995</v>
      </c>
      <c r="T2213">
        <v>0.28777203695005477</v>
      </c>
      <c r="U2213" s="1">
        <v>45931</v>
      </c>
      <c r="V2213" t="s">
        <v>2500</v>
      </c>
      <c r="W2213">
        <v>2025</v>
      </c>
    </row>
    <row r="2214" spans="1:23" x14ac:dyDescent="0.25">
      <c r="A2214" t="s">
        <v>2261</v>
      </c>
      <c r="B2214" s="1">
        <v>45766</v>
      </c>
      <c r="C2214" s="1">
        <v>45771</v>
      </c>
      <c r="D2214" t="s">
        <v>23</v>
      </c>
      <c r="E2214" t="s">
        <v>24</v>
      </c>
      <c r="F2214" t="s">
        <v>29</v>
      </c>
      <c r="G2214" t="s">
        <v>20</v>
      </c>
      <c r="H2214" t="s">
        <v>51</v>
      </c>
      <c r="I2214">
        <v>4</v>
      </c>
      <c r="J2214">
        <v>0.2</v>
      </c>
      <c r="K2214">
        <v>43.81</v>
      </c>
      <c r="L2214">
        <v>3.78</v>
      </c>
      <c r="M2214" t="s">
        <v>2475</v>
      </c>
      <c r="N2214" t="s">
        <v>2474</v>
      </c>
      <c r="O2214" t="s">
        <v>2463</v>
      </c>
      <c r="P2214">
        <v>7.93</v>
      </c>
      <c r="Q2214">
        <v>14.78</v>
      </c>
      <c r="R2214">
        <v>31.72</v>
      </c>
      <c r="S2214">
        <v>8.3100000000000041</v>
      </c>
      <c r="T2214">
        <v>0.18968272083999096</v>
      </c>
      <c r="U2214" s="1">
        <v>45748</v>
      </c>
      <c r="V2214" t="s">
        <v>2500</v>
      </c>
      <c r="W2214">
        <v>2025</v>
      </c>
    </row>
    <row r="2215" spans="1:23" x14ac:dyDescent="0.25">
      <c r="A2215" t="s">
        <v>2262</v>
      </c>
      <c r="B2215" s="1">
        <v>45367</v>
      </c>
      <c r="C2215" s="1">
        <v>45373</v>
      </c>
      <c r="D2215" t="s">
        <v>23</v>
      </c>
      <c r="E2215" t="s">
        <v>43</v>
      </c>
      <c r="F2215" t="s">
        <v>25</v>
      </c>
      <c r="G2215" t="s">
        <v>26</v>
      </c>
      <c r="H2215" t="s">
        <v>30</v>
      </c>
      <c r="I2215">
        <v>11</v>
      </c>
      <c r="J2215">
        <v>0.05</v>
      </c>
      <c r="K2215">
        <v>61.58</v>
      </c>
      <c r="L2215">
        <v>5.67</v>
      </c>
      <c r="M2215" t="s">
        <v>2473</v>
      </c>
      <c r="N2215" t="s">
        <v>2474</v>
      </c>
      <c r="O2215" t="s">
        <v>2463</v>
      </c>
      <c r="P2215">
        <v>3.62</v>
      </c>
      <c r="Q2215">
        <v>6.03</v>
      </c>
      <c r="R2215">
        <v>39.82</v>
      </c>
      <c r="S2215">
        <v>16.089999999999996</v>
      </c>
      <c r="T2215">
        <v>0.26128613186099375</v>
      </c>
      <c r="U2215" s="1">
        <v>45352</v>
      </c>
      <c r="V2215" t="s">
        <v>2498</v>
      </c>
      <c r="W2215">
        <v>2024</v>
      </c>
    </row>
    <row r="2216" spans="1:23" x14ac:dyDescent="0.25">
      <c r="A2216" t="s">
        <v>2263</v>
      </c>
      <c r="B2216" s="1">
        <v>45386</v>
      </c>
      <c r="C2216" s="1">
        <v>45388</v>
      </c>
      <c r="D2216" t="s">
        <v>32</v>
      </c>
      <c r="E2216" t="s">
        <v>45</v>
      </c>
      <c r="F2216" t="s">
        <v>25</v>
      </c>
      <c r="G2216" t="s">
        <v>20</v>
      </c>
      <c r="H2216" t="s">
        <v>34</v>
      </c>
      <c r="I2216">
        <v>4</v>
      </c>
      <c r="J2216">
        <v>0.05</v>
      </c>
      <c r="K2216">
        <v>732.01</v>
      </c>
      <c r="L2216">
        <v>8.2200000000000006</v>
      </c>
      <c r="M2216" t="s">
        <v>2460</v>
      </c>
      <c r="N2216" t="s">
        <v>2458</v>
      </c>
      <c r="O2216" t="s">
        <v>2461</v>
      </c>
      <c r="P2216">
        <v>119.02</v>
      </c>
      <c r="Q2216">
        <v>205.39</v>
      </c>
      <c r="R2216">
        <v>476.08</v>
      </c>
      <c r="S2216">
        <v>247.71</v>
      </c>
      <c r="T2216">
        <v>0.33839701643420173</v>
      </c>
      <c r="U2216" s="1">
        <v>45383</v>
      </c>
      <c r="V2216" t="s">
        <v>2498</v>
      </c>
      <c r="W2216">
        <v>2024</v>
      </c>
    </row>
    <row r="2217" spans="1:23" x14ac:dyDescent="0.25">
      <c r="A2217" t="s">
        <v>2264</v>
      </c>
      <c r="B2217" s="1">
        <v>45953</v>
      </c>
      <c r="C2217" s="1">
        <v>45956</v>
      </c>
      <c r="D2217" t="s">
        <v>13</v>
      </c>
      <c r="E2217" t="s">
        <v>36</v>
      </c>
      <c r="F2217" t="s">
        <v>29</v>
      </c>
      <c r="G2217" t="s">
        <v>16</v>
      </c>
      <c r="H2217" t="s">
        <v>60</v>
      </c>
      <c r="I2217">
        <v>1</v>
      </c>
      <c r="J2217">
        <v>0</v>
      </c>
      <c r="K2217">
        <v>123.18</v>
      </c>
      <c r="L2217">
        <v>3.45</v>
      </c>
      <c r="M2217" t="s">
        <v>2469</v>
      </c>
      <c r="N2217" t="s">
        <v>2467</v>
      </c>
      <c r="O2217" t="s">
        <v>2468</v>
      </c>
      <c r="P2217">
        <v>54.95</v>
      </c>
      <c r="Q2217">
        <v>112.56</v>
      </c>
      <c r="R2217">
        <v>54.95</v>
      </c>
      <c r="S2217">
        <v>64.78</v>
      </c>
      <c r="T2217">
        <v>0.52589706121123558</v>
      </c>
      <c r="U2217" s="1">
        <v>45931</v>
      </c>
      <c r="V2217" t="s">
        <v>2499</v>
      </c>
      <c r="W2217">
        <v>2025</v>
      </c>
    </row>
    <row r="2218" spans="1:23" x14ac:dyDescent="0.25">
      <c r="A2218" t="s">
        <v>2265</v>
      </c>
      <c r="B2218" s="1">
        <v>45980</v>
      </c>
      <c r="C2218" s="1">
        <v>45984</v>
      </c>
      <c r="D2218" t="s">
        <v>47</v>
      </c>
      <c r="E2218" t="s">
        <v>71</v>
      </c>
      <c r="F2218" t="s">
        <v>15</v>
      </c>
      <c r="G2218" t="s">
        <v>16</v>
      </c>
      <c r="H2218" t="s">
        <v>21</v>
      </c>
      <c r="I2218">
        <v>1</v>
      </c>
      <c r="J2218">
        <v>0</v>
      </c>
      <c r="K2218">
        <v>157.13999999999999</v>
      </c>
      <c r="L2218">
        <v>6.8</v>
      </c>
      <c r="M2218" t="s">
        <v>2462</v>
      </c>
      <c r="N2218" t="s">
        <v>2458</v>
      </c>
      <c r="O2218" t="s">
        <v>2463</v>
      </c>
      <c r="P2218">
        <v>71.489999999999995</v>
      </c>
      <c r="Q2218">
        <v>112.88</v>
      </c>
      <c r="R2218">
        <v>71.489999999999995</v>
      </c>
      <c r="S2218">
        <v>78.849999999999994</v>
      </c>
      <c r="T2218">
        <v>0.50178185057910141</v>
      </c>
      <c r="U2218" s="1">
        <v>45962</v>
      </c>
      <c r="V2218" t="s">
        <v>2499</v>
      </c>
      <c r="W2218">
        <v>2025</v>
      </c>
    </row>
    <row r="2219" spans="1:23" x14ac:dyDescent="0.25">
      <c r="A2219" t="s">
        <v>2266</v>
      </c>
      <c r="B2219" s="1">
        <v>45511</v>
      </c>
      <c r="C2219" s="1">
        <v>45517</v>
      </c>
      <c r="D2219" t="s">
        <v>13</v>
      </c>
      <c r="E2219" t="s">
        <v>19</v>
      </c>
      <c r="F2219" t="s">
        <v>29</v>
      </c>
      <c r="G2219" t="s">
        <v>16</v>
      </c>
      <c r="H2219" t="s">
        <v>87</v>
      </c>
      <c r="I2219">
        <v>13</v>
      </c>
      <c r="J2219">
        <v>0</v>
      </c>
      <c r="K2219">
        <v>103.25</v>
      </c>
      <c r="L2219">
        <v>10.35</v>
      </c>
      <c r="M2219" t="s">
        <v>2476</v>
      </c>
      <c r="N2219" t="s">
        <v>2474</v>
      </c>
      <c r="O2219" t="s">
        <v>2459</v>
      </c>
      <c r="P2219">
        <v>4.5</v>
      </c>
      <c r="Q2219">
        <v>8.2899999999999991</v>
      </c>
      <c r="R2219">
        <v>58.5</v>
      </c>
      <c r="S2219">
        <v>34.4</v>
      </c>
      <c r="T2219">
        <v>0.3331719128329298</v>
      </c>
      <c r="U2219" s="1">
        <v>45505</v>
      </c>
      <c r="V2219" t="s">
        <v>2499</v>
      </c>
      <c r="W2219">
        <v>2024</v>
      </c>
    </row>
    <row r="2220" spans="1:23" x14ac:dyDescent="0.25">
      <c r="A2220" t="s">
        <v>2267</v>
      </c>
      <c r="B2220" s="1">
        <v>45354</v>
      </c>
      <c r="C2220" s="1">
        <v>45356</v>
      </c>
      <c r="D2220" t="s">
        <v>23</v>
      </c>
      <c r="E2220" t="s">
        <v>43</v>
      </c>
      <c r="F2220" t="s">
        <v>29</v>
      </c>
      <c r="G2220" t="s">
        <v>26</v>
      </c>
      <c r="H2220" t="s">
        <v>63</v>
      </c>
      <c r="I2220">
        <v>5</v>
      </c>
      <c r="J2220">
        <v>0</v>
      </c>
      <c r="K2220">
        <v>54.51</v>
      </c>
      <c r="L2220">
        <v>4.05</v>
      </c>
      <c r="M2220" t="s">
        <v>2477</v>
      </c>
      <c r="N2220" t="s">
        <v>2474</v>
      </c>
      <c r="O2220" t="s">
        <v>2468</v>
      </c>
      <c r="P2220">
        <v>6.33</v>
      </c>
      <c r="Q2220">
        <v>12.16</v>
      </c>
      <c r="R2220">
        <v>31.65</v>
      </c>
      <c r="S2220">
        <v>18.809999999999999</v>
      </c>
      <c r="T2220">
        <v>0.34507429829389102</v>
      </c>
      <c r="U2220" s="1">
        <v>45352</v>
      </c>
      <c r="V2220" t="s">
        <v>2499</v>
      </c>
      <c r="W2220">
        <v>2024</v>
      </c>
    </row>
    <row r="2221" spans="1:23" x14ac:dyDescent="0.25">
      <c r="A2221" t="s">
        <v>2268</v>
      </c>
      <c r="B2221" s="1">
        <v>45331</v>
      </c>
      <c r="C2221" s="1">
        <v>45333</v>
      </c>
      <c r="D2221" t="s">
        <v>47</v>
      </c>
      <c r="E2221" t="s">
        <v>48</v>
      </c>
      <c r="F2221" t="s">
        <v>15</v>
      </c>
      <c r="G2221" t="s">
        <v>26</v>
      </c>
      <c r="H2221" t="s">
        <v>53</v>
      </c>
      <c r="I2221">
        <v>2</v>
      </c>
      <c r="J2221">
        <v>0</v>
      </c>
      <c r="K2221">
        <v>98.32</v>
      </c>
      <c r="L2221">
        <v>4.2</v>
      </c>
      <c r="M2221" t="s">
        <v>2470</v>
      </c>
      <c r="N2221" t="s">
        <v>2467</v>
      </c>
      <c r="O2221" t="s">
        <v>2459</v>
      </c>
      <c r="P2221">
        <v>31.34</v>
      </c>
      <c r="Q2221">
        <v>56.49</v>
      </c>
      <c r="R2221">
        <v>62.68</v>
      </c>
      <c r="S2221">
        <v>31.439999999999994</v>
      </c>
      <c r="T2221">
        <v>0.3197721724979658</v>
      </c>
      <c r="U2221" s="1">
        <v>45323</v>
      </c>
      <c r="V2221" t="s">
        <v>2499</v>
      </c>
      <c r="W2221">
        <v>2024</v>
      </c>
    </row>
    <row r="2222" spans="1:23" x14ac:dyDescent="0.25">
      <c r="A2222" t="s">
        <v>2269</v>
      </c>
      <c r="B2222" s="1">
        <v>45861</v>
      </c>
      <c r="C2222" s="1">
        <v>45862</v>
      </c>
      <c r="D2222" t="s">
        <v>47</v>
      </c>
      <c r="E2222" t="s">
        <v>71</v>
      </c>
      <c r="F2222" t="s">
        <v>29</v>
      </c>
      <c r="G2222" t="s">
        <v>16</v>
      </c>
      <c r="H2222" t="s">
        <v>63</v>
      </c>
      <c r="I2222">
        <v>3</v>
      </c>
      <c r="J2222">
        <v>0</v>
      </c>
      <c r="K2222">
        <v>32.83</v>
      </c>
      <c r="L2222">
        <v>5.85</v>
      </c>
      <c r="M2222" t="s">
        <v>2477</v>
      </c>
      <c r="N2222" t="s">
        <v>2474</v>
      </c>
      <c r="O2222" t="s">
        <v>2468</v>
      </c>
      <c r="P2222">
        <v>6.33</v>
      </c>
      <c r="Q2222">
        <v>12.16</v>
      </c>
      <c r="R2222">
        <v>18.990000000000002</v>
      </c>
      <c r="S2222">
        <v>7.9899999999999967</v>
      </c>
      <c r="T2222">
        <v>0.24337496192506844</v>
      </c>
      <c r="U2222" s="1">
        <v>45839</v>
      </c>
      <c r="V2222" t="s">
        <v>2499</v>
      </c>
      <c r="W2222">
        <v>2025</v>
      </c>
    </row>
    <row r="2223" spans="1:23" x14ac:dyDescent="0.25">
      <c r="A2223" t="s">
        <v>2270</v>
      </c>
      <c r="B2223" s="1">
        <v>45606</v>
      </c>
      <c r="C2223" s="1">
        <v>45611</v>
      </c>
      <c r="D2223" t="s">
        <v>47</v>
      </c>
      <c r="E2223" t="s">
        <v>48</v>
      </c>
      <c r="F2223" t="s">
        <v>15</v>
      </c>
      <c r="G2223" t="s">
        <v>16</v>
      </c>
      <c r="H2223" t="s">
        <v>51</v>
      </c>
      <c r="I2223">
        <v>25</v>
      </c>
      <c r="J2223">
        <v>0</v>
      </c>
      <c r="K2223">
        <v>513.38</v>
      </c>
      <c r="L2223">
        <v>9.4499999999999993</v>
      </c>
      <c r="M2223" t="s">
        <v>2475</v>
      </c>
      <c r="N2223" t="s">
        <v>2474</v>
      </c>
      <c r="O2223" t="s">
        <v>2463</v>
      </c>
      <c r="P2223">
        <v>7.93</v>
      </c>
      <c r="Q2223">
        <v>14.78</v>
      </c>
      <c r="R2223">
        <v>198.25</v>
      </c>
      <c r="S2223">
        <v>305.68</v>
      </c>
      <c r="T2223">
        <v>0.59542638980871876</v>
      </c>
      <c r="U2223" s="1">
        <v>45597</v>
      </c>
      <c r="V2223" t="s">
        <v>2499</v>
      </c>
      <c r="W2223">
        <v>2024</v>
      </c>
    </row>
    <row r="2224" spans="1:23" x14ac:dyDescent="0.25">
      <c r="A2224" t="s">
        <v>2271</v>
      </c>
      <c r="B2224" s="1">
        <v>45954</v>
      </c>
      <c r="C2224" s="1">
        <v>45955</v>
      </c>
      <c r="D2224" t="s">
        <v>32</v>
      </c>
      <c r="E2224" t="s">
        <v>45</v>
      </c>
      <c r="F2224" t="s">
        <v>15</v>
      </c>
      <c r="G2224" t="s">
        <v>26</v>
      </c>
      <c r="H2224" t="s">
        <v>65</v>
      </c>
      <c r="I2224">
        <v>3</v>
      </c>
      <c r="J2224">
        <v>0</v>
      </c>
      <c r="K2224">
        <v>974.08</v>
      </c>
      <c r="L2224">
        <v>6.84</v>
      </c>
      <c r="M2224" t="s">
        <v>2457</v>
      </c>
      <c r="N2224" t="s">
        <v>2458</v>
      </c>
      <c r="O2224" t="s">
        <v>2459</v>
      </c>
      <c r="P2224">
        <v>173.56</v>
      </c>
      <c r="Q2224">
        <v>286.14999999999998</v>
      </c>
      <c r="R2224">
        <v>520.68000000000006</v>
      </c>
      <c r="S2224">
        <v>446.56</v>
      </c>
      <c r="T2224">
        <v>0.45844283837056504</v>
      </c>
      <c r="U2224" s="1">
        <v>45931</v>
      </c>
      <c r="V2224" t="s">
        <v>2499</v>
      </c>
      <c r="W2224">
        <v>2025</v>
      </c>
    </row>
    <row r="2225" spans="1:23" x14ac:dyDescent="0.25">
      <c r="A2225" t="s">
        <v>2272</v>
      </c>
      <c r="B2225" s="1">
        <v>45529</v>
      </c>
      <c r="C2225" s="1">
        <v>45533</v>
      </c>
      <c r="D2225" t="s">
        <v>23</v>
      </c>
      <c r="E2225" t="s">
        <v>24</v>
      </c>
      <c r="F2225" t="s">
        <v>25</v>
      </c>
      <c r="G2225" t="s">
        <v>26</v>
      </c>
      <c r="H2225" t="s">
        <v>41</v>
      </c>
      <c r="I2225">
        <v>11</v>
      </c>
      <c r="J2225">
        <v>0.2</v>
      </c>
      <c r="K2225">
        <v>49.19</v>
      </c>
      <c r="L2225">
        <v>5.67</v>
      </c>
      <c r="M2225" t="s">
        <v>2479</v>
      </c>
      <c r="N2225" t="s">
        <v>2474</v>
      </c>
      <c r="O2225" t="s">
        <v>2459</v>
      </c>
      <c r="P2225">
        <v>3.3</v>
      </c>
      <c r="Q2225">
        <v>6.13</v>
      </c>
      <c r="R2225">
        <v>36.299999999999997</v>
      </c>
      <c r="S2225">
        <v>7.2200000000000006</v>
      </c>
      <c r="T2225">
        <v>0.14677780036592805</v>
      </c>
      <c r="U2225" s="1">
        <v>45505</v>
      </c>
      <c r="V2225" t="s">
        <v>2500</v>
      </c>
      <c r="W2225">
        <v>2024</v>
      </c>
    </row>
    <row r="2226" spans="1:23" x14ac:dyDescent="0.25">
      <c r="A2226" t="s">
        <v>2273</v>
      </c>
      <c r="B2226" s="1">
        <v>45807</v>
      </c>
      <c r="C2226" s="1">
        <v>45810</v>
      </c>
      <c r="D2226" t="s">
        <v>47</v>
      </c>
      <c r="E2226" t="s">
        <v>71</v>
      </c>
      <c r="F2226" t="s">
        <v>25</v>
      </c>
      <c r="G2226" t="s">
        <v>16</v>
      </c>
      <c r="H2226" t="s">
        <v>53</v>
      </c>
      <c r="I2226">
        <v>1</v>
      </c>
      <c r="J2226">
        <v>0.05</v>
      </c>
      <c r="K2226">
        <v>53.04</v>
      </c>
      <c r="L2226">
        <v>3.45</v>
      </c>
      <c r="M2226" t="s">
        <v>2470</v>
      </c>
      <c r="N2226" t="s">
        <v>2467</v>
      </c>
      <c r="O2226" t="s">
        <v>2459</v>
      </c>
      <c r="P2226">
        <v>31.34</v>
      </c>
      <c r="Q2226">
        <v>56.49</v>
      </c>
      <c r="R2226">
        <v>31.34</v>
      </c>
      <c r="S2226">
        <v>18.25</v>
      </c>
      <c r="T2226">
        <v>0.34407993966817496</v>
      </c>
      <c r="U2226" s="1">
        <v>45778</v>
      </c>
      <c r="V2226" t="s">
        <v>2498</v>
      </c>
      <c r="W2226">
        <v>2025</v>
      </c>
    </row>
    <row r="2227" spans="1:23" x14ac:dyDescent="0.25">
      <c r="A2227" t="s">
        <v>2274</v>
      </c>
      <c r="B2227" s="1">
        <v>45979</v>
      </c>
      <c r="C2227" s="1">
        <v>45983</v>
      </c>
      <c r="D2227" t="s">
        <v>23</v>
      </c>
      <c r="E2227" t="s">
        <v>24</v>
      </c>
      <c r="F2227" t="s">
        <v>29</v>
      </c>
      <c r="G2227" t="s">
        <v>20</v>
      </c>
      <c r="H2227" t="s">
        <v>41</v>
      </c>
      <c r="I2227">
        <v>5</v>
      </c>
      <c r="J2227">
        <v>0</v>
      </c>
      <c r="K2227">
        <v>40.630000000000003</v>
      </c>
      <c r="L2227">
        <v>4.05</v>
      </c>
      <c r="M2227" t="s">
        <v>2479</v>
      </c>
      <c r="N2227" t="s">
        <v>2474</v>
      </c>
      <c r="O2227" t="s">
        <v>2459</v>
      </c>
      <c r="P2227">
        <v>3.3</v>
      </c>
      <c r="Q2227">
        <v>6.13</v>
      </c>
      <c r="R2227">
        <v>16.5</v>
      </c>
      <c r="S2227">
        <v>20.080000000000002</v>
      </c>
      <c r="T2227">
        <v>0.49421609648043319</v>
      </c>
      <c r="U2227" s="1">
        <v>45962</v>
      </c>
      <c r="V2227" t="s">
        <v>2499</v>
      </c>
      <c r="W2227">
        <v>2025</v>
      </c>
    </row>
    <row r="2228" spans="1:23" x14ac:dyDescent="0.25">
      <c r="A2228" t="s">
        <v>2275</v>
      </c>
      <c r="B2228" s="1">
        <v>45450</v>
      </c>
      <c r="C2228" s="1">
        <v>45452</v>
      </c>
      <c r="D2228" t="s">
        <v>23</v>
      </c>
      <c r="E2228" t="s">
        <v>24</v>
      </c>
      <c r="F2228" t="s">
        <v>25</v>
      </c>
      <c r="G2228" t="s">
        <v>26</v>
      </c>
      <c r="H2228" t="s">
        <v>63</v>
      </c>
      <c r="I2228">
        <v>14</v>
      </c>
      <c r="J2228">
        <v>0.15</v>
      </c>
      <c r="K2228">
        <v>143.88999999999999</v>
      </c>
      <c r="L2228">
        <v>10.8</v>
      </c>
      <c r="M2228" t="s">
        <v>2477</v>
      </c>
      <c r="N2228" t="s">
        <v>2474</v>
      </c>
      <c r="O2228" t="s">
        <v>2468</v>
      </c>
      <c r="P2228">
        <v>6.33</v>
      </c>
      <c r="Q2228">
        <v>12.16</v>
      </c>
      <c r="R2228">
        <v>88.62</v>
      </c>
      <c r="S2228">
        <v>44.469999999999985</v>
      </c>
      <c r="T2228">
        <v>0.30905552852873713</v>
      </c>
      <c r="U2228" s="1">
        <v>45444</v>
      </c>
      <c r="V2228" t="s">
        <v>2500</v>
      </c>
      <c r="W2228">
        <v>2024</v>
      </c>
    </row>
    <row r="2229" spans="1:23" x14ac:dyDescent="0.25">
      <c r="A2229" t="s">
        <v>2276</v>
      </c>
      <c r="B2229" s="1">
        <v>45299</v>
      </c>
      <c r="C2229" s="1">
        <v>45302</v>
      </c>
      <c r="D2229" t="s">
        <v>13</v>
      </c>
      <c r="E2229" t="s">
        <v>19</v>
      </c>
      <c r="F2229" t="s">
        <v>29</v>
      </c>
      <c r="G2229" t="s">
        <v>16</v>
      </c>
      <c r="H2229" t="s">
        <v>51</v>
      </c>
      <c r="I2229">
        <v>9</v>
      </c>
      <c r="J2229">
        <v>0</v>
      </c>
      <c r="K2229">
        <v>118.62</v>
      </c>
      <c r="L2229">
        <v>5.13</v>
      </c>
      <c r="M2229" t="s">
        <v>2475</v>
      </c>
      <c r="N2229" t="s">
        <v>2474</v>
      </c>
      <c r="O2229" t="s">
        <v>2463</v>
      </c>
      <c r="P2229">
        <v>7.93</v>
      </c>
      <c r="Q2229">
        <v>14.78</v>
      </c>
      <c r="R2229">
        <v>71.37</v>
      </c>
      <c r="S2229">
        <v>42.12</v>
      </c>
      <c r="T2229">
        <v>0.35508345978755684</v>
      </c>
      <c r="U2229" s="1">
        <v>45292</v>
      </c>
      <c r="V2229" t="s">
        <v>2499</v>
      </c>
      <c r="W2229">
        <v>2024</v>
      </c>
    </row>
    <row r="2230" spans="1:23" x14ac:dyDescent="0.25">
      <c r="A2230" t="s">
        <v>2277</v>
      </c>
      <c r="B2230" s="1">
        <v>45977</v>
      </c>
      <c r="C2230" s="1">
        <v>45981</v>
      </c>
      <c r="D2230" t="s">
        <v>32</v>
      </c>
      <c r="E2230" t="s">
        <v>45</v>
      </c>
      <c r="F2230" t="s">
        <v>15</v>
      </c>
      <c r="G2230" t="s">
        <v>16</v>
      </c>
      <c r="H2230" t="s">
        <v>17</v>
      </c>
      <c r="I2230">
        <v>3</v>
      </c>
      <c r="J2230">
        <v>0.25</v>
      </c>
      <c r="K2230">
        <v>395.44</v>
      </c>
      <c r="L2230">
        <v>4.95</v>
      </c>
      <c r="M2230" t="s">
        <v>2472</v>
      </c>
      <c r="N2230" t="s">
        <v>2467</v>
      </c>
      <c r="O2230" t="s">
        <v>2468</v>
      </c>
      <c r="P2230">
        <v>63.69</v>
      </c>
      <c r="Q2230">
        <v>125.5</v>
      </c>
      <c r="R2230">
        <v>191.07</v>
      </c>
      <c r="S2230">
        <v>199.42000000000002</v>
      </c>
      <c r="T2230">
        <v>0.50429900869917055</v>
      </c>
      <c r="U2230" s="1">
        <v>45962</v>
      </c>
      <c r="V2230" t="s">
        <v>2501</v>
      </c>
      <c r="W2230">
        <v>2025</v>
      </c>
    </row>
    <row r="2231" spans="1:23" x14ac:dyDescent="0.25">
      <c r="A2231" t="s">
        <v>2278</v>
      </c>
      <c r="B2231" s="1">
        <v>45814</v>
      </c>
      <c r="C2231" s="1">
        <v>45817</v>
      </c>
      <c r="D2231" t="s">
        <v>13</v>
      </c>
      <c r="E2231" t="s">
        <v>14</v>
      </c>
      <c r="F2231" t="s">
        <v>25</v>
      </c>
      <c r="G2231" t="s">
        <v>26</v>
      </c>
      <c r="H2231" t="s">
        <v>65</v>
      </c>
      <c r="I2231">
        <v>4</v>
      </c>
      <c r="J2231">
        <v>0</v>
      </c>
      <c r="K2231">
        <v>1243.29</v>
      </c>
      <c r="L2231">
        <v>13.7</v>
      </c>
      <c r="M2231" t="s">
        <v>2457</v>
      </c>
      <c r="N2231" t="s">
        <v>2458</v>
      </c>
      <c r="O2231" t="s">
        <v>2459</v>
      </c>
      <c r="P2231">
        <v>173.56</v>
      </c>
      <c r="Q2231">
        <v>286.14999999999998</v>
      </c>
      <c r="R2231">
        <v>694.24</v>
      </c>
      <c r="S2231">
        <v>535.34999999999991</v>
      </c>
      <c r="T2231">
        <v>0.43059141471418572</v>
      </c>
      <c r="U2231" s="1">
        <v>45809</v>
      </c>
      <c r="V2231" t="s">
        <v>2499</v>
      </c>
      <c r="W2231">
        <v>2025</v>
      </c>
    </row>
    <row r="2232" spans="1:23" x14ac:dyDescent="0.25">
      <c r="A2232" t="s">
        <v>2279</v>
      </c>
      <c r="B2232" s="1">
        <v>45907</v>
      </c>
      <c r="C2232" s="1">
        <v>45913</v>
      </c>
      <c r="D2232" t="s">
        <v>32</v>
      </c>
      <c r="E2232" t="s">
        <v>45</v>
      </c>
      <c r="F2232" t="s">
        <v>29</v>
      </c>
      <c r="G2232" t="s">
        <v>20</v>
      </c>
      <c r="H2232" t="s">
        <v>21</v>
      </c>
      <c r="I2232">
        <v>3</v>
      </c>
      <c r="J2232">
        <v>0.05</v>
      </c>
      <c r="K2232">
        <v>346.96</v>
      </c>
      <c r="L2232">
        <v>6.84</v>
      </c>
      <c r="M2232" t="s">
        <v>2462</v>
      </c>
      <c r="N2232" t="s">
        <v>2458</v>
      </c>
      <c r="O2232" t="s">
        <v>2463</v>
      </c>
      <c r="P2232">
        <v>71.489999999999995</v>
      </c>
      <c r="Q2232">
        <v>112.88</v>
      </c>
      <c r="R2232">
        <v>214.46999999999997</v>
      </c>
      <c r="S2232">
        <v>125.65</v>
      </c>
      <c r="T2232">
        <v>0.3621454922757667</v>
      </c>
      <c r="U2232" s="1">
        <v>45901</v>
      </c>
      <c r="V2232" t="s">
        <v>2498</v>
      </c>
      <c r="W2232">
        <v>2025</v>
      </c>
    </row>
    <row r="2233" spans="1:23" x14ac:dyDescent="0.25">
      <c r="A2233" t="s">
        <v>2280</v>
      </c>
      <c r="B2233" s="1">
        <v>45427</v>
      </c>
      <c r="C2233" s="1">
        <v>45433</v>
      </c>
      <c r="D2233" t="s">
        <v>32</v>
      </c>
      <c r="E2233" t="s">
        <v>45</v>
      </c>
      <c r="F2233" t="s">
        <v>29</v>
      </c>
      <c r="G2233" t="s">
        <v>26</v>
      </c>
      <c r="H2233" t="s">
        <v>17</v>
      </c>
      <c r="I2233">
        <v>1</v>
      </c>
      <c r="J2233">
        <v>0.15</v>
      </c>
      <c r="K2233">
        <v>108.05</v>
      </c>
      <c r="L2233">
        <v>3.45</v>
      </c>
      <c r="M2233" t="s">
        <v>2472</v>
      </c>
      <c r="N2233" t="s">
        <v>2467</v>
      </c>
      <c r="O2233" t="s">
        <v>2468</v>
      </c>
      <c r="P2233">
        <v>63.69</v>
      </c>
      <c r="Q2233">
        <v>125.5</v>
      </c>
      <c r="R2233">
        <v>63.69</v>
      </c>
      <c r="S2233">
        <v>40.909999999999997</v>
      </c>
      <c r="T2233">
        <v>0.37862100879222582</v>
      </c>
      <c r="U2233" s="1">
        <v>45413</v>
      </c>
      <c r="V2233" t="s">
        <v>2500</v>
      </c>
      <c r="W2233">
        <v>2024</v>
      </c>
    </row>
    <row r="2234" spans="1:23" x14ac:dyDescent="0.25">
      <c r="A2234" t="s">
        <v>2281</v>
      </c>
      <c r="B2234" s="1">
        <v>45649</v>
      </c>
      <c r="C2234" s="1">
        <v>45652</v>
      </c>
      <c r="D2234" t="s">
        <v>13</v>
      </c>
      <c r="E2234" t="s">
        <v>19</v>
      </c>
      <c r="F2234" t="s">
        <v>15</v>
      </c>
      <c r="G2234" t="s">
        <v>26</v>
      </c>
      <c r="H2234" t="s">
        <v>53</v>
      </c>
      <c r="I2234">
        <v>2</v>
      </c>
      <c r="J2234">
        <v>0.1</v>
      </c>
      <c r="K2234">
        <v>137.26</v>
      </c>
      <c r="L2234">
        <v>4.2</v>
      </c>
      <c r="M2234" t="s">
        <v>2470</v>
      </c>
      <c r="N2234" t="s">
        <v>2467</v>
      </c>
      <c r="O2234" t="s">
        <v>2459</v>
      </c>
      <c r="P2234">
        <v>31.34</v>
      </c>
      <c r="Q2234">
        <v>56.49</v>
      </c>
      <c r="R2234">
        <v>62.68</v>
      </c>
      <c r="S2234">
        <v>70.379999999999981</v>
      </c>
      <c r="T2234">
        <v>0.51274952644616045</v>
      </c>
      <c r="U2234" s="1">
        <v>45627</v>
      </c>
      <c r="V2234" t="s">
        <v>2498</v>
      </c>
      <c r="W2234">
        <v>2024</v>
      </c>
    </row>
    <row r="2235" spans="1:23" x14ac:dyDescent="0.25">
      <c r="A2235" t="s">
        <v>2282</v>
      </c>
      <c r="B2235" s="1">
        <v>45362</v>
      </c>
      <c r="C2235" s="1">
        <v>45363</v>
      </c>
      <c r="D2235" t="s">
        <v>47</v>
      </c>
      <c r="E2235" t="s">
        <v>48</v>
      </c>
      <c r="F2235" t="s">
        <v>25</v>
      </c>
      <c r="G2235" t="s">
        <v>16</v>
      </c>
      <c r="H2235" t="s">
        <v>37</v>
      </c>
      <c r="I2235">
        <v>2</v>
      </c>
      <c r="J2235">
        <v>0.15</v>
      </c>
      <c r="K2235">
        <v>179.66</v>
      </c>
      <c r="L2235">
        <v>5.46</v>
      </c>
      <c r="M2235" t="s">
        <v>2464</v>
      </c>
      <c r="N2235" t="s">
        <v>2458</v>
      </c>
      <c r="O2235" t="s">
        <v>2465</v>
      </c>
      <c r="P2235">
        <v>63.6</v>
      </c>
      <c r="Q2235">
        <v>107.94</v>
      </c>
      <c r="R2235">
        <v>127.2</v>
      </c>
      <c r="S2235">
        <v>46.999999999999993</v>
      </c>
      <c r="T2235">
        <v>0.26160525436936433</v>
      </c>
      <c r="U2235" s="1">
        <v>45352</v>
      </c>
      <c r="V2235" t="s">
        <v>2500</v>
      </c>
      <c r="W2235">
        <v>2024</v>
      </c>
    </row>
    <row r="2236" spans="1:23" x14ac:dyDescent="0.25">
      <c r="A2236" t="s">
        <v>2283</v>
      </c>
      <c r="B2236" s="1">
        <v>45693</v>
      </c>
      <c r="C2236" s="1">
        <v>45694</v>
      </c>
      <c r="D2236" t="s">
        <v>47</v>
      </c>
      <c r="E2236" t="s">
        <v>71</v>
      </c>
      <c r="F2236" t="s">
        <v>29</v>
      </c>
      <c r="G2236" t="s">
        <v>26</v>
      </c>
      <c r="H2236" t="s">
        <v>37</v>
      </c>
      <c r="I2236">
        <v>5</v>
      </c>
      <c r="J2236">
        <v>0</v>
      </c>
      <c r="K2236">
        <v>461.64</v>
      </c>
      <c r="L2236">
        <v>9.6</v>
      </c>
      <c r="M2236" t="s">
        <v>2464</v>
      </c>
      <c r="N2236" t="s">
        <v>2458</v>
      </c>
      <c r="O2236" t="s">
        <v>2465</v>
      </c>
      <c r="P2236">
        <v>63.6</v>
      </c>
      <c r="Q2236">
        <v>107.94</v>
      </c>
      <c r="R2236">
        <v>318</v>
      </c>
      <c r="S2236">
        <v>134.04</v>
      </c>
      <c r="T2236">
        <v>0.29035612165323627</v>
      </c>
      <c r="U2236" s="1">
        <v>45689</v>
      </c>
      <c r="V2236" t="s">
        <v>2499</v>
      </c>
      <c r="W2236">
        <v>2025</v>
      </c>
    </row>
    <row r="2237" spans="1:23" x14ac:dyDescent="0.25">
      <c r="A2237" t="s">
        <v>2284</v>
      </c>
      <c r="B2237" s="1">
        <v>45943</v>
      </c>
      <c r="C2237" s="1">
        <v>45945</v>
      </c>
      <c r="D2237" t="s">
        <v>23</v>
      </c>
      <c r="E2237" t="s">
        <v>24</v>
      </c>
      <c r="F2237" t="s">
        <v>15</v>
      </c>
      <c r="G2237" t="s">
        <v>16</v>
      </c>
      <c r="H2237" t="s">
        <v>27</v>
      </c>
      <c r="I2237">
        <v>11</v>
      </c>
      <c r="J2237">
        <v>0.15</v>
      </c>
      <c r="K2237">
        <v>284.54000000000002</v>
      </c>
      <c r="L2237">
        <v>9.4499999999999993</v>
      </c>
      <c r="M2237" t="s">
        <v>2478</v>
      </c>
      <c r="N2237" t="s">
        <v>2474</v>
      </c>
      <c r="O2237" t="s">
        <v>2463</v>
      </c>
      <c r="P2237">
        <v>16.760000000000002</v>
      </c>
      <c r="Q2237">
        <v>27.71</v>
      </c>
      <c r="R2237">
        <v>184.36</v>
      </c>
      <c r="S2237">
        <v>90.73</v>
      </c>
      <c r="T2237">
        <v>0.31886553735854362</v>
      </c>
      <c r="U2237" s="1">
        <v>45931</v>
      </c>
      <c r="V2237" t="s">
        <v>2500</v>
      </c>
      <c r="W2237">
        <v>2025</v>
      </c>
    </row>
    <row r="2238" spans="1:23" x14ac:dyDescent="0.25">
      <c r="A2238" t="s">
        <v>2285</v>
      </c>
      <c r="B2238" s="1">
        <v>45876</v>
      </c>
      <c r="C2238" s="1">
        <v>45879</v>
      </c>
      <c r="D2238" t="s">
        <v>13</v>
      </c>
      <c r="E2238" t="s">
        <v>36</v>
      </c>
      <c r="F2238" t="s">
        <v>25</v>
      </c>
      <c r="G2238" t="s">
        <v>20</v>
      </c>
      <c r="H2238" t="s">
        <v>39</v>
      </c>
      <c r="I2238">
        <v>1</v>
      </c>
      <c r="J2238">
        <v>0.1</v>
      </c>
      <c r="K2238">
        <v>168.89</v>
      </c>
      <c r="L2238">
        <v>3.45</v>
      </c>
      <c r="M2238" t="s">
        <v>2471</v>
      </c>
      <c r="N2238" t="s">
        <v>2467</v>
      </c>
      <c r="O2238" t="s">
        <v>2461</v>
      </c>
      <c r="P2238">
        <v>112.09</v>
      </c>
      <c r="Q2238">
        <v>192.47</v>
      </c>
      <c r="R2238">
        <v>112.09</v>
      </c>
      <c r="S2238">
        <v>53.34999999999998</v>
      </c>
      <c r="T2238">
        <v>0.31588607969684401</v>
      </c>
      <c r="U2238" s="1">
        <v>45870</v>
      </c>
      <c r="V2238" t="s">
        <v>2498</v>
      </c>
      <c r="W2238">
        <v>2025</v>
      </c>
    </row>
    <row r="2239" spans="1:23" x14ac:dyDescent="0.25">
      <c r="A2239" t="s">
        <v>2286</v>
      </c>
      <c r="B2239" s="1">
        <v>45418</v>
      </c>
      <c r="C2239" s="1">
        <v>45419</v>
      </c>
      <c r="D2239" t="s">
        <v>32</v>
      </c>
      <c r="E2239" t="s">
        <v>45</v>
      </c>
      <c r="F2239" t="s">
        <v>25</v>
      </c>
      <c r="G2239" t="s">
        <v>26</v>
      </c>
      <c r="H2239" t="s">
        <v>63</v>
      </c>
      <c r="I2239">
        <v>5</v>
      </c>
      <c r="J2239">
        <v>0.1</v>
      </c>
      <c r="K2239">
        <v>56.54</v>
      </c>
      <c r="L2239">
        <v>6.75</v>
      </c>
      <c r="M2239" t="s">
        <v>2477</v>
      </c>
      <c r="N2239" t="s">
        <v>2474</v>
      </c>
      <c r="O2239" t="s">
        <v>2468</v>
      </c>
      <c r="P2239">
        <v>6.33</v>
      </c>
      <c r="Q2239">
        <v>12.16</v>
      </c>
      <c r="R2239">
        <v>31.65</v>
      </c>
      <c r="S2239">
        <v>18.14</v>
      </c>
      <c r="T2239">
        <v>0.32083480721613017</v>
      </c>
      <c r="U2239" s="1">
        <v>45413</v>
      </c>
      <c r="V2239" t="s">
        <v>2498</v>
      </c>
      <c r="W2239">
        <v>2024</v>
      </c>
    </row>
    <row r="2240" spans="1:23" x14ac:dyDescent="0.25">
      <c r="A2240" t="s">
        <v>2287</v>
      </c>
      <c r="B2240" s="1">
        <v>45399</v>
      </c>
      <c r="C2240" s="1">
        <v>45400</v>
      </c>
      <c r="D2240" t="s">
        <v>23</v>
      </c>
      <c r="E2240" t="s">
        <v>43</v>
      </c>
      <c r="F2240" t="s">
        <v>29</v>
      </c>
      <c r="G2240" t="s">
        <v>26</v>
      </c>
      <c r="H2240" t="s">
        <v>39</v>
      </c>
      <c r="I2240">
        <v>3</v>
      </c>
      <c r="J2240">
        <v>0.25</v>
      </c>
      <c r="K2240">
        <v>449.08</v>
      </c>
      <c r="L2240">
        <v>8.25</v>
      </c>
      <c r="M2240" t="s">
        <v>2471</v>
      </c>
      <c r="N2240" t="s">
        <v>2467</v>
      </c>
      <c r="O2240" t="s">
        <v>2461</v>
      </c>
      <c r="P2240">
        <v>112.09</v>
      </c>
      <c r="Q2240">
        <v>192.47</v>
      </c>
      <c r="R2240">
        <v>336.27</v>
      </c>
      <c r="S2240">
        <v>104.56</v>
      </c>
      <c r="T2240">
        <v>0.2328315667587067</v>
      </c>
      <c r="U2240" s="1">
        <v>45383</v>
      </c>
      <c r="V2240" t="s">
        <v>2501</v>
      </c>
      <c r="W2240">
        <v>2024</v>
      </c>
    </row>
    <row r="2241" spans="1:23" x14ac:dyDescent="0.25">
      <c r="A2241" t="s">
        <v>2288</v>
      </c>
      <c r="B2241" s="1">
        <v>45507</v>
      </c>
      <c r="C2241" s="1">
        <v>45512</v>
      </c>
      <c r="D2241" t="s">
        <v>13</v>
      </c>
      <c r="E2241" t="s">
        <v>19</v>
      </c>
      <c r="F2241" t="s">
        <v>25</v>
      </c>
      <c r="G2241" t="s">
        <v>16</v>
      </c>
      <c r="H2241" t="s">
        <v>87</v>
      </c>
      <c r="I2241">
        <v>6</v>
      </c>
      <c r="J2241">
        <v>0</v>
      </c>
      <c r="K2241">
        <v>49.35</v>
      </c>
      <c r="L2241">
        <v>4.32</v>
      </c>
      <c r="M2241" t="s">
        <v>2476</v>
      </c>
      <c r="N2241" t="s">
        <v>2474</v>
      </c>
      <c r="O2241" t="s">
        <v>2459</v>
      </c>
      <c r="P2241">
        <v>4.5</v>
      </c>
      <c r="Q2241">
        <v>8.2899999999999991</v>
      </c>
      <c r="R2241">
        <v>27</v>
      </c>
      <c r="S2241">
        <v>18.03</v>
      </c>
      <c r="T2241">
        <v>0.36534954407294834</v>
      </c>
      <c r="U2241" s="1">
        <v>45505</v>
      </c>
      <c r="V2241" t="s">
        <v>2499</v>
      </c>
      <c r="W2241">
        <v>2024</v>
      </c>
    </row>
    <row r="2242" spans="1:23" x14ac:dyDescent="0.25">
      <c r="A2242" t="s">
        <v>2289</v>
      </c>
      <c r="B2242" s="1">
        <v>45321</v>
      </c>
      <c r="C2242" s="1">
        <v>45324</v>
      </c>
      <c r="D2242" t="s">
        <v>23</v>
      </c>
      <c r="E2242" t="s">
        <v>43</v>
      </c>
      <c r="F2242" t="s">
        <v>25</v>
      </c>
      <c r="G2242" t="s">
        <v>16</v>
      </c>
      <c r="H2242" t="s">
        <v>68</v>
      </c>
      <c r="I2242">
        <v>2</v>
      </c>
      <c r="J2242">
        <v>0</v>
      </c>
      <c r="K2242">
        <v>93.7</v>
      </c>
      <c r="L2242">
        <v>4.2</v>
      </c>
      <c r="M2242" t="s">
        <v>2466</v>
      </c>
      <c r="N2242" t="s">
        <v>2467</v>
      </c>
      <c r="O2242" t="s">
        <v>2468</v>
      </c>
      <c r="P2242">
        <v>25.33</v>
      </c>
      <c r="Q2242">
        <v>51.56</v>
      </c>
      <c r="R2242">
        <v>50.66</v>
      </c>
      <c r="S2242">
        <v>38.840000000000003</v>
      </c>
      <c r="T2242">
        <v>0.4145144076840982</v>
      </c>
      <c r="U2242" s="1">
        <v>45292</v>
      </c>
      <c r="V2242" t="s">
        <v>2499</v>
      </c>
      <c r="W2242">
        <v>2024</v>
      </c>
    </row>
    <row r="2243" spans="1:23" x14ac:dyDescent="0.25">
      <c r="A2243" t="s">
        <v>2290</v>
      </c>
      <c r="B2243" s="1">
        <v>45918</v>
      </c>
      <c r="C2243" s="1">
        <v>45919</v>
      </c>
      <c r="D2243" t="s">
        <v>47</v>
      </c>
      <c r="E2243" t="s">
        <v>48</v>
      </c>
      <c r="F2243" t="s">
        <v>29</v>
      </c>
      <c r="G2243" t="s">
        <v>26</v>
      </c>
      <c r="H2243" t="s">
        <v>65</v>
      </c>
      <c r="I2243">
        <v>4</v>
      </c>
      <c r="J2243">
        <v>0.1</v>
      </c>
      <c r="K2243">
        <v>1125.8</v>
      </c>
      <c r="L2243">
        <v>13.7</v>
      </c>
      <c r="M2243" t="s">
        <v>2457</v>
      </c>
      <c r="N2243" t="s">
        <v>2458</v>
      </c>
      <c r="O2243" t="s">
        <v>2459</v>
      </c>
      <c r="P2243">
        <v>173.56</v>
      </c>
      <c r="Q2243">
        <v>286.14999999999998</v>
      </c>
      <c r="R2243">
        <v>694.24</v>
      </c>
      <c r="S2243">
        <v>417.85999999999996</v>
      </c>
      <c r="T2243">
        <v>0.3711671700124356</v>
      </c>
      <c r="U2243" s="1">
        <v>45901</v>
      </c>
      <c r="V2243" t="s">
        <v>2498</v>
      </c>
      <c r="W2243">
        <v>2025</v>
      </c>
    </row>
    <row r="2244" spans="1:23" x14ac:dyDescent="0.25">
      <c r="A2244" t="s">
        <v>2291</v>
      </c>
      <c r="B2244" s="1">
        <v>45419</v>
      </c>
      <c r="C2244" s="1">
        <v>45425</v>
      </c>
      <c r="D2244" t="s">
        <v>23</v>
      </c>
      <c r="E2244" t="s">
        <v>43</v>
      </c>
      <c r="F2244" t="s">
        <v>15</v>
      </c>
      <c r="G2244" t="s">
        <v>26</v>
      </c>
      <c r="H2244" t="s">
        <v>34</v>
      </c>
      <c r="I2244">
        <v>4</v>
      </c>
      <c r="J2244">
        <v>0</v>
      </c>
      <c r="K2244">
        <v>812</v>
      </c>
      <c r="L2244">
        <v>13.7</v>
      </c>
      <c r="M2244" t="s">
        <v>2460</v>
      </c>
      <c r="N2244" t="s">
        <v>2458</v>
      </c>
      <c r="O2244" t="s">
        <v>2461</v>
      </c>
      <c r="P2244">
        <v>119.02</v>
      </c>
      <c r="Q2244">
        <v>205.39</v>
      </c>
      <c r="R2244">
        <v>476.08</v>
      </c>
      <c r="S2244">
        <v>322.22000000000003</v>
      </c>
      <c r="T2244">
        <v>0.39682266009852218</v>
      </c>
      <c r="U2244" s="1">
        <v>45413</v>
      </c>
      <c r="V2244" t="s">
        <v>2499</v>
      </c>
      <c r="W2244">
        <v>2024</v>
      </c>
    </row>
    <row r="2245" spans="1:23" x14ac:dyDescent="0.25">
      <c r="A2245" t="s">
        <v>2292</v>
      </c>
      <c r="B2245" s="1">
        <v>45478</v>
      </c>
      <c r="C2245" s="1">
        <v>45480</v>
      </c>
      <c r="D2245" t="s">
        <v>23</v>
      </c>
      <c r="E2245" t="s">
        <v>59</v>
      </c>
      <c r="F2245" t="s">
        <v>25</v>
      </c>
      <c r="G2245" t="s">
        <v>26</v>
      </c>
      <c r="H2245" t="s">
        <v>51</v>
      </c>
      <c r="I2245">
        <v>3</v>
      </c>
      <c r="J2245">
        <v>0.1</v>
      </c>
      <c r="K2245">
        <v>35.18</v>
      </c>
      <c r="L2245">
        <v>3.51</v>
      </c>
      <c r="M2245" t="s">
        <v>2475</v>
      </c>
      <c r="N2245" t="s">
        <v>2474</v>
      </c>
      <c r="O2245" t="s">
        <v>2463</v>
      </c>
      <c r="P2245">
        <v>7.93</v>
      </c>
      <c r="Q2245">
        <v>14.78</v>
      </c>
      <c r="R2245">
        <v>23.79</v>
      </c>
      <c r="S2245">
        <v>7.8800000000000008</v>
      </c>
      <c r="T2245">
        <v>0.22399090392268337</v>
      </c>
      <c r="U2245" s="1">
        <v>45474</v>
      </c>
      <c r="V2245" t="s">
        <v>2498</v>
      </c>
      <c r="W2245">
        <v>2024</v>
      </c>
    </row>
    <row r="2246" spans="1:23" x14ac:dyDescent="0.25">
      <c r="A2246" t="s">
        <v>2293</v>
      </c>
      <c r="B2246" s="1">
        <v>45609</v>
      </c>
      <c r="C2246" s="1">
        <v>45613</v>
      </c>
      <c r="D2246" t="s">
        <v>13</v>
      </c>
      <c r="E2246" t="s">
        <v>19</v>
      </c>
      <c r="F2246" t="s">
        <v>25</v>
      </c>
      <c r="G2246" t="s">
        <v>26</v>
      </c>
      <c r="H2246" t="s">
        <v>39</v>
      </c>
      <c r="I2246">
        <v>1</v>
      </c>
      <c r="J2246">
        <v>0.25</v>
      </c>
      <c r="K2246">
        <v>203.69</v>
      </c>
      <c r="L2246">
        <v>3.45</v>
      </c>
      <c r="M2246" t="s">
        <v>2471</v>
      </c>
      <c r="N2246" t="s">
        <v>2467</v>
      </c>
      <c r="O2246" t="s">
        <v>2461</v>
      </c>
      <c r="P2246">
        <v>112.09</v>
      </c>
      <c r="Q2246">
        <v>192.47</v>
      </c>
      <c r="R2246">
        <v>112.09</v>
      </c>
      <c r="S2246">
        <v>88.149999999999991</v>
      </c>
      <c r="T2246">
        <v>0.43276547695026751</v>
      </c>
      <c r="U2246" s="1">
        <v>45597</v>
      </c>
      <c r="V2246" t="s">
        <v>2501</v>
      </c>
      <c r="W2246">
        <v>2024</v>
      </c>
    </row>
    <row r="2247" spans="1:23" x14ac:dyDescent="0.25">
      <c r="A2247" t="s">
        <v>2294</v>
      </c>
      <c r="B2247" s="1">
        <v>45307</v>
      </c>
      <c r="C2247" s="1">
        <v>45311</v>
      </c>
      <c r="D2247" t="s">
        <v>32</v>
      </c>
      <c r="E2247" t="s">
        <v>33</v>
      </c>
      <c r="F2247" t="s">
        <v>29</v>
      </c>
      <c r="G2247" t="s">
        <v>26</v>
      </c>
      <c r="H2247" t="s">
        <v>87</v>
      </c>
      <c r="I2247">
        <v>14</v>
      </c>
      <c r="J2247">
        <v>0</v>
      </c>
      <c r="K2247">
        <v>100.4</v>
      </c>
      <c r="L2247">
        <v>10.8</v>
      </c>
      <c r="M2247" t="s">
        <v>2476</v>
      </c>
      <c r="N2247" t="s">
        <v>2474</v>
      </c>
      <c r="O2247" t="s">
        <v>2459</v>
      </c>
      <c r="P2247">
        <v>4.5</v>
      </c>
      <c r="Q2247">
        <v>8.2899999999999991</v>
      </c>
      <c r="R2247">
        <v>63</v>
      </c>
      <c r="S2247">
        <v>26.600000000000005</v>
      </c>
      <c r="T2247">
        <v>0.26494023904382474</v>
      </c>
      <c r="U2247" s="1">
        <v>45292</v>
      </c>
      <c r="V2247" t="s">
        <v>2499</v>
      </c>
      <c r="W2247">
        <v>2024</v>
      </c>
    </row>
    <row r="2248" spans="1:23" x14ac:dyDescent="0.25">
      <c r="A2248" t="s">
        <v>2295</v>
      </c>
      <c r="B2248" s="1">
        <v>45522</v>
      </c>
      <c r="C2248" s="1">
        <v>45528</v>
      </c>
      <c r="D2248" t="s">
        <v>13</v>
      </c>
      <c r="E2248" t="s">
        <v>36</v>
      </c>
      <c r="F2248" t="s">
        <v>15</v>
      </c>
      <c r="G2248" t="s">
        <v>20</v>
      </c>
      <c r="H2248" t="s">
        <v>30</v>
      </c>
      <c r="I2248">
        <v>13</v>
      </c>
      <c r="J2248">
        <v>0.25</v>
      </c>
      <c r="K2248">
        <v>53.53</v>
      </c>
      <c r="L2248">
        <v>6.21</v>
      </c>
      <c r="M2248" t="s">
        <v>2473</v>
      </c>
      <c r="N2248" t="s">
        <v>2474</v>
      </c>
      <c r="O2248" t="s">
        <v>2463</v>
      </c>
      <c r="P2248">
        <v>3.62</v>
      </c>
      <c r="Q2248">
        <v>6.03</v>
      </c>
      <c r="R2248">
        <v>47.06</v>
      </c>
      <c r="S2248">
        <v>0.2599999999999989</v>
      </c>
      <c r="T2248">
        <v>4.8570894825331386E-3</v>
      </c>
      <c r="U2248" s="1">
        <v>45505</v>
      </c>
      <c r="V2248" t="s">
        <v>2501</v>
      </c>
      <c r="W2248">
        <v>2024</v>
      </c>
    </row>
    <row r="2249" spans="1:23" x14ac:dyDescent="0.25">
      <c r="A2249" t="s">
        <v>2296</v>
      </c>
      <c r="B2249" s="1">
        <v>45898</v>
      </c>
      <c r="C2249" s="1">
        <v>45900</v>
      </c>
      <c r="D2249" t="s">
        <v>47</v>
      </c>
      <c r="E2249" t="s">
        <v>71</v>
      </c>
      <c r="F2249" t="s">
        <v>25</v>
      </c>
      <c r="G2249" t="s">
        <v>20</v>
      </c>
      <c r="H2249" t="s">
        <v>30</v>
      </c>
      <c r="I2249">
        <v>9</v>
      </c>
      <c r="J2249">
        <v>0</v>
      </c>
      <c r="K2249">
        <v>54.26</v>
      </c>
      <c r="L2249">
        <v>5.13</v>
      </c>
      <c r="M2249" t="s">
        <v>2473</v>
      </c>
      <c r="N2249" t="s">
        <v>2474</v>
      </c>
      <c r="O2249" t="s">
        <v>2463</v>
      </c>
      <c r="P2249">
        <v>3.62</v>
      </c>
      <c r="Q2249">
        <v>6.03</v>
      </c>
      <c r="R2249">
        <v>32.58</v>
      </c>
      <c r="S2249">
        <v>16.55</v>
      </c>
      <c r="T2249">
        <v>0.30501290084777</v>
      </c>
      <c r="U2249" s="1">
        <v>45870</v>
      </c>
      <c r="V2249" t="s">
        <v>2499</v>
      </c>
      <c r="W2249">
        <v>2025</v>
      </c>
    </row>
    <row r="2250" spans="1:23" x14ac:dyDescent="0.25">
      <c r="A2250" t="s">
        <v>2297</v>
      </c>
      <c r="B2250" s="1">
        <v>45595</v>
      </c>
      <c r="C2250" s="1">
        <v>45596</v>
      </c>
      <c r="D2250" t="s">
        <v>13</v>
      </c>
      <c r="E2250" t="s">
        <v>14</v>
      </c>
      <c r="F2250" t="s">
        <v>29</v>
      </c>
      <c r="G2250" t="s">
        <v>16</v>
      </c>
      <c r="H2250" t="s">
        <v>68</v>
      </c>
      <c r="I2250">
        <v>2</v>
      </c>
      <c r="J2250">
        <v>0</v>
      </c>
      <c r="K2250">
        <v>122.84</v>
      </c>
      <c r="L2250">
        <v>7</v>
      </c>
      <c r="M2250" t="s">
        <v>2466</v>
      </c>
      <c r="N2250" t="s">
        <v>2467</v>
      </c>
      <c r="O2250" t="s">
        <v>2468</v>
      </c>
      <c r="P2250">
        <v>25.33</v>
      </c>
      <c r="Q2250">
        <v>51.56</v>
      </c>
      <c r="R2250">
        <v>50.66</v>
      </c>
      <c r="S2250">
        <v>65.180000000000007</v>
      </c>
      <c r="T2250">
        <v>0.53060892217518729</v>
      </c>
      <c r="U2250" s="1">
        <v>45566</v>
      </c>
      <c r="V2250" t="s">
        <v>2499</v>
      </c>
      <c r="W2250">
        <v>2024</v>
      </c>
    </row>
    <row r="2251" spans="1:23" x14ac:dyDescent="0.25">
      <c r="A2251" t="s">
        <v>2298</v>
      </c>
      <c r="B2251" s="1">
        <v>45787</v>
      </c>
      <c r="C2251" s="1">
        <v>45793</v>
      </c>
      <c r="D2251" t="s">
        <v>13</v>
      </c>
      <c r="E2251" t="s">
        <v>19</v>
      </c>
      <c r="F2251" t="s">
        <v>15</v>
      </c>
      <c r="G2251" t="s">
        <v>20</v>
      </c>
      <c r="H2251" t="s">
        <v>63</v>
      </c>
      <c r="I2251">
        <v>12</v>
      </c>
      <c r="J2251">
        <v>0.2</v>
      </c>
      <c r="K2251">
        <v>120.99</v>
      </c>
      <c r="L2251">
        <v>5.94</v>
      </c>
      <c r="M2251" t="s">
        <v>2477</v>
      </c>
      <c r="N2251" t="s">
        <v>2474</v>
      </c>
      <c r="O2251" t="s">
        <v>2468</v>
      </c>
      <c r="P2251">
        <v>6.33</v>
      </c>
      <c r="Q2251">
        <v>12.16</v>
      </c>
      <c r="R2251">
        <v>75.960000000000008</v>
      </c>
      <c r="S2251">
        <v>39.089999999999989</v>
      </c>
      <c r="T2251">
        <v>0.32308455244235051</v>
      </c>
      <c r="U2251" s="1">
        <v>45778</v>
      </c>
      <c r="V2251" t="s">
        <v>2500</v>
      </c>
      <c r="W2251">
        <v>2025</v>
      </c>
    </row>
    <row r="2252" spans="1:23" x14ac:dyDescent="0.25">
      <c r="A2252" t="s">
        <v>2299</v>
      </c>
      <c r="B2252" s="1">
        <v>45448</v>
      </c>
      <c r="C2252" s="1">
        <v>45450</v>
      </c>
      <c r="D2252" t="s">
        <v>32</v>
      </c>
      <c r="E2252" t="s">
        <v>62</v>
      </c>
      <c r="F2252" t="s">
        <v>15</v>
      </c>
      <c r="G2252" t="s">
        <v>26</v>
      </c>
      <c r="H2252" t="s">
        <v>41</v>
      </c>
      <c r="I2252">
        <v>13</v>
      </c>
      <c r="J2252">
        <v>0</v>
      </c>
      <c r="K2252">
        <v>81.180000000000007</v>
      </c>
      <c r="L2252">
        <v>6.21</v>
      </c>
      <c r="M2252" t="s">
        <v>2479</v>
      </c>
      <c r="N2252" t="s">
        <v>2474</v>
      </c>
      <c r="O2252" t="s">
        <v>2459</v>
      </c>
      <c r="P2252">
        <v>3.3</v>
      </c>
      <c r="Q2252">
        <v>6.13</v>
      </c>
      <c r="R2252">
        <v>42.9</v>
      </c>
      <c r="S2252">
        <v>32.070000000000007</v>
      </c>
      <c r="T2252">
        <v>0.39504804138950489</v>
      </c>
      <c r="U2252" s="1">
        <v>45444</v>
      </c>
      <c r="V2252" t="s">
        <v>2499</v>
      </c>
      <c r="W2252">
        <v>2024</v>
      </c>
    </row>
    <row r="2253" spans="1:23" x14ac:dyDescent="0.25">
      <c r="A2253" t="s">
        <v>2300</v>
      </c>
      <c r="B2253" s="1">
        <v>45860</v>
      </c>
      <c r="C2253" s="1">
        <v>45862</v>
      </c>
      <c r="D2253" t="s">
        <v>47</v>
      </c>
      <c r="E2253" t="s">
        <v>50</v>
      </c>
      <c r="F2253" t="s">
        <v>29</v>
      </c>
      <c r="G2253" t="s">
        <v>16</v>
      </c>
      <c r="H2253" t="s">
        <v>41</v>
      </c>
      <c r="I2253">
        <v>5</v>
      </c>
      <c r="J2253">
        <v>0.1</v>
      </c>
      <c r="K2253">
        <v>23.98</v>
      </c>
      <c r="L2253">
        <v>4.05</v>
      </c>
      <c r="M2253" t="s">
        <v>2479</v>
      </c>
      <c r="N2253" t="s">
        <v>2474</v>
      </c>
      <c r="O2253" t="s">
        <v>2459</v>
      </c>
      <c r="P2253">
        <v>3.3</v>
      </c>
      <c r="Q2253">
        <v>6.13</v>
      </c>
      <c r="R2253">
        <v>16.5</v>
      </c>
      <c r="S2253">
        <v>3.4300000000000006</v>
      </c>
      <c r="T2253">
        <v>0.14303586321934947</v>
      </c>
      <c r="U2253" s="1">
        <v>45839</v>
      </c>
      <c r="V2253" t="s">
        <v>2498</v>
      </c>
      <c r="W2253">
        <v>2025</v>
      </c>
    </row>
    <row r="2254" spans="1:23" x14ac:dyDescent="0.25">
      <c r="A2254" t="s">
        <v>2301</v>
      </c>
      <c r="B2254" s="1">
        <v>45909</v>
      </c>
      <c r="C2254" s="1">
        <v>45915</v>
      </c>
      <c r="D2254" t="s">
        <v>47</v>
      </c>
      <c r="E2254" t="s">
        <v>71</v>
      </c>
      <c r="F2254" t="s">
        <v>25</v>
      </c>
      <c r="G2254" t="s">
        <v>16</v>
      </c>
      <c r="H2254" t="s">
        <v>21</v>
      </c>
      <c r="I2254">
        <v>1</v>
      </c>
      <c r="J2254">
        <v>0.15</v>
      </c>
      <c r="K2254">
        <v>108.91</v>
      </c>
      <c r="L2254">
        <v>4.08</v>
      </c>
      <c r="M2254" t="s">
        <v>2462</v>
      </c>
      <c r="N2254" t="s">
        <v>2458</v>
      </c>
      <c r="O2254" t="s">
        <v>2463</v>
      </c>
      <c r="P2254">
        <v>71.489999999999995</v>
      </c>
      <c r="Q2254">
        <v>112.88</v>
      </c>
      <c r="R2254">
        <v>71.489999999999995</v>
      </c>
      <c r="S2254">
        <v>33.340000000000003</v>
      </c>
      <c r="T2254">
        <v>0.30612432283536867</v>
      </c>
      <c r="U2254" s="1">
        <v>45901</v>
      </c>
      <c r="V2254" t="s">
        <v>2500</v>
      </c>
      <c r="W2254">
        <v>2025</v>
      </c>
    </row>
    <row r="2255" spans="1:23" x14ac:dyDescent="0.25">
      <c r="A2255" t="s">
        <v>2302</v>
      </c>
      <c r="B2255" s="1">
        <v>45886</v>
      </c>
      <c r="C2255" s="1">
        <v>45890</v>
      </c>
      <c r="D2255" t="s">
        <v>47</v>
      </c>
      <c r="E2255" t="s">
        <v>71</v>
      </c>
      <c r="F2255" t="s">
        <v>29</v>
      </c>
      <c r="G2255" t="s">
        <v>20</v>
      </c>
      <c r="H2255" t="s">
        <v>65</v>
      </c>
      <c r="I2255">
        <v>1</v>
      </c>
      <c r="J2255">
        <v>0</v>
      </c>
      <c r="K2255">
        <v>280.19</v>
      </c>
      <c r="L2255">
        <v>4.08</v>
      </c>
      <c r="M2255" t="s">
        <v>2457</v>
      </c>
      <c r="N2255" t="s">
        <v>2458</v>
      </c>
      <c r="O2255" t="s">
        <v>2459</v>
      </c>
      <c r="P2255">
        <v>173.56</v>
      </c>
      <c r="Q2255">
        <v>286.14999999999998</v>
      </c>
      <c r="R2255">
        <v>173.56</v>
      </c>
      <c r="S2255">
        <v>102.55</v>
      </c>
      <c r="T2255">
        <v>0.3660016417431029</v>
      </c>
      <c r="U2255" s="1">
        <v>45870</v>
      </c>
      <c r="V2255" t="s">
        <v>2499</v>
      </c>
      <c r="W2255">
        <v>2025</v>
      </c>
    </row>
    <row r="2256" spans="1:23" x14ac:dyDescent="0.25">
      <c r="A2256" t="s">
        <v>2303</v>
      </c>
      <c r="B2256" s="1">
        <v>45494</v>
      </c>
      <c r="C2256" s="1">
        <v>45499</v>
      </c>
      <c r="D2256" t="s">
        <v>32</v>
      </c>
      <c r="E2256" t="s">
        <v>33</v>
      </c>
      <c r="F2256" t="s">
        <v>25</v>
      </c>
      <c r="G2256" t="s">
        <v>20</v>
      </c>
      <c r="H2256" t="s">
        <v>53</v>
      </c>
      <c r="I2256">
        <v>1</v>
      </c>
      <c r="J2256">
        <v>0</v>
      </c>
      <c r="K2256">
        <v>53.4</v>
      </c>
      <c r="L2256">
        <v>3.45</v>
      </c>
      <c r="M2256" t="s">
        <v>2470</v>
      </c>
      <c r="N2256" t="s">
        <v>2467</v>
      </c>
      <c r="O2256" t="s">
        <v>2459</v>
      </c>
      <c r="P2256">
        <v>31.34</v>
      </c>
      <c r="Q2256">
        <v>56.49</v>
      </c>
      <c r="R2256">
        <v>31.34</v>
      </c>
      <c r="S2256">
        <v>18.61</v>
      </c>
      <c r="T2256">
        <v>0.34850187265917604</v>
      </c>
      <c r="U2256" s="1">
        <v>45474</v>
      </c>
      <c r="V2256" t="s">
        <v>2499</v>
      </c>
      <c r="W2256">
        <v>2024</v>
      </c>
    </row>
    <row r="2257" spans="1:23" x14ac:dyDescent="0.25">
      <c r="A2257" t="s">
        <v>2304</v>
      </c>
      <c r="B2257" s="1">
        <v>45807</v>
      </c>
      <c r="C2257" s="1">
        <v>45813</v>
      </c>
      <c r="D2257" t="s">
        <v>47</v>
      </c>
      <c r="E2257" t="s">
        <v>71</v>
      </c>
      <c r="F2257" t="s">
        <v>25</v>
      </c>
      <c r="G2257" t="s">
        <v>26</v>
      </c>
      <c r="H2257" t="s">
        <v>41</v>
      </c>
      <c r="I2257">
        <v>6</v>
      </c>
      <c r="J2257">
        <v>0</v>
      </c>
      <c r="K2257">
        <v>36.299999999999997</v>
      </c>
      <c r="L2257">
        <v>4.32</v>
      </c>
      <c r="M2257" t="s">
        <v>2479</v>
      </c>
      <c r="N2257" t="s">
        <v>2474</v>
      </c>
      <c r="O2257" t="s">
        <v>2459</v>
      </c>
      <c r="P2257">
        <v>3.3</v>
      </c>
      <c r="Q2257">
        <v>6.13</v>
      </c>
      <c r="R2257">
        <v>19.799999999999997</v>
      </c>
      <c r="S2257">
        <v>12.18</v>
      </c>
      <c r="T2257">
        <v>0.33553719008264465</v>
      </c>
      <c r="U2257" s="1">
        <v>45778</v>
      </c>
      <c r="V2257" t="s">
        <v>2499</v>
      </c>
      <c r="W2257">
        <v>2025</v>
      </c>
    </row>
    <row r="2258" spans="1:23" x14ac:dyDescent="0.25">
      <c r="A2258" t="s">
        <v>2305</v>
      </c>
      <c r="B2258" s="1">
        <v>45462</v>
      </c>
      <c r="C2258" s="1">
        <v>45463</v>
      </c>
      <c r="D2258" t="s">
        <v>23</v>
      </c>
      <c r="E2258" t="s">
        <v>59</v>
      </c>
      <c r="F2258" t="s">
        <v>29</v>
      </c>
      <c r="G2258" t="s">
        <v>26</v>
      </c>
      <c r="H2258" t="s">
        <v>65</v>
      </c>
      <c r="I2258">
        <v>5</v>
      </c>
      <c r="J2258">
        <v>0</v>
      </c>
      <c r="K2258">
        <v>1464.92</v>
      </c>
      <c r="L2258">
        <v>9.6</v>
      </c>
      <c r="M2258" t="s">
        <v>2457</v>
      </c>
      <c r="N2258" t="s">
        <v>2458</v>
      </c>
      <c r="O2258" t="s">
        <v>2459</v>
      </c>
      <c r="P2258">
        <v>173.56</v>
      </c>
      <c r="Q2258">
        <v>286.14999999999998</v>
      </c>
      <c r="R2258">
        <v>867.8</v>
      </c>
      <c r="S2258">
        <v>587.5200000000001</v>
      </c>
      <c r="T2258">
        <v>0.40105944351910006</v>
      </c>
      <c r="U2258" s="1">
        <v>45444</v>
      </c>
      <c r="V2258" t="s">
        <v>2499</v>
      </c>
      <c r="W2258">
        <v>2024</v>
      </c>
    </row>
    <row r="2259" spans="1:23" x14ac:dyDescent="0.25">
      <c r="A2259" t="s">
        <v>2306</v>
      </c>
      <c r="B2259" s="1">
        <v>45847</v>
      </c>
      <c r="C2259" s="1">
        <v>45852</v>
      </c>
      <c r="D2259" t="s">
        <v>47</v>
      </c>
      <c r="E2259" t="s">
        <v>50</v>
      </c>
      <c r="F2259" t="s">
        <v>25</v>
      </c>
      <c r="G2259" t="s">
        <v>20</v>
      </c>
      <c r="H2259" t="s">
        <v>41</v>
      </c>
      <c r="I2259">
        <v>4</v>
      </c>
      <c r="J2259">
        <v>0</v>
      </c>
      <c r="K2259">
        <v>23.59</v>
      </c>
      <c r="L2259">
        <v>6.3</v>
      </c>
      <c r="M2259" t="s">
        <v>2479</v>
      </c>
      <c r="N2259" t="s">
        <v>2474</v>
      </c>
      <c r="O2259" t="s">
        <v>2459</v>
      </c>
      <c r="P2259">
        <v>3.3</v>
      </c>
      <c r="Q2259">
        <v>6.13</v>
      </c>
      <c r="R2259">
        <v>13.2</v>
      </c>
      <c r="S2259">
        <v>4.0900000000000007</v>
      </c>
      <c r="T2259">
        <v>0.17337855023314966</v>
      </c>
      <c r="U2259" s="1">
        <v>45839</v>
      </c>
      <c r="V2259" t="s">
        <v>2499</v>
      </c>
      <c r="W2259">
        <v>2025</v>
      </c>
    </row>
    <row r="2260" spans="1:23" x14ac:dyDescent="0.25">
      <c r="A2260" t="s">
        <v>2307</v>
      </c>
      <c r="B2260" s="1">
        <v>45844</v>
      </c>
      <c r="C2260" s="1">
        <v>45846</v>
      </c>
      <c r="D2260" t="s">
        <v>47</v>
      </c>
      <c r="E2260" t="s">
        <v>48</v>
      </c>
      <c r="F2260" t="s">
        <v>15</v>
      </c>
      <c r="G2260" t="s">
        <v>20</v>
      </c>
      <c r="H2260" t="s">
        <v>21</v>
      </c>
      <c r="I2260">
        <v>2</v>
      </c>
      <c r="J2260">
        <v>0.15</v>
      </c>
      <c r="K2260">
        <v>166.51</v>
      </c>
      <c r="L2260">
        <v>5.46</v>
      </c>
      <c r="M2260" t="s">
        <v>2462</v>
      </c>
      <c r="N2260" t="s">
        <v>2458</v>
      </c>
      <c r="O2260" t="s">
        <v>2463</v>
      </c>
      <c r="P2260">
        <v>71.489999999999995</v>
      </c>
      <c r="Q2260">
        <v>112.88</v>
      </c>
      <c r="R2260">
        <v>142.97999999999999</v>
      </c>
      <c r="S2260">
        <v>18.07</v>
      </c>
      <c r="T2260">
        <v>0.10852201069004866</v>
      </c>
      <c r="U2260" s="1">
        <v>45839</v>
      </c>
      <c r="V2260" t="s">
        <v>2500</v>
      </c>
      <c r="W2260">
        <v>2025</v>
      </c>
    </row>
    <row r="2261" spans="1:23" x14ac:dyDescent="0.25">
      <c r="A2261" t="s">
        <v>2308</v>
      </c>
      <c r="B2261" s="1">
        <v>45753</v>
      </c>
      <c r="C2261" s="1">
        <v>45754</v>
      </c>
      <c r="D2261" t="s">
        <v>23</v>
      </c>
      <c r="E2261" t="s">
        <v>43</v>
      </c>
      <c r="F2261" t="s">
        <v>25</v>
      </c>
      <c r="G2261" t="s">
        <v>26</v>
      </c>
      <c r="H2261" t="s">
        <v>39</v>
      </c>
      <c r="I2261">
        <v>1</v>
      </c>
      <c r="J2261">
        <v>0</v>
      </c>
      <c r="K2261">
        <v>177.37</v>
      </c>
      <c r="L2261">
        <v>3.45</v>
      </c>
      <c r="M2261" t="s">
        <v>2471</v>
      </c>
      <c r="N2261" t="s">
        <v>2467</v>
      </c>
      <c r="O2261" t="s">
        <v>2461</v>
      </c>
      <c r="P2261">
        <v>112.09</v>
      </c>
      <c r="Q2261">
        <v>192.47</v>
      </c>
      <c r="R2261">
        <v>112.09</v>
      </c>
      <c r="S2261">
        <v>61.83</v>
      </c>
      <c r="T2261">
        <v>0.34859333596436826</v>
      </c>
      <c r="U2261" s="1">
        <v>45748</v>
      </c>
      <c r="V2261" t="s">
        <v>2499</v>
      </c>
      <c r="W2261">
        <v>2025</v>
      </c>
    </row>
    <row r="2262" spans="1:23" x14ac:dyDescent="0.25">
      <c r="A2262" t="s">
        <v>2309</v>
      </c>
      <c r="B2262" s="1">
        <v>45434</v>
      </c>
      <c r="C2262" s="1">
        <v>45439</v>
      </c>
      <c r="D2262" t="s">
        <v>23</v>
      </c>
      <c r="E2262" t="s">
        <v>24</v>
      </c>
      <c r="F2262" t="s">
        <v>15</v>
      </c>
      <c r="G2262" t="s">
        <v>16</v>
      </c>
      <c r="H2262" t="s">
        <v>34</v>
      </c>
      <c r="I2262">
        <v>4</v>
      </c>
      <c r="J2262">
        <v>0</v>
      </c>
      <c r="K2262">
        <v>844.78</v>
      </c>
      <c r="L2262">
        <v>13.7</v>
      </c>
      <c r="M2262" t="s">
        <v>2460</v>
      </c>
      <c r="N2262" t="s">
        <v>2458</v>
      </c>
      <c r="O2262" t="s">
        <v>2461</v>
      </c>
      <c r="P2262">
        <v>119.02</v>
      </c>
      <c r="Q2262">
        <v>205.39</v>
      </c>
      <c r="R2262">
        <v>476.08</v>
      </c>
      <c r="S2262">
        <v>355</v>
      </c>
      <c r="T2262">
        <v>0.42022775160396791</v>
      </c>
      <c r="U2262" s="1">
        <v>45413</v>
      </c>
      <c r="V2262" t="s">
        <v>2499</v>
      </c>
      <c r="W2262">
        <v>2024</v>
      </c>
    </row>
    <row r="2263" spans="1:23" x14ac:dyDescent="0.25">
      <c r="A2263" t="s">
        <v>2310</v>
      </c>
      <c r="B2263" s="1">
        <v>45674</v>
      </c>
      <c r="C2263" s="1">
        <v>45675</v>
      </c>
      <c r="D2263" t="s">
        <v>47</v>
      </c>
      <c r="E2263" t="s">
        <v>71</v>
      </c>
      <c r="F2263" t="s">
        <v>29</v>
      </c>
      <c r="G2263" t="s">
        <v>20</v>
      </c>
      <c r="H2263" t="s">
        <v>60</v>
      </c>
      <c r="I2263">
        <v>3</v>
      </c>
      <c r="J2263">
        <v>0.05</v>
      </c>
      <c r="K2263">
        <v>286.43</v>
      </c>
      <c r="L2263">
        <v>4.95</v>
      </c>
      <c r="M2263" t="s">
        <v>2469</v>
      </c>
      <c r="N2263" t="s">
        <v>2467</v>
      </c>
      <c r="O2263" t="s">
        <v>2468</v>
      </c>
      <c r="P2263">
        <v>54.95</v>
      </c>
      <c r="Q2263">
        <v>112.56</v>
      </c>
      <c r="R2263">
        <v>164.85000000000002</v>
      </c>
      <c r="S2263">
        <v>116.62999999999998</v>
      </c>
      <c r="T2263">
        <v>0.40718500157106441</v>
      </c>
      <c r="U2263" s="1">
        <v>45658</v>
      </c>
      <c r="V2263" t="s">
        <v>2498</v>
      </c>
      <c r="W2263">
        <v>2025</v>
      </c>
    </row>
    <row r="2264" spans="1:23" x14ac:dyDescent="0.25">
      <c r="A2264" t="s">
        <v>2311</v>
      </c>
      <c r="B2264" s="1">
        <v>45423</v>
      </c>
      <c r="C2264" s="1">
        <v>45429</v>
      </c>
      <c r="D2264" t="s">
        <v>13</v>
      </c>
      <c r="E2264" t="s">
        <v>14</v>
      </c>
      <c r="F2264" t="s">
        <v>25</v>
      </c>
      <c r="G2264" t="s">
        <v>26</v>
      </c>
      <c r="H2264" t="s">
        <v>63</v>
      </c>
      <c r="I2264">
        <v>3</v>
      </c>
      <c r="J2264">
        <v>0</v>
      </c>
      <c r="K2264">
        <v>35.33</v>
      </c>
      <c r="L2264">
        <v>5.85</v>
      </c>
      <c r="M2264" t="s">
        <v>2477</v>
      </c>
      <c r="N2264" t="s">
        <v>2474</v>
      </c>
      <c r="O2264" t="s">
        <v>2468</v>
      </c>
      <c r="P2264">
        <v>6.33</v>
      </c>
      <c r="Q2264">
        <v>12.16</v>
      </c>
      <c r="R2264">
        <v>18.990000000000002</v>
      </c>
      <c r="S2264">
        <v>10.489999999999997</v>
      </c>
      <c r="T2264">
        <v>0.29691480328332853</v>
      </c>
      <c r="U2264" s="1">
        <v>45413</v>
      </c>
      <c r="V2264" t="s">
        <v>2499</v>
      </c>
      <c r="W2264">
        <v>2024</v>
      </c>
    </row>
    <row r="2265" spans="1:23" x14ac:dyDescent="0.25">
      <c r="A2265" t="s">
        <v>2312</v>
      </c>
      <c r="B2265" s="1">
        <v>45985</v>
      </c>
      <c r="C2265" s="1">
        <v>45986</v>
      </c>
      <c r="D2265" t="s">
        <v>13</v>
      </c>
      <c r="E2265" t="s">
        <v>14</v>
      </c>
      <c r="F2265" t="s">
        <v>25</v>
      </c>
      <c r="G2265" t="s">
        <v>16</v>
      </c>
      <c r="H2265" t="s">
        <v>63</v>
      </c>
      <c r="I2265">
        <v>3</v>
      </c>
      <c r="J2265">
        <v>0</v>
      </c>
      <c r="K2265">
        <v>51.13</v>
      </c>
      <c r="L2265">
        <v>5.85</v>
      </c>
      <c r="M2265" t="s">
        <v>2477</v>
      </c>
      <c r="N2265" t="s">
        <v>2474</v>
      </c>
      <c r="O2265" t="s">
        <v>2468</v>
      </c>
      <c r="P2265">
        <v>6.33</v>
      </c>
      <c r="Q2265">
        <v>12.16</v>
      </c>
      <c r="R2265">
        <v>18.990000000000002</v>
      </c>
      <c r="S2265">
        <v>26.29</v>
      </c>
      <c r="T2265">
        <v>0.51417954234304708</v>
      </c>
      <c r="U2265" s="1">
        <v>45962</v>
      </c>
      <c r="V2265" t="s">
        <v>2499</v>
      </c>
      <c r="W2265">
        <v>2025</v>
      </c>
    </row>
    <row r="2266" spans="1:23" x14ac:dyDescent="0.25">
      <c r="A2266" t="s">
        <v>2313</v>
      </c>
      <c r="B2266" s="1">
        <v>45925</v>
      </c>
      <c r="C2266" s="1">
        <v>45931</v>
      </c>
      <c r="D2266" t="s">
        <v>47</v>
      </c>
      <c r="E2266" t="s">
        <v>50</v>
      </c>
      <c r="F2266" t="s">
        <v>15</v>
      </c>
      <c r="G2266" t="s">
        <v>20</v>
      </c>
      <c r="H2266" t="s">
        <v>60</v>
      </c>
      <c r="I2266">
        <v>1</v>
      </c>
      <c r="J2266">
        <v>0</v>
      </c>
      <c r="K2266">
        <v>118.53</v>
      </c>
      <c r="L2266">
        <v>5.75</v>
      </c>
      <c r="M2266" t="s">
        <v>2469</v>
      </c>
      <c r="N2266" t="s">
        <v>2467</v>
      </c>
      <c r="O2266" t="s">
        <v>2468</v>
      </c>
      <c r="P2266">
        <v>54.95</v>
      </c>
      <c r="Q2266">
        <v>112.56</v>
      </c>
      <c r="R2266">
        <v>54.95</v>
      </c>
      <c r="S2266">
        <v>57.83</v>
      </c>
      <c r="T2266">
        <v>0.48789336033071795</v>
      </c>
      <c r="U2266" s="1">
        <v>45901</v>
      </c>
      <c r="V2266" t="s">
        <v>2499</v>
      </c>
      <c r="W2266">
        <v>2025</v>
      </c>
    </row>
    <row r="2267" spans="1:23" x14ac:dyDescent="0.25">
      <c r="A2267" t="s">
        <v>2314</v>
      </c>
      <c r="B2267" s="1">
        <v>45997</v>
      </c>
      <c r="C2267" s="1">
        <v>46003</v>
      </c>
      <c r="D2267" t="s">
        <v>23</v>
      </c>
      <c r="E2267" t="s">
        <v>59</v>
      </c>
      <c r="F2267" t="s">
        <v>15</v>
      </c>
      <c r="G2267" t="s">
        <v>26</v>
      </c>
      <c r="H2267" t="s">
        <v>27</v>
      </c>
      <c r="I2267">
        <v>23</v>
      </c>
      <c r="J2267">
        <v>0.15</v>
      </c>
      <c r="K2267">
        <v>756.47</v>
      </c>
      <c r="L2267">
        <v>14.85</v>
      </c>
      <c r="M2267" t="s">
        <v>2478</v>
      </c>
      <c r="N2267" t="s">
        <v>2474</v>
      </c>
      <c r="O2267" t="s">
        <v>2463</v>
      </c>
      <c r="P2267">
        <v>16.760000000000002</v>
      </c>
      <c r="Q2267">
        <v>27.71</v>
      </c>
      <c r="R2267">
        <v>385.48</v>
      </c>
      <c r="S2267">
        <v>356.14</v>
      </c>
      <c r="T2267">
        <v>0.47079196795642919</v>
      </c>
      <c r="U2267" s="1">
        <v>45992</v>
      </c>
      <c r="V2267" t="s">
        <v>2500</v>
      </c>
      <c r="W2267">
        <v>2025</v>
      </c>
    </row>
    <row r="2268" spans="1:23" x14ac:dyDescent="0.25">
      <c r="A2268" t="s">
        <v>2315</v>
      </c>
      <c r="B2268" s="1">
        <v>45958</v>
      </c>
      <c r="C2268" s="1">
        <v>45959</v>
      </c>
      <c r="D2268" t="s">
        <v>13</v>
      </c>
      <c r="E2268" t="s">
        <v>36</v>
      </c>
      <c r="F2268" t="s">
        <v>29</v>
      </c>
      <c r="G2268" t="s">
        <v>16</v>
      </c>
      <c r="H2268" t="s">
        <v>87</v>
      </c>
      <c r="I2268">
        <v>11</v>
      </c>
      <c r="J2268">
        <v>0.1</v>
      </c>
      <c r="K2268">
        <v>90.28</v>
      </c>
      <c r="L2268">
        <v>5.67</v>
      </c>
      <c r="M2268" t="s">
        <v>2476</v>
      </c>
      <c r="N2268" t="s">
        <v>2474</v>
      </c>
      <c r="O2268" t="s">
        <v>2459</v>
      </c>
      <c r="P2268">
        <v>4.5</v>
      </c>
      <c r="Q2268">
        <v>8.2899999999999991</v>
      </c>
      <c r="R2268">
        <v>49.5</v>
      </c>
      <c r="S2268">
        <v>35.11</v>
      </c>
      <c r="T2268">
        <v>0.38890119627824543</v>
      </c>
      <c r="U2268" s="1">
        <v>45931</v>
      </c>
      <c r="V2268" t="s">
        <v>2498</v>
      </c>
      <c r="W2268">
        <v>2025</v>
      </c>
    </row>
    <row r="2269" spans="1:23" x14ac:dyDescent="0.25">
      <c r="A2269" t="s">
        <v>2316</v>
      </c>
      <c r="B2269" s="1">
        <v>45571</v>
      </c>
      <c r="C2269" s="1">
        <v>45575</v>
      </c>
      <c r="D2269" t="s">
        <v>32</v>
      </c>
      <c r="E2269" t="s">
        <v>62</v>
      </c>
      <c r="F2269" t="s">
        <v>29</v>
      </c>
      <c r="G2269" t="s">
        <v>20</v>
      </c>
      <c r="H2269" t="s">
        <v>17</v>
      </c>
      <c r="I2269">
        <v>4</v>
      </c>
      <c r="J2269">
        <v>0</v>
      </c>
      <c r="K2269">
        <v>613.22</v>
      </c>
      <c r="L2269">
        <v>9.5</v>
      </c>
      <c r="M2269" t="s">
        <v>2472</v>
      </c>
      <c r="N2269" t="s">
        <v>2467</v>
      </c>
      <c r="O2269" t="s">
        <v>2468</v>
      </c>
      <c r="P2269">
        <v>63.69</v>
      </c>
      <c r="Q2269">
        <v>125.5</v>
      </c>
      <c r="R2269">
        <v>254.76</v>
      </c>
      <c r="S2269">
        <v>348.96000000000004</v>
      </c>
      <c r="T2269">
        <v>0.56906167443984212</v>
      </c>
      <c r="U2269" s="1">
        <v>45566</v>
      </c>
      <c r="V2269" t="s">
        <v>2499</v>
      </c>
      <c r="W2269">
        <v>2024</v>
      </c>
    </row>
    <row r="2270" spans="1:23" x14ac:dyDescent="0.25">
      <c r="A2270" t="s">
        <v>2317</v>
      </c>
      <c r="B2270" s="1">
        <v>45296</v>
      </c>
      <c r="C2270" s="1">
        <v>45300</v>
      </c>
      <c r="D2270" t="s">
        <v>23</v>
      </c>
      <c r="E2270" t="s">
        <v>24</v>
      </c>
      <c r="F2270" t="s">
        <v>25</v>
      </c>
      <c r="G2270" t="s">
        <v>20</v>
      </c>
      <c r="H2270" t="s">
        <v>21</v>
      </c>
      <c r="I2270">
        <v>3</v>
      </c>
      <c r="J2270">
        <v>0</v>
      </c>
      <c r="K2270">
        <v>305.89</v>
      </c>
      <c r="L2270">
        <v>11.4</v>
      </c>
      <c r="M2270" t="s">
        <v>2462</v>
      </c>
      <c r="N2270" t="s">
        <v>2458</v>
      </c>
      <c r="O2270" t="s">
        <v>2463</v>
      </c>
      <c r="P2270">
        <v>71.489999999999995</v>
      </c>
      <c r="Q2270">
        <v>112.88</v>
      </c>
      <c r="R2270">
        <v>214.46999999999997</v>
      </c>
      <c r="S2270">
        <v>80.02000000000001</v>
      </c>
      <c r="T2270">
        <v>0.26159730622119065</v>
      </c>
      <c r="U2270" s="1">
        <v>45292</v>
      </c>
      <c r="V2270" t="s">
        <v>2499</v>
      </c>
      <c r="W2270">
        <v>2024</v>
      </c>
    </row>
    <row r="2271" spans="1:23" x14ac:dyDescent="0.25">
      <c r="A2271" t="s">
        <v>2318</v>
      </c>
      <c r="B2271" s="1">
        <v>45982</v>
      </c>
      <c r="C2271" s="1">
        <v>45987</v>
      </c>
      <c r="D2271" t="s">
        <v>23</v>
      </c>
      <c r="E2271" t="s">
        <v>24</v>
      </c>
      <c r="F2271" t="s">
        <v>29</v>
      </c>
      <c r="G2271" t="s">
        <v>16</v>
      </c>
      <c r="H2271" t="s">
        <v>53</v>
      </c>
      <c r="I2271">
        <v>1</v>
      </c>
      <c r="J2271">
        <v>0.15</v>
      </c>
      <c r="K2271">
        <v>68.16</v>
      </c>
      <c r="L2271">
        <v>3.45</v>
      </c>
      <c r="M2271" t="s">
        <v>2470</v>
      </c>
      <c r="N2271" t="s">
        <v>2467</v>
      </c>
      <c r="O2271" t="s">
        <v>2459</v>
      </c>
      <c r="P2271">
        <v>31.34</v>
      </c>
      <c r="Q2271">
        <v>56.49</v>
      </c>
      <c r="R2271">
        <v>31.34</v>
      </c>
      <c r="S2271">
        <v>33.36999999999999</v>
      </c>
      <c r="T2271">
        <v>0.4895833333333332</v>
      </c>
      <c r="U2271" s="1">
        <v>45962</v>
      </c>
      <c r="V2271" t="s">
        <v>2500</v>
      </c>
      <c r="W2271">
        <v>2025</v>
      </c>
    </row>
    <row r="2272" spans="1:23" x14ac:dyDescent="0.25">
      <c r="A2272" t="s">
        <v>2319</v>
      </c>
      <c r="B2272" s="1">
        <v>45532</v>
      </c>
      <c r="C2272" s="1">
        <v>45537</v>
      </c>
      <c r="D2272" t="s">
        <v>23</v>
      </c>
      <c r="E2272" t="s">
        <v>43</v>
      </c>
      <c r="F2272" t="s">
        <v>15</v>
      </c>
      <c r="G2272" t="s">
        <v>26</v>
      </c>
      <c r="H2272" t="s">
        <v>34</v>
      </c>
      <c r="I2272">
        <v>2</v>
      </c>
      <c r="J2272">
        <v>0</v>
      </c>
      <c r="K2272">
        <v>383.24</v>
      </c>
      <c r="L2272">
        <v>5.46</v>
      </c>
      <c r="M2272" t="s">
        <v>2460</v>
      </c>
      <c r="N2272" t="s">
        <v>2458</v>
      </c>
      <c r="O2272" t="s">
        <v>2461</v>
      </c>
      <c r="P2272">
        <v>119.02</v>
      </c>
      <c r="Q2272">
        <v>205.39</v>
      </c>
      <c r="R2272">
        <v>238.04</v>
      </c>
      <c r="S2272">
        <v>139.74</v>
      </c>
      <c r="T2272">
        <v>0.36462790940402884</v>
      </c>
      <c r="U2272" s="1">
        <v>45505</v>
      </c>
      <c r="V2272" t="s">
        <v>2499</v>
      </c>
      <c r="W2272">
        <v>2024</v>
      </c>
    </row>
    <row r="2273" spans="1:23" x14ac:dyDescent="0.25">
      <c r="A2273" t="s">
        <v>2320</v>
      </c>
      <c r="B2273" s="1">
        <v>45836</v>
      </c>
      <c r="C2273" s="1">
        <v>45838</v>
      </c>
      <c r="D2273" t="s">
        <v>32</v>
      </c>
      <c r="E2273" t="s">
        <v>62</v>
      </c>
      <c r="F2273" t="s">
        <v>25</v>
      </c>
      <c r="G2273" t="s">
        <v>16</v>
      </c>
      <c r="H2273" t="s">
        <v>17</v>
      </c>
      <c r="I2273">
        <v>3</v>
      </c>
      <c r="J2273">
        <v>0.15</v>
      </c>
      <c r="K2273">
        <v>319.81</v>
      </c>
      <c r="L2273">
        <v>4.95</v>
      </c>
      <c r="M2273" t="s">
        <v>2472</v>
      </c>
      <c r="N2273" t="s">
        <v>2467</v>
      </c>
      <c r="O2273" t="s">
        <v>2468</v>
      </c>
      <c r="P2273">
        <v>63.69</v>
      </c>
      <c r="Q2273">
        <v>125.5</v>
      </c>
      <c r="R2273">
        <v>191.07</v>
      </c>
      <c r="S2273">
        <v>123.79</v>
      </c>
      <c r="T2273">
        <v>0.38707357493511774</v>
      </c>
      <c r="U2273" s="1">
        <v>45809</v>
      </c>
      <c r="V2273" t="s">
        <v>2500</v>
      </c>
      <c r="W2273">
        <v>2025</v>
      </c>
    </row>
    <row r="2274" spans="1:23" x14ac:dyDescent="0.25">
      <c r="A2274" t="s">
        <v>2321</v>
      </c>
      <c r="B2274" s="1">
        <v>45582</v>
      </c>
      <c r="C2274" s="1">
        <v>45586</v>
      </c>
      <c r="D2274" t="s">
        <v>13</v>
      </c>
      <c r="E2274" t="s">
        <v>14</v>
      </c>
      <c r="F2274" t="s">
        <v>29</v>
      </c>
      <c r="G2274" t="s">
        <v>16</v>
      </c>
      <c r="H2274" t="s">
        <v>21</v>
      </c>
      <c r="I2274">
        <v>1</v>
      </c>
      <c r="J2274">
        <v>0</v>
      </c>
      <c r="K2274">
        <v>133.72999999999999</v>
      </c>
      <c r="L2274">
        <v>6.8</v>
      </c>
      <c r="M2274" t="s">
        <v>2462</v>
      </c>
      <c r="N2274" t="s">
        <v>2458</v>
      </c>
      <c r="O2274" t="s">
        <v>2463</v>
      </c>
      <c r="P2274">
        <v>71.489999999999995</v>
      </c>
      <c r="Q2274">
        <v>112.88</v>
      </c>
      <c r="R2274">
        <v>71.489999999999995</v>
      </c>
      <c r="S2274">
        <v>55.44</v>
      </c>
      <c r="T2274">
        <v>0.41456666417408211</v>
      </c>
      <c r="U2274" s="1">
        <v>45566</v>
      </c>
      <c r="V2274" t="s">
        <v>2499</v>
      </c>
      <c r="W2274">
        <v>2024</v>
      </c>
    </row>
    <row r="2275" spans="1:23" x14ac:dyDescent="0.25">
      <c r="A2275" t="s">
        <v>2322</v>
      </c>
      <c r="B2275" s="1">
        <v>45487</v>
      </c>
      <c r="C2275" s="1">
        <v>45489</v>
      </c>
      <c r="D2275" t="s">
        <v>32</v>
      </c>
      <c r="E2275" t="s">
        <v>62</v>
      </c>
      <c r="F2275" t="s">
        <v>15</v>
      </c>
      <c r="G2275" t="s">
        <v>16</v>
      </c>
      <c r="H2275" t="s">
        <v>51</v>
      </c>
      <c r="I2275">
        <v>7</v>
      </c>
      <c r="J2275">
        <v>0</v>
      </c>
      <c r="K2275">
        <v>99.38</v>
      </c>
      <c r="L2275">
        <v>4.59</v>
      </c>
      <c r="M2275" t="s">
        <v>2475</v>
      </c>
      <c r="N2275" t="s">
        <v>2474</v>
      </c>
      <c r="O2275" t="s">
        <v>2463</v>
      </c>
      <c r="P2275">
        <v>7.93</v>
      </c>
      <c r="Q2275">
        <v>14.78</v>
      </c>
      <c r="R2275">
        <v>55.51</v>
      </c>
      <c r="S2275">
        <v>39.28</v>
      </c>
      <c r="T2275">
        <v>0.39525055343127391</v>
      </c>
      <c r="U2275" s="1">
        <v>45474</v>
      </c>
      <c r="V2275" t="s">
        <v>2499</v>
      </c>
      <c r="W2275">
        <v>2024</v>
      </c>
    </row>
    <row r="2276" spans="1:23" x14ac:dyDescent="0.25">
      <c r="A2276" t="s">
        <v>2323</v>
      </c>
      <c r="B2276" s="1">
        <v>45734</v>
      </c>
      <c r="C2276" s="1">
        <v>45735</v>
      </c>
      <c r="D2276" t="s">
        <v>13</v>
      </c>
      <c r="E2276" t="s">
        <v>14</v>
      </c>
      <c r="F2276" t="s">
        <v>25</v>
      </c>
      <c r="G2276" t="s">
        <v>20</v>
      </c>
      <c r="H2276" t="s">
        <v>63</v>
      </c>
      <c r="I2276">
        <v>13</v>
      </c>
      <c r="J2276">
        <v>0</v>
      </c>
      <c r="K2276">
        <v>148.85</v>
      </c>
      <c r="L2276">
        <v>10.35</v>
      </c>
      <c r="M2276" t="s">
        <v>2477</v>
      </c>
      <c r="N2276" t="s">
        <v>2474</v>
      </c>
      <c r="O2276" t="s">
        <v>2468</v>
      </c>
      <c r="P2276">
        <v>6.33</v>
      </c>
      <c r="Q2276">
        <v>12.16</v>
      </c>
      <c r="R2276">
        <v>82.29</v>
      </c>
      <c r="S2276">
        <v>56.209999999999987</v>
      </c>
      <c r="T2276">
        <v>0.37762848505206575</v>
      </c>
      <c r="U2276" s="1">
        <v>45717</v>
      </c>
      <c r="V2276" t="s">
        <v>2499</v>
      </c>
      <c r="W2276">
        <v>2025</v>
      </c>
    </row>
    <row r="2277" spans="1:23" x14ac:dyDescent="0.25">
      <c r="A2277" t="s">
        <v>2324</v>
      </c>
      <c r="B2277" s="1">
        <v>45837</v>
      </c>
      <c r="C2277" s="1">
        <v>45843</v>
      </c>
      <c r="D2277" t="s">
        <v>13</v>
      </c>
      <c r="E2277" t="s">
        <v>36</v>
      </c>
      <c r="F2277" t="s">
        <v>29</v>
      </c>
      <c r="G2277" t="s">
        <v>26</v>
      </c>
      <c r="H2277" t="s">
        <v>39</v>
      </c>
      <c r="I2277">
        <v>1</v>
      </c>
      <c r="J2277">
        <v>0.1</v>
      </c>
      <c r="K2277">
        <v>188.09</v>
      </c>
      <c r="L2277">
        <v>3.45</v>
      </c>
      <c r="M2277" t="s">
        <v>2471</v>
      </c>
      <c r="N2277" t="s">
        <v>2467</v>
      </c>
      <c r="O2277" t="s">
        <v>2461</v>
      </c>
      <c r="P2277">
        <v>112.09</v>
      </c>
      <c r="Q2277">
        <v>192.47</v>
      </c>
      <c r="R2277">
        <v>112.09</v>
      </c>
      <c r="S2277">
        <v>72.55</v>
      </c>
      <c r="T2277">
        <v>0.3857196023180392</v>
      </c>
      <c r="U2277" s="1">
        <v>45809</v>
      </c>
      <c r="V2277" t="s">
        <v>2498</v>
      </c>
      <c r="W2277">
        <v>2025</v>
      </c>
    </row>
    <row r="2278" spans="1:23" x14ac:dyDescent="0.25">
      <c r="A2278" t="s">
        <v>2325</v>
      </c>
      <c r="B2278" s="1">
        <v>45330</v>
      </c>
      <c r="C2278" s="1">
        <v>45335</v>
      </c>
      <c r="D2278" t="s">
        <v>23</v>
      </c>
      <c r="E2278" t="s">
        <v>24</v>
      </c>
      <c r="F2278" t="s">
        <v>29</v>
      </c>
      <c r="G2278" t="s">
        <v>16</v>
      </c>
      <c r="H2278" t="s">
        <v>21</v>
      </c>
      <c r="I2278">
        <v>1</v>
      </c>
      <c r="J2278">
        <v>0.25</v>
      </c>
      <c r="K2278">
        <v>79.86</v>
      </c>
      <c r="L2278">
        <v>6.8</v>
      </c>
      <c r="M2278" t="s">
        <v>2462</v>
      </c>
      <c r="N2278" t="s">
        <v>2458</v>
      </c>
      <c r="O2278" t="s">
        <v>2463</v>
      </c>
      <c r="P2278">
        <v>71.489999999999995</v>
      </c>
      <c r="Q2278">
        <v>112.88</v>
      </c>
      <c r="R2278">
        <v>71.489999999999995</v>
      </c>
      <c r="S2278">
        <v>1.5700000000000047</v>
      </c>
      <c r="T2278">
        <v>1.9659403956924677E-2</v>
      </c>
      <c r="U2278" s="1">
        <v>45323</v>
      </c>
      <c r="V2278" t="s">
        <v>2501</v>
      </c>
      <c r="W2278">
        <v>2024</v>
      </c>
    </row>
    <row r="2279" spans="1:23" x14ac:dyDescent="0.25">
      <c r="A2279" t="s">
        <v>2326</v>
      </c>
      <c r="B2279" s="1">
        <v>45467</v>
      </c>
      <c r="C2279" s="1">
        <v>45470</v>
      </c>
      <c r="D2279" t="s">
        <v>32</v>
      </c>
      <c r="E2279" t="s">
        <v>33</v>
      </c>
      <c r="F2279" t="s">
        <v>25</v>
      </c>
      <c r="G2279" t="s">
        <v>26</v>
      </c>
      <c r="H2279" t="s">
        <v>21</v>
      </c>
      <c r="I2279">
        <v>2</v>
      </c>
      <c r="J2279">
        <v>0</v>
      </c>
      <c r="K2279">
        <v>237.66</v>
      </c>
      <c r="L2279">
        <v>9.1</v>
      </c>
      <c r="M2279" t="s">
        <v>2462</v>
      </c>
      <c r="N2279" t="s">
        <v>2458</v>
      </c>
      <c r="O2279" t="s">
        <v>2463</v>
      </c>
      <c r="P2279">
        <v>71.489999999999995</v>
      </c>
      <c r="Q2279">
        <v>112.88</v>
      </c>
      <c r="R2279">
        <v>142.97999999999999</v>
      </c>
      <c r="S2279">
        <v>85.580000000000013</v>
      </c>
      <c r="T2279">
        <v>0.36009425229319203</v>
      </c>
      <c r="U2279" s="1">
        <v>45444</v>
      </c>
      <c r="V2279" t="s">
        <v>2499</v>
      </c>
      <c r="W2279">
        <v>2024</v>
      </c>
    </row>
    <row r="2280" spans="1:23" x14ac:dyDescent="0.25">
      <c r="A2280" t="s">
        <v>2327</v>
      </c>
      <c r="B2280" s="1">
        <v>45873</v>
      </c>
      <c r="C2280" s="1">
        <v>45877</v>
      </c>
      <c r="D2280" t="s">
        <v>47</v>
      </c>
      <c r="E2280" t="s">
        <v>50</v>
      </c>
      <c r="F2280" t="s">
        <v>25</v>
      </c>
      <c r="G2280" t="s">
        <v>20</v>
      </c>
      <c r="H2280" t="s">
        <v>41</v>
      </c>
      <c r="I2280">
        <v>4</v>
      </c>
      <c r="J2280">
        <v>0</v>
      </c>
      <c r="K2280">
        <v>23.21</v>
      </c>
      <c r="L2280">
        <v>3.78</v>
      </c>
      <c r="M2280" t="s">
        <v>2479</v>
      </c>
      <c r="N2280" t="s">
        <v>2474</v>
      </c>
      <c r="O2280" t="s">
        <v>2459</v>
      </c>
      <c r="P2280">
        <v>3.3</v>
      </c>
      <c r="Q2280">
        <v>6.13</v>
      </c>
      <c r="R2280">
        <v>13.2</v>
      </c>
      <c r="S2280">
        <v>6.2300000000000022</v>
      </c>
      <c r="T2280">
        <v>0.26841878500646282</v>
      </c>
      <c r="U2280" s="1">
        <v>45870</v>
      </c>
      <c r="V2280" t="s">
        <v>2499</v>
      </c>
      <c r="W2280">
        <v>2025</v>
      </c>
    </row>
    <row r="2281" spans="1:23" x14ac:dyDescent="0.25">
      <c r="A2281" t="s">
        <v>2328</v>
      </c>
      <c r="B2281" s="1">
        <v>45552</v>
      </c>
      <c r="C2281" s="1">
        <v>45556</v>
      </c>
      <c r="D2281" t="s">
        <v>32</v>
      </c>
      <c r="E2281" t="s">
        <v>62</v>
      </c>
      <c r="F2281" t="s">
        <v>29</v>
      </c>
      <c r="G2281" t="s">
        <v>16</v>
      </c>
      <c r="H2281" t="s">
        <v>51</v>
      </c>
      <c r="I2281">
        <v>6</v>
      </c>
      <c r="J2281">
        <v>0</v>
      </c>
      <c r="K2281">
        <v>97.43</v>
      </c>
      <c r="L2281">
        <v>7.2</v>
      </c>
      <c r="M2281" t="s">
        <v>2475</v>
      </c>
      <c r="N2281" t="s">
        <v>2474</v>
      </c>
      <c r="O2281" t="s">
        <v>2463</v>
      </c>
      <c r="P2281">
        <v>7.93</v>
      </c>
      <c r="Q2281">
        <v>14.78</v>
      </c>
      <c r="R2281">
        <v>47.58</v>
      </c>
      <c r="S2281">
        <v>42.650000000000006</v>
      </c>
      <c r="T2281">
        <v>0.43775017961613472</v>
      </c>
      <c r="U2281" s="1">
        <v>45536</v>
      </c>
      <c r="V2281" t="s">
        <v>2499</v>
      </c>
      <c r="W2281">
        <v>2024</v>
      </c>
    </row>
    <row r="2282" spans="1:23" x14ac:dyDescent="0.25">
      <c r="A2282" t="s">
        <v>2329</v>
      </c>
      <c r="B2282" s="1">
        <v>45465</v>
      </c>
      <c r="C2282" s="1">
        <v>45467</v>
      </c>
      <c r="D2282" t="s">
        <v>13</v>
      </c>
      <c r="E2282" t="s">
        <v>14</v>
      </c>
      <c r="F2282" t="s">
        <v>25</v>
      </c>
      <c r="G2282" t="s">
        <v>16</v>
      </c>
      <c r="H2282" t="s">
        <v>65</v>
      </c>
      <c r="I2282">
        <v>2</v>
      </c>
      <c r="J2282">
        <v>0</v>
      </c>
      <c r="K2282">
        <v>585.80999999999995</v>
      </c>
      <c r="L2282">
        <v>5.46</v>
      </c>
      <c r="M2282" t="s">
        <v>2457</v>
      </c>
      <c r="N2282" t="s">
        <v>2458</v>
      </c>
      <c r="O2282" t="s">
        <v>2459</v>
      </c>
      <c r="P2282">
        <v>173.56</v>
      </c>
      <c r="Q2282">
        <v>286.14999999999998</v>
      </c>
      <c r="R2282">
        <v>347.12</v>
      </c>
      <c r="S2282">
        <v>233.22999999999993</v>
      </c>
      <c r="T2282">
        <v>0.3981325002987316</v>
      </c>
      <c r="U2282" s="1">
        <v>45444</v>
      </c>
      <c r="V2282" t="s">
        <v>2499</v>
      </c>
      <c r="W2282">
        <v>2024</v>
      </c>
    </row>
    <row r="2283" spans="1:23" x14ac:dyDescent="0.25">
      <c r="A2283" t="s">
        <v>2330</v>
      </c>
      <c r="B2283" s="1">
        <v>45657</v>
      </c>
      <c r="C2283" s="1">
        <v>45660</v>
      </c>
      <c r="D2283" t="s">
        <v>32</v>
      </c>
      <c r="E2283" t="s">
        <v>62</v>
      </c>
      <c r="F2283" t="s">
        <v>25</v>
      </c>
      <c r="G2283" t="s">
        <v>26</v>
      </c>
      <c r="H2283" t="s">
        <v>27</v>
      </c>
      <c r="I2283">
        <v>22</v>
      </c>
      <c r="J2283">
        <v>0.2</v>
      </c>
      <c r="K2283">
        <v>734.64</v>
      </c>
      <c r="L2283">
        <v>14.4</v>
      </c>
      <c r="M2283" t="s">
        <v>2478</v>
      </c>
      <c r="N2283" t="s">
        <v>2474</v>
      </c>
      <c r="O2283" t="s">
        <v>2463</v>
      </c>
      <c r="P2283">
        <v>16.760000000000002</v>
      </c>
      <c r="Q2283">
        <v>27.71</v>
      </c>
      <c r="R2283">
        <v>368.72</v>
      </c>
      <c r="S2283">
        <v>351.52</v>
      </c>
      <c r="T2283">
        <v>0.4784928672547098</v>
      </c>
      <c r="U2283" s="1">
        <v>45627</v>
      </c>
      <c r="V2283" t="s">
        <v>2500</v>
      </c>
      <c r="W2283">
        <v>2024</v>
      </c>
    </row>
    <row r="2284" spans="1:23" x14ac:dyDescent="0.25">
      <c r="A2284" t="s">
        <v>2331</v>
      </c>
      <c r="B2284" s="1">
        <v>45738</v>
      </c>
      <c r="C2284" s="1">
        <v>45742</v>
      </c>
      <c r="D2284" t="s">
        <v>13</v>
      </c>
      <c r="E2284" t="s">
        <v>14</v>
      </c>
      <c r="F2284" t="s">
        <v>29</v>
      </c>
      <c r="G2284" t="s">
        <v>26</v>
      </c>
      <c r="H2284" t="s">
        <v>51</v>
      </c>
      <c r="I2284">
        <v>3</v>
      </c>
      <c r="J2284">
        <v>0</v>
      </c>
      <c r="K2284">
        <v>42.97</v>
      </c>
      <c r="L2284">
        <v>3.51</v>
      </c>
      <c r="M2284" t="s">
        <v>2475</v>
      </c>
      <c r="N2284" t="s">
        <v>2474</v>
      </c>
      <c r="O2284" t="s">
        <v>2463</v>
      </c>
      <c r="P2284">
        <v>7.93</v>
      </c>
      <c r="Q2284">
        <v>14.78</v>
      </c>
      <c r="R2284">
        <v>23.79</v>
      </c>
      <c r="S2284">
        <v>15.67</v>
      </c>
      <c r="T2284">
        <v>0.36467302769373983</v>
      </c>
      <c r="U2284" s="1">
        <v>45717</v>
      </c>
      <c r="V2284" t="s">
        <v>2499</v>
      </c>
      <c r="W2284">
        <v>2025</v>
      </c>
    </row>
    <row r="2285" spans="1:23" x14ac:dyDescent="0.25">
      <c r="A2285" t="s">
        <v>2332</v>
      </c>
      <c r="B2285" s="1">
        <v>45677</v>
      </c>
      <c r="C2285" s="1">
        <v>45678</v>
      </c>
      <c r="D2285" t="s">
        <v>47</v>
      </c>
      <c r="E2285" t="s">
        <v>71</v>
      </c>
      <c r="F2285" t="s">
        <v>29</v>
      </c>
      <c r="G2285" t="s">
        <v>26</v>
      </c>
      <c r="H2285" t="s">
        <v>53</v>
      </c>
      <c r="I2285">
        <v>4</v>
      </c>
      <c r="J2285">
        <v>0</v>
      </c>
      <c r="K2285">
        <v>192.58</v>
      </c>
      <c r="L2285">
        <v>5.7</v>
      </c>
      <c r="M2285" t="s">
        <v>2470</v>
      </c>
      <c r="N2285" t="s">
        <v>2467</v>
      </c>
      <c r="O2285" t="s">
        <v>2459</v>
      </c>
      <c r="P2285">
        <v>31.34</v>
      </c>
      <c r="Q2285">
        <v>56.49</v>
      </c>
      <c r="R2285">
        <v>125.36</v>
      </c>
      <c r="S2285">
        <v>61.52000000000001</v>
      </c>
      <c r="T2285">
        <v>0.3194516564544605</v>
      </c>
      <c r="U2285" s="1">
        <v>45658</v>
      </c>
      <c r="V2285" t="s">
        <v>2499</v>
      </c>
      <c r="W2285">
        <v>2025</v>
      </c>
    </row>
    <row r="2286" spans="1:23" x14ac:dyDescent="0.25">
      <c r="A2286" t="s">
        <v>2333</v>
      </c>
      <c r="B2286" s="1">
        <v>45312</v>
      </c>
      <c r="C2286" s="1">
        <v>45316</v>
      </c>
      <c r="D2286" t="s">
        <v>13</v>
      </c>
      <c r="E2286" t="s">
        <v>14</v>
      </c>
      <c r="F2286" t="s">
        <v>25</v>
      </c>
      <c r="G2286" t="s">
        <v>20</v>
      </c>
      <c r="H2286" t="s">
        <v>51</v>
      </c>
      <c r="I2286">
        <v>11</v>
      </c>
      <c r="J2286">
        <v>0</v>
      </c>
      <c r="K2286">
        <v>149.04</v>
      </c>
      <c r="L2286">
        <v>5.67</v>
      </c>
      <c r="M2286" t="s">
        <v>2475</v>
      </c>
      <c r="N2286" t="s">
        <v>2474</v>
      </c>
      <c r="O2286" t="s">
        <v>2463</v>
      </c>
      <c r="P2286">
        <v>7.93</v>
      </c>
      <c r="Q2286">
        <v>14.78</v>
      </c>
      <c r="R2286">
        <v>87.22999999999999</v>
      </c>
      <c r="S2286">
        <v>56.14</v>
      </c>
      <c r="T2286">
        <v>0.37667740203972089</v>
      </c>
      <c r="U2286" s="1">
        <v>45292</v>
      </c>
      <c r="V2286" t="s">
        <v>2499</v>
      </c>
      <c r="W2286">
        <v>2024</v>
      </c>
    </row>
    <row r="2287" spans="1:23" x14ac:dyDescent="0.25">
      <c r="A2287" t="s">
        <v>2334</v>
      </c>
      <c r="B2287" s="1">
        <v>45485</v>
      </c>
      <c r="C2287" s="1">
        <v>45491</v>
      </c>
      <c r="D2287" t="s">
        <v>47</v>
      </c>
      <c r="E2287" t="s">
        <v>48</v>
      </c>
      <c r="F2287" t="s">
        <v>15</v>
      </c>
      <c r="G2287" t="s">
        <v>16</v>
      </c>
      <c r="H2287" t="s">
        <v>34</v>
      </c>
      <c r="I2287">
        <v>2</v>
      </c>
      <c r="J2287">
        <v>0.2</v>
      </c>
      <c r="K2287">
        <v>292.92</v>
      </c>
      <c r="L2287">
        <v>5.46</v>
      </c>
      <c r="M2287" t="s">
        <v>2460</v>
      </c>
      <c r="N2287" t="s">
        <v>2458</v>
      </c>
      <c r="O2287" t="s">
        <v>2461</v>
      </c>
      <c r="P2287">
        <v>119.02</v>
      </c>
      <c r="Q2287">
        <v>205.39</v>
      </c>
      <c r="R2287">
        <v>238.04</v>
      </c>
      <c r="S2287">
        <v>49.420000000000023</v>
      </c>
      <c r="T2287">
        <v>0.16871500751058316</v>
      </c>
      <c r="U2287" s="1">
        <v>45474</v>
      </c>
      <c r="V2287" t="s">
        <v>2500</v>
      </c>
      <c r="W2287">
        <v>2024</v>
      </c>
    </row>
    <row r="2288" spans="1:23" x14ac:dyDescent="0.25">
      <c r="A2288" t="s">
        <v>2335</v>
      </c>
      <c r="B2288" s="1">
        <v>45377</v>
      </c>
      <c r="C2288" s="1">
        <v>45378</v>
      </c>
      <c r="D2288" t="s">
        <v>13</v>
      </c>
      <c r="E2288" t="s">
        <v>36</v>
      </c>
      <c r="F2288" t="s">
        <v>15</v>
      </c>
      <c r="G2288" t="s">
        <v>16</v>
      </c>
      <c r="H2288" t="s">
        <v>68</v>
      </c>
      <c r="I2288">
        <v>1</v>
      </c>
      <c r="J2288">
        <v>0</v>
      </c>
      <c r="K2288">
        <v>46.99</v>
      </c>
      <c r="L2288">
        <v>5.75</v>
      </c>
      <c r="M2288" t="s">
        <v>2466</v>
      </c>
      <c r="N2288" t="s">
        <v>2467</v>
      </c>
      <c r="O2288" t="s">
        <v>2468</v>
      </c>
      <c r="P2288">
        <v>25.33</v>
      </c>
      <c r="Q2288">
        <v>51.56</v>
      </c>
      <c r="R2288">
        <v>25.33</v>
      </c>
      <c r="S2288">
        <v>15.910000000000004</v>
      </c>
      <c r="T2288">
        <v>0.3385826771653544</v>
      </c>
      <c r="U2288" s="1">
        <v>45352</v>
      </c>
      <c r="V2288" t="s">
        <v>2499</v>
      </c>
      <c r="W2288">
        <v>2024</v>
      </c>
    </row>
    <row r="2289" spans="1:23" x14ac:dyDescent="0.25">
      <c r="A2289" t="s">
        <v>2336</v>
      </c>
      <c r="B2289" s="1">
        <v>45843</v>
      </c>
      <c r="C2289" s="1">
        <v>45846</v>
      </c>
      <c r="D2289" t="s">
        <v>13</v>
      </c>
      <c r="E2289" t="s">
        <v>36</v>
      </c>
      <c r="F2289" t="s">
        <v>29</v>
      </c>
      <c r="G2289" t="s">
        <v>26</v>
      </c>
      <c r="H2289" t="s">
        <v>65</v>
      </c>
      <c r="I2289">
        <v>3</v>
      </c>
      <c r="J2289">
        <v>0</v>
      </c>
      <c r="K2289">
        <v>787.8</v>
      </c>
      <c r="L2289">
        <v>11.4</v>
      </c>
      <c r="M2289" t="s">
        <v>2457</v>
      </c>
      <c r="N2289" t="s">
        <v>2458</v>
      </c>
      <c r="O2289" t="s">
        <v>2459</v>
      </c>
      <c r="P2289">
        <v>173.56</v>
      </c>
      <c r="Q2289">
        <v>286.14999999999998</v>
      </c>
      <c r="R2289">
        <v>520.68000000000006</v>
      </c>
      <c r="S2289">
        <v>255.71999999999989</v>
      </c>
      <c r="T2289">
        <v>0.3246001523229245</v>
      </c>
      <c r="U2289" s="1">
        <v>45839</v>
      </c>
      <c r="V2289" t="s">
        <v>2499</v>
      </c>
      <c r="W2289">
        <v>2025</v>
      </c>
    </row>
    <row r="2290" spans="1:23" x14ac:dyDescent="0.25">
      <c r="A2290" t="s">
        <v>2337</v>
      </c>
      <c r="B2290" s="1">
        <v>45695</v>
      </c>
      <c r="C2290" s="1">
        <v>45700</v>
      </c>
      <c r="D2290" t="s">
        <v>13</v>
      </c>
      <c r="E2290" t="s">
        <v>19</v>
      </c>
      <c r="F2290" t="s">
        <v>15</v>
      </c>
      <c r="G2290" t="s">
        <v>26</v>
      </c>
      <c r="H2290" t="s">
        <v>51</v>
      </c>
      <c r="I2290">
        <v>11</v>
      </c>
      <c r="J2290">
        <v>0.2</v>
      </c>
      <c r="K2290">
        <v>110.69</v>
      </c>
      <c r="L2290">
        <v>5.67</v>
      </c>
      <c r="M2290" t="s">
        <v>2475</v>
      </c>
      <c r="N2290" t="s">
        <v>2474</v>
      </c>
      <c r="O2290" t="s">
        <v>2463</v>
      </c>
      <c r="P2290">
        <v>7.93</v>
      </c>
      <c r="Q2290">
        <v>14.78</v>
      </c>
      <c r="R2290">
        <v>87.22999999999999</v>
      </c>
      <c r="S2290">
        <v>17.790000000000006</v>
      </c>
      <c r="T2290">
        <v>0.16071912548559045</v>
      </c>
      <c r="U2290" s="1">
        <v>45689</v>
      </c>
      <c r="V2290" t="s">
        <v>2500</v>
      </c>
      <c r="W2290">
        <v>2025</v>
      </c>
    </row>
    <row r="2291" spans="1:23" x14ac:dyDescent="0.25">
      <c r="A2291" t="s">
        <v>2338</v>
      </c>
      <c r="B2291" s="1">
        <v>45880</v>
      </c>
      <c r="C2291" s="1">
        <v>45886</v>
      </c>
      <c r="D2291" t="s">
        <v>13</v>
      </c>
      <c r="E2291" t="s">
        <v>14</v>
      </c>
      <c r="F2291" t="s">
        <v>29</v>
      </c>
      <c r="G2291" t="s">
        <v>20</v>
      </c>
      <c r="H2291" t="s">
        <v>21</v>
      </c>
      <c r="I2291">
        <v>2</v>
      </c>
      <c r="J2291">
        <v>0</v>
      </c>
      <c r="K2291">
        <v>212.86</v>
      </c>
      <c r="L2291">
        <v>5.46</v>
      </c>
      <c r="M2291" t="s">
        <v>2462</v>
      </c>
      <c r="N2291" t="s">
        <v>2458</v>
      </c>
      <c r="O2291" t="s">
        <v>2463</v>
      </c>
      <c r="P2291">
        <v>71.489999999999995</v>
      </c>
      <c r="Q2291">
        <v>112.88</v>
      </c>
      <c r="R2291">
        <v>142.97999999999999</v>
      </c>
      <c r="S2291">
        <v>64.42000000000003</v>
      </c>
      <c r="T2291">
        <v>0.3026402330170066</v>
      </c>
      <c r="U2291" s="1">
        <v>45870</v>
      </c>
      <c r="V2291" t="s">
        <v>2499</v>
      </c>
      <c r="W2291">
        <v>2025</v>
      </c>
    </row>
    <row r="2292" spans="1:23" x14ac:dyDescent="0.25">
      <c r="A2292" t="s">
        <v>2339</v>
      </c>
      <c r="B2292" s="1">
        <v>45326</v>
      </c>
      <c r="C2292" s="1">
        <v>45328</v>
      </c>
      <c r="D2292" t="s">
        <v>32</v>
      </c>
      <c r="E2292" t="s">
        <v>45</v>
      </c>
      <c r="F2292" t="s">
        <v>25</v>
      </c>
      <c r="G2292" t="s">
        <v>20</v>
      </c>
      <c r="H2292" t="s">
        <v>53</v>
      </c>
      <c r="I2292">
        <v>2</v>
      </c>
      <c r="J2292">
        <v>0.1</v>
      </c>
      <c r="K2292">
        <v>92.02</v>
      </c>
      <c r="L2292">
        <v>4.2</v>
      </c>
      <c r="M2292" t="s">
        <v>2470</v>
      </c>
      <c r="N2292" t="s">
        <v>2467</v>
      </c>
      <c r="O2292" t="s">
        <v>2459</v>
      </c>
      <c r="P2292">
        <v>31.34</v>
      </c>
      <c r="Q2292">
        <v>56.49</v>
      </c>
      <c r="R2292">
        <v>62.68</v>
      </c>
      <c r="S2292">
        <v>25.139999999999997</v>
      </c>
      <c r="T2292">
        <v>0.27320147793957833</v>
      </c>
      <c r="U2292" s="1">
        <v>45323</v>
      </c>
      <c r="V2292" t="s">
        <v>2498</v>
      </c>
      <c r="W2292">
        <v>2024</v>
      </c>
    </row>
    <row r="2293" spans="1:23" x14ac:dyDescent="0.25">
      <c r="A2293" t="s">
        <v>2340</v>
      </c>
      <c r="B2293" s="1">
        <v>45806</v>
      </c>
      <c r="C2293" s="1">
        <v>45809</v>
      </c>
      <c r="D2293" t="s">
        <v>32</v>
      </c>
      <c r="E2293" t="s">
        <v>33</v>
      </c>
      <c r="F2293" t="s">
        <v>29</v>
      </c>
      <c r="G2293" t="s">
        <v>20</v>
      </c>
      <c r="H2293" t="s">
        <v>39</v>
      </c>
      <c r="I2293">
        <v>3</v>
      </c>
      <c r="J2293">
        <v>0.15</v>
      </c>
      <c r="K2293">
        <v>517.75</v>
      </c>
      <c r="L2293">
        <v>4.95</v>
      </c>
      <c r="M2293" t="s">
        <v>2471</v>
      </c>
      <c r="N2293" t="s">
        <v>2467</v>
      </c>
      <c r="O2293" t="s">
        <v>2461</v>
      </c>
      <c r="P2293">
        <v>112.09</v>
      </c>
      <c r="Q2293">
        <v>192.47</v>
      </c>
      <c r="R2293">
        <v>336.27</v>
      </c>
      <c r="S2293">
        <v>176.53000000000003</v>
      </c>
      <c r="T2293">
        <v>0.34095605987445682</v>
      </c>
      <c r="U2293" s="1">
        <v>45778</v>
      </c>
      <c r="V2293" t="s">
        <v>2500</v>
      </c>
      <c r="W2293">
        <v>2025</v>
      </c>
    </row>
    <row r="2294" spans="1:23" x14ac:dyDescent="0.25">
      <c r="A2294" t="s">
        <v>2341</v>
      </c>
      <c r="B2294" s="1">
        <v>45773</v>
      </c>
      <c r="C2294" s="1">
        <v>45776</v>
      </c>
      <c r="D2294" t="s">
        <v>32</v>
      </c>
      <c r="E2294" t="s">
        <v>62</v>
      </c>
      <c r="F2294" t="s">
        <v>15</v>
      </c>
      <c r="G2294" t="s">
        <v>16</v>
      </c>
      <c r="H2294" t="s">
        <v>34</v>
      </c>
      <c r="I2294">
        <v>3</v>
      </c>
      <c r="J2294">
        <v>0.1</v>
      </c>
      <c r="K2294">
        <v>543.32000000000005</v>
      </c>
      <c r="L2294">
        <v>6.84</v>
      </c>
      <c r="M2294" t="s">
        <v>2460</v>
      </c>
      <c r="N2294" t="s">
        <v>2458</v>
      </c>
      <c r="O2294" t="s">
        <v>2461</v>
      </c>
      <c r="P2294">
        <v>119.02</v>
      </c>
      <c r="Q2294">
        <v>205.39</v>
      </c>
      <c r="R2294">
        <v>357.06</v>
      </c>
      <c r="S2294">
        <v>179.42000000000004</v>
      </c>
      <c r="T2294">
        <v>0.3302289626739307</v>
      </c>
      <c r="U2294" s="1">
        <v>45748</v>
      </c>
      <c r="V2294" t="s">
        <v>2498</v>
      </c>
      <c r="W2294">
        <v>2025</v>
      </c>
    </row>
    <row r="2295" spans="1:23" x14ac:dyDescent="0.25">
      <c r="A2295" t="s">
        <v>2342</v>
      </c>
      <c r="B2295" s="1">
        <v>45640</v>
      </c>
      <c r="C2295" s="1">
        <v>45645</v>
      </c>
      <c r="D2295" t="s">
        <v>13</v>
      </c>
      <c r="E2295" t="s">
        <v>14</v>
      </c>
      <c r="F2295" t="s">
        <v>25</v>
      </c>
      <c r="G2295" t="s">
        <v>16</v>
      </c>
      <c r="H2295" t="s">
        <v>60</v>
      </c>
      <c r="I2295">
        <v>5</v>
      </c>
      <c r="J2295">
        <v>0</v>
      </c>
      <c r="K2295">
        <v>839.34</v>
      </c>
      <c r="L2295">
        <v>10.75</v>
      </c>
      <c r="M2295" t="s">
        <v>2469</v>
      </c>
      <c r="N2295" t="s">
        <v>2467</v>
      </c>
      <c r="O2295" t="s">
        <v>2468</v>
      </c>
      <c r="P2295">
        <v>54.95</v>
      </c>
      <c r="Q2295">
        <v>112.56</v>
      </c>
      <c r="R2295">
        <v>274.75</v>
      </c>
      <c r="S2295">
        <v>553.84</v>
      </c>
      <c r="T2295">
        <v>0.65985178830986257</v>
      </c>
      <c r="U2295" s="1">
        <v>45627</v>
      </c>
      <c r="V2295" t="s">
        <v>2499</v>
      </c>
      <c r="W2295">
        <v>2024</v>
      </c>
    </row>
    <row r="2296" spans="1:23" x14ac:dyDescent="0.25">
      <c r="A2296" t="s">
        <v>2343</v>
      </c>
      <c r="B2296" s="1">
        <v>45398</v>
      </c>
      <c r="C2296" s="1">
        <v>45402</v>
      </c>
      <c r="D2296" t="s">
        <v>13</v>
      </c>
      <c r="E2296" t="s">
        <v>14</v>
      </c>
      <c r="F2296" t="s">
        <v>29</v>
      </c>
      <c r="G2296" t="s">
        <v>20</v>
      </c>
      <c r="H2296" t="s">
        <v>68</v>
      </c>
      <c r="I2296">
        <v>3</v>
      </c>
      <c r="J2296">
        <v>0.1</v>
      </c>
      <c r="K2296">
        <v>131.51</v>
      </c>
      <c r="L2296">
        <v>4.95</v>
      </c>
      <c r="M2296" t="s">
        <v>2466</v>
      </c>
      <c r="N2296" t="s">
        <v>2467</v>
      </c>
      <c r="O2296" t="s">
        <v>2468</v>
      </c>
      <c r="P2296">
        <v>25.33</v>
      </c>
      <c r="Q2296">
        <v>51.56</v>
      </c>
      <c r="R2296">
        <v>75.989999999999995</v>
      </c>
      <c r="S2296">
        <v>50.569999999999993</v>
      </c>
      <c r="T2296">
        <v>0.38453349555166905</v>
      </c>
      <c r="U2296" s="1">
        <v>45383</v>
      </c>
      <c r="V2296" t="s">
        <v>2498</v>
      </c>
      <c r="W2296">
        <v>2024</v>
      </c>
    </row>
    <row r="2297" spans="1:23" x14ac:dyDescent="0.25">
      <c r="A2297" t="s">
        <v>2344</v>
      </c>
      <c r="B2297" s="1">
        <v>45994</v>
      </c>
      <c r="C2297" s="1">
        <v>45999</v>
      </c>
      <c r="D2297" t="s">
        <v>32</v>
      </c>
      <c r="E2297" t="s">
        <v>45</v>
      </c>
      <c r="F2297" t="s">
        <v>29</v>
      </c>
      <c r="G2297" t="s">
        <v>20</v>
      </c>
      <c r="H2297" t="s">
        <v>37</v>
      </c>
      <c r="I2297">
        <v>1</v>
      </c>
      <c r="J2297">
        <v>0.05</v>
      </c>
      <c r="K2297">
        <v>141.03</v>
      </c>
      <c r="L2297">
        <v>6.8</v>
      </c>
      <c r="M2297" t="s">
        <v>2464</v>
      </c>
      <c r="N2297" t="s">
        <v>2458</v>
      </c>
      <c r="O2297" t="s">
        <v>2465</v>
      </c>
      <c r="P2297">
        <v>63.6</v>
      </c>
      <c r="Q2297">
        <v>107.94</v>
      </c>
      <c r="R2297">
        <v>63.6</v>
      </c>
      <c r="S2297">
        <v>70.63000000000001</v>
      </c>
      <c r="T2297">
        <v>0.50081542934127499</v>
      </c>
      <c r="U2297" s="1">
        <v>45992</v>
      </c>
      <c r="V2297" t="s">
        <v>2498</v>
      </c>
      <c r="W2297">
        <v>2025</v>
      </c>
    </row>
    <row r="2298" spans="1:23" x14ac:dyDescent="0.25">
      <c r="A2298" t="s">
        <v>2345</v>
      </c>
      <c r="B2298" s="1">
        <v>45909</v>
      </c>
      <c r="C2298" s="1">
        <v>45914</v>
      </c>
      <c r="D2298" t="s">
        <v>47</v>
      </c>
      <c r="E2298" t="s">
        <v>48</v>
      </c>
      <c r="F2298" t="s">
        <v>15</v>
      </c>
      <c r="G2298" t="s">
        <v>16</v>
      </c>
      <c r="H2298" t="s">
        <v>87</v>
      </c>
      <c r="I2298">
        <v>5</v>
      </c>
      <c r="J2298">
        <v>0.15</v>
      </c>
      <c r="K2298">
        <v>37.03</v>
      </c>
      <c r="L2298">
        <v>4.05</v>
      </c>
      <c r="M2298" t="s">
        <v>2476</v>
      </c>
      <c r="N2298" t="s">
        <v>2474</v>
      </c>
      <c r="O2298" t="s">
        <v>2459</v>
      </c>
      <c r="P2298">
        <v>4.5</v>
      </c>
      <c r="Q2298">
        <v>8.2899999999999991</v>
      </c>
      <c r="R2298">
        <v>22.5</v>
      </c>
      <c r="S2298">
        <v>10.48</v>
      </c>
      <c r="T2298">
        <v>0.28301377261679722</v>
      </c>
      <c r="U2298" s="1">
        <v>45901</v>
      </c>
      <c r="V2298" t="s">
        <v>2500</v>
      </c>
      <c r="W2298">
        <v>2025</v>
      </c>
    </row>
    <row r="2299" spans="1:23" x14ac:dyDescent="0.25">
      <c r="A2299" t="s">
        <v>2346</v>
      </c>
      <c r="B2299" s="1">
        <v>45497</v>
      </c>
      <c r="C2299" s="1">
        <v>45503</v>
      </c>
      <c r="D2299" t="s">
        <v>47</v>
      </c>
      <c r="E2299" t="s">
        <v>71</v>
      </c>
      <c r="F2299" t="s">
        <v>29</v>
      </c>
      <c r="G2299" t="s">
        <v>20</v>
      </c>
      <c r="H2299" t="s">
        <v>41</v>
      </c>
      <c r="I2299">
        <v>11</v>
      </c>
      <c r="J2299">
        <v>0.25</v>
      </c>
      <c r="K2299">
        <v>49.31</v>
      </c>
      <c r="L2299">
        <v>5.67</v>
      </c>
      <c r="M2299" t="s">
        <v>2479</v>
      </c>
      <c r="N2299" t="s">
        <v>2474</v>
      </c>
      <c r="O2299" t="s">
        <v>2459</v>
      </c>
      <c r="P2299">
        <v>3.3</v>
      </c>
      <c r="Q2299">
        <v>6.13</v>
      </c>
      <c r="R2299">
        <v>36.299999999999997</v>
      </c>
      <c r="S2299">
        <v>7.3400000000000052</v>
      </c>
      <c r="T2299">
        <v>0.14885418779152312</v>
      </c>
      <c r="U2299" s="1">
        <v>45474</v>
      </c>
      <c r="V2299" t="s">
        <v>2501</v>
      </c>
      <c r="W2299">
        <v>2024</v>
      </c>
    </row>
    <row r="2300" spans="1:23" x14ac:dyDescent="0.25">
      <c r="A2300" t="s">
        <v>2347</v>
      </c>
      <c r="B2300" s="1">
        <v>45720</v>
      </c>
      <c r="C2300" s="1">
        <v>45724</v>
      </c>
      <c r="D2300" t="s">
        <v>47</v>
      </c>
      <c r="E2300" t="s">
        <v>71</v>
      </c>
      <c r="F2300" t="s">
        <v>15</v>
      </c>
      <c r="G2300" t="s">
        <v>16</v>
      </c>
      <c r="H2300" t="s">
        <v>34</v>
      </c>
      <c r="I2300">
        <v>2</v>
      </c>
      <c r="J2300">
        <v>0</v>
      </c>
      <c r="K2300">
        <v>392.1</v>
      </c>
      <c r="L2300">
        <v>5.46</v>
      </c>
      <c r="M2300" t="s">
        <v>2460</v>
      </c>
      <c r="N2300" t="s">
        <v>2458</v>
      </c>
      <c r="O2300" t="s">
        <v>2461</v>
      </c>
      <c r="P2300">
        <v>119.02</v>
      </c>
      <c r="Q2300">
        <v>205.39</v>
      </c>
      <c r="R2300">
        <v>238.04</v>
      </c>
      <c r="S2300">
        <v>148.60000000000002</v>
      </c>
      <c r="T2300">
        <v>0.37898495281815869</v>
      </c>
      <c r="U2300" s="1">
        <v>45717</v>
      </c>
      <c r="V2300" t="s">
        <v>2499</v>
      </c>
      <c r="W2300">
        <v>2025</v>
      </c>
    </row>
    <row r="2301" spans="1:23" x14ac:dyDescent="0.25">
      <c r="A2301" t="s">
        <v>2348</v>
      </c>
      <c r="B2301" s="1">
        <v>45941</v>
      </c>
      <c r="C2301" s="1">
        <v>45942</v>
      </c>
      <c r="D2301" t="s">
        <v>23</v>
      </c>
      <c r="E2301" t="s">
        <v>59</v>
      </c>
      <c r="F2301" t="s">
        <v>25</v>
      </c>
      <c r="G2301" t="s">
        <v>26</v>
      </c>
      <c r="H2301" t="s">
        <v>53</v>
      </c>
      <c r="I2301">
        <v>4</v>
      </c>
      <c r="J2301">
        <v>0</v>
      </c>
      <c r="K2301">
        <v>269.04000000000002</v>
      </c>
      <c r="L2301">
        <v>5.7</v>
      </c>
      <c r="M2301" t="s">
        <v>2470</v>
      </c>
      <c r="N2301" t="s">
        <v>2467</v>
      </c>
      <c r="O2301" t="s">
        <v>2459</v>
      </c>
      <c r="P2301">
        <v>31.34</v>
      </c>
      <c r="Q2301">
        <v>56.49</v>
      </c>
      <c r="R2301">
        <v>125.36</v>
      </c>
      <c r="S2301">
        <v>137.98000000000002</v>
      </c>
      <c r="T2301">
        <v>0.51286054118346713</v>
      </c>
      <c r="U2301" s="1">
        <v>45931</v>
      </c>
      <c r="V2301" t="s">
        <v>2499</v>
      </c>
      <c r="W2301">
        <v>2025</v>
      </c>
    </row>
    <row r="2302" spans="1:23" x14ac:dyDescent="0.25">
      <c r="A2302" t="s">
        <v>2349</v>
      </c>
      <c r="B2302" s="1">
        <v>46015</v>
      </c>
      <c r="C2302" s="1">
        <v>46016</v>
      </c>
      <c r="D2302" t="s">
        <v>32</v>
      </c>
      <c r="E2302" t="s">
        <v>62</v>
      </c>
      <c r="F2302" t="s">
        <v>29</v>
      </c>
      <c r="G2302" t="s">
        <v>20</v>
      </c>
      <c r="H2302" t="s">
        <v>30</v>
      </c>
      <c r="I2302">
        <v>7</v>
      </c>
      <c r="J2302">
        <v>0</v>
      </c>
      <c r="K2302">
        <v>61.15</v>
      </c>
      <c r="L2302">
        <v>4.59</v>
      </c>
      <c r="M2302" t="s">
        <v>2473</v>
      </c>
      <c r="N2302" t="s">
        <v>2474</v>
      </c>
      <c r="O2302" t="s">
        <v>2463</v>
      </c>
      <c r="P2302">
        <v>3.62</v>
      </c>
      <c r="Q2302">
        <v>6.03</v>
      </c>
      <c r="R2302">
        <v>25.34</v>
      </c>
      <c r="S2302">
        <v>31.220000000000002</v>
      </c>
      <c r="T2302">
        <v>0.51054783319705643</v>
      </c>
      <c r="U2302" s="1">
        <v>45992</v>
      </c>
      <c r="V2302" t="s">
        <v>2499</v>
      </c>
      <c r="W2302">
        <v>2025</v>
      </c>
    </row>
    <row r="2303" spans="1:23" x14ac:dyDescent="0.25">
      <c r="A2303" t="s">
        <v>2350</v>
      </c>
      <c r="B2303" s="1">
        <v>45767</v>
      </c>
      <c r="C2303" s="1">
        <v>45772</v>
      </c>
      <c r="D2303" t="s">
        <v>13</v>
      </c>
      <c r="E2303" t="s">
        <v>19</v>
      </c>
      <c r="F2303" t="s">
        <v>15</v>
      </c>
      <c r="G2303" t="s">
        <v>20</v>
      </c>
      <c r="H2303" t="s">
        <v>53</v>
      </c>
      <c r="I2303">
        <v>4</v>
      </c>
      <c r="J2303">
        <v>0</v>
      </c>
      <c r="K2303">
        <v>214.34</v>
      </c>
      <c r="L2303">
        <v>5.7</v>
      </c>
      <c r="M2303" t="s">
        <v>2470</v>
      </c>
      <c r="N2303" t="s">
        <v>2467</v>
      </c>
      <c r="O2303" t="s">
        <v>2459</v>
      </c>
      <c r="P2303">
        <v>31.34</v>
      </c>
      <c r="Q2303">
        <v>56.49</v>
      </c>
      <c r="R2303">
        <v>125.36</v>
      </c>
      <c r="S2303">
        <v>83.28</v>
      </c>
      <c r="T2303">
        <v>0.38854156946906782</v>
      </c>
      <c r="U2303" s="1">
        <v>45748</v>
      </c>
      <c r="V2303" t="s">
        <v>2499</v>
      </c>
      <c r="W2303">
        <v>2025</v>
      </c>
    </row>
    <row r="2304" spans="1:23" x14ac:dyDescent="0.25">
      <c r="A2304" t="s">
        <v>2351</v>
      </c>
      <c r="B2304" s="1">
        <v>45513</v>
      </c>
      <c r="C2304" s="1">
        <v>45514</v>
      </c>
      <c r="D2304" t="s">
        <v>13</v>
      </c>
      <c r="E2304" t="s">
        <v>14</v>
      </c>
      <c r="F2304" t="s">
        <v>29</v>
      </c>
      <c r="G2304" t="s">
        <v>16</v>
      </c>
      <c r="H2304" t="s">
        <v>34</v>
      </c>
      <c r="I2304">
        <v>3</v>
      </c>
      <c r="J2304">
        <v>0</v>
      </c>
      <c r="K2304">
        <v>560.53</v>
      </c>
      <c r="L2304">
        <v>11.4</v>
      </c>
      <c r="M2304" t="s">
        <v>2460</v>
      </c>
      <c r="N2304" t="s">
        <v>2458</v>
      </c>
      <c r="O2304" t="s">
        <v>2461</v>
      </c>
      <c r="P2304">
        <v>119.02</v>
      </c>
      <c r="Q2304">
        <v>205.39</v>
      </c>
      <c r="R2304">
        <v>357.06</v>
      </c>
      <c r="S2304">
        <v>192.06999999999996</v>
      </c>
      <c r="T2304">
        <v>0.34265784168554758</v>
      </c>
      <c r="U2304" s="1">
        <v>45505</v>
      </c>
      <c r="V2304" t="s">
        <v>2499</v>
      </c>
      <c r="W2304">
        <v>2024</v>
      </c>
    </row>
    <row r="2305" spans="1:23" x14ac:dyDescent="0.25">
      <c r="A2305" t="s">
        <v>2352</v>
      </c>
      <c r="B2305" s="1">
        <v>45512</v>
      </c>
      <c r="C2305" s="1">
        <v>45515</v>
      </c>
      <c r="D2305" t="s">
        <v>47</v>
      </c>
      <c r="E2305" t="s">
        <v>71</v>
      </c>
      <c r="F2305" t="s">
        <v>29</v>
      </c>
      <c r="G2305" t="s">
        <v>20</v>
      </c>
      <c r="H2305" t="s">
        <v>27</v>
      </c>
      <c r="I2305">
        <v>5</v>
      </c>
      <c r="J2305">
        <v>0</v>
      </c>
      <c r="K2305">
        <v>136.13</v>
      </c>
      <c r="L2305">
        <v>6.75</v>
      </c>
      <c r="M2305" t="s">
        <v>2478</v>
      </c>
      <c r="N2305" t="s">
        <v>2474</v>
      </c>
      <c r="O2305" t="s">
        <v>2463</v>
      </c>
      <c r="P2305">
        <v>16.760000000000002</v>
      </c>
      <c r="Q2305">
        <v>27.71</v>
      </c>
      <c r="R2305">
        <v>83.800000000000011</v>
      </c>
      <c r="S2305">
        <v>45.579999999999984</v>
      </c>
      <c r="T2305">
        <v>0.33482700359950035</v>
      </c>
      <c r="U2305" s="1">
        <v>45505</v>
      </c>
      <c r="V2305" t="s">
        <v>2499</v>
      </c>
      <c r="W2305">
        <v>2024</v>
      </c>
    </row>
    <row r="2306" spans="1:23" x14ac:dyDescent="0.25">
      <c r="A2306" t="s">
        <v>2353</v>
      </c>
      <c r="B2306" s="1">
        <v>45984</v>
      </c>
      <c r="C2306" s="1">
        <v>45988</v>
      </c>
      <c r="D2306" t="s">
        <v>32</v>
      </c>
      <c r="E2306" t="s">
        <v>33</v>
      </c>
      <c r="F2306" t="s">
        <v>25</v>
      </c>
      <c r="G2306" t="s">
        <v>20</v>
      </c>
      <c r="H2306" t="s">
        <v>41</v>
      </c>
      <c r="I2306">
        <v>6</v>
      </c>
      <c r="J2306">
        <v>0</v>
      </c>
      <c r="K2306">
        <v>48.98</v>
      </c>
      <c r="L2306">
        <v>4.32</v>
      </c>
      <c r="M2306" t="s">
        <v>2479</v>
      </c>
      <c r="N2306" t="s">
        <v>2474</v>
      </c>
      <c r="O2306" t="s">
        <v>2459</v>
      </c>
      <c r="P2306">
        <v>3.3</v>
      </c>
      <c r="Q2306">
        <v>6.13</v>
      </c>
      <c r="R2306">
        <v>19.799999999999997</v>
      </c>
      <c r="S2306">
        <v>24.86</v>
      </c>
      <c r="T2306">
        <v>0.50755410371580234</v>
      </c>
      <c r="U2306" s="1">
        <v>45962</v>
      </c>
      <c r="V2306" t="s">
        <v>2499</v>
      </c>
      <c r="W2306">
        <v>2025</v>
      </c>
    </row>
    <row r="2307" spans="1:23" x14ac:dyDescent="0.25">
      <c r="A2307" t="s">
        <v>2354</v>
      </c>
      <c r="B2307" s="1">
        <v>45787</v>
      </c>
      <c r="C2307" s="1">
        <v>45790</v>
      </c>
      <c r="D2307" t="s">
        <v>47</v>
      </c>
      <c r="E2307" t="s">
        <v>71</v>
      </c>
      <c r="F2307" t="s">
        <v>15</v>
      </c>
      <c r="G2307" t="s">
        <v>20</v>
      </c>
      <c r="H2307" t="s">
        <v>34</v>
      </c>
      <c r="I2307">
        <v>2</v>
      </c>
      <c r="J2307">
        <v>0.25</v>
      </c>
      <c r="K2307">
        <v>332.5</v>
      </c>
      <c r="L2307">
        <v>5.46</v>
      </c>
      <c r="M2307" t="s">
        <v>2460</v>
      </c>
      <c r="N2307" t="s">
        <v>2458</v>
      </c>
      <c r="O2307" t="s">
        <v>2461</v>
      </c>
      <c r="P2307">
        <v>119.02</v>
      </c>
      <c r="Q2307">
        <v>205.39</v>
      </c>
      <c r="R2307">
        <v>238.04</v>
      </c>
      <c r="S2307">
        <v>89.000000000000014</v>
      </c>
      <c r="T2307">
        <v>0.26766917293233089</v>
      </c>
      <c r="U2307" s="1">
        <v>45778</v>
      </c>
      <c r="V2307" t="s">
        <v>2501</v>
      </c>
      <c r="W2307">
        <v>2025</v>
      </c>
    </row>
    <row r="2308" spans="1:23" x14ac:dyDescent="0.25">
      <c r="A2308" t="s">
        <v>2355</v>
      </c>
      <c r="B2308" s="1">
        <v>45489</v>
      </c>
      <c r="C2308" s="1">
        <v>45490</v>
      </c>
      <c r="D2308" t="s">
        <v>47</v>
      </c>
      <c r="E2308" t="s">
        <v>71</v>
      </c>
      <c r="F2308" t="s">
        <v>15</v>
      </c>
      <c r="G2308" t="s">
        <v>20</v>
      </c>
      <c r="H2308" t="s">
        <v>30</v>
      </c>
      <c r="I2308">
        <v>4</v>
      </c>
      <c r="J2308">
        <v>0.15</v>
      </c>
      <c r="K2308">
        <v>19.52</v>
      </c>
      <c r="L2308">
        <v>6.3</v>
      </c>
      <c r="M2308" t="s">
        <v>2473</v>
      </c>
      <c r="N2308" t="s">
        <v>2474</v>
      </c>
      <c r="O2308" t="s">
        <v>2463</v>
      </c>
      <c r="P2308">
        <v>3.62</v>
      </c>
      <c r="Q2308">
        <v>6.03</v>
      </c>
      <c r="R2308">
        <v>14.48</v>
      </c>
      <c r="S2308">
        <v>-1.2600000000000007</v>
      </c>
      <c r="T2308">
        <v>-6.4549180327868882E-2</v>
      </c>
      <c r="U2308" s="1">
        <v>45474</v>
      </c>
      <c r="V2308" t="s">
        <v>2500</v>
      </c>
      <c r="W2308">
        <v>2024</v>
      </c>
    </row>
    <row r="2309" spans="1:23" x14ac:dyDescent="0.25">
      <c r="A2309" t="s">
        <v>2356</v>
      </c>
      <c r="B2309" s="1">
        <v>45856</v>
      </c>
      <c r="C2309" s="1">
        <v>45861</v>
      </c>
      <c r="D2309" t="s">
        <v>23</v>
      </c>
      <c r="E2309" t="s">
        <v>59</v>
      </c>
      <c r="F2309" t="s">
        <v>25</v>
      </c>
      <c r="G2309" t="s">
        <v>26</v>
      </c>
      <c r="H2309" t="s">
        <v>17</v>
      </c>
      <c r="I2309">
        <v>4</v>
      </c>
      <c r="J2309">
        <v>0.2</v>
      </c>
      <c r="K2309">
        <v>353.66</v>
      </c>
      <c r="L2309">
        <v>9.5</v>
      </c>
      <c r="M2309" t="s">
        <v>2472</v>
      </c>
      <c r="N2309" t="s">
        <v>2467</v>
      </c>
      <c r="O2309" t="s">
        <v>2468</v>
      </c>
      <c r="P2309">
        <v>63.69</v>
      </c>
      <c r="Q2309">
        <v>125.5</v>
      </c>
      <c r="R2309">
        <v>254.76</v>
      </c>
      <c r="S2309">
        <v>89.400000000000034</v>
      </c>
      <c r="T2309">
        <v>0.2527851608889895</v>
      </c>
      <c r="U2309" s="1">
        <v>45839</v>
      </c>
      <c r="V2309" t="s">
        <v>2500</v>
      </c>
      <c r="W2309">
        <v>2025</v>
      </c>
    </row>
    <row r="2310" spans="1:23" x14ac:dyDescent="0.25">
      <c r="A2310" t="s">
        <v>2357</v>
      </c>
      <c r="B2310" s="1">
        <v>45841</v>
      </c>
      <c r="C2310" s="1">
        <v>45846</v>
      </c>
      <c r="D2310" t="s">
        <v>13</v>
      </c>
      <c r="E2310" t="s">
        <v>36</v>
      </c>
      <c r="F2310" t="s">
        <v>25</v>
      </c>
      <c r="G2310" t="s">
        <v>16</v>
      </c>
      <c r="H2310" t="s">
        <v>53</v>
      </c>
      <c r="I2310">
        <v>2</v>
      </c>
      <c r="J2310">
        <v>0.15</v>
      </c>
      <c r="K2310">
        <v>92.7</v>
      </c>
      <c r="L2310">
        <v>4.2</v>
      </c>
      <c r="M2310" t="s">
        <v>2470</v>
      </c>
      <c r="N2310" t="s">
        <v>2467</v>
      </c>
      <c r="O2310" t="s">
        <v>2459</v>
      </c>
      <c r="P2310">
        <v>31.34</v>
      </c>
      <c r="Q2310">
        <v>56.49</v>
      </c>
      <c r="R2310">
        <v>62.68</v>
      </c>
      <c r="S2310">
        <v>25.820000000000004</v>
      </c>
      <c r="T2310">
        <v>0.27853290183387275</v>
      </c>
      <c r="U2310" s="1">
        <v>45839</v>
      </c>
      <c r="V2310" t="s">
        <v>2500</v>
      </c>
      <c r="W2310">
        <v>2025</v>
      </c>
    </row>
    <row r="2311" spans="1:23" x14ac:dyDescent="0.25">
      <c r="A2311" t="s">
        <v>2358</v>
      </c>
      <c r="B2311" s="1">
        <v>45318</v>
      </c>
      <c r="C2311" s="1">
        <v>45319</v>
      </c>
      <c r="D2311" t="s">
        <v>23</v>
      </c>
      <c r="E2311" t="s">
        <v>24</v>
      </c>
      <c r="F2311" t="s">
        <v>15</v>
      </c>
      <c r="G2311" t="s">
        <v>26</v>
      </c>
      <c r="H2311" t="s">
        <v>63</v>
      </c>
      <c r="I2311">
        <v>8</v>
      </c>
      <c r="J2311">
        <v>0.15</v>
      </c>
      <c r="K2311">
        <v>75.38</v>
      </c>
      <c r="L2311">
        <v>8.1</v>
      </c>
      <c r="M2311" t="s">
        <v>2477</v>
      </c>
      <c r="N2311" t="s">
        <v>2474</v>
      </c>
      <c r="O2311" t="s">
        <v>2468</v>
      </c>
      <c r="P2311">
        <v>6.33</v>
      </c>
      <c r="Q2311">
        <v>12.16</v>
      </c>
      <c r="R2311">
        <v>50.64</v>
      </c>
      <c r="S2311">
        <v>16.639999999999993</v>
      </c>
      <c r="T2311">
        <v>0.22074820907402487</v>
      </c>
      <c r="U2311" s="1">
        <v>45292</v>
      </c>
      <c r="V2311" t="s">
        <v>2500</v>
      </c>
      <c r="W2311">
        <v>2024</v>
      </c>
    </row>
    <row r="2312" spans="1:23" x14ac:dyDescent="0.25">
      <c r="A2312" t="s">
        <v>2359</v>
      </c>
      <c r="B2312" s="1">
        <v>45942</v>
      </c>
      <c r="C2312" s="1">
        <v>45944</v>
      </c>
      <c r="D2312" t="s">
        <v>23</v>
      </c>
      <c r="E2312" t="s">
        <v>43</v>
      </c>
      <c r="F2312" t="s">
        <v>25</v>
      </c>
      <c r="G2312" t="s">
        <v>26</v>
      </c>
      <c r="H2312" t="s">
        <v>30</v>
      </c>
      <c r="I2312">
        <v>5</v>
      </c>
      <c r="J2312">
        <v>0.2</v>
      </c>
      <c r="K2312">
        <v>29</v>
      </c>
      <c r="L2312">
        <v>6.75</v>
      </c>
      <c r="M2312" t="s">
        <v>2473</v>
      </c>
      <c r="N2312" t="s">
        <v>2474</v>
      </c>
      <c r="O2312" t="s">
        <v>2463</v>
      </c>
      <c r="P2312">
        <v>3.62</v>
      </c>
      <c r="Q2312">
        <v>6.03</v>
      </c>
      <c r="R2312">
        <v>18.100000000000001</v>
      </c>
      <c r="S2312">
        <v>4.1499999999999986</v>
      </c>
      <c r="T2312">
        <v>0.14310344827586202</v>
      </c>
      <c r="U2312" s="1">
        <v>45931</v>
      </c>
      <c r="V2312" t="s">
        <v>2500</v>
      </c>
      <c r="W2312">
        <v>2025</v>
      </c>
    </row>
    <row r="2313" spans="1:23" x14ac:dyDescent="0.25">
      <c r="A2313" t="s">
        <v>2360</v>
      </c>
      <c r="B2313" s="1">
        <v>45792</v>
      </c>
      <c r="C2313" s="1">
        <v>45797</v>
      </c>
      <c r="D2313" t="s">
        <v>32</v>
      </c>
      <c r="E2313" t="s">
        <v>62</v>
      </c>
      <c r="F2313" t="s">
        <v>29</v>
      </c>
      <c r="G2313" t="s">
        <v>16</v>
      </c>
      <c r="H2313" t="s">
        <v>34</v>
      </c>
      <c r="I2313">
        <v>2</v>
      </c>
      <c r="J2313">
        <v>0.2</v>
      </c>
      <c r="K2313">
        <v>325.16000000000003</v>
      </c>
      <c r="L2313">
        <v>9.1</v>
      </c>
      <c r="M2313" t="s">
        <v>2460</v>
      </c>
      <c r="N2313" t="s">
        <v>2458</v>
      </c>
      <c r="O2313" t="s">
        <v>2461</v>
      </c>
      <c r="P2313">
        <v>119.02</v>
      </c>
      <c r="Q2313">
        <v>205.39</v>
      </c>
      <c r="R2313">
        <v>238.04</v>
      </c>
      <c r="S2313">
        <v>78.020000000000039</v>
      </c>
      <c r="T2313">
        <v>0.23994341247385911</v>
      </c>
      <c r="U2313" s="1">
        <v>45778</v>
      </c>
      <c r="V2313" t="s">
        <v>2500</v>
      </c>
      <c r="W2313">
        <v>2025</v>
      </c>
    </row>
    <row r="2314" spans="1:23" x14ac:dyDescent="0.25">
      <c r="A2314" t="s">
        <v>2361</v>
      </c>
      <c r="B2314" s="1">
        <v>45560</v>
      </c>
      <c r="C2314" s="1">
        <v>45562</v>
      </c>
      <c r="D2314" t="s">
        <v>13</v>
      </c>
      <c r="E2314" t="s">
        <v>14</v>
      </c>
      <c r="F2314" t="s">
        <v>25</v>
      </c>
      <c r="G2314" t="s">
        <v>16</v>
      </c>
      <c r="H2314" t="s">
        <v>53</v>
      </c>
      <c r="I2314">
        <v>5</v>
      </c>
      <c r="J2314">
        <v>0.05</v>
      </c>
      <c r="K2314">
        <v>298</v>
      </c>
      <c r="L2314">
        <v>6.45</v>
      </c>
      <c r="M2314" t="s">
        <v>2470</v>
      </c>
      <c r="N2314" t="s">
        <v>2467</v>
      </c>
      <c r="O2314" t="s">
        <v>2459</v>
      </c>
      <c r="P2314">
        <v>31.34</v>
      </c>
      <c r="Q2314">
        <v>56.49</v>
      </c>
      <c r="R2314">
        <v>156.69999999999999</v>
      </c>
      <c r="S2314">
        <v>134.85000000000002</v>
      </c>
      <c r="T2314">
        <v>0.45251677852348998</v>
      </c>
      <c r="U2314" s="1">
        <v>45536</v>
      </c>
      <c r="V2314" t="s">
        <v>2498</v>
      </c>
      <c r="W2314">
        <v>2024</v>
      </c>
    </row>
    <row r="2315" spans="1:23" x14ac:dyDescent="0.25">
      <c r="A2315" t="s">
        <v>2362</v>
      </c>
      <c r="B2315" s="1">
        <v>45587</v>
      </c>
      <c r="C2315" s="1">
        <v>45590</v>
      </c>
      <c r="D2315" t="s">
        <v>32</v>
      </c>
      <c r="E2315" t="s">
        <v>33</v>
      </c>
      <c r="F2315" t="s">
        <v>25</v>
      </c>
      <c r="G2315" t="s">
        <v>26</v>
      </c>
      <c r="H2315" t="s">
        <v>17</v>
      </c>
      <c r="I2315">
        <v>3</v>
      </c>
      <c r="J2315">
        <v>0</v>
      </c>
      <c r="K2315">
        <v>430.88</v>
      </c>
      <c r="L2315">
        <v>8.25</v>
      </c>
      <c r="M2315" t="s">
        <v>2472</v>
      </c>
      <c r="N2315" t="s">
        <v>2467</v>
      </c>
      <c r="O2315" t="s">
        <v>2468</v>
      </c>
      <c r="P2315">
        <v>63.69</v>
      </c>
      <c r="Q2315">
        <v>125.5</v>
      </c>
      <c r="R2315">
        <v>191.07</v>
      </c>
      <c r="S2315">
        <v>231.56</v>
      </c>
      <c r="T2315">
        <v>0.53741180839212777</v>
      </c>
      <c r="U2315" s="1">
        <v>45566</v>
      </c>
      <c r="V2315" t="s">
        <v>2499</v>
      </c>
      <c r="W2315">
        <v>2024</v>
      </c>
    </row>
    <row r="2316" spans="1:23" x14ac:dyDescent="0.25">
      <c r="A2316" t="s">
        <v>2363</v>
      </c>
      <c r="B2316" s="1">
        <v>45576</v>
      </c>
      <c r="C2316" s="1">
        <v>45580</v>
      </c>
      <c r="D2316" t="s">
        <v>23</v>
      </c>
      <c r="E2316" t="s">
        <v>24</v>
      </c>
      <c r="F2316" t="s">
        <v>15</v>
      </c>
      <c r="G2316" t="s">
        <v>20</v>
      </c>
      <c r="H2316" t="s">
        <v>53</v>
      </c>
      <c r="I2316">
        <v>3</v>
      </c>
      <c r="J2316">
        <v>0</v>
      </c>
      <c r="K2316">
        <v>204.37</v>
      </c>
      <c r="L2316">
        <v>8.25</v>
      </c>
      <c r="M2316" t="s">
        <v>2470</v>
      </c>
      <c r="N2316" t="s">
        <v>2467</v>
      </c>
      <c r="O2316" t="s">
        <v>2459</v>
      </c>
      <c r="P2316">
        <v>31.34</v>
      </c>
      <c r="Q2316">
        <v>56.49</v>
      </c>
      <c r="R2316">
        <v>94.02</v>
      </c>
      <c r="S2316">
        <v>102.10000000000001</v>
      </c>
      <c r="T2316">
        <v>0.4995840876841024</v>
      </c>
      <c r="U2316" s="1">
        <v>45566</v>
      </c>
      <c r="V2316" t="s">
        <v>2499</v>
      </c>
      <c r="W2316">
        <v>2024</v>
      </c>
    </row>
    <row r="2317" spans="1:23" x14ac:dyDescent="0.25">
      <c r="A2317" t="s">
        <v>2364</v>
      </c>
      <c r="B2317" s="1">
        <v>45955</v>
      </c>
      <c r="C2317" s="1">
        <v>45958</v>
      </c>
      <c r="D2317" t="s">
        <v>32</v>
      </c>
      <c r="E2317" t="s">
        <v>45</v>
      </c>
      <c r="F2317" t="s">
        <v>29</v>
      </c>
      <c r="G2317" t="s">
        <v>16</v>
      </c>
      <c r="H2317" t="s">
        <v>17</v>
      </c>
      <c r="I2317">
        <v>1</v>
      </c>
      <c r="J2317">
        <v>0</v>
      </c>
      <c r="K2317">
        <v>145.58000000000001</v>
      </c>
      <c r="L2317">
        <v>5.75</v>
      </c>
      <c r="M2317" t="s">
        <v>2472</v>
      </c>
      <c r="N2317" t="s">
        <v>2467</v>
      </c>
      <c r="O2317" t="s">
        <v>2468</v>
      </c>
      <c r="P2317">
        <v>63.69</v>
      </c>
      <c r="Q2317">
        <v>125.5</v>
      </c>
      <c r="R2317">
        <v>63.69</v>
      </c>
      <c r="S2317">
        <v>76.140000000000015</v>
      </c>
      <c r="T2317">
        <v>0.5230114026652013</v>
      </c>
      <c r="U2317" s="1">
        <v>45931</v>
      </c>
      <c r="V2317" t="s">
        <v>2499</v>
      </c>
      <c r="W2317">
        <v>2025</v>
      </c>
    </row>
    <row r="2318" spans="1:23" x14ac:dyDescent="0.25">
      <c r="A2318" t="s">
        <v>2365</v>
      </c>
      <c r="B2318" s="1">
        <v>45745</v>
      </c>
      <c r="C2318" s="1">
        <v>45750</v>
      </c>
      <c r="D2318" t="s">
        <v>13</v>
      </c>
      <c r="E2318" t="s">
        <v>19</v>
      </c>
      <c r="F2318" t="s">
        <v>25</v>
      </c>
      <c r="G2318" t="s">
        <v>26</v>
      </c>
      <c r="H2318" t="s">
        <v>34</v>
      </c>
      <c r="I2318">
        <v>4</v>
      </c>
      <c r="J2318">
        <v>0</v>
      </c>
      <c r="K2318">
        <v>730.35</v>
      </c>
      <c r="L2318">
        <v>8.2200000000000006</v>
      </c>
      <c r="M2318" t="s">
        <v>2460</v>
      </c>
      <c r="N2318" t="s">
        <v>2458</v>
      </c>
      <c r="O2318" t="s">
        <v>2461</v>
      </c>
      <c r="P2318">
        <v>119.02</v>
      </c>
      <c r="Q2318">
        <v>205.39</v>
      </c>
      <c r="R2318">
        <v>476.08</v>
      </c>
      <c r="S2318">
        <v>246.05000000000004</v>
      </c>
      <c r="T2318">
        <v>0.3368932703498323</v>
      </c>
      <c r="U2318" s="1">
        <v>45717</v>
      </c>
      <c r="V2318" t="s">
        <v>2499</v>
      </c>
      <c r="W2318">
        <v>2025</v>
      </c>
    </row>
    <row r="2319" spans="1:23" x14ac:dyDescent="0.25">
      <c r="A2319" t="s">
        <v>2366</v>
      </c>
      <c r="B2319" s="1">
        <v>45603</v>
      </c>
      <c r="C2319" s="1">
        <v>45607</v>
      </c>
      <c r="D2319" t="s">
        <v>47</v>
      </c>
      <c r="E2319" t="s">
        <v>48</v>
      </c>
      <c r="F2319" t="s">
        <v>29</v>
      </c>
      <c r="G2319" t="s">
        <v>20</v>
      </c>
      <c r="H2319" t="s">
        <v>30</v>
      </c>
      <c r="I2319">
        <v>8</v>
      </c>
      <c r="J2319">
        <v>0</v>
      </c>
      <c r="K2319">
        <v>66.739999999999995</v>
      </c>
      <c r="L2319">
        <v>4.8600000000000003</v>
      </c>
      <c r="M2319" t="s">
        <v>2473</v>
      </c>
      <c r="N2319" t="s">
        <v>2474</v>
      </c>
      <c r="O2319" t="s">
        <v>2463</v>
      </c>
      <c r="P2319">
        <v>3.62</v>
      </c>
      <c r="Q2319">
        <v>6.03</v>
      </c>
      <c r="R2319">
        <v>28.96</v>
      </c>
      <c r="S2319">
        <v>32.919999999999995</v>
      </c>
      <c r="T2319">
        <v>0.49325741684147434</v>
      </c>
      <c r="U2319" s="1">
        <v>45597</v>
      </c>
      <c r="V2319" t="s">
        <v>2499</v>
      </c>
      <c r="W2319">
        <v>2024</v>
      </c>
    </row>
    <row r="2320" spans="1:23" x14ac:dyDescent="0.25">
      <c r="A2320" t="s">
        <v>2367</v>
      </c>
      <c r="B2320" s="1">
        <v>45600</v>
      </c>
      <c r="C2320" s="1">
        <v>45606</v>
      </c>
      <c r="D2320" t="s">
        <v>47</v>
      </c>
      <c r="E2320" t="s">
        <v>50</v>
      </c>
      <c r="F2320" t="s">
        <v>15</v>
      </c>
      <c r="G2320" t="s">
        <v>20</v>
      </c>
      <c r="H2320" t="s">
        <v>87</v>
      </c>
      <c r="I2320">
        <v>8</v>
      </c>
      <c r="J2320">
        <v>0.05</v>
      </c>
      <c r="K2320">
        <v>83.53</v>
      </c>
      <c r="L2320">
        <v>4.8600000000000003</v>
      </c>
      <c r="M2320" t="s">
        <v>2476</v>
      </c>
      <c r="N2320" t="s">
        <v>2474</v>
      </c>
      <c r="O2320" t="s">
        <v>2459</v>
      </c>
      <c r="P2320">
        <v>4.5</v>
      </c>
      <c r="Q2320">
        <v>8.2899999999999991</v>
      </c>
      <c r="R2320">
        <v>36</v>
      </c>
      <c r="S2320">
        <v>42.67</v>
      </c>
      <c r="T2320">
        <v>0.51083443074344548</v>
      </c>
      <c r="U2320" s="1">
        <v>45597</v>
      </c>
      <c r="V2320" t="s">
        <v>2498</v>
      </c>
      <c r="W2320">
        <v>2024</v>
      </c>
    </row>
    <row r="2321" spans="1:23" x14ac:dyDescent="0.25">
      <c r="A2321" t="s">
        <v>2368</v>
      </c>
      <c r="B2321" s="1">
        <v>45329</v>
      </c>
      <c r="C2321" s="1">
        <v>45330</v>
      </c>
      <c r="D2321" t="s">
        <v>32</v>
      </c>
      <c r="E2321" t="s">
        <v>45</v>
      </c>
      <c r="F2321" t="s">
        <v>15</v>
      </c>
      <c r="G2321" t="s">
        <v>16</v>
      </c>
      <c r="H2321" t="s">
        <v>65</v>
      </c>
      <c r="I2321">
        <v>2</v>
      </c>
      <c r="J2321">
        <v>0</v>
      </c>
      <c r="K2321">
        <v>538.79999999999995</v>
      </c>
      <c r="L2321">
        <v>9.1</v>
      </c>
      <c r="M2321" t="s">
        <v>2457</v>
      </c>
      <c r="N2321" t="s">
        <v>2458</v>
      </c>
      <c r="O2321" t="s">
        <v>2459</v>
      </c>
      <c r="P2321">
        <v>173.56</v>
      </c>
      <c r="Q2321">
        <v>286.14999999999998</v>
      </c>
      <c r="R2321">
        <v>347.12</v>
      </c>
      <c r="S2321">
        <v>182.57999999999996</v>
      </c>
      <c r="T2321">
        <v>0.33886414253897545</v>
      </c>
      <c r="U2321" s="1">
        <v>45323</v>
      </c>
      <c r="V2321" t="s">
        <v>2499</v>
      </c>
      <c r="W2321">
        <v>2024</v>
      </c>
    </row>
    <row r="2322" spans="1:23" x14ac:dyDescent="0.25">
      <c r="A2322" t="s">
        <v>2369</v>
      </c>
      <c r="B2322" s="1">
        <v>45660</v>
      </c>
      <c r="C2322" s="1">
        <v>45663</v>
      </c>
      <c r="D2322" t="s">
        <v>47</v>
      </c>
      <c r="E2322" t="s">
        <v>48</v>
      </c>
      <c r="F2322" t="s">
        <v>25</v>
      </c>
      <c r="G2322" t="s">
        <v>20</v>
      </c>
      <c r="H2322" t="s">
        <v>17</v>
      </c>
      <c r="I2322">
        <v>2</v>
      </c>
      <c r="J2322">
        <v>0.05</v>
      </c>
      <c r="K2322">
        <v>198.31</v>
      </c>
      <c r="L2322">
        <v>4.2</v>
      </c>
      <c r="M2322" t="s">
        <v>2472</v>
      </c>
      <c r="N2322" t="s">
        <v>2467</v>
      </c>
      <c r="O2322" t="s">
        <v>2468</v>
      </c>
      <c r="P2322">
        <v>63.69</v>
      </c>
      <c r="Q2322">
        <v>125.5</v>
      </c>
      <c r="R2322">
        <v>127.38</v>
      </c>
      <c r="S2322">
        <v>66.73</v>
      </c>
      <c r="T2322">
        <v>0.33649336896777776</v>
      </c>
      <c r="U2322" s="1">
        <v>45658</v>
      </c>
      <c r="V2322" t="s">
        <v>2498</v>
      </c>
      <c r="W2322">
        <v>2025</v>
      </c>
    </row>
    <row r="2323" spans="1:23" x14ac:dyDescent="0.25">
      <c r="A2323" t="s">
        <v>2370</v>
      </c>
      <c r="B2323" s="1">
        <v>45829</v>
      </c>
      <c r="C2323" s="1">
        <v>45835</v>
      </c>
      <c r="D2323" t="s">
        <v>32</v>
      </c>
      <c r="E2323" t="s">
        <v>62</v>
      </c>
      <c r="F2323" t="s">
        <v>15</v>
      </c>
      <c r="G2323" t="s">
        <v>26</v>
      </c>
      <c r="H2323" t="s">
        <v>39</v>
      </c>
      <c r="I2323">
        <v>3</v>
      </c>
      <c r="J2323">
        <v>0</v>
      </c>
      <c r="K2323">
        <v>631.41</v>
      </c>
      <c r="L2323">
        <v>8.25</v>
      </c>
      <c r="M2323" t="s">
        <v>2471</v>
      </c>
      <c r="N2323" t="s">
        <v>2467</v>
      </c>
      <c r="O2323" t="s">
        <v>2461</v>
      </c>
      <c r="P2323">
        <v>112.09</v>
      </c>
      <c r="Q2323">
        <v>192.47</v>
      </c>
      <c r="R2323">
        <v>336.27</v>
      </c>
      <c r="S2323">
        <v>286.89</v>
      </c>
      <c r="T2323">
        <v>0.45436404238133699</v>
      </c>
      <c r="U2323" s="1">
        <v>45809</v>
      </c>
      <c r="V2323" t="s">
        <v>2499</v>
      </c>
      <c r="W2323">
        <v>2025</v>
      </c>
    </row>
    <row r="2324" spans="1:23" x14ac:dyDescent="0.25">
      <c r="A2324" t="s">
        <v>2371</v>
      </c>
      <c r="B2324" s="1">
        <v>45582</v>
      </c>
      <c r="C2324" s="1">
        <v>45584</v>
      </c>
      <c r="D2324" t="s">
        <v>47</v>
      </c>
      <c r="E2324" t="s">
        <v>71</v>
      </c>
      <c r="F2324" t="s">
        <v>25</v>
      </c>
      <c r="G2324" t="s">
        <v>26</v>
      </c>
      <c r="H2324" t="s">
        <v>65</v>
      </c>
      <c r="I2324">
        <v>4</v>
      </c>
      <c r="J2324">
        <v>0</v>
      </c>
      <c r="K2324">
        <v>1265.55</v>
      </c>
      <c r="L2324">
        <v>13.7</v>
      </c>
      <c r="M2324" t="s">
        <v>2457</v>
      </c>
      <c r="N2324" t="s">
        <v>2458</v>
      </c>
      <c r="O2324" t="s">
        <v>2459</v>
      </c>
      <c r="P2324">
        <v>173.56</v>
      </c>
      <c r="Q2324">
        <v>286.14999999999998</v>
      </c>
      <c r="R2324">
        <v>694.24</v>
      </c>
      <c r="S2324">
        <v>557.6099999999999</v>
      </c>
      <c r="T2324">
        <v>0.44060685077634226</v>
      </c>
      <c r="U2324" s="1">
        <v>45566</v>
      </c>
      <c r="V2324" t="s">
        <v>2499</v>
      </c>
      <c r="W2324">
        <v>2024</v>
      </c>
    </row>
    <row r="2325" spans="1:23" x14ac:dyDescent="0.25">
      <c r="A2325" t="s">
        <v>2372</v>
      </c>
      <c r="B2325" s="1">
        <v>45911</v>
      </c>
      <c r="C2325" s="1">
        <v>45914</v>
      </c>
      <c r="D2325" t="s">
        <v>13</v>
      </c>
      <c r="E2325" t="s">
        <v>14</v>
      </c>
      <c r="F2325" t="s">
        <v>25</v>
      </c>
      <c r="G2325" t="s">
        <v>20</v>
      </c>
      <c r="H2325" t="s">
        <v>65</v>
      </c>
      <c r="I2325">
        <v>2</v>
      </c>
      <c r="J2325">
        <v>0.2</v>
      </c>
      <c r="K2325">
        <v>483.79</v>
      </c>
      <c r="L2325">
        <v>9.1</v>
      </c>
      <c r="M2325" t="s">
        <v>2457</v>
      </c>
      <c r="N2325" t="s">
        <v>2458</v>
      </c>
      <c r="O2325" t="s">
        <v>2459</v>
      </c>
      <c r="P2325">
        <v>173.56</v>
      </c>
      <c r="Q2325">
        <v>286.14999999999998</v>
      </c>
      <c r="R2325">
        <v>347.12</v>
      </c>
      <c r="S2325">
        <v>127.57000000000002</v>
      </c>
      <c r="T2325">
        <v>0.2636887905909589</v>
      </c>
      <c r="U2325" s="1">
        <v>45901</v>
      </c>
      <c r="V2325" t="s">
        <v>2500</v>
      </c>
      <c r="W2325">
        <v>2025</v>
      </c>
    </row>
    <row r="2326" spans="1:23" x14ac:dyDescent="0.25">
      <c r="A2326" t="s">
        <v>2373</v>
      </c>
      <c r="B2326" s="1">
        <v>45905</v>
      </c>
      <c r="C2326" s="1">
        <v>45909</v>
      </c>
      <c r="D2326" t="s">
        <v>32</v>
      </c>
      <c r="E2326" t="s">
        <v>62</v>
      </c>
      <c r="F2326" t="s">
        <v>25</v>
      </c>
      <c r="G2326" t="s">
        <v>16</v>
      </c>
      <c r="H2326" t="s">
        <v>87</v>
      </c>
      <c r="I2326">
        <v>9</v>
      </c>
      <c r="J2326">
        <v>0</v>
      </c>
      <c r="K2326">
        <v>77.959999999999994</v>
      </c>
      <c r="L2326">
        <v>8.5500000000000007</v>
      </c>
      <c r="M2326" t="s">
        <v>2476</v>
      </c>
      <c r="N2326" t="s">
        <v>2474</v>
      </c>
      <c r="O2326" t="s">
        <v>2459</v>
      </c>
      <c r="P2326">
        <v>4.5</v>
      </c>
      <c r="Q2326">
        <v>8.2899999999999991</v>
      </c>
      <c r="R2326">
        <v>40.5</v>
      </c>
      <c r="S2326">
        <v>28.909999999999993</v>
      </c>
      <c r="T2326">
        <v>0.37083119548486398</v>
      </c>
      <c r="U2326" s="1">
        <v>45901</v>
      </c>
      <c r="V2326" t="s">
        <v>2499</v>
      </c>
      <c r="W2326">
        <v>2025</v>
      </c>
    </row>
    <row r="2327" spans="1:23" x14ac:dyDescent="0.25">
      <c r="A2327" t="s">
        <v>2374</v>
      </c>
      <c r="B2327" s="1">
        <v>45653</v>
      </c>
      <c r="C2327" s="1">
        <v>45656</v>
      </c>
      <c r="D2327" t="s">
        <v>32</v>
      </c>
      <c r="E2327" t="s">
        <v>62</v>
      </c>
      <c r="F2327" t="s">
        <v>25</v>
      </c>
      <c r="G2327" t="s">
        <v>20</v>
      </c>
      <c r="H2327" t="s">
        <v>60</v>
      </c>
      <c r="I2327">
        <v>4</v>
      </c>
      <c r="J2327">
        <v>0.2</v>
      </c>
      <c r="K2327">
        <v>524.52</v>
      </c>
      <c r="L2327">
        <v>5.7</v>
      </c>
      <c r="M2327" t="s">
        <v>2469</v>
      </c>
      <c r="N2327" t="s">
        <v>2467</v>
      </c>
      <c r="O2327" t="s">
        <v>2468</v>
      </c>
      <c r="P2327">
        <v>54.95</v>
      </c>
      <c r="Q2327">
        <v>112.56</v>
      </c>
      <c r="R2327">
        <v>219.8</v>
      </c>
      <c r="S2327">
        <v>299.02</v>
      </c>
      <c r="T2327">
        <v>0.5700831236177839</v>
      </c>
      <c r="U2327" s="1">
        <v>45627</v>
      </c>
      <c r="V2327" t="s">
        <v>2500</v>
      </c>
      <c r="W2327">
        <v>2024</v>
      </c>
    </row>
    <row r="2328" spans="1:23" x14ac:dyDescent="0.25">
      <c r="A2328" t="s">
        <v>2375</v>
      </c>
      <c r="B2328" s="1">
        <v>45943</v>
      </c>
      <c r="C2328" s="1">
        <v>45944</v>
      </c>
      <c r="D2328" t="s">
        <v>23</v>
      </c>
      <c r="E2328" t="s">
        <v>43</v>
      </c>
      <c r="F2328" t="s">
        <v>25</v>
      </c>
      <c r="G2328" t="s">
        <v>16</v>
      </c>
      <c r="H2328" t="s">
        <v>37</v>
      </c>
      <c r="I2328">
        <v>2</v>
      </c>
      <c r="J2328">
        <v>0.2</v>
      </c>
      <c r="K2328">
        <v>208.38</v>
      </c>
      <c r="L2328">
        <v>5.46</v>
      </c>
      <c r="M2328" t="s">
        <v>2464</v>
      </c>
      <c r="N2328" t="s">
        <v>2458</v>
      </c>
      <c r="O2328" t="s">
        <v>2465</v>
      </c>
      <c r="P2328">
        <v>63.6</v>
      </c>
      <c r="Q2328">
        <v>107.94</v>
      </c>
      <c r="R2328">
        <v>127.2</v>
      </c>
      <c r="S2328">
        <v>75.72</v>
      </c>
      <c r="T2328">
        <v>0.36337460408868416</v>
      </c>
      <c r="U2328" s="1">
        <v>45931</v>
      </c>
      <c r="V2328" t="s">
        <v>2500</v>
      </c>
      <c r="W2328">
        <v>2025</v>
      </c>
    </row>
    <row r="2329" spans="1:23" x14ac:dyDescent="0.25">
      <c r="A2329" t="s">
        <v>2376</v>
      </c>
      <c r="B2329" s="1">
        <v>45312</v>
      </c>
      <c r="C2329" s="1">
        <v>45316</v>
      </c>
      <c r="D2329" t="s">
        <v>47</v>
      </c>
      <c r="E2329" t="s">
        <v>48</v>
      </c>
      <c r="F2329" t="s">
        <v>15</v>
      </c>
      <c r="G2329" t="s">
        <v>20</v>
      </c>
      <c r="H2329" t="s">
        <v>34</v>
      </c>
      <c r="I2329">
        <v>4</v>
      </c>
      <c r="J2329">
        <v>0</v>
      </c>
      <c r="K2329">
        <v>726.76</v>
      </c>
      <c r="L2329">
        <v>13.7</v>
      </c>
      <c r="M2329" t="s">
        <v>2460</v>
      </c>
      <c r="N2329" t="s">
        <v>2458</v>
      </c>
      <c r="O2329" t="s">
        <v>2461</v>
      </c>
      <c r="P2329">
        <v>119.02</v>
      </c>
      <c r="Q2329">
        <v>205.39</v>
      </c>
      <c r="R2329">
        <v>476.08</v>
      </c>
      <c r="S2329">
        <v>236.98000000000002</v>
      </c>
      <c r="T2329">
        <v>0.32607738455611207</v>
      </c>
      <c r="U2329" s="1">
        <v>45292</v>
      </c>
      <c r="V2329" t="s">
        <v>2499</v>
      </c>
      <c r="W2329">
        <v>2024</v>
      </c>
    </row>
    <row r="2330" spans="1:23" x14ac:dyDescent="0.25">
      <c r="A2330" t="s">
        <v>2377</v>
      </c>
      <c r="B2330" s="1">
        <v>45827</v>
      </c>
      <c r="C2330" s="1">
        <v>45832</v>
      </c>
      <c r="D2330" t="s">
        <v>47</v>
      </c>
      <c r="E2330" t="s">
        <v>71</v>
      </c>
      <c r="F2330" t="s">
        <v>25</v>
      </c>
      <c r="G2330" t="s">
        <v>20</v>
      </c>
      <c r="H2330" t="s">
        <v>51</v>
      </c>
      <c r="I2330">
        <v>14</v>
      </c>
      <c r="J2330">
        <v>0</v>
      </c>
      <c r="K2330">
        <v>212.23</v>
      </c>
      <c r="L2330">
        <v>6.48</v>
      </c>
      <c r="M2330" t="s">
        <v>2475</v>
      </c>
      <c r="N2330" t="s">
        <v>2474</v>
      </c>
      <c r="O2330" t="s">
        <v>2463</v>
      </c>
      <c r="P2330">
        <v>7.93</v>
      </c>
      <c r="Q2330">
        <v>14.78</v>
      </c>
      <c r="R2330">
        <v>111.02</v>
      </c>
      <c r="S2330">
        <v>94.72999999999999</v>
      </c>
      <c r="T2330">
        <v>0.44635536917495167</v>
      </c>
      <c r="U2330" s="1">
        <v>45809</v>
      </c>
      <c r="V2330" t="s">
        <v>2499</v>
      </c>
      <c r="W2330">
        <v>2025</v>
      </c>
    </row>
    <row r="2331" spans="1:23" x14ac:dyDescent="0.25">
      <c r="A2331" t="s">
        <v>2378</v>
      </c>
      <c r="B2331" s="1">
        <v>45744</v>
      </c>
      <c r="C2331" s="1">
        <v>45746</v>
      </c>
      <c r="D2331" t="s">
        <v>47</v>
      </c>
      <c r="E2331" t="s">
        <v>50</v>
      </c>
      <c r="F2331" t="s">
        <v>15</v>
      </c>
      <c r="G2331" t="s">
        <v>16</v>
      </c>
      <c r="H2331" t="s">
        <v>37</v>
      </c>
      <c r="I2331">
        <v>2</v>
      </c>
      <c r="J2331">
        <v>0.25</v>
      </c>
      <c r="K2331">
        <v>150.02000000000001</v>
      </c>
      <c r="L2331">
        <v>9.1</v>
      </c>
      <c r="M2331" t="s">
        <v>2464</v>
      </c>
      <c r="N2331" t="s">
        <v>2458</v>
      </c>
      <c r="O2331" t="s">
        <v>2465</v>
      </c>
      <c r="P2331">
        <v>63.6</v>
      </c>
      <c r="Q2331">
        <v>107.94</v>
      </c>
      <c r="R2331">
        <v>127.2</v>
      </c>
      <c r="S2331">
        <v>13.720000000000008</v>
      </c>
      <c r="T2331">
        <v>9.1454472736968453E-2</v>
      </c>
      <c r="U2331" s="1">
        <v>45717</v>
      </c>
      <c r="V2331" t="s">
        <v>2501</v>
      </c>
      <c r="W2331">
        <v>2025</v>
      </c>
    </row>
    <row r="2332" spans="1:23" x14ac:dyDescent="0.25">
      <c r="A2332" t="s">
        <v>2379</v>
      </c>
      <c r="B2332" s="1">
        <v>45984</v>
      </c>
      <c r="C2332" s="1">
        <v>45988</v>
      </c>
      <c r="D2332" t="s">
        <v>23</v>
      </c>
      <c r="E2332" t="s">
        <v>59</v>
      </c>
      <c r="F2332" t="s">
        <v>25</v>
      </c>
      <c r="G2332" t="s">
        <v>20</v>
      </c>
      <c r="H2332" t="s">
        <v>53</v>
      </c>
      <c r="I2332">
        <v>1</v>
      </c>
      <c r="J2332">
        <v>0.25</v>
      </c>
      <c r="K2332">
        <v>55.31</v>
      </c>
      <c r="L2332">
        <v>3.45</v>
      </c>
      <c r="M2332" t="s">
        <v>2470</v>
      </c>
      <c r="N2332" t="s">
        <v>2467</v>
      </c>
      <c r="O2332" t="s">
        <v>2459</v>
      </c>
      <c r="P2332">
        <v>31.34</v>
      </c>
      <c r="Q2332">
        <v>56.49</v>
      </c>
      <c r="R2332">
        <v>31.34</v>
      </c>
      <c r="S2332">
        <v>20.520000000000003</v>
      </c>
      <c r="T2332">
        <v>0.37099981920086789</v>
      </c>
      <c r="U2332" s="1">
        <v>45962</v>
      </c>
      <c r="V2332" t="s">
        <v>2501</v>
      </c>
      <c r="W2332">
        <v>2025</v>
      </c>
    </row>
    <row r="2333" spans="1:23" x14ac:dyDescent="0.25">
      <c r="A2333" t="s">
        <v>2380</v>
      </c>
      <c r="B2333" s="1">
        <v>45577</v>
      </c>
      <c r="C2333" s="1">
        <v>45583</v>
      </c>
      <c r="D2333" t="s">
        <v>32</v>
      </c>
      <c r="E2333" t="s">
        <v>62</v>
      </c>
      <c r="F2333" t="s">
        <v>25</v>
      </c>
      <c r="G2333" t="s">
        <v>16</v>
      </c>
      <c r="H2333" t="s">
        <v>41</v>
      </c>
      <c r="I2333">
        <v>9</v>
      </c>
      <c r="J2333">
        <v>0.1</v>
      </c>
      <c r="K2333">
        <v>56.89</v>
      </c>
      <c r="L2333">
        <v>8.5500000000000007</v>
      </c>
      <c r="M2333" t="s">
        <v>2479</v>
      </c>
      <c r="N2333" t="s">
        <v>2474</v>
      </c>
      <c r="O2333" t="s">
        <v>2459</v>
      </c>
      <c r="P2333">
        <v>3.3</v>
      </c>
      <c r="Q2333">
        <v>6.13</v>
      </c>
      <c r="R2333">
        <v>29.7</v>
      </c>
      <c r="S2333">
        <v>18.64</v>
      </c>
      <c r="T2333">
        <v>0.32764985058885571</v>
      </c>
      <c r="U2333" s="1">
        <v>45566</v>
      </c>
      <c r="V2333" t="s">
        <v>2498</v>
      </c>
      <c r="W2333">
        <v>2024</v>
      </c>
    </row>
    <row r="2334" spans="1:23" x14ac:dyDescent="0.25">
      <c r="A2334" t="s">
        <v>2381</v>
      </c>
      <c r="B2334" s="1">
        <v>45387</v>
      </c>
      <c r="C2334" s="1">
        <v>45392</v>
      </c>
      <c r="D2334" t="s">
        <v>23</v>
      </c>
      <c r="E2334" t="s">
        <v>43</v>
      </c>
      <c r="F2334" t="s">
        <v>15</v>
      </c>
      <c r="G2334" t="s">
        <v>26</v>
      </c>
      <c r="H2334" t="s">
        <v>65</v>
      </c>
      <c r="I2334">
        <v>3</v>
      </c>
      <c r="J2334">
        <v>0</v>
      </c>
      <c r="K2334">
        <v>852.92</v>
      </c>
      <c r="L2334">
        <v>6.84</v>
      </c>
      <c r="M2334" t="s">
        <v>2457</v>
      </c>
      <c r="N2334" t="s">
        <v>2458</v>
      </c>
      <c r="O2334" t="s">
        <v>2459</v>
      </c>
      <c r="P2334">
        <v>173.56</v>
      </c>
      <c r="Q2334">
        <v>286.14999999999998</v>
      </c>
      <c r="R2334">
        <v>520.68000000000006</v>
      </c>
      <c r="S2334">
        <v>325.39999999999992</v>
      </c>
      <c r="T2334">
        <v>0.38151292032078032</v>
      </c>
      <c r="U2334" s="1">
        <v>45383</v>
      </c>
      <c r="V2334" t="s">
        <v>2499</v>
      </c>
      <c r="W2334">
        <v>2024</v>
      </c>
    </row>
    <row r="2335" spans="1:23" x14ac:dyDescent="0.25">
      <c r="A2335" t="s">
        <v>2382</v>
      </c>
      <c r="B2335" s="1">
        <v>45933</v>
      </c>
      <c r="C2335" s="1">
        <v>45934</v>
      </c>
      <c r="D2335" t="s">
        <v>47</v>
      </c>
      <c r="E2335" t="s">
        <v>48</v>
      </c>
      <c r="F2335" t="s">
        <v>25</v>
      </c>
      <c r="G2335" t="s">
        <v>26</v>
      </c>
      <c r="H2335" t="s">
        <v>87</v>
      </c>
      <c r="I2335">
        <v>8</v>
      </c>
      <c r="J2335">
        <v>0.15</v>
      </c>
      <c r="K2335">
        <v>67.83</v>
      </c>
      <c r="L2335">
        <v>8.1</v>
      </c>
      <c r="M2335" t="s">
        <v>2476</v>
      </c>
      <c r="N2335" t="s">
        <v>2474</v>
      </c>
      <c r="O2335" t="s">
        <v>2459</v>
      </c>
      <c r="P2335">
        <v>4.5</v>
      </c>
      <c r="Q2335">
        <v>8.2899999999999991</v>
      </c>
      <c r="R2335">
        <v>36</v>
      </c>
      <c r="S2335">
        <v>23.729999999999997</v>
      </c>
      <c r="T2335">
        <v>0.34984520123839008</v>
      </c>
      <c r="U2335" s="1">
        <v>45931</v>
      </c>
      <c r="V2335" t="s">
        <v>2500</v>
      </c>
      <c r="W2335">
        <v>2025</v>
      </c>
    </row>
    <row r="2336" spans="1:23" x14ac:dyDescent="0.25">
      <c r="A2336" t="s">
        <v>2383</v>
      </c>
      <c r="B2336" s="1">
        <v>45305</v>
      </c>
      <c r="C2336" s="1">
        <v>45309</v>
      </c>
      <c r="D2336" t="s">
        <v>23</v>
      </c>
      <c r="E2336" t="s">
        <v>24</v>
      </c>
      <c r="F2336" t="s">
        <v>15</v>
      </c>
      <c r="G2336" t="s">
        <v>16</v>
      </c>
      <c r="H2336" t="s">
        <v>51</v>
      </c>
      <c r="I2336">
        <v>18</v>
      </c>
      <c r="J2336">
        <v>0.2</v>
      </c>
      <c r="K2336">
        <v>178.7</v>
      </c>
      <c r="L2336">
        <v>7.56</v>
      </c>
      <c r="M2336" t="s">
        <v>2475</v>
      </c>
      <c r="N2336" t="s">
        <v>2474</v>
      </c>
      <c r="O2336" t="s">
        <v>2463</v>
      </c>
      <c r="P2336">
        <v>7.93</v>
      </c>
      <c r="Q2336">
        <v>14.78</v>
      </c>
      <c r="R2336">
        <v>142.74</v>
      </c>
      <c r="S2336">
        <v>28.399999999999981</v>
      </c>
      <c r="T2336">
        <v>0.15892557358701725</v>
      </c>
      <c r="U2336" s="1">
        <v>45292</v>
      </c>
      <c r="V2336" t="s">
        <v>2500</v>
      </c>
      <c r="W2336">
        <v>2024</v>
      </c>
    </row>
    <row r="2337" spans="1:23" x14ac:dyDescent="0.25">
      <c r="A2337" t="s">
        <v>2384</v>
      </c>
      <c r="B2337" s="1">
        <v>45796</v>
      </c>
      <c r="C2337" s="1">
        <v>45800</v>
      </c>
      <c r="D2337" t="s">
        <v>23</v>
      </c>
      <c r="E2337" t="s">
        <v>43</v>
      </c>
      <c r="F2337" t="s">
        <v>25</v>
      </c>
      <c r="G2337" t="s">
        <v>16</v>
      </c>
      <c r="H2337" t="s">
        <v>21</v>
      </c>
      <c r="I2337">
        <v>4</v>
      </c>
      <c r="J2337">
        <v>0.15</v>
      </c>
      <c r="K2337">
        <v>370.94</v>
      </c>
      <c r="L2337">
        <v>8.2200000000000006</v>
      </c>
      <c r="M2337" t="s">
        <v>2462</v>
      </c>
      <c r="N2337" t="s">
        <v>2458</v>
      </c>
      <c r="O2337" t="s">
        <v>2463</v>
      </c>
      <c r="P2337">
        <v>71.489999999999995</v>
      </c>
      <c r="Q2337">
        <v>112.88</v>
      </c>
      <c r="R2337">
        <v>285.95999999999998</v>
      </c>
      <c r="S2337">
        <v>76.760000000000019</v>
      </c>
      <c r="T2337">
        <v>0.20693373591416406</v>
      </c>
      <c r="U2337" s="1">
        <v>45778</v>
      </c>
      <c r="V2337" t="s">
        <v>2500</v>
      </c>
      <c r="W2337">
        <v>2025</v>
      </c>
    </row>
    <row r="2338" spans="1:23" x14ac:dyDescent="0.25">
      <c r="A2338" t="s">
        <v>2385</v>
      </c>
      <c r="B2338" s="1">
        <v>45394</v>
      </c>
      <c r="C2338" s="1">
        <v>45398</v>
      </c>
      <c r="D2338" t="s">
        <v>32</v>
      </c>
      <c r="E2338" t="s">
        <v>33</v>
      </c>
      <c r="F2338" t="s">
        <v>29</v>
      </c>
      <c r="G2338" t="s">
        <v>16</v>
      </c>
      <c r="H2338" t="s">
        <v>51</v>
      </c>
      <c r="I2338">
        <v>5</v>
      </c>
      <c r="J2338">
        <v>0</v>
      </c>
      <c r="K2338">
        <v>71.209999999999994</v>
      </c>
      <c r="L2338">
        <v>4.05</v>
      </c>
      <c r="M2338" t="s">
        <v>2475</v>
      </c>
      <c r="N2338" t="s">
        <v>2474</v>
      </c>
      <c r="O2338" t="s">
        <v>2463</v>
      </c>
      <c r="P2338">
        <v>7.93</v>
      </c>
      <c r="Q2338">
        <v>14.78</v>
      </c>
      <c r="R2338">
        <v>39.65</v>
      </c>
      <c r="S2338">
        <v>27.509999999999994</v>
      </c>
      <c r="T2338">
        <v>0.38632214576604407</v>
      </c>
      <c r="U2338" s="1">
        <v>45383</v>
      </c>
      <c r="V2338" t="s">
        <v>2499</v>
      </c>
      <c r="W2338">
        <v>2024</v>
      </c>
    </row>
    <row r="2339" spans="1:23" x14ac:dyDescent="0.25">
      <c r="A2339" t="s">
        <v>2386</v>
      </c>
      <c r="B2339" s="1">
        <v>45739</v>
      </c>
      <c r="C2339" s="1">
        <v>45740</v>
      </c>
      <c r="D2339" t="s">
        <v>32</v>
      </c>
      <c r="E2339" t="s">
        <v>45</v>
      </c>
      <c r="F2339" t="s">
        <v>25</v>
      </c>
      <c r="G2339" t="s">
        <v>26</v>
      </c>
      <c r="H2339" t="s">
        <v>34</v>
      </c>
      <c r="I2339">
        <v>2</v>
      </c>
      <c r="J2339">
        <v>0.05</v>
      </c>
      <c r="K2339">
        <v>376.8</v>
      </c>
      <c r="L2339">
        <v>5.46</v>
      </c>
      <c r="M2339" t="s">
        <v>2460</v>
      </c>
      <c r="N2339" t="s">
        <v>2458</v>
      </c>
      <c r="O2339" t="s">
        <v>2461</v>
      </c>
      <c r="P2339">
        <v>119.02</v>
      </c>
      <c r="Q2339">
        <v>205.39</v>
      </c>
      <c r="R2339">
        <v>238.04</v>
      </c>
      <c r="S2339">
        <v>133.30000000000001</v>
      </c>
      <c r="T2339">
        <v>0.35376857749469215</v>
      </c>
      <c r="U2339" s="1">
        <v>45717</v>
      </c>
      <c r="V2339" t="s">
        <v>2498</v>
      </c>
      <c r="W2339">
        <v>2025</v>
      </c>
    </row>
    <row r="2340" spans="1:23" x14ac:dyDescent="0.25">
      <c r="A2340" t="s">
        <v>2387</v>
      </c>
      <c r="B2340" s="1">
        <v>45567</v>
      </c>
      <c r="C2340" s="1">
        <v>45571</v>
      </c>
      <c r="D2340" t="s">
        <v>47</v>
      </c>
      <c r="E2340" t="s">
        <v>48</v>
      </c>
      <c r="F2340" t="s">
        <v>25</v>
      </c>
      <c r="G2340" t="s">
        <v>26</v>
      </c>
      <c r="H2340" t="s">
        <v>53</v>
      </c>
      <c r="I2340">
        <v>4</v>
      </c>
      <c r="J2340">
        <v>0.05</v>
      </c>
      <c r="K2340">
        <v>243.78</v>
      </c>
      <c r="L2340">
        <v>5.7</v>
      </c>
      <c r="M2340" t="s">
        <v>2470</v>
      </c>
      <c r="N2340" t="s">
        <v>2467</v>
      </c>
      <c r="O2340" t="s">
        <v>2459</v>
      </c>
      <c r="P2340">
        <v>31.34</v>
      </c>
      <c r="Q2340">
        <v>56.49</v>
      </c>
      <c r="R2340">
        <v>125.36</v>
      </c>
      <c r="S2340">
        <v>112.72</v>
      </c>
      <c r="T2340">
        <v>0.46238411682664698</v>
      </c>
      <c r="U2340" s="1">
        <v>45566</v>
      </c>
      <c r="V2340" t="s">
        <v>2498</v>
      </c>
      <c r="W2340">
        <v>2024</v>
      </c>
    </row>
    <row r="2341" spans="1:23" x14ac:dyDescent="0.25">
      <c r="A2341" t="s">
        <v>2388</v>
      </c>
      <c r="B2341" s="1">
        <v>45336</v>
      </c>
      <c r="C2341" s="1">
        <v>45341</v>
      </c>
      <c r="D2341" t="s">
        <v>13</v>
      </c>
      <c r="E2341" t="s">
        <v>36</v>
      </c>
      <c r="F2341" t="s">
        <v>15</v>
      </c>
      <c r="G2341" t="s">
        <v>16</v>
      </c>
      <c r="H2341" t="s">
        <v>39</v>
      </c>
      <c r="I2341">
        <v>1</v>
      </c>
      <c r="J2341">
        <v>0</v>
      </c>
      <c r="K2341">
        <v>175.35</v>
      </c>
      <c r="L2341">
        <v>5.75</v>
      </c>
      <c r="M2341" t="s">
        <v>2471</v>
      </c>
      <c r="N2341" t="s">
        <v>2467</v>
      </c>
      <c r="O2341" t="s">
        <v>2461</v>
      </c>
      <c r="P2341">
        <v>112.09</v>
      </c>
      <c r="Q2341">
        <v>192.47</v>
      </c>
      <c r="R2341">
        <v>112.09</v>
      </c>
      <c r="S2341">
        <v>57.509999999999991</v>
      </c>
      <c r="T2341">
        <v>0.32797262617621897</v>
      </c>
      <c r="U2341" s="1">
        <v>45323</v>
      </c>
      <c r="V2341" t="s">
        <v>2499</v>
      </c>
      <c r="W2341">
        <v>2024</v>
      </c>
    </row>
    <row r="2342" spans="1:23" x14ac:dyDescent="0.25">
      <c r="A2342" t="s">
        <v>2389</v>
      </c>
      <c r="B2342" s="1">
        <v>45978</v>
      </c>
      <c r="C2342" s="1">
        <v>45982</v>
      </c>
      <c r="D2342" t="s">
        <v>32</v>
      </c>
      <c r="E2342" t="s">
        <v>45</v>
      </c>
      <c r="F2342" t="s">
        <v>15</v>
      </c>
      <c r="G2342" t="s">
        <v>16</v>
      </c>
      <c r="H2342" t="s">
        <v>87</v>
      </c>
      <c r="I2342">
        <v>4</v>
      </c>
      <c r="J2342">
        <v>0</v>
      </c>
      <c r="K2342">
        <v>45.47</v>
      </c>
      <c r="L2342">
        <v>3.78</v>
      </c>
      <c r="M2342" t="s">
        <v>2476</v>
      </c>
      <c r="N2342" t="s">
        <v>2474</v>
      </c>
      <c r="O2342" t="s">
        <v>2459</v>
      </c>
      <c r="P2342">
        <v>4.5</v>
      </c>
      <c r="Q2342">
        <v>8.2899999999999991</v>
      </c>
      <c r="R2342">
        <v>18</v>
      </c>
      <c r="S2342">
        <v>23.689999999999998</v>
      </c>
      <c r="T2342">
        <v>0.52100285902793042</v>
      </c>
      <c r="U2342" s="1">
        <v>45962</v>
      </c>
      <c r="V2342" t="s">
        <v>2499</v>
      </c>
      <c r="W2342">
        <v>2025</v>
      </c>
    </row>
    <row r="2343" spans="1:23" x14ac:dyDescent="0.25">
      <c r="A2343" t="s">
        <v>2390</v>
      </c>
      <c r="B2343" s="1">
        <v>45968</v>
      </c>
      <c r="C2343" s="1">
        <v>45973</v>
      </c>
      <c r="D2343" t="s">
        <v>47</v>
      </c>
      <c r="E2343" t="s">
        <v>71</v>
      </c>
      <c r="F2343" t="s">
        <v>25</v>
      </c>
      <c r="G2343" t="s">
        <v>16</v>
      </c>
      <c r="H2343" t="s">
        <v>87</v>
      </c>
      <c r="I2343">
        <v>12</v>
      </c>
      <c r="J2343">
        <v>0</v>
      </c>
      <c r="K2343">
        <v>132.25</v>
      </c>
      <c r="L2343">
        <v>9.9</v>
      </c>
      <c r="M2343" t="s">
        <v>2476</v>
      </c>
      <c r="N2343" t="s">
        <v>2474</v>
      </c>
      <c r="O2343" t="s">
        <v>2459</v>
      </c>
      <c r="P2343">
        <v>4.5</v>
      </c>
      <c r="Q2343">
        <v>8.2899999999999991</v>
      </c>
      <c r="R2343">
        <v>54</v>
      </c>
      <c r="S2343">
        <v>68.349999999999994</v>
      </c>
      <c r="T2343">
        <v>0.51682419659735346</v>
      </c>
      <c r="U2343" s="1">
        <v>45962</v>
      </c>
      <c r="V2343" t="s">
        <v>2499</v>
      </c>
      <c r="W2343">
        <v>2025</v>
      </c>
    </row>
    <row r="2344" spans="1:23" x14ac:dyDescent="0.25">
      <c r="A2344" t="s">
        <v>2391</v>
      </c>
      <c r="B2344" s="1">
        <v>45992</v>
      </c>
      <c r="C2344" s="1">
        <v>45996</v>
      </c>
      <c r="D2344" t="s">
        <v>13</v>
      </c>
      <c r="E2344" t="s">
        <v>14</v>
      </c>
      <c r="F2344" t="s">
        <v>25</v>
      </c>
      <c r="G2344" t="s">
        <v>20</v>
      </c>
      <c r="H2344" t="s">
        <v>37</v>
      </c>
      <c r="I2344">
        <v>7</v>
      </c>
      <c r="J2344">
        <v>0</v>
      </c>
      <c r="K2344">
        <v>1079.01</v>
      </c>
      <c r="L2344">
        <v>12.36</v>
      </c>
      <c r="M2344" t="s">
        <v>2464</v>
      </c>
      <c r="N2344" t="s">
        <v>2458</v>
      </c>
      <c r="O2344" t="s">
        <v>2465</v>
      </c>
      <c r="P2344">
        <v>63.6</v>
      </c>
      <c r="Q2344">
        <v>107.94</v>
      </c>
      <c r="R2344">
        <v>445.2</v>
      </c>
      <c r="S2344">
        <v>621.44999999999993</v>
      </c>
      <c r="T2344">
        <v>0.57594461589790635</v>
      </c>
      <c r="U2344" s="1">
        <v>45992</v>
      </c>
      <c r="V2344" t="s">
        <v>2499</v>
      </c>
      <c r="W2344">
        <v>2025</v>
      </c>
    </row>
    <row r="2345" spans="1:23" x14ac:dyDescent="0.25">
      <c r="A2345" t="s">
        <v>2392</v>
      </c>
      <c r="B2345" s="1">
        <v>45799</v>
      </c>
      <c r="C2345" s="1">
        <v>45801</v>
      </c>
      <c r="D2345" t="s">
        <v>47</v>
      </c>
      <c r="E2345" t="s">
        <v>71</v>
      </c>
      <c r="F2345" t="s">
        <v>29</v>
      </c>
      <c r="G2345" t="s">
        <v>26</v>
      </c>
      <c r="H2345" t="s">
        <v>17</v>
      </c>
      <c r="I2345">
        <v>4</v>
      </c>
      <c r="J2345">
        <v>0</v>
      </c>
      <c r="K2345">
        <v>541.80999999999995</v>
      </c>
      <c r="L2345">
        <v>5.7</v>
      </c>
      <c r="M2345" t="s">
        <v>2472</v>
      </c>
      <c r="N2345" t="s">
        <v>2467</v>
      </c>
      <c r="O2345" t="s">
        <v>2468</v>
      </c>
      <c r="P2345">
        <v>63.69</v>
      </c>
      <c r="Q2345">
        <v>125.5</v>
      </c>
      <c r="R2345">
        <v>254.76</v>
      </c>
      <c r="S2345">
        <v>281.34999999999997</v>
      </c>
      <c r="T2345">
        <v>0.51927797567412926</v>
      </c>
      <c r="U2345" s="1">
        <v>45778</v>
      </c>
      <c r="V2345" t="s">
        <v>2499</v>
      </c>
      <c r="W2345">
        <v>2025</v>
      </c>
    </row>
    <row r="2346" spans="1:23" x14ac:dyDescent="0.25">
      <c r="A2346" t="s">
        <v>2393</v>
      </c>
      <c r="B2346" s="1">
        <v>45504</v>
      </c>
      <c r="C2346" s="1">
        <v>45509</v>
      </c>
      <c r="D2346" t="s">
        <v>23</v>
      </c>
      <c r="E2346" t="s">
        <v>24</v>
      </c>
      <c r="F2346" t="s">
        <v>25</v>
      </c>
      <c r="G2346" t="s">
        <v>16</v>
      </c>
      <c r="H2346" t="s">
        <v>27</v>
      </c>
      <c r="I2346">
        <v>7</v>
      </c>
      <c r="J2346">
        <v>0</v>
      </c>
      <c r="K2346">
        <v>167.87</v>
      </c>
      <c r="L2346">
        <v>7.65</v>
      </c>
      <c r="M2346" t="s">
        <v>2478</v>
      </c>
      <c r="N2346" t="s">
        <v>2474</v>
      </c>
      <c r="O2346" t="s">
        <v>2463</v>
      </c>
      <c r="P2346">
        <v>16.760000000000002</v>
      </c>
      <c r="Q2346">
        <v>27.71</v>
      </c>
      <c r="R2346">
        <v>117.32000000000001</v>
      </c>
      <c r="S2346">
        <v>42.9</v>
      </c>
      <c r="T2346">
        <v>0.25555489366771905</v>
      </c>
      <c r="U2346" s="1">
        <v>45474</v>
      </c>
      <c r="V2346" t="s">
        <v>2499</v>
      </c>
      <c r="W2346">
        <v>2024</v>
      </c>
    </row>
    <row r="2347" spans="1:23" x14ac:dyDescent="0.25">
      <c r="A2347" t="s">
        <v>2394</v>
      </c>
      <c r="B2347" s="1">
        <v>45536</v>
      </c>
      <c r="C2347" s="1">
        <v>45542</v>
      </c>
      <c r="D2347" t="s">
        <v>32</v>
      </c>
      <c r="E2347" t="s">
        <v>33</v>
      </c>
      <c r="F2347" t="s">
        <v>25</v>
      </c>
      <c r="G2347" t="s">
        <v>16</v>
      </c>
      <c r="H2347" t="s">
        <v>27</v>
      </c>
      <c r="I2347">
        <v>7</v>
      </c>
      <c r="J2347">
        <v>0</v>
      </c>
      <c r="K2347">
        <v>206.76</v>
      </c>
      <c r="L2347">
        <v>4.59</v>
      </c>
      <c r="M2347" t="s">
        <v>2478</v>
      </c>
      <c r="N2347" t="s">
        <v>2474</v>
      </c>
      <c r="O2347" t="s">
        <v>2463</v>
      </c>
      <c r="P2347">
        <v>16.760000000000002</v>
      </c>
      <c r="Q2347">
        <v>27.71</v>
      </c>
      <c r="R2347">
        <v>117.32000000000001</v>
      </c>
      <c r="S2347">
        <v>84.84999999999998</v>
      </c>
      <c r="T2347">
        <v>0.41037918359450565</v>
      </c>
      <c r="U2347" s="1">
        <v>45536</v>
      </c>
      <c r="V2347" t="s">
        <v>2499</v>
      </c>
      <c r="W2347">
        <v>2024</v>
      </c>
    </row>
    <row r="2348" spans="1:23" x14ac:dyDescent="0.25">
      <c r="A2348" t="s">
        <v>2395</v>
      </c>
      <c r="B2348" s="1">
        <v>45441</v>
      </c>
      <c r="C2348" s="1">
        <v>45445</v>
      </c>
      <c r="D2348" t="s">
        <v>47</v>
      </c>
      <c r="E2348" t="s">
        <v>48</v>
      </c>
      <c r="F2348" t="s">
        <v>15</v>
      </c>
      <c r="G2348" t="s">
        <v>16</v>
      </c>
      <c r="H2348" t="s">
        <v>65</v>
      </c>
      <c r="I2348">
        <v>1</v>
      </c>
      <c r="J2348">
        <v>0</v>
      </c>
      <c r="K2348">
        <v>303.79000000000002</v>
      </c>
      <c r="L2348">
        <v>4.08</v>
      </c>
      <c r="M2348" t="s">
        <v>2457</v>
      </c>
      <c r="N2348" t="s">
        <v>2458</v>
      </c>
      <c r="O2348" t="s">
        <v>2459</v>
      </c>
      <c r="P2348">
        <v>173.56</v>
      </c>
      <c r="Q2348">
        <v>286.14999999999998</v>
      </c>
      <c r="R2348">
        <v>173.56</v>
      </c>
      <c r="S2348">
        <v>126.15000000000002</v>
      </c>
      <c r="T2348">
        <v>0.41525395832647555</v>
      </c>
      <c r="U2348" s="1">
        <v>45413</v>
      </c>
      <c r="V2348" t="s">
        <v>2499</v>
      </c>
      <c r="W2348">
        <v>2024</v>
      </c>
    </row>
    <row r="2349" spans="1:23" x14ac:dyDescent="0.25">
      <c r="A2349" t="s">
        <v>2396</v>
      </c>
      <c r="B2349" s="1">
        <v>45758</v>
      </c>
      <c r="C2349" s="1">
        <v>45760</v>
      </c>
      <c r="D2349" t="s">
        <v>13</v>
      </c>
      <c r="E2349" t="s">
        <v>14</v>
      </c>
      <c r="F2349" t="s">
        <v>15</v>
      </c>
      <c r="G2349" t="s">
        <v>16</v>
      </c>
      <c r="H2349" t="s">
        <v>65</v>
      </c>
      <c r="I2349">
        <v>2</v>
      </c>
      <c r="J2349">
        <v>0.05</v>
      </c>
      <c r="K2349">
        <v>556.80999999999995</v>
      </c>
      <c r="L2349">
        <v>5.46</v>
      </c>
      <c r="M2349" t="s">
        <v>2457</v>
      </c>
      <c r="N2349" t="s">
        <v>2458</v>
      </c>
      <c r="O2349" t="s">
        <v>2459</v>
      </c>
      <c r="P2349">
        <v>173.56</v>
      </c>
      <c r="Q2349">
        <v>286.14999999999998</v>
      </c>
      <c r="R2349">
        <v>347.12</v>
      </c>
      <c r="S2349">
        <v>204.22999999999993</v>
      </c>
      <c r="T2349">
        <v>0.3667857976688636</v>
      </c>
      <c r="U2349" s="1">
        <v>45748</v>
      </c>
      <c r="V2349" t="s">
        <v>2498</v>
      </c>
      <c r="W2349">
        <v>2025</v>
      </c>
    </row>
    <row r="2350" spans="1:23" x14ac:dyDescent="0.25">
      <c r="A2350" t="s">
        <v>2397</v>
      </c>
      <c r="B2350" s="1">
        <v>45804</v>
      </c>
      <c r="C2350" s="1">
        <v>45809</v>
      </c>
      <c r="D2350" t="s">
        <v>23</v>
      </c>
      <c r="E2350" t="s">
        <v>59</v>
      </c>
      <c r="F2350" t="s">
        <v>25</v>
      </c>
      <c r="G2350" t="s">
        <v>16</v>
      </c>
      <c r="H2350" t="s">
        <v>68</v>
      </c>
      <c r="I2350">
        <v>3</v>
      </c>
      <c r="J2350">
        <v>0</v>
      </c>
      <c r="K2350">
        <v>161.81</v>
      </c>
      <c r="L2350">
        <v>4.95</v>
      </c>
      <c r="M2350" t="s">
        <v>2466</v>
      </c>
      <c r="N2350" t="s">
        <v>2467</v>
      </c>
      <c r="O2350" t="s">
        <v>2468</v>
      </c>
      <c r="P2350">
        <v>25.33</v>
      </c>
      <c r="Q2350">
        <v>51.56</v>
      </c>
      <c r="R2350">
        <v>75.989999999999995</v>
      </c>
      <c r="S2350">
        <v>80.87</v>
      </c>
      <c r="T2350">
        <v>0.49978369692849639</v>
      </c>
      <c r="U2350" s="1">
        <v>45778</v>
      </c>
      <c r="V2350" t="s">
        <v>2499</v>
      </c>
      <c r="W2350">
        <v>2025</v>
      </c>
    </row>
    <row r="2351" spans="1:23" x14ac:dyDescent="0.25">
      <c r="A2351" t="s">
        <v>2398</v>
      </c>
      <c r="B2351" s="1">
        <v>45467</v>
      </c>
      <c r="C2351" s="1">
        <v>45472</v>
      </c>
      <c r="D2351" t="s">
        <v>13</v>
      </c>
      <c r="E2351" t="s">
        <v>14</v>
      </c>
      <c r="F2351" t="s">
        <v>25</v>
      </c>
      <c r="G2351" t="s">
        <v>16</v>
      </c>
      <c r="H2351" t="s">
        <v>65</v>
      </c>
      <c r="I2351">
        <v>5</v>
      </c>
      <c r="J2351">
        <v>0.15</v>
      </c>
      <c r="K2351">
        <v>1268.3</v>
      </c>
      <c r="L2351">
        <v>16</v>
      </c>
      <c r="M2351" t="s">
        <v>2457</v>
      </c>
      <c r="N2351" t="s">
        <v>2458</v>
      </c>
      <c r="O2351" t="s">
        <v>2459</v>
      </c>
      <c r="P2351">
        <v>173.56</v>
      </c>
      <c r="Q2351">
        <v>286.14999999999998</v>
      </c>
      <c r="R2351">
        <v>867.8</v>
      </c>
      <c r="S2351">
        <v>384.5</v>
      </c>
      <c r="T2351">
        <v>0.3031617125285816</v>
      </c>
      <c r="U2351" s="1">
        <v>45444</v>
      </c>
      <c r="V2351" t="s">
        <v>2500</v>
      </c>
      <c r="W2351">
        <v>2024</v>
      </c>
    </row>
    <row r="2352" spans="1:23" x14ac:dyDescent="0.25">
      <c r="A2352" t="s">
        <v>2399</v>
      </c>
      <c r="B2352" s="1">
        <v>45940</v>
      </c>
      <c r="C2352" s="1">
        <v>45945</v>
      </c>
      <c r="D2352" t="s">
        <v>47</v>
      </c>
      <c r="E2352" t="s">
        <v>71</v>
      </c>
      <c r="F2352" t="s">
        <v>29</v>
      </c>
      <c r="G2352" t="s">
        <v>16</v>
      </c>
      <c r="H2352" t="s">
        <v>39</v>
      </c>
      <c r="I2352">
        <v>2</v>
      </c>
      <c r="J2352">
        <v>0.05</v>
      </c>
      <c r="K2352">
        <v>414.29</v>
      </c>
      <c r="L2352">
        <v>4.2</v>
      </c>
      <c r="M2352" t="s">
        <v>2471</v>
      </c>
      <c r="N2352" t="s">
        <v>2467</v>
      </c>
      <c r="O2352" t="s">
        <v>2461</v>
      </c>
      <c r="P2352">
        <v>112.09</v>
      </c>
      <c r="Q2352">
        <v>192.47</v>
      </c>
      <c r="R2352">
        <v>224.18</v>
      </c>
      <c r="S2352">
        <v>185.91000000000003</v>
      </c>
      <c r="T2352">
        <v>0.44874363368654813</v>
      </c>
      <c r="U2352" s="1">
        <v>45931</v>
      </c>
      <c r="V2352" t="s">
        <v>2498</v>
      </c>
      <c r="W2352">
        <v>2025</v>
      </c>
    </row>
    <row r="2353" spans="1:23" x14ac:dyDescent="0.25">
      <c r="A2353" t="s">
        <v>2400</v>
      </c>
      <c r="B2353" s="1">
        <v>45369</v>
      </c>
      <c r="C2353" s="1">
        <v>45373</v>
      </c>
      <c r="D2353" t="s">
        <v>23</v>
      </c>
      <c r="E2353" t="s">
        <v>43</v>
      </c>
      <c r="F2353" t="s">
        <v>29</v>
      </c>
      <c r="G2353" t="s">
        <v>20</v>
      </c>
      <c r="H2353" t="s">
        <v>34</v>
      </c>
      <c r="I2353">
        <v>1</v>
      </c>
      <c r="J2353">
        <v>0</v>
      </c>
      <c r="K2353">
        <v>203.53</v>
      </c>
      <c r="L2353">
        <v>4.08</v>
      </c>
      <c r="M2353" t="s">
        <v>2460</v>
      </c>
      <c r="N2353" t="s">
        <v>2458</v>
      </c>
      <c r="O2353" t="s">
        <v>2461</v>
      </c>
      <c r="P2353">
        <v>119.02</v>
      </c>
      <c r="Q2353">
        <v>205.39</v>
      </c>
      <c r="R2353">
        <v>119.02</v>
      </c>
      <c r="S2353">
        <v>80.430000000000007</v>
      </c>
      <c r="T2353">
        <v>0.39517515845329931</v>
      </c>
      <c r="U2353" s="1">
        <v>45352</v>
      </c>
      <c r="V2353" t="s">
        <v>2499</v>
      </c>
      <c r="W2353">
        <v>2024</v>
      </c>
    </row>
    <row r="2354" spans="1:23" x14ac:dyDescent="0.25">
      <c r="A2354" t="s">
        <v>2401</v>
      </c>
      <c r="B2354" s="1">
        <v>45691</v>
      </c>
      <c r="C2354" s="1">
        <v>45692</v>
      </c>
      <c r="D2354" t="s">
        <v>32</v>
      </c>
      <c r="E2354" t="s">
        <v>62</v>
      </c>
      <c r="F2354" t="s">
        <v>29</v>
      </c>
      <c r="G2354" t="s">
        <v>20</v>
      </c>
      <c r="H2354" t="s">
        <v>65</v>
      </c>
      <c r="I2354">
        <v>4</v>
      </c>
      <c r="J2354">
        <v>0</v>
      </c>
      <c r="K2354">
        <v>1044.29</v>
      </c>
      <c r="L2354">
        <v>8.2200000000000006</v>
      </c>
      <c r="M2354" t="s">
        <v>2457</v>
      </c>
      <c r="N2354" t="s">
        <v>2458</v>
      </c>
      <c r="O2354" t="s">
        <v>2459</v>
      </c>
      <c r="P2354">
        <v>173.56</v>
      </c>
      <c r="Q2354">
        <v>286.14999999999998</v>
      </c>
      <c r="R2354">
        <v>694.24</v>
      </c>
      <c r="S2354">
        <v>341.82999999999993</v>
      </c>
      <c r="T2354">
        <v>0.32733244596807393</v>
      </c>
      <c r="U2354" s="1">
        <v>45689</v>
      </c>
      <c r="V2354" t="s">
        <v>2499</v>
      </c>
      <c r="W2354">
        <v>2025</v>
      </c>
    </row>
    <row r="2355" spans="1:23" x14ac:dyDescent="0.25">
      <c r="A2355" t="s">
        <v>2402</v>
      </c>
      <c r="B2355" s="1">
        <v>45631</v>
      </c>
      <c r="C2355" s="1">
        <v>45637</v>
      </c>
      <c r="D2355" t="s">
        <v>32</v>
      </c>
      <c r="E2355" t="s">
        <v>33</v>
      </c>
      <c r="F2355" t="s">
        <v>29</v>
      </c>
      <c r="G2355" t="s">
        <v>26</v>
      </c>
      <c r="H2355" t="s">
        <v>27</v>
      </c>
      <c r="I2355">
        <v>25</v>
      </c>
      <c r="J2355">
        <v>0</v>
      </c>
      <c r="K2355">
        <v>959.85</v>
      </c>
      <c r="L2355">
        <v>9.4499999999999993</v>
      </c>
      <c r="M2355" t="s">
        <v>2478</v>
      </c>
      <c r="N2355" t="s">
        <v>2474</v>
      </c>
      <c r="O2355" t="s">
        <v>2463</v>
      </c>
      <c r="P2355">
        <v>16.760000000000002</v>
      </c>
      <c r="Q2355">
        <v>27.71</v>
      </c>
      <c r="R2355">
        <v>419.00000000000006</v>
      </c>
      <c r="S2355">
        <v>531.39999999999986</v>
      </c>
      <c r="T2355">
        <v>0.5536281710683959</v>
      </c>
      <c r="U2355" s="1">
        <v>45627</v>
      </c>
      <c r="V2355" t="s">
        <v>2499</v>
      </c>
      <c r="W2355">
        <v>2024</v>
      </c>
    </row>
    <row r="2356" spans="1:23" x14ac:dyDescent="0.25">
      <c r="A2356" t="s">
        <v>2403</v>
      </c>
      <c r="B2356" s="1">
        <v>45491</v>
      </c>
      <c r="C2356" s="1">
        <v>45492</v>
      </c>
      <c r="D2356" t="s">
        <v>23</v>
      </c>
      <c r="E2356" t="s">
        <v>59</v>
      </c>
      <c r="F2356" t="s">
        <v>15</v>
      </c>
      <c r="G2356" t="s">
        <v>26</v>
      </c>
      <c r="H2356" t="s">
        <v>53</v>
      </c>
      <c r="I2356">
        <v>2</v>
      </c>
      <c r="J2356">
        <v>0</v>
      </c>
      <c r="K2356">
        <v>105.66</v>
      </c>
      <c r="L2356">
        <v>4.2</v>
      </c>
      <c r="M2356" t="s">
        <v>2470</v>
      </c>
      <c r="N2356" t="s">
        <v>2467</v>
      </c>
      <c r="O2356" t="s">
        <v>2459</v>
      </c>
      <c r="P2356">
        <v>31.34</v>
      </c>
      <c r="Q2356">
        <v>56.49</v>
      </c>
      <c r="R2356">
        <v>62.68</v>
      </c>
      <c r="S2356">
        <v>38.779999999999994</v>
      </c>
      <c r="T2356">
        <v>0.36702631080825282</v>
      </c>
      <c r="U2356" s="1">
        <v>45474</v>
      </c>
      <c r="V2356" t="s">
        <v>2499</v>
      </c>
      <c r="W2356">
        <v>2024</v>
      </c>
    </row>
    <row r="2357" spans="1:23" x14ac:dyDescent="0.25">
      <c r="A2357" t="s">
        <v>2404</v>
      </c>
      <c r="B2357" s="1">
        <v>45619</v>
      </c>
      <c r="C2357" s="1">
        <v>45624</v>
      </c>
      <c r="D2357" t="s">
        <v>32</v>
      </c>
      <c r="E2357" t="s">
        <v>45</v>
      </c>
      <c r="F2357" t="s">
        <v>29</v>
      </c>
      <c r="G2357" t="s">
        <v>16</v>
      </c>
      <c r="H2357" t="s">
        <v>39</v>
      </c>
      <c r="I2357">
        <v>2</v>
      </c>
      <c r="J2357">
        <v>0</v>
      </c>
      <c r="K2357">
        <v>509.88</v>
      </c>
      <c r="L2357">
        <v>4.2</v>
      </c>
      <c r="M2357" t="s">
        <v>2471</v>
      </c>
      <c r="N2357" t="s">
        <v>2467</v>
      </c>
      <c r="O2357" t="s">
        <v>2461</v>
      </c>
      <c r="P2357">
        <v>112.09</v>
      </c>
      <c r="Q2357">
        <v>192.47</v>
      </c>
      <c r="R2357">
        <v>224.18</v>
      </c>
      <c r="S2357">
        <v>281.5</v>
      </c>
      <c r="T2357">
        <v>0.55209068800502081</v>
      </c>
      <c r="U2357" s="1">
        <v>45597</v>
      </c>
      <c r="V2357" t="s">
        <v>2499</v>
      </c>
      <c r="W2357">
        <v>2024</v>
      </c>
    </row>
    <row r="2358" spans="1:23" x14ac:dyDescent="0.25">
      <c r="A2358" t="s">
        <v>2405</v>
      </c>
      <c r="B2358" s="1">
        <v>46001</v>
      </c>
      <c r="C2358" s="1">
        <v>46007</v>
      </c>
      <c r="D2358" t="s">
        <v>13</v>
      </c>
      <c r="E2358" t="s">
        <v>14</v>
      </c>
      <c r="F2358" t="s">
        <v>15</v>
      </c>
      <c r="G2358" t="s">
        <v>20</v>
      </c>
      <c r="H2358" t="s">
        <v>21</v>
      </c>
      <c r="I2358">
        <v>2</v>
      </c>
      <c r="J2358">
        <v>0.1</v>
      </c>
      <c r="K2358">
        <v>278.02999999999997</v>
      </c>
      <c r="L2358">
        <v>5.46</v>
      </c>
      <c r="M2358" t="s">
        <v>2462</v>
      </c>
      <c r="N2358" t="s">
        <v>2458</v>
      </c>
      <c r="O2358" t="s">
        <v>2463</v>
      </c>
      <c r="P2358">
        <v>71.489999999999995</v>
      </c>
      <c r="Q2358">
        <v>112.88</v>
      </c>
      <c r="R2358">
        <v>142.97999999999999</v>
      </c>
      <c r="S2358">
        <v>129.58999999999997</v>
      </c>
      <c r="T2358">
        <v>0.46610078049131382</v>
      </c>
      <c r="U2358" s="1">
        <v>45992</v>
      </c>
      <c r="V2358" t="s">
        <v>2498</v>
      </c>
      <c r="W2358">
        <v>2025</v>
      </c>
    </row>
    <row r="2359" spans="1:23" x14ac:dyDescent="0.25">
      <c r="A2359" t="s">
        <v>2406</v>
      </c>
      <c r="B2359" s="1">
        <v>45725</v>
      </c>
      <c r="C2359" s="1">
        <v>45729</v>
      </c>
      <c r="D2359" t="s">
        <v>47</v>
      </c>
      <c r="E2359" t="s">
        <v>71</v>
      </c>
      <c r="F2359" t="s">
        <v>29</v>
      </c>
      <c r="G2359" t="s">
        <v>16</v>
      </c>
      <c r="H2359" t="s">
        <v>27</v>
      </c>
      <c r="I2359">
        <v>5</v>
      </c>
      <c r="J2359">
        <v>0</v>
      </c>
      <c r="K2359">
        <v>130.12</v>
      </c>
      <c r="L2359">
        <v>4.05</v>
      </c>
      <c r="M2359" t="s">
        <v>2478</v>
      </c>
      <c r="N2359" t="s">
        <v>2474</v>
      </c>
      <c r="O2359" t="s">
        <v>2463</v>
      </c>
      <c r="P2359">
        <v>16.760000000000002</v>
      </c>
      <c r="Q2359">
        <v>27.71</v>
      </c>
      <c r="R2359">
        <v>83.800000000000011</v>
      </c>
      <c r="S2359">
        <v>42.269999999999996</v>
      </c>
      <c r="T2359">
        <v>0.32485398094067008</v>
      </c>
      <c r="U2359" s="1">
        <v>45717</v>
      </c>
      <c r="V2359" t="s">
        <v>2499</v>
      </c>
      <c r="W2359">
        <v>2025</v>
      </c>
    </row>
    <row r="2360" spans="1:23" x14ac:dyDescent="0.25">
      <c r="A2360" t="s">
        <v>2407</v>
      </c>
      <c r="B2360" s="1">
        <v>45706</v>
      </c>
      <c r="C2360" s="1">
        <v>45711</v>
      </c>
      <c r="D2360" t="s">
        <v>32</v>
      </c>
      <c r="E2360" t="s">
        <v>45</v>
      </c>
      <c r="F2360" t="s">
        <v>15</v>
      </c>
      <c r="G2360" t="s">
        <v>26</v>
      </c>
      <c r="H2360" t="s">
        <v>27</v>
      </c>
      <c r="I2360">
        <v>11</v>
      </c>
      <c r="J2360">
        <v>0.15</v>
      </c>
      <c r="K2360">
        <v>229.17</v>
      </c>
      <c r="L2360">
        <v>5.67</v>
      </c>
      <c r="M2360" t="s">
        <v>2478</v>
      </c>
      <c r="N2360" t="s">
        <v>2474</v>
      </c>
      <c r="O2360" t="s">
        <v>2463</v>
      </c>
      <c r="P2360">
        <v>16.760000000000002</v>
      </c>
      <c r="Q2360">
        <v>27.71</v>
      </c>
      <c r="R2360">
        <v>184.36</v>
      </c>
      <c r="S2360">
        <v>39.139999999999972</v>
      </c>
      <c r="T2360">
        <v>0.17079024305101007</v>
      </c>
      <c r="U2360" s="1">
        <v>45689</v>
      </c>
      <c r="V2360" t="s">
        <v>2500</v>
      </c>
      <c r="W2360">
        <v>2025</v>
      </c>
    </row>
    <row r="2361" spans="1:23" x14ac:dyDescent="0.25">
      <c r="A2361" t="s">
        <v>2408</v>
      </c>
      <c r="B2361" s="1">
        <v>45441</v>
      </c>
      <c r="C2361" s="1">
        <v>45443</v>
      </c>
      <c r="D2361" t="s">
        <v>47</v>
      </c>
      <c r="E2361" t="s">
        <v>50</v>
      </c>
      <c r="F2361" t="s">
        <v>29</v>
      </c>
      <c r="G2361" t="s">
        <v>16</v>
      </c>
      <c r="H2361" t="s">
        <v>27</v>
      </c>
      <c r="I2361">
        <v>5</v>
      </c>
      <c r="J2361">
        <v>0</v>
      </c>
      <c r="K2361">
        <v>139.01</v>
      </c>
      <c r="L2361">
        <v>4.05</v>
      </c>
      <c r="M2361" t="s">
        <v>2478</v>
      </c>
      <c r="N2361" t="s">
        <v>2474</v>
      </c>
      <c r="O2361" t="s">
        <v>2463</v>
      </c>
      <c r="P2361">
        <v>16.760000000000002</v>
      </c>
      <c r="Q2361">
        <v>27.71</v>
      </c>
      <c r="R2361">
        <v>83.800000000000011</v>
      </c>
      <c r="S2361">
        <v>51.159999999999982</v>
      </c>
      <c r="T2361">
        <v>0.36803107690094228</v>
      </c>
      <c r="U2361" s="1">
        <v>45413</v>
      </c>
      <c r="V2361" t="s">
        <v>2499</v>
      </c>
      <c r="W2361">
        <v>2024</v>
      </c>
    </row>
    <row r="2362" spans="1:23" x14ac:dyDescent="0.25">
      <c r="A2362" t="s">
        <v>2409</v>
      </c>
      <c r="B2362" s="1">
        <v>45833</v>
      </c>
      <c r="C2362" s="1">
        <v>45838</v>
      </c>
      <c r="D2362" t="s">
        <v>32</v>
      </c>
      <c r="E2362" t="s">
        <v>62</v>
      </c>
      <c r="F2362" t="s">
        <v>15</v>
      </c>
      <c r="G2362" t="s">
        <v>16</v>
      </c>
      <c r="H2362" t="s">
        <v>51</v>
      </c>
      <c r="I2362">
        <v>7</v>
      </c>
      <c r="J2362">
        <v>0</v>
      </c>
      <c r="K2362">
        <v>111.75</v>
      </c>
      <c r="L2362">
        <v>7.65</v>
      </c>
      <c r="M2362" t="s">
        <v>2475</v>
      </c>
      <c r="N2362" t="s">
        <v>2474</v>
      </c>
      <c r="O2362" t="s">
        <v>2463</v>
      </c>
      <c r="P2362">
        <v>7.93</v>
      </c>
      <c r="Q2362">
        <v>14.78</v>
      </c>
      <c r="R2362">
        <v>55.51</v>
      </c>
      <c r="S2362">
        <v>48.59</v>
      </c>
      <c r="T2362">
        <v>0.43480984340044748</v>
      </c>
      <c r="U2362" s="1">
        <v>45809</v>
      </c>
      <c r="V2362" t="s">
        <v>2499</v>
      </c>
      <c r="W2362">
        <v>2025</v>
      </c>
    </row>
    <row r="2363" spans="1:23" x14ac:dyDescent="0.25">
      <c r="A2363" t="s">
        <v>2410</v>
      </c>
      <c r="B2363" s="1">
        <v>45362</v>
      </c>
      <c r="C2363" s="1">
        <v>45364</v>
      </c>
      <c r="D2363" t="s">
        <v>23</v>
      </c>
      <c r="E2363" t="s">
        <v>59</v>
      </c>
      <c r="F2363" t="s">
        <v>25</v>
      </c>
      <c r="G2363" t="s">
        <v>20</v>
      </c>
      <c r="H2363" t="s">
        <v>65</v>
      </c>
      <c r="I2363">
        <v>2</v>
      </c>
      <c r="J2363">
        <v>0</v>
      </c>
      <c r="K2363">
        <v>549.01</v>
      </c>
      <c r="L2363">
        <v>5.46</v>
      </c>
      <c r="M2363" t="s">
        <v>2457</v>
      </c>
      <c r="N2363" t="s">
        <v>2458</v>
      </c>
      <c r="O2363" t="s">
        <v>2459</v>
      </c>
      <c r="P2363">
        <v>173.56</v>
      </c>
      <c r="Q2363">
        <v>286.14999999999998</v>
      </c>
      <c r="R2363">
        <v>347.12</v>
      </c>
      <c r="S2363">
        <v>196.42999999999998</v>
      </c>
      <c r="T2363">
        <v>0.35778947560153729</v>
      </c>
      <c r="U2363" s="1">
        <v>45352</v>
      </c>
      <c r="V2363" t="s">
        <v>2499</v>
      </c>
      <c r="W2363">
        <v>2024</v>
      </c>
    </row>
    <row r="2364" spans="1:23" x14ac:dyDescent="0.25">
      <c r="A2364" t="s">
        <v>2411</v>
      </c>
      <c r="B2364" s="1">
        <v>45583</v>
      </c>
      <c r="C2364" s="1">
        <v>45584</v>
      </c>
      <c r="D2364" t="s">
        <v>47</v>
      </c>
      <c r="E2364" t="s">
        <v>71</v>
      </c>
      <c r="F2364" t="s">
        <v>15</v>
      </c>
      <c r="G2364" t="s">
        <v>16</v>
      </c>
      <c r="H2364" t="s">
        <v>65</v>
      </c>
      <c r="I2364">
        <v>4</v>
      </c>
      <c r="J2364">
        <v>0</v>
      </c>
      <c r="K2364">
        <v>1292.8499999999999</v>
      </c>
      <c r="L2364">
        <v>8.2200000000000006</v>
      </c>
      <c r="M2364" t="s">
        <v>2457</v>
      </c>
      <c r="N2364" t="s">
        <v>2458</v>
      </c>
      <c r="O2364" t="s">
        <v>2459</v>
      </c>
      <c r="P2364">
        <v>173.56</v>
      </c>
      <c r="Q2364">
        <v>286.14999999999998</v>
      </c>
      <c r="R2364">
        <v>694.24</v>
      </c>
      <c r="S2364">
        <v>590.38999999999987</v>
      </c>
      <c r="T2364">
        <v>0.45665777158989823</v>
      </c>
      <c r="U2364" s="1">
        <v>45566</v>
      </c>
      <c r="V2364" t="s">
        <v>2499</v>
      </c>
      <c r="W2364">
        <v>2024</v>
      </c>
    </row>
    <row r="2365" spans="1:23" x14ac:dyDescent="0.25">
      <c r="A2365" t="s">
        <v>2412</v>
      </c>
      <c r="B2365" s="1">
        <v>45889</v>
      </c>
      <c r="C2365" s="1">
        <v>45892</v>
      </c>
      <c r="D2365" t="s">
        <v>32</v>
      </c>
      <c r="E2365" t="s">
        <v>33</v>
      </c>
      <c r="F2365" t="s">
        <v>29</v>
      </c>
      <c r="G2365" t="s">
        <v>16</v>
      </c>
      <c r="H2365" t="s">
        <v>39</v>
      </c>
      <c r="I2365">
        <v>2</v>
      </c>
      <c r="J2365">
        <v>0.25</v>
      </c>
      <c r="K2365">
        <v>265.63</v>
      </c>
      <c r="L2365">
        <v>4.2</v>
      </c>
      <c r="M2365" t="s">
        <v>2471</v>
      </c>
      <c r="N2365" t="s">
        <v>2467</v>
      </c>
      <c r="O2365" t="s">
        <v>2461</v>
      </c>
      <c r="P2365">
        <v>112.09</v>
      </c>
      <c r="Q2365">
        <v>192.47</v>
      </c>
      <c r="R2365">
        <v>224.18</v>
      </c>
      <c r="S2365">
        <v>37.249999999999986</v>
      </c>
      <c r="T2365">
        <v>0.14023265444415159</v>
      </c>
      <c r="U2365" s="1">
        <v>45870</v>
      </c>
      <c r="V2365" t="s">
        <v>2501</v>
      </c>
      <c r="W2365">
        <v>2025</v>
      </c>
    </row>
    <row r="2366" spans="1:23" x14ac:dyDescent="0.25">
      <c r="A2366" t="s">
        <v>2413</v>
      </c>
      <c r="B2366" s="1">
        <v>45667</v>
      </c>
      <c r="C2366" s="1">
        <v>45668</v>
      </c>
      <c r="D2366" t="s">
        <v>47</v>
      </c>
      <c r="E2366" t="s">
        <v>48</v>
      </c>
      <c r="F2366" t="s">
        <v>29</v>
      </c>
      <c r="G2366" t="s">
        <v>26</v>
      </c>
      <c r="H2366" t="s">
        <v>65</v>
      </c>
      <c r="I2366">
        <v>1</v>
      </c>
      <c r="J2366">
        <v>0</v>
      </c>
      <c r="K2366">
        <v>238.49</v>
      </c>
      <c r="L2366">
        <v>6.8</v>
      </c>
      <c r="M2366" t="s">
        <v>2457</v>
      </c>
      <c r="N2366" t="s">
        <v>2458</v>
      </c>
      <c r="O2366" t="s">
        <v>2459</v>
      </c>
      <c r="P2366">
        <v>173.56</v>
      </c>
      <c r="Q2366">
        <v>286.14999999999998</v>
      </c>
      <c r="R2366">
        <v>173.56</v>
      </c>
      <c r="S2366">
        <v>58.13000000000001</v>
      </c>
      <c r="T2366">
        <v>0.24374187596964236</v>
      </c>
      <c r="U2366" s="1">
        <v>45658</v>
      </c>
      <c r="V2366" t="s">
        <v>2499</v>
      </c>
      <c r="W2366">
        <v>2025</v>
      </c>
    </row>
    <row r="2367" spans="1:23" x14ac:dyDescent="0.25">
      <c r="A2367" t="s">
        <v>2414</v>
      </c>
      <c r="B2367" s="1">
        <v>45574</v>
      </c>
      <c r="C2367" s="1">
        <v>45576</v>
      </c>
      <c r="D2367" t="s">
        <v>32</v>
      </c>
      <c r="E2367" t="s">
        <v>62</v>
      </c>
      <c r="F2367" t="s">
        <v>25</v>
      </c>
      <c r="G2367" t="s">
        <v>26</v>
      </c>
      <c r="H2367" t="s">
        <v>30</v>
      </c>
      <c r="I2367">
        <v>4</v>
      </c>
      <c r="J2367">
        <v>0</v>
      </c>
      <c r="K2367">
        <v>28.24</v>
      </c>
      <c r="L2367">
        <v>3.78</v>
      </c>
      <c r="M2367" t="s">
        <v>2473</v>
      </c>
      <c r="N2367" t="s">
        <v>2474</v>
      </c>
      <c r="O2367" t="s">
        <v>2463</v>
      </c>
      <c r="P2367">
        <v>3.62</v>
      </c>
      <c r="Q2367">
        <v>6.03</v>
      </c>
      <c r="R2367">
        <v>14.48</v>
      </c>
      <c r="S2367">
        <v>9.9799999999999986</v>
      </c>
      <c r="T2367">
        <v>0.35339943342776203</v>
      </c>
      <c r="U2367" s="1">
        <v>45566</v>
      </c>
      <c r="V2367" t="s">
        <v>2499</v>
      </c>
      <c r="W2367">
        <v>2024</v>
      </c>
    </row>
    <row r="2368" spans="1:23" x14ac:dyDescent="0.25">
      <c r="A2368" t="s">
        <v>2415</v>
      </c>
      <c r="B2368" s="1">
        <v>45912</v>
      </c>
      <c r="C2368" s="1">
        <v>45916</v>
      </c>
      <c r="D2368" t="s">
        <v>47</v>
      </c>
      <c r="E2368" t="s">
        <v>50</v>
      </c>
      <c r="F2368" t="s">
        <v>25</v>
      </c>
      <c r="G2368" t="s">
        <v>20</v>
      </c>
      <c r="H2368" t="s">
        <v>87</v>
      </c>
      <c r="I2368">
        <v>11</v>
      </c>
      <c r="J2368">
        <v>0.1</v>
      </c>
      <c r="K2368">
        <v>85.2</v>
      </c>
      <c r="L2368">
        <v>5.67</v>
      </c>
      <c r="M2368" t="s">
        <v>2476</v>
      </c>
      <c r="N2368" t="s">
        <v>2474</v>
      </c>
      <c r="O2368" t="s">
        <v>2459</v>
      </c>
      <c r="P2368">
        <v>4.5</v>
      </c>
      <c r="Q2368">
        <v>8.2899999999999991</v>
      </c>
      <c r="R2368">
        <v>49.5</v>
      </c>
      <c r="S2368">
        <v>30.03</v>
      </c>
      <c r="T2368">
        <v>0.35246478873239434</v>
      </c>
      <c r="U2368" s="1">
        <v>45901</v>
      </c>
      <c r="V2368" t="s">
        <v>2498</v>
      </c>
      <c r="W2368">
        <v>2025</v>
      </c>
    </row>
    <row r="2369" spans="1:23" x14ac:dyDescent="0.25">
      <c r="A2369" t="s">
        <v>2416</v>
      </c>
      <c r="B2369" s="1">
        <v>45680</v>
      </c>
      <c r="C2369" s="1">
        <v>45682</v>
      </c>
      <c r="D2369" t="s">
        <v>47</v>
      </c>
      <c r="E2369" t="s">
        <v>50</v>
      </c>
      <c r="F2369" t="s">
        <v>29</v>
      </c>
      <c r="G2369" t="s">
        <v>16</v>
      </c>
      <c r="H2369" t="s">
        <v>65</v>
      </c>
      <c r="I2369">
        <v>1</v>
      </c>
      <c r="J2369">
        <v>0</v>
      </c>
      <c r="K2369">
        <v>254.95</v>
      </c>
      <c r="L2369">
        <v>4.08</v>
      </c>
      <c r="M2369" t="s">
        <v>2457</v>
      </c>
      <c r="N2369" t="s">
        <v>2458</v>
      </c>
      <c r="O2369" t="s">
        <v>2459</v>
      </c>
      <c r="P2369">
        <v>173.56</v>
      </c>
      <c r="Q2369">
        <v>286.14999999999998</v>
      </c>
      <c r="R2369">
        <v>173.56</v>
      </c>
      <c r="S2369">
        <v>77.309999999999988</v>
      </c>
      <c r="T2369">
        <v>0.30323592861345361</v>
      </c>
      <c r="U2369" s="1">
        <v>45658</v>
      </c>
      <c r="V2369" t="s">
        <v>2499</v>
      </c>
      <c r="W2369">
        <v>2025</v>
      </c>
    </row>
    <row r="2370" spans="1:23" x14ac:dyDescent="0.25">
      <c r="A2370" t="s">
        <v>2417</v>
      </c>
      <c r="B2370" s="1">
        <v>45441</v>
      </c>
      <c r="C2370" s="1">
        <v>45443</v>
      </c>
      <c r="D2370" t="s">
        <v>13</v>
      </c>
      <c r="E2370" t="s">
        <v>14</v>
      </c>
      <c r="F2370" t="s">
        <v>25</v>
      </c>
      <c r="G2370" t="s">
        <v>26</v>
      </c>
      <c r="H2370" t="s">
        <v>21</v>
      </c>
      <c r="I2370">
        <v>3</v>
      </c>
      <c r="J2370">
        <v>0</v>
      </c>
      <c r="K2370">
        <v>363.24</v>
      </c>
      <c r="L2370">
        <v>11.4</v>
      </c>
      <c r="M2370" t="s">
        <v>2462</v>
      </c>
      <c r="N2370" t="s">
        <v>2458</v>
      </c>
      <c r="O2370" t="s">
        <v>2463</v>
      </c>
      <c r="P2370">
        <v>71.489999999999995</v>
      </c>
      <c r="Q2370">
        <v>112.88</v>
      </c>
      <c r="R2370">
        <v>214.46999999999997</v>
      </c>
      <c r="S2370">
        <v>137.37000000000003</v>
      </c>
      <c r="T2370">
        <v>0.37817971589032051</v>
      </c>
      <c r="U2370" s="1">
        <v>45413</v>
      </c>
      <c r="V2370" t="s">
        <v>2499</v>
      </c>
      <c r="W2370">
        <v>2024</v>
      </c>
    </row>
    <row r="2371" spans="1:23" x14ac:dyDescent="0.25">
      <c r="A2371" t="s">
        <v>2418</v>
      </c>
      <c r="B2371" s="1">
        <v>45891</v>
      </c>
      <c r="C2371" s="1">
        <v>45896</v>
      </c>
      <c r="D2371" t="s">
        <v>13</v>
      </c>
      <c r="E2371" t="s">
        <v>19</v>
      </c>
      <c r="F2371" t="s">
        <v>25</v>
      </c>
      <c r="G2371" t="s">
        <v>20</v>
      </c>
      <c r="H2371" t="s">
        <v>63</v>
      </c>
      <c r="I2371">
        <v>8</v>
      </c>
      <c r="J2371">
        <v>0</v>
      </c>
      <c r="K2371">
        <v>91.64</v>
      </c>
      <c r="L2371">
        <v>4.8600000000000003</v>
      </c>
      <c r="M2371" t="s">
        <v>2477</v>
      </c>
      <c r="N2371" t="s">
        <v>2474</v>
      </c>
      <c r="O2371" t="s">
        <v>2468</v>
      </c>
      <c r="P2371">
        <v>6.33</v>
      </c>
      <c r="Q2371">
        <v>12.16</v>
      </c>
      <c r="R2371">
        <v>50.64</v>
      </c>
      <c r="S2371">
        <v>36.14</v>
      </c>
      <c r="T2371">
        <v>0.39436927106067221</v>
      </c>
      <c r="U2371" s="1">
        <v>45870</v>
      </c>
      <c r="V2371" t="s">
        <v>2499</v>
      </c>
      <c r="W2371">
        <v>2025</v>
      </c>
    </row>
    <row r="2372" spans="1:23" x14ac:dyDescent="0.25">
      <c r="A2372" t="s">
        <v>2419</v>
      </c>
      <c r="B2372" s="1">
        <v>45686</v>
      </c>
      <c r="C2372" s="1">
        <v>45687</v>
      </c>
      <c r="D2372" t="s">
        <v>32</v>
      </c>
      <c r="E2372" t="s">
        <v>45</v>
      </c>
      <c r="F2372" t="s">
        <v>29</v>
      </c>
      <c r="G2372" t="s">
        <v>20</v>
      </c>
      <c r="H2372" t="s">
        <v>65</v>
      </c>
      <c r="I2372">
        <v>4</v>
      </c>
      <c r="J2372">
        <v>0</v>
      </c>
      <c r="K2372">
        <v>1064.6099999999999</v>
      </c>
      <c r="L2372">
        <v>8.2200000000000006</v>
      </c>
      <c r="M2372" t="s">
        <v>2457</v>
      </c>
      <c r="N2372" t="s">
        <v>2458</v>
      </c>
      <c r="O2372" t="s">
        <v>2459</v>
      </c>
      <c r="P2372">
        <v>173.56</v>
      </c>
      <c r="Q2372">
        <v>286.14999999999998</v>
      </c>
      <c r="R2372">
        <v>694.24</v>
      </c>
      <c r="S2372">
        <v>362.14999999999986</v>
      </c>
      <c r="T2372">
        <v>0.34017151820854574</v>
      </c>
      <c r="U2372" s="1">
        <v>45658</v>
      </c>
      <c r="V2372" t="s">
        <v>2499</v>
      </c>
      <c r="W2372">
        <v>2025</v>
      </c>
    </row>
    <row r="2373" spans="1:23" x14ac:dyDescent="0.25">
      <c r="A2373" t="s">
        <v>2420</v>
      </c>
      <c r="B2373" s="1">
        <v>45653</v>
      </c>
      <c r="C2373" s="1">
        <v>45659</v>
      </c>
      <c r="D2373" t="s">
        <v>47</v>
      </c>
      <c r="E2373" t="s">
        <v>71</v>
      </c>
      <c r="F2373" t="s">
        <v>29</v>
      </c>
      <c r="G2373" t="s">
        <v>20</v>
      </c>
      <c r="H2373" t="s">
        <v>41</v>
      </c>
      <c r="I2373">
        <v>25</v>
      </c>
      <c r="J2373">
        <v>0</v>
      </c>
      <c r="K2373">
        <v>222.48</v>
      </c>
      <c r="L2373">
        <v>9.4499999999999993</v>
      </c>
      <c r="M2373" t="s">
        <v>2479</v>
      </c>
      <c r="N2373" t="s">
        <v>2474</v>
      </c>
      <c r="O2373" t="s">
        <v>2459</v>
      </c>
      <c r="P2373">
        <v>3.3</v>
      </c>
      <c r="Q2373">
        <v>6.13</v>
      </c>
      <c r="R2373">
        <v>82.5</v>
      </c>
      <c r="S2373">
        <v>130.53</v>
      </c>
      <c r="T2373">
        <v>0.58670442286947144</v>
      </c>
      <c r="U2373" s="1">
        <v>45627</v>
      </c>
      <c r="V2373" t="s">
        <v>2499</v>
      </c>
      <c r="W2373">
        <v>2024</v>
      </c>
    </row>
    <row r="2374" spans="1:23" x14ac:dyDescent="0.25">
      <c r="A2374" t="s">
        <v>2421</v>
      </c>
      <c r="B2374" s="1">
        <v>45904</v>
      </c>
      <c r="C2374" s="1">
        <v>45908</v>
      </c>
      <c r="D2374" t="s">
        <v>13</v>
      </c>
      <c r="E2374" t="s">
        <v>36</v>
      </c>
      <c r="F2374" t="s">
        <v>15</v>
      </c>
      <c r="G2374" t="s">
        <v>16</v>
      </c>
      <c r="H2374" t="s">
        <v>60</v>
      </c>
      <c r="I2374">
        <v>3</v>
      </c>
      <c r="J2374">
        <v>0</v>
      </c>
      <c r="K2374">
        <v>363.97</v>
      </c>
      <c r="L2374">
        <v>4.95</v>
      </c>
      <c r="M2374" t="s">
        <v>2469</v>
      </c>
      <c r="N2374" t="s">
        <v>2467</v>
      </c>
      <c r="O2374" t="s">
        <v>2468</v>
      </c>
      <c r="P2374">
        <v>54.95</v>
      </c>
      <c r="Q2374">
        <v>112.56</v>
      </c>
      <c r="R2374">
        <v>164.85000000000002</v>
      </c>
      <c r="S2374">
        <v>194.17000000000002</v>
      </c>
      <c r="T2374">
        <v>0.53347803390389315</v>
      </c>
      <c r="U2374" s="1">
        <v>45901</v>
      </c>
      <c r="V2374" t="s">
        <v>2499</v>
      </c>
      <c r="W2374">
        <v>2025</v>
      </c>
    </row>
    <row r="2375" spans="1:23" x14ac:dyDescent="0.25">
      <c r="A2375" t="s">
        <v>2422</v>
      </c>
      <c r="B2375" s="1">
        <v>45869</v>
      </c>
      <c r="C2375" s="1">
        <v>45872</v>
      </c>
      <c r="D2375" t="s">
        <v>13</v>
      </c>
      <c r="E2375" t="s">
        <v>19</v>
      </c>
      <c r="F2375" t="s">
        <v>25</v>
      </c>
      <c r="G2375" t="s">
        <v>26</v>
      </c>
      <c r="H2375" t="s">
        <v>27</v>
      </c>
      <c r="I2375">
        <v>8</v>
      </c>
      <c r="J2375">
        <v>0.15</v>
      </c>
      <c r="K2375">
        <v>164.56</v>
      </c>
      <c r="L2375">
        <v>4.8600000000000003</v>
      </c>
      <c r="M2375" t="s">
        <v>2478</v>
      </c>
      <c r="N2375" t="s">
        <v>2474</v>
      </c>
      <c r="O2375" t="s">
        <v>2463</v>
      </c>
      <c r="P2375">
        <v>16.760000000000002</v>
      </c>
      <c r="Q2375">
        <v>27.71</v>
      </c>
      <c r="R2375">
        <v>134.08000000000001</v>
      </c>
      <c r="S2375">
        <v>25.61999999999999</v>
      </c>
      <c r="T2375">
        <v>0.15568789499270777</v>
      </c>
      <c r="U2375" s="1">
        <v>45839</v>
      </c>
      <c r="V2375" t="s">
        <v>2500</v>
      </c>
      <c r="W2375">
        <v>2025</v>
      </c>
    </row>
    <row r="2376" spans="1:23" x14ac:dyDescent="0.25">
      <c r="A2376" t="s">
        <v>2423</v>
      </c>
      <c r="B2376" s="1">
        <v>45399</v>
      </c>
      <c r="C2376" s="1">
        <v>45401</v>
      </c>
      <c r="D2376" t="s">
        <v>32</v>
      </c>
      <c r="E2376" t="s">
        <v>62</v>
      </c>
      <c r="F2376" t="s">
        <v>15</v>
      </c>
      <c r="G2376" t="s">
        <v>16</v>
      </c>
      <c r="H2376" t="s">
        <v>37</v>
      </c>
      <c r="I2376">
        <v>4</v>
      </c>
      <c r="J2376">
        <v>0</v>
      </c>
      <c r="K2376">
        <v>427.29</v>
      </c>
      <c r="L2376">
        <v>8.2200000000000006</v>
      </c>
      <c r="M2376" t="s">
        <v>2464</v>
      </c>
      <c r="N2376" t="s">
        <v>2458</v>
      </c>
      <c r="O2376" t="s">
        <v>2465</v>
      </c>
      <c r="P2376">
        <v>63.6</v>
      </c>
      <c r="Q2376">
        <v>107.94</v>
      </c>
      <c r="R2376">
        <v>254.4</v>
      </c>
      <c r="S2376">
        <v>164.67000000000002</v>
      </c>
      <c r="T2376">
        <v>0.38538229305623817</v>
      </c>
      <c r="U2376" s="1">
        <v>45383</v>
      </c>
      <c r="V2376" t="s">
        <v>2499</v>
      </c>
      <c r="W2376">
        <v>2024</v>
      </c>
    </row>
    <row r="2377" spans="1:23" x14ac:dyDescent="0.25">
      <c r="A2377" t="s">
        <v>2424</v>
      </c>
      <c r="B2377" s="1">
        <v>45896</v>
      </c>
      <c r="C2377" s="1">
        <v>45900</v>
      </c>
      <c r="D2377" t="s">
        <v>32</v>
      </c>
      <c r="E2377" t="s">
        <v>45</v>
      </c>
      <c r="F2377" t="s">
        <v>25</v>
      </c>
      <c r="G2377" t="s">
        <v>26</v>
      </c>
      <c r="H2377" t="s">
        <v>34</v>
      </c>
      <c r="I2377">
        <v>2</v>
      </c>
      <c r="J2377">
        <v>0.25</v>
      </c>
      <c r="K2377">
        <v>296.27</v>
      </c>
      <c r="L2377">
        <v>9.1</v>
      </c>
      <c r="M2377" t="s">
        <v>2460</v>
      </c>
      <c r="N2377" t="s">
        <v>2458</v>
      </c>
      <c r="O2377" t="s">
        <v>2461</v>
      </c>
      <c r="P2377">
        <v>119.02</v>
      </c>
      <c r="Q2377">
        <v>205.39</v>
      </c>
      <c r="R2377">
        <v>238.04</v>
      </c>
      <c r="S2377">
        <v>49.129999999999988</v>
      </c>
      <c r="T2377">
        <v>0.16582846727647077</v>
      </c>
      <c r="U2377" s="1">
        <v>45870</v>
      </c>
      <c r="V2377" t="s">
        <v>2501</v>
      </c>
      <c r="W2377">
        <v>2025</v>
      </c>
    </row>
    <row r="2378" spans="1:23" x14ac:dyDescent="0.25">
      <c r="A2378" t="s">
        <v>2425</v>
      </c>
      <c r="B2378" s="1">
        <v>45370</v>
      </c>
      <c r="C2378" s="1">
        <v>45375</v>
      </c>
      <c r="D2378" t="s">
        <v>23</v>
      </c>
      <c r="E2378" t="s">
        <v>24</v>
      </c>
      <c r="F2378" t="s">
        <v>29</v>
      </c>
      <c r="G2378" t="s">
        <v>20</v>
      </c>
      <c r="H2378" t="s">
        <v>60</v>
      </c>
      <c r="I2378">
        <v>4</v>
      </c>
      <c r="J2378">
        <v>0.25</v>
      </c>
      <c r="K2378">
        <v>301.12</v>
      </c>
      <c r="L2378">
        <v>5.7</v>
      </c>
      <c r="M2378" t="s">
        <v>2469</v>
      </c>
      <c r="N2378" t="s">
        <v>2467</v>
      </c>
      <c r="O2378" t="s">
        <v>2468</v>
      </c>
      <c r="P2378">
        <v>54.95</v>
      </c>
      <c r="Q2378">
        <v>112.56</v>
      </c>
      <c r="R2378">
        <v>219.8</v>
      </c>
      <c r="S2378">
        <v>75.61999999999999</v>
      </c>
      <c r="T2378">
        <v>0.2511291179596174</v>
      </c>
      <c r="U2378" s="1">
        <v>45352</v>
      </c>
      <c r="V2378" t="s">
        <v>2501</v>
      </c>
      <c r="W2378">
        <v>2024</v>
      </c>
    </row>
    <row r="2379" spans="1:23" x14ac:dyDescent="0.25">
      <c r="A2379" t="s">
        <v>2426</v>
      </c>
      <c r="B2379" s="1">
        <v>45757</v>
      </c>
      <c r="C2379" s="1">
        <v>45758</v>
      </c>
      <c r="D2379" t="s">
        <v>13</v>
      </c>
      <c r="E2379" t="s">
        <v>14</v>
      </c>
      <c r="F2379" t="s">
        <v>15</v>
      </c>
      <c r="G2379" t="s">
        <v>20</v>
      </c>
      <c r="H2379" t="s">
        <v>65</v>
      </c>
      <c r="I2379">
        <v>1</v>
      </c>
      <c r="J2379">
        <v>0.15</v>
      </c>
      <c r="K2379">
        <v>230.67</v>
      </c>
      <c r="L2379">
        <v>4.08</v>
      </c>
      <c r="M2379" t="s">
        <v>2457</v>
      </c>
      <c r="N2379" t="s">
        <v>2458</v>
      </c>
      <c r="O2379" t="s">
        <v>2459</v>
      </c>
      <c r="P2379">
        <v>173.56</v>
      </c>
      <c r="Q2379">
        <v>286.14999999999998</v>
      </c>
      <c r="R2379">
        <v>173.56</v>
      </c>
      <c r="S2379">
        <v>53.029999999999987</v>
      </c>
      <c r="T2379">
        <v>0.22989552174101527</v>
      </c>
      <c r="U2379" s="1">
        <v>45748</v>
      </c>
      <c r="V2379" t="s">
        <v>2500</v>
      </c>
      <c r="W2379">
        <v>2025</v>
      </c>
    </row>
    <row r="2380" spans="1:23" x14ac:dyDescent="0.25">
      <c r="A2380" t="s">
        <v>2427</v>
      </c>
      <c r="B2380" s="1">
        <v>45345</v>
      </c>
      <c r="C2380" s="1">
        <v>45350</v>
      </c>
      <c r="D2380" t="s">
        <v>47</v>
      </c>
      <c r="E2380" t="s">
        <v>50</v>
      </c>
      <c r="F2380" t="s">
        <v>15</v>
      </c>
      <c r="G2380" t="s">
        <v>16</v>
      </c>
      <c r="H2380" t="s">
        <v>39</v>
      </c>
      <c r="I2380">
        <v>2</v>
      </c>
      <c r="J2380">
        <v>0.2</v>
      </c>
      <c r="K2380">
        <v>280.74</v>
      </c>
      <c r="L2380">
        <v>4.2</v>
      </c>
      <c r="M2380" t="s">
        <v>2471</v>
      </c>
      <c r="N2380" t="s">
        <v>2467</v>
      </c>
      <c r="O2380" t="s">
        <v>2461</v>
      </c>
      <c r="P2380">
        <v>112.09</v>
      </c>
      <c r="Q2380">
        <v>192.47</v>
      </c>
      <c r="R2380">
        <v>224.18</v>
      </c>
      <c r="S2380">
        <v>52.36</v>
      </c>
      <c r="T2380">
        <v>0.18650708840920424</v>
      </c>
      <c r="U2380" s="1">
        <v>45323</v>
      </c>
      <c r="V2380" t="s">
        <v>2500</v>
      </c>
      <c r="W2380">
        <v>2024</v>
      </c>
    </row>
    <row r="2381" spans="1:23" x14ac:dyDescent="0.25">
      <c r="A2381" t="s">
        <v>2428</v>
      </c>
      <c r="B2381" s="1">
        <v>45783</v>
      </c>
      <c r="C2381" s="1">
        <v>45789</v>
      </c>
      <c r="D2381" t="s">
        <v>23</v>
      </c>
      <c r="E2381" t="s">
        <v>24</v>
      </c>
      <c r="F2381" t="s">
        <v>29</v>
      </c>
      <c r="G2381" t="s">
        <v>20</v>
      </c>
      <c r="H2381" t="s">
        <v>60</v>
      </c>
      <c r="I2381">
        <v>2</v>
      </c>
      <c r="J2381">
        <v>0.05</v>
      </c>
      <c r="K2381">
        <v>217.17</v>
      </c>
      <c r="L2381">
        <v>4.2</v>
      </c>
      <c r="M2381" t="s">
        <v>2469</v>
      </c>
      <c r="N2381" t="s">
        <v>2467</v>
      </c>
      <c r="O2381" t="s">
        <v>2468</v>
      </c>
      <c r="P2381">
        <v>54.95</v>
      </c>
      <c r="Q2381">
        <v>112.56</v>
      </c>
      <c r="R2381">
        <v>109.9</v>
      </c>
      <c r="S2381">
        <v>103.06999999999998</v>
      </c>
      <c r="T2381">
        <v>0.47460514804070536</v>
      </c>
      <c r="U2381" s="1">
        <v>45778</v>
      </c>
      <c r="V2381" t="s">
        <v>2498</v>
      </c>
      <c r="W2381">
        <v>2025</v>
      </c>
    </row>
    <row r="2382" spans="1:23" x14ac:dyDescent="0.25">
      <c r="A2382" t="s">
        <v>2429</v>
      </c>
      <c r="B2382" s="1">
        <v>45500</v>
      </c>
      <c r="C2382" s="1">
        <v>45503</v>
      </c>
      <c r="D2382" t="s">
        <v>47</v>
      </c>
      <c r="E2382" t="s">
        <v>71</v>
      </c>
      <c r="F2382" t="s">
        <v>15</v>
      </c>
      <c r="G2382" t="s">
        <v>20</v>
      </c>
      <c r="H2382" t="s">
        <v>65</v>
      </c>
      <c r="I2382">
        <v>3</v>
      </c>
      <c r="J2382">
        <v>0</v>
      </c>
      <c r="K2382">
        <v>809.04</v>
      </c>
      <c r="L2382">
        <v>6.84</v>
      </c>
      <c r="M2382" t="s">
        <v>2457</v>
      </c>
      <c r="N2382" t="s">
        <v>2458</v>
      </c>
      <c r="O2382" t="s">
        <v>2459</v>
      </c>
      <c r="P2382">
        <v>173.56</v>
      </c>
      <c r="Q2382">
        <v>286.14999999999998</v>
      </c>
      <c r="R2382">
        <v>520.68000000000006</v>
      </c>
      <c r="S2382">
        <v>281.51999999999992</v>
      </c>
      <c r="T2382">
        <v>0.34796796202907143</v>
      </c>
      <c r="U2382" s="1">
        <v>45474</v>
      </c>
      <c r="V2382" t="s">
        <v>2499</v>
      </c>
      <c r="W2382">
        <v>2024</v>
      </c>
    </row>
    <row r="2383" spans="1:23" x14ac:dyDescent="0.25">
      <c r="A2383" t="s">
        <v>2430</v>
      </c>
      <c r="B2383" s="1">
        <v>45724</v>
      </c>
      <c r="C2383" s="1">
        <v>45725</v>
      </c>
      <c r="D2383" t="s">
        <v>32</v>
      </c>
      <c r="E2383" t="s">
        <v>62</v>
      </c>
      <c r="F2383" t="s">
        <v>29</v>
      </c>
      <c r="G2383" t="s">
        <v>20</v>
      </c>
      <c r="H2383" t="s">
        <v>17</v>
      </c>
      <c r="I2383">
        <v>4</v>
      </c>
      <c r="J2383">
        <v>0</v>
      </c>
      <c r="K2383">
        <v>481.31</v>
      </c>
      <c r="L2383">
        <v>9.5</v>
      </c>
      <c r="M2383" t="s">
        <v>2472</v>
      </c>
      <c r="N2383" t="s">
        <v>2467</v>
      </c>
      <c r="O2383" t="s">
        <v>2468</v>
      </c>
      <c r="P2383">
        <v>63.69</v>
      </c>
      <c r="Q2383">
        <v>125.5</v>
      </c>
      <c r="R2383">
        <v>254.76</v>
      </c>
      <c r="S2383">
        <v>217.05</v>
      </c>
      <c r="T2383">
        <v>0.45095676383204175</v>
      </c>
      <c r="U2383" s="1">
        <v>45717</v>
      </c>
      <c r="V2383" t="s">
        <v>2499</v>
      </c>
      <c r="W2383">
        <v>2025</v>
      </c>
    </row>
    <row r="2384" spans="1:23" x14ac:dyDescent="0.25">
      <c r="A2384" t="s">
        <v>2431</v>
      </c>
      <c r="B2384" s="1">
        <v>45508</v>
      </c>
      <c r="C2384" s="1">
        <v>45509</v>
      </c>
      <c r="D2384" t="s">
        <v>47</v>
      </c>
      <c r="E2384" t="s">
        <v>71</v>
      </c>
      <c r="F2384" t="s">
        <v>29</v>
      </c>
      <c r="G2384" t="s">
        <v>20</v>
      </c>
      <c r="H2384" t="s">
        <v>39</v>
      </c>
      <c r="I2384">
        <v>2</v>
      </c>
      <c r="J2384">
        <v>0.2</v>
      </c>
      <c r="K2384">
        <v>309.19</v>
      </c>
      <c r="L2384">
        <v>7</v>
      </c>
      <c r="M2384" t="s">
        <v>2471</v>
      </c>
      <c r="N2384" t="s">
        <v>2467</v>
      </c>
      <c r="O2384" t="s">
        <v>2461</v>
      </c>
      <c r="P2384">
        <v>112.09</v>
      </c>
      <c r="Q2384">
        <v>192.47</v>
      </c>
      <c r="R2384">
        <v>224.18</v>
      </c>
      <c r="S2384">
        <v>78.009999999999991</v>
      </c>
      <c r="T2384">
        <v>0.25230440829263556</v>
      </c>
      <c r="U2384" s="1">
        <v>45505</v>
      </c>
      <c r="V2384" t="s">
        <v>2500</v>
      </c>
      <c r="W2384">
        <v>2024</v>
      </c>
    </row>
    <row r="2385" spans="1:23" x14ac:dyDescent="0.25">
      <c r="A2385" t="s">
        <v>2432</v>
      </c>
      <c r="B2385" s="1">
        <v>45869</v>
      </c>
      <c r="C2385" s="1">
        <v>45874</v>
      </c>
      <c r="D2385" t="s">
        <v>47</v>
      </c>
      <c r="E2385" t="s">
        <v>71</v>
      </c>
      <c r="F2385" t="s">
        <v>29</v>
      </c>
      <c r="G2385" t="s">
        <v>16</v>
      </c>
      <c r="H2385" t="s">
        <v>60</v>
      </c>
      <c r="I2385">
        <v>1</v>
      </c>
      <c r="J2385">
        <v>0.25</v>
      </c>
      <c r="K2385">
        <v>74.400000000000006</v>
      </c>
      <c r="L2385">
        <v>5.75</v>
      </c>
      <c r="M2385" t="s">
        <v>2469</v>
      </c>
      <c r="N2385" t="s">
        <v>2467</v>
      </c>
      <c r="O2385" t="s">
        <v>2468</v>
      </c>
      <c r="P2385">
        <v>54.95</v>
      </c>
      <c r="Q2385">
        <v>112.56</v>
      </c>
      <c r="R2385">
        <v>54.95</v>
      </c>
      <c r="S2385">
        <v>13.700000000000003</v>
      </c>
      <c r="T2385">
        <v>0.18413978494623659</v>
      </c>
      <c r="U2385" s="1">
        <v>45839</v>
      </c>
      <c r="V2385" t="s">
        <v>2501</v>
      </c>
      <c r="W2385">
        <v>2025</v>
      </c>
    </row>
    <row r="2386" spans="1:23" x14ac:dyDescent="0.25">
      <c r="A2386" t="s">
        <v>2433</v>
      </c>
      <c r="B2386" s="1">
        <v>45925</v>
      </c>
      <c r="C2386" s="1">
        <v>45931</v>
      </c>
      <c r="D2386" t="s">
        <v>32</v>
      </c>
      <c r="E2386" t="s">
        <v>62</v>
      </c>
      <c r="F2386" t="s">
        <v>25</v>
      </c>
      <c r="G2386" t="s">
        <v>20</v>
      </c>
      <c r="H2386" t="s">
        <v>17</v>
      </c>
      <c r="I2386">
        <v>4</v>
      </c>
      <c r="J2386">
        <v>0</v>
      </c>
      <c r="K2386">
        <v>552.82000000000005</v>
      </c>
      <c r="L2386">
        <v>5.7</v>
      </c>
      <c r="M2386" t="s">
        <v>2472</v>
      </c>
      <c r="N2386" t="s">
        <v>2467</v>
      </c>
      <c r="O2386" t="s">
        <v>2468</v>
      </c>
      <c r="P2386">
        <v>63.69</v>
      </c>
      <c r="Q2386">
        <v>125.5</v>
      </c>
      <c r="R2386">
        <v>254.76</v>
      </c>
      <c r="S2386">
        <v>292.36000000000007</v>
      </c>
      <c r="T2386">
        <v>0.52885206758076775</v>
      </c>
      <c r="U2386" s="1">
        <v>45901</v>
      </c>
      <c r="V2386" t="s">
        <v>2499</v>
      </c>
      <c r="W2386">
        <v>2025</v>
      </c>
    </row>
    <row r="2387" spans="1:23" x14ac:dyDescent="0.25">
      <c r="A2387" t="s">
        <v>2434</v>
      </c>
      <c r="B2387" s="1">
        <v>45963</v>
      </c>
      <c r="C2387" s="1">
        <v>45966</v>
      </c>
      <c r="D2387" t="s">
        <v>13</v>
      </c>
      <c r="E2387" t="s">
        <v>14</v>
      </c>
      <c r="F2387" t="s">
        <v>25</v>
      </c>
      <c r="G2387" t="s">
        <v>26</v>
      </c>
      <c r="H2387" t="s">
        <v>41</v>
      </c>
      <c r="I2387">
        <v>8</v>
      </c>
      <c r="J2387">
        <v>0.2</v>
      </c>
      <c r="K2387">
        <v>55.81</v>
      </c>
      <c r="L2387">
        <v>4.8600000000000003</v>
      </c>
      <c r="M2387" t="s">
        <v>2479</v>
      </c>
      <c r="N2387" t="s">
        <v>2474</v>
      </c>
      <c r="O2387" t="s">
        <v>2459</v>
      </c>
      <c r="P2387">
        <v>3.3</v>
      </c>
      <c r="Q2387">
        <v>6.13</v>
      </c>
      <c r="R2387">
        <v>26.4</v>
      </c>
      <c r="S2387">
        <v>24.550000000000004</v>
      </c>
      <c r="T2387">
        <v>0.4398853252105358</v>
      </c>
      <c r="U2387" s="1">
        <v>45962</v>
      </c>
      <c r="V2387" t="s">
        <v>2500</v>
      </c>
      <c r="W2387">
        <v>2025</v>
      </c>
    </row>
    <row r="2388" spans="1:23" x14ac:dyDescent="0.25">
      <c r="A2388" t="s">
        <v>2435</v>
      </c>
      <c r="B2388" s="1">
        <v>45398</v>
      </c>
      <c r="C2388" s="1">
        <v>45403</v>
      </c>
      <c r="D2388" t="s">
        <v>47</v>
      </c>
      <c r="E2388" t="s">
        <v>50</v>
      </c>
      <c r="F2388" t="s">
        <v>29</v>
      </c>
      <c r="G2388" t="s">
        <v>26</v>
      </c>
      <c r="H2388" t="s">
        <v>63</v>
      </c>
      <c r="I2388">
        <v>7</v>
      </c>
      <c r="J2388">
        <v>0.25</v>
      </c>
      <c r="K2388">
        <v>59.96</v>
      </c>
      <c r="L2388">
        <v>4.59</v>
      </c>
      <c r="M2388" t="s">
        <v>2477</v>
      </c>
      <c r="N2388" t="s">
        <v>2474</v>
      </c>
      <c r="O2388" t="s">
        <v>2468</v>
      </c>
      <c r="P2388">
        <v>6.33</v>
      </c>
      <c r="Q2388">
        <v>12.16</v>
      </c>
      <c r="R2388">
        <v>44.31</v>
      </c>
      <c r="S2388">
        <v>11.059999999999999</v>
      </c>
      <c r="T2388">
        <v>0.18445630420280185</v>
      </c>
      <c r="U2388" s="1">
        <v>45383</v>
      </c>
      <c r="V2388" t="s">
        <v>2501</v>
      </c>
      <c r="W2388">
        <v>2024</v>
      </c>
    </row>
    <row r="2389" spans="1:23" x14ac:dyDescent="0.25">
      <c r="A2389" t="s">
        <v>2436</v>
      </c>
      <c r="B2389" s="1">
        <v>45882</v>
      </c>
      <c r="C2389" s="1">
        <v>45886</v>
      </c>
      <c r="D2389" t="s">
        <v>47</v>
      </c>
      <c r="E2389" t="s">
        <v>50</v>
      </c>
      <c r="F2389" t="s">
        <v>29</v>
      </c>
      <c r="G2389" t="s">
        <v>20</v>
      </c>
      <c r="H2389" t="s">
        <v>39</v>
      </c>
      <c r="I2389">
        <v>2</v>
      </c>
      <c r="J2389">
        <v>0.2</v>
      </c>
      <c r="K2389">
        <v>275.48</v>
      </c>
      <c r="L2389">
        <v>7</v>
      </c>
      <c r="M2389" t="s">
        <v>2471</v>
      </c>
      <c r="N2389" t="s">
        <v>2467</v>
      </c>
      <c r="O2389" t="s">
        <v>2461</v>
      </c>
      <c r="P2389">
        <v>112.09</v>
      </c>
      <c r="Q2389">
        <v>192.47</v>
      </c>
      <c r="R2389">
        <v>224.18</v>
      </c>
      <c r="S2389">
        <v>44.300000000000011</v>
      </c>
      <c r="T2389">
        <v>0.16081022215768842</v>
      </c>
      <c r="U2389" s="1">
        <v>45870</v>
      </c>
      <c r="V2389" t="s">
        <v>2500</v>
      </c>
      <c r="W2389">
        <v>2025</v>
      </c>
    </row>
    <row r="2390" spans="1:23" x14ac:dyDescent="0.25">
      <c r="A2390" t="s">
        <v>2437</v>
      </c>
      <c r="B2390" s="1">
        <v>45383</v>
      </c>
      <c r="C2390" s="1">
        <v>45385</v>
      </c>
      <c r="D2390" t="s">
        <v>23</v>
      </c>
      <c r="E2390" t="s">
        <v>59</v>
      </c>
      <c r="F2390" t="s">
        <v>15</v>
      </c>
      <c r="G2390" t="s">
        <v>26</v>
      </c>
      <c r="H2390" t="s">
        <v>27</v>
      </c>
      <c r="I2390">
        <v>4</v>
      </c>
      <c r="J2390">
        <v>0</v>
      </c>
      <c r="K2390">
        <v>104.68</v>
      </c>
      <c r="L2390">
        <v>3.78</v>
      </c>
      <c r="M2390" t="s">
        <v>2478</v>
      </c>
      <c r="N2390" t="s">
        <v>2474</v>
      </c>
      <c r="O2390" t="s">
        <v>2463</v>
      </c>
      <c r="P2390">
        <v>16.760000000000002</v>
      </c>
      <c r="Q2390">
        <v>27.71</v>
      </c>
      <c r="R2390">
        <v>67.040000000000006</v>
      </c>
      <c r="S2390">
        <v>33.86</v>
      </c>
      <c r="T2390">
        <v>0.32346197936568588</v>
      </c>
      <c r="U2390" s="1">
        <v>45383</v>
      </c>
      <c r="V2390" t="s">
        <v>2499</v>
      </c>
      <c r="W2390">
        <v>2024</v>
      </c>
    </row>
    <row r="2391" spans="1:23" x14ac:dyDescent="0.25">
      <c r="A2391" t="s">
        <v>2438</v>
      </c>
      <c r="B2391" s="1">
        <v>45293</v>
      </c>
      <c r="C2391" s="1">
        <v>45299</v>
      </c>
      <c r="D2391" t="s">
        <v>32</v>
      </c>
      <c r="E2391" t="s">
        <v>45</v>
      </c>
      <c r="F2391" t="s">
        <v>25</v>
      </c>
      <c r="G2391" t="s">
        <v>16</v>
      </c>
      <c r="H2391" t="s">
        <v>27</v>
      </c>
      <c r="I2391">
        <v>22</v>
      </c>
      <c r="J2391">
        <v>0.15</v>
      </c>
      <c r="K2391">
        <v>475.3</v>
      </c>
      <c r="L2391">
        <v>14.4</v>
      </c>
      <c r="M2391" t="s">
        <v>2478</v>
      </c>
      <c r="N2391" t="s">
        <v>2474</v>
      </c>
      <c r="O2391" t="s">
        <v>2463</v>
      </c>
      <c r="P2391">
        <v>16.760000000000002</v>
      </c>
      <c r="Q2391">
        <v>27.71</v>
      </c>
      <c r="R2391">
        <v>368.72</v>
      </c>
      <c r="S2391">
        <v>92.179999999999978</v>
      </c>
      <c r="T2391">
        <v>0.19394066905112556</v>
      </c>
      <c r="U2391" s="1">
        <v>45292</v>
      </c>
      <c r="V2391" t="s">
        <v>2500</v>
      </c>
      <c r="W2391">
        <v>2024</v>
      </c>
    </row>
    <row r="2392" spans="1:23" x14ac:dyDescent="0.25">
      <c r="A2392" t="s">
        <v>2439</v>
      </c>
      <c r="B2392" s="1">
        <v>45463</v>
      </c>
      <c r="C2392" s="1">
        <v>45466</v>
      </c>
      <c r="D2392" t="s">
        <v>47</v>
      </c>
      <c r="E2392" t="s">
        <v>48</v>
      </c>
      <c r="F2392" t="s">
        <v>29</v>
      </c>
      <c r="G2392" t="s">
        <v>26</v>
      </c>
      <c r="H2392" t="s">
        <v>53</v>
      </c>
      <c r="I2392">
        <v>1</v>
      </c>
      <c r="J2392">
        <v>0.25</v>
      </c>
      <c r="K2392">
        <v>41.91</v>
      </c>
      <c r="L2392">
        <v>5.75</v>
      </c>
      <c r="M2392" t="s">
        <v>2470</v>
      </c>
      <c r="N2392" t="s">
        <v>2467</v>
      </c>
      <c r="O2392" t="s">
        <v>2459</v>
      </c>
      <c r="P2392">
        <v>31.34</v>
      </c>
      <c r="Q2392">
        <v>56.49</v>
      </c>
      <c r="R2392">
        <v>31.34</v>
      </c>
      <c r="S2392">
        <v>4.8199999999999967</v>
      </c>
      <c r="T2392">
        <v>0.11500835122882361</v>
      </c>
      <c r="U2392" s="1">
        <v>45444</v>
      </c>
      <c r="V2392" t="s">
        <v>2501</v>
      </c>
      <c r="W2392">
        <v>2024</v>
      </c>
    </row>
    <row r="2393" spans="1:23" x14ac:dyDescent="0.25">
      <c r="A2393" t="s">
        <v>2440</v>
      </c>
      <c r="B2393" s="1">
        <v>45516</v>
      </c>
      <c r="C2393" s="1">
        <v>45519</v>
      </c>
      <c r="D2393" t="s">
        <v>47</v>
      </c>
      <c r="E2393" t="s">
        <v>71</v>
      </c>
      <c r="F2393" t="s">
        <v>29</v>
      </c>
      <c r="G2393" t="s">
        <v>16</v>
      </c>
      <c r="H2393" t="s">
        <v>68</v>
      </c>
      <c r="I2393">
        <v>2</v>
      </c>
      <c r="J2393">
        <v>0.05</v>
      </c>
      <c r="K2393">
        <v>97.76</v>
      </c>
      <c r="L2393">
        <v>4.2</v>
      </c>
      <c r="M2393" t="s">
        <v>2466</v>
      </c>
      <c r="N2393" t="s">
        <v>2467</v>
      </c>
      <c r="O2393" t="s">
        <v>2468</v>
      </c>
      <c r="P2393">
        <v>25.33</v>
      </c>
      <c r="Q2393">
        <v>51.56</v>
      </c>
      <c r="R2393">
        <v>50.66</v>
      </c>
      <c r="S2393">
        <v>42.900000000000006</v>
      </c>
      <c r="T2393">
        <v>0.43882978723404259</v>
      </c>
      <c r="U2393" s="1">
        <v>45505</v>
      </c>
      <c r="V2393" t="s">
        <v>2498</v>
      </c>
      <c r="W2393">
        <v>2024</v>
      </c>
    </row>
    <row r="2394" spans="1:23" x14ac:dyDescent="0.25">
      <c r="A2394" t="s">
        <v>2441</v>
      </c>
      <c r="B2394" s="1">
        <v>45465</v>
      </c>
      <c r="C2394" s="1">
        <v>45468</v>
      </c>
      <c r="D2394" t="s">
        <v>23</v>
      </c>
      <c r="E2394" t="s">
        <v>43</v>
      </c>
      <c r="F2394" t="s">
        <v>29</v>
      </c>
      <c r="G2394" t="s">
        <v>16</v>
      </c>
      <c r="H2394" t="s">
        <v>60</v>
      </c>
      <c r="I2394">
        <v>7</v>
      </c>
      <c r="J2394">
        <v>0.25</v>
      </c>
      <c r="K2394">
        <v>626.9</v>
      </c>
      <c r="L2394">
        <v>7.95</v>
      </c>
      <c r="M2394" t="s">
        <v>2469</v>
      </c>
      <c r="N2394" t="s">
        <v>2467</v>
      </c>
      <c r="O2394" t="s">
        <v>2468</v>
      </c>
      <c r="P2394">
        <v>54.95</v>
      </c>
      <c r="Q2394">
        <v>112.56</v>
      </c>
      <c r="R2394">
        <v>384.65000000000003</v>
      </c>
      <c r="S2394">
        <v>234.29999999999995</v>
      </c>
      <c r="T2394">
        <v>0.3737438187908757</v>
      </c>
      <c r="U2394" s="1">
        <v>45444</v>
      </c>
      <c r="V2394" t="s">
        <v>2501</v>
      </c>
      <c r="W2394">
        <v>2024</v>
      </c>
    </row>
    <row r="2395" spans="1:23" x14ac:dyDescent="0.25">
      <c r="A2395" t="s">
        <v>2442</v>
      </c>
      <c r="B2395" s="1">
        <v>45369</v>
      </c>
      <c r="C2395" s="1">
        <v>45370</v>
      </c>
      <c r="D2395" t="s">
        <v>13</v>
      </c>
      <c r="E2395" t="s">
        <v>19</v>
      </c>
      <c r="F2395" t="s">
        <v>29</v>
      </c>
      <c r="G2395" t="s">
        <v>16</v>
      </c>
      <c r="H2395" t="s">
        <v>27</v>
      </c>
      <c r="I2395">
        <v>7</v>
      </c>
      <c r="J2395">
        <v>0</v>
      </c>
      <c r="K2395">
        <v>175.28</v>
      </c>
      <c r="L2395">
        <v>4.59</v>
      </c>
      <c r="M2395" t="s">
        <v>2478</v>
      </c>
      <c r="N2395" t="s">
        <v>2474</v>
      </c>
      <c r="O2395" t="s">
        <v>2463</v>
      </c>
      <c r="P2395">
        <v>16.760000000000002</v>
      </c>
      <c r="Q2395">
        <v>27.71</v>
      </c>
      <c r="R2395">
        <v>117.32000000000001</v>
      </c>
      <c r="S2395">
        <v>53.36999999999999</v>
      </c>
      <c r="T2395">
        <v>0.30448425376540389</v>
      </c>
      <c r="U2395" s="1">
        <v>45352</v>
      </c>
      <c r="V2395" t="s">
        <v>2499</v>
      </c>
      <c r="W2395">
        <v>2024</v>
      </c>
    </row>
    <row r="2396" spans="1:23" x14ac:dyDescent="0.25">
      <c r="A2396" t="s">
        <v>2443</v>
      </c>
      <c r="B2396" s="1">
        <v>45447</v>
      </c>
      <c r="C2396" s="1">
        <v>45450</v>
      </c>
      <c r="D2396" t="s">
        <v>32</v>
      </c>
      <c r="E2396" t="s">
        <v>62</v>
      </c>
      <c r="F2396" t="s">
        <v>29</v>
      </c>
      <c r="G2396" t="s">
        <v>20</v>
      </c>
      <c r="H2396" t="s">
        <v>51</v>
      </c>
      <c r="I2396">
        <v>3</v>
      </c>
      <c r="J2396">
        <v>0.15</v>
      </c>
      <c r="K2396">
        <v>37.9</v>
      </c>
      <c r="L2396">
        <v>5.85</v>
      </c>
      <c r="M2396" t="s">
        <v>2475</v>
      </c>
      <c r="N2396" t="s">
        <v>2474</v>
      </c>
      <c r="O2396" t="s">
        <v>2463</v>
      </c>
      <c r="P2396">
        <v>7.93</v>
      </c>
      <c r="Q2396">
        <v>14.78</v>
      </c>
      <c r="R2396">
        <v>23.79</v>
      </c>
      <c r="S2396">
        <v>8.26</v>
      </c>
      <c r="T2396">
        <v>0.21794195250659631</v>
      </c>
      <c r="U2396" s="1">
        <v>45444</v>
      </c>
      <c r="V2396" t="s">
        <v>2500</v>
      </c>
      <c r="W2396">
        <v>2024</v>
      </c>
    </row>
    <row r="2397" spans="1:23" x14ac:dyDescent="0.25">
      <c r="A2397" t="s">
        <v>2444</v>
      </c>
      <c r="B2397" s="1">
        <v>45799</v>
      </c>
      <c r="C2397" s="1">
        <v>45802</v>
      </c>
      <c r="D2397" t="s">
        <v>47</v>
      </c>
      <c r="E2397" t="s">
        <v>50</v>
      </c>
      <c r="F2397" t="s">
        <v>29</v>
      </c>
      <c r="G2397" t="s">
        <v>20</v>
      </c>
      <c r="H2397" t="s">
        <v>27</v>
      </c>
      <c r="I2397">
        <v>8</v>
      </c>
      <c r="J2397">
        <v>0</v>
      </c>
      <c r="K2397">
        <v>216.31</v>
      </c>
      <c r="L2397">
        <v>4.8600000000000003</v>
      </c>
      <c r="M2397" t="s">
        <v>2478</v>
      </c>
      <c r="N2397" t="s">
        <v>2474</v>
      </c>
      <c r="O2397" t="s">
        <v>2463</v>
      </c>
      <c r="P2397">
        <v>16.760000000000002</v>
      </c>
      <c r="Q2397">
        <v>27.71</v>
      </c>
      <c r="R2397">
        <v>134.08000000000001</v>
      </c>
      <c r="S2397">
        <v>77.36999999999999</v>
      </c>
      <c r="T2397">
        <v>0.3576811058203504</v>
      </c>
      <c r="U2397" s="1">
        <v>45778</v>
      </c>
      <c r="V2397" t="s">
        <v>2499</v>
      </c>
      <c r="W2397">
        <v>2025</v>
      </c>
    </row>
    <row r="2398" spans="1:23" x14ac:dyDescent="0.25">
      <c r="A2398" t="s">
        <v>2445</v>
      </c>
      <c r="B2398" s="1">
        <v>45374</v>
      </c>
      <c r="C2398" s="1">
        <v>45379</v>
      </c>
      <c r="D2398" t="s">
        <v>32</v>
      </c>
      <c r="E2398" t="s">
        <v>45</v>
      </c>
      <c r="F2398" t="s">
        <v>29</v>
      </c>
      <c r="G2398" t="s">
        <v>26</v>
      </c>
      <c r="H2398" t="s">
        <v>21</v>
      </c>
      <c r="I2398">
        <v>1</v>
      </c>
      <c r="J2398">
        <v>0.25</v>
      </c>
      <c r="K2398">
        <v>81.37</v>
      </c>
      <c r="L2398">
        <v>4.08</v>
      </c>
      <c r="M2398" t="s">
        <v>2462</v>
      </c>
      <c r="N2398" t="s">
        <v>2458</v>
      </c>
      <c r="O2398" t="s">
        <v>2463</v>
      </c>
      <c r="P2398">
        <v>71.489999999999995</v>
      </c>
      <c r="Q2398">
        <v>112.88</v>
      </c>
      <c r="R2398">
        <v>71.489999999999995</v>
      </c>
      <c r="S2398">
        <v>5.8000000000000096</v>
      </c>
      <c r="T2398">
        <v>7.1279341280570355E-2</v>
      </c>
      <c r="U2398" s="1">
        <v>45352</v>
      </c>
      <c r="V2398" t="s">
        <v>2501</v>
      </c>
      <c r="W2398">
        <v>2024</v>
      </c>
    </row>
    <row r="2399" spans="1:23" x14ac:dyDescent="0.25">
      <c r="A2399" t="s">
        <v>2446</v>
      </c>
      <c r="B2399" s="1">
        <v>45387</v>
      </c>
      <c r="C2399" s="1">
        <v>45390</v>
      </c>
      <c r="D2399" t="s">
        <v>32</v>
      </c>
      <c r="E2399" t="s">
        <v>33</v>
      </c>
      <c r="F2399" t="s">
        <v>25</v>
      </c>
      <c r="G2399" t="s">
        <v>16</v>
      </c>
      <c r="H2399" t="s">
        <v>27</v>
      </c>
      <c r="I2399">
        <v>3</v>
      </c>
      <c r="J2399">
        <v>0.15</v>
      </c>
      <c r="K2399">
        <v>67.78</v>
      </c>
      <c r="L2399">
        <v>5.85</v>
      </c>
      <c r="M2399" t="s">
        <v>2478</v>
      </c>
      <c r="N2399" t="s">
        <v>2474</v>
      </c>
      <c r="O2399" t="s">
        <v>2463</v>
      </c>
      <c r="P2399">
        <v>16.760000000000002</v>
      </c>
      <c r="Q2399">
        <v>27.71</v>
      </c>
      <c r="R2399">
        <v>50.28</v>
      </c>
      <c r="S2399">
        <v>11.65</v>
      </c>
      <c r="T2399">
        <v>0.17187961050457362</v>
      </c>
      <c r="U2399" s="1">
        <v>45383</v>
      </c>
      <c r="V2399" t="s">
        <v>2500</v>
      </c>
      <c r="W2399">
        <v>2024</v>
      </c>
    </row>
    <row r="2400" spans="1:23" x14ac:dyDescent="0.25">
      <c r="A2400" t="s">
        <v>2447</v>
      </c>
      <c r="B2400" s="1">
        <v>45366</v>
      </c>
      <c r="C2400" s="1">
        <v>45367</v>
      </c>
      <c r="D2400" t="s">
        <v>23</v>
      </c>
      <c r="E2400" t="s">
        <v>59</v>
      </c>
      <c r="F2400" t="s">
        <v>25</v>
      </c>
      <c r="G2400" t="s">
        <v>26</v>
      </c>
      <c r="H2400" t="s">
        <v>87</v>
      </c>
      <c r="I2400">
        <v>3</v>
      </c>
      <c r="J2400">
        <v>0.25</v>
      </c>
      <c r="K2400">
        <v>17.14</v>
      </c>
      <c r="L2400">
        <v>3.51</v>
      </c>
      <c r="M2400" t="s">
        <v>2476</v>
      </c>
      <c r="N2400" t="s">
        <v>2474</v>
      </c>
      <c r="O2400" t="s">
        <v>2459</v>
      </c>
      <c r="P2400">
        <v>4.5</v>
      </c>
      <c r="Q2400">
        <v>8.2899999999999991</v>
      </c>
      <c r="R2400">
        <v>13.5</v>
      </c>
      <c r="S2400">
        <v>0.13000000000000078</v>
      </c>
      <c r="T2400">
        <v>7.5845974329055293E-3</v>
      </c>
      <c r="U2400" s="1">
        <v>45352</v>
      </c>
      <c r="V2400" t="s">
        <v>2501</v>
      </c>
      <c r="W2400">
        <v>2024</v>
      </c>
    </row>
    <row r="2401" spans="1:23" x14ac:dyDescent="0.25">
      <c r="A2401" t="s">
        <v>2448</v>
      </c>
      <c r="B2401" s="1">
        <v>45382</v>
      </c>
      <c r="C2401" s="1">
        <v>45387</v>
      </c>
      <c r="D2401" t="s">
        <v>32</v>
      </c>
      <c r="E2401" t="s">
        <v>62</v>
      </c>
      <c r="F2401" t="s">
        <v>25</v>
      </c>
      <c r="G2401" t="s">
        <v>20</v>
      </c>
      <c r="H2401" t="s">
        <v>51</v>
      </c>
      <c r="I2401">
        <v>3</v>
      </c>
      <c r="J2401">
        <v>0</v>
      </c>
      <c r="K2401">
        <v>42.06</v>
      </c>
      <c r="L2401">
        <v>5.85</v>
      </c>
      <c r="M2401" t="s">
        <v>2475</v>
      </c>
      <c r="N2401" t="s">
        <v>2474</v>
      </c>
      <c r="O2401" t="s">
        <v>2463</v>
      </c>
      <c r="P2401">
        <v>7.93</v>
      </c>
      <c r="Q2401">
        <v>14.78</v>
      </c>
      <c r="R2401">
        <v>23.79</v>
      </c>
      <c r="S2401">
        <v>12.420000000000003</v>
      </c>
      <c r="T2401">
        <v>0.2952924393723253</v>
      </c>
      <c r="U2401" s="1">
        <v>45352</v>
      </c>
      <c r="V2401" t="s">
        <v>2499</v>
      </c>
      <c r="W2401">
        <v>2024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B39B3-F2E8-4681-8300-EC794EE9DCB3}">
  <dimension ref="A1:L2401"/>
  <sheetViews>
    <sheetView workbookViewId="0">
      <selection activeCell="M12" sqref="M12"/>
    </sheetView>
  </sheetViews>
  <sheetFormatPr defaultRowHeight="15" x14ac:dyDescent="0.25"/>
  <cols>
    <col min="1" max="1" width="11.5703125" bestFit="1" customWidth="1"/>
    <col min="2" max="3" width="15.85546875" bestFit="1" customWidth="1"/>
    <col min="4" max="4" width="9.42578125" bestFit="1" customWidth="1"/>
    <col min="5" max="5" width="13.42578125" bestFit="1" customWidth="1"/>
    <col min="6" max="6" width="21" bestFit="1" customWidth="1"/>
    <col min="7" max="7" width="16.28515625" bestFit="1" customWidth="1"/>
    <col min="8" max="8" width="13" bestFit="1" customWidth="1"/>
    <col min="9" max="10" width="11" bestFit="1" customWidth="1"/>
    <col min="11" max="11" width="8" bestFit="1" customWidth="1"/>
    <col min="12" max="12" width="16" bestFit="1"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s="1">
        <v>45832</v>
      </c>
      <c r="C2" s="1">
        <v>45837</v>
      </c>
      <c r="D2" t="s">
        <v>13</v>
      </c>
      <c r="E2" t="s">
        <v>14</v>
      </c>
      <c r="F2" t="s">
        <v>15</v>
      </c>
      <c r="G2" t="s">
        <v>16</v>
      </c>
      <c r="H2" t="s">
        <v>17</v>
      </c>
      <c r="I2">
        <v>4</v>
      </c>
      <c r="J2">
        <v>0.05</v>
      </c>
      <c r="K2">
        <v>491.6</v>
      </c>
      <c r="L2">
        <v>9.5</v>
      </c>
    </row>
    <row r="3" spans="1:12" x14ac:dyDescent="0.25">
      <c r="A3" t="s">
        <v>18</v>
      </c>
      <c r="B3" s="1">
        <v>45787</v>
      </c>
      <c r="C3" s="1">
        <v>45791</v>
      </c>
      <c r="D3" t="s">
        <v>13</v>
      </c>
      <c r="E3" t="s">
        <v>19</v>
      </c>
      <c r="F3" t="s">
        <v>15</v>
      </c>
      <c r="G3" t="s">
        <v>20</v>
      </c>
      <c r="H3" t="s">
        <v>21</v>
      </c>
      <c r="I3">
        <v>3</v>
      </c>
      <c r="J3">
        <v>0</v>
      </c>
      <c r="K3">
        <v>334.36</v>
      </c>
      <c r="L3">
        <v>11.4</v>
      </c>
    </row>
    <row r="4" spans="1:12" x14ac:dyDescent="0.25">
      <c r="A4" t="s">
        <v>22</v>
      </c>
      <c r="B4" s="1">
        <v>45857</v>
      </c>
      <c r="C4" s="1">
        <v>45862</v>
      </c>
      <c r="D4" t="s">
        <v>23</v>
      </c>
      <c r="E4" t="s">
        <v>24</v>
      </c>
      <c r="F4" t="s">
        <v>25</v>
      </c>
      <c r="G4" t="s">
        <v>26</v>
      </c>
      <c r="H4" t="s">
        <v>27</v>
      </c>
      <c r="I4">
        <v>5</v>
      </c>
      <c r="J4">
        <v>0.15</v>
      </c>
      <c r="K4">
        <v>102.14</v>
      </c>
      <c r="L4">
        <v>4.05</v>
      </c>
    </row>
    <row r="5" spans="1:12" x14ac:dyDescent="0.25">
      <c r="A5" t="s">
        <v>28</v>
      </c>
      <c r="B5" s="1">
        <v>45711</v>
      </c>
      <c r="C5" s="1">
        <v>45714</v>
      </c>
      <c r="D5" t="s">
        <v>13</v>
      </c>
      <c r="E5" t="s">
        <v>19</v>
      </c>
      <c r="F5" t="s">
        <v>29</v>
      </c>
      <c r="G5" t="s">
        <v>26</v>
      </c>
      <c r="H5" t="s">
        <v>30</v>
      </c>
      <c r="I5">
        <v>9</v>
      </c>
      <c r="J5">
        <v>0</v>
      </c>
      <c r="K5">
        <v>51.08</v>
      </c>
      <c r="L5">
        <v>5.13</v>
      </c>
    </row>
    <row r="6" spans="1:12" x14ac:dyDescent="0.25">
      <c r="A6" t="s">
        <v>31</v>
      </c>
      <c r="B6" s="1">
        <v>45593</v>
      </c>
      <c r="C6" s="1">
        <v>45599</v>
      </c>
      <c r="D6" t="s">
        <v>32</v>
      </c>
      <c r="E6" t="s">
        <v>33</v>
      </c>
      <c r="F6" t="s">
        <v>29</v>
      </c>
      <c r="G6" t="s">
        <v>26</v>
      </c>
      <c r="H6" t="s">
        <v>34</v>
      </c>
      <c r="I6">
        <v>7</v>
      </c>
      <c r="J6">
        <v>0</v>
      </c>
      <c r="K6">
        <v>1584.26</v>
      </c>
      <c r="L6">
        <v>20.6</v>
      </c>
    </row>
    <row r="7" spans="1:12" x14ac:dyDescent="0.25">
      <c r="A7" t="s">
        <v>35</v>
      </c>
      <c r="B7" s="1">
        <v>45731</v>
      </c>
      <c r="C7" s="1">
        <v>45732</v>
      </c>
      <c r="D7" t="s">
        <v>13</v>
      </c>
      <c r="E7" t="s">
        <v>36</v>
      </c>
      <c r="F7" t="s">
        <v>25</v>
      </c>
      <c r="G7" t="s">
        <v>20</v>
      </c>
      <c r="H7" t="s">
        <v>37</v>
      </c>
      <c r="I7">
        <v>4</v>
      </c>
      <c r="J7">
        <v>0</v>
      </c>
      <c r="K7">
        <v>417.15</v>
      </c>
      <c r="L7">
        <v>8.2200000000000006</v>
      </c>
    </row>
    <row r="8" spans="1:12" x14ac:dyDescent="0.25">
      <c r="A8" t="s">
        <v>38</v>
      </c>
      <c r="B8" s="1">
        <v>45428</v>
      </c>
      <c r="C8" s="1">
        <v>45433</v>
      </c>
      <c r="D8" t="s">
        <v>13</v>
      </c>
      <c r="E8" t="s">
        <v>14</v>
      </c>
      <c r="F8" t="s">
        <v>29</v>
      </c>
      <c r="G8" t="s">
        <v>16</v>
      </c>
      <c r="H8" t="s">
        <v>39</v>
      </c>
      <c r="I8">
        <v>1</v>
      </c>
      <c r="J8">
        <v>0</v>
      </c>
      <c r="K8">
        <v>193.72</v>
      </c>
      <c r="L8">
        <v>3.45</v>
      </c>
    </row>
    <row r="9" spans="1:12" x14ac:dyDescent="0.25">
      <c r="A9" t="s">
        <v>40</v>
      </c>
      <c r="B9" s="1">
        <v>45910</v>
      </c>
      <c r="C9" s="1">
        <v>45912</v>
      </c>
      <c r="D9" t="s">
        <v>13</v>
      </c>
      <c r="E9" t="s">
        <v>36</v>
      </c>
      <c r="F9" t="s">
        <v>25</v>
      </c>
      <c r="G9" t="s">
        <v>26</v>
      </c>
      <c r="H9" t="s">
        <v>41</v>
      </c>
      <c r="I9">
        <v>11</v>
      </c>
      <c r="J9">
        <v>0.2</v>
      </c>
      <c r="K9">
        <v>55.97</v>
      </c>
      <c r="L9">
        <v>5.67</v>
      </c>
    </row>
    <row r="10" spans="1:12" x14ac:dyDescent="0.25">
      <c r="A10" t="s">
        <v>42</v>
      </c>
      <c r="B10" s="1">
        <v>45731</v>
      </c>
      <c r="C10" s="1">
        <v>45735</v>
      </c>
      <c r="D10" t="s">
        <v>23</v>
      </c>
      <c r="E10" t="s">
        <v>43</v>
      </c>
      <c r="F10" t="s">
        <v>29</v>
      </c>
      <c r="G10" t="s">
        <v>26</v>
      </c>
      <c r="H10" t="s">
        <v>21</v>
      </c>
      <c r="I10">
        <v>4</v>
      </c>
      <c r="J10">
        <v>0.15</v>
      </c>
      <c r="K10">
        <v>357.37</v>
      </c>
      <c r="L10">
        <v>8.2200000000000006</v>
      </c>
    </row>
    <row r="11" spans="1:12" x14ac:dyDescent="0.25">
      <c r="A11" t="s">
        <v>44</v>
      </c>
      <c r="B11" s="1">
        <v>45595</v>
      </c>
      <c r="C11" s="1">
        <v>45599</v>
      </c>
      <c r="D11" t="s">
        <v>32</v>
      </c>
      <c r="E11" t="s">
        <v>45</v>
      </c>
      <c r="F11" t="s">
        <v>29</v>
      </c>
      <c r="G11" t="s">
        <v>26</v>
      </c>
      <c r="H11" t="s">
        <v>39</v>
      </c>
      <c r="I11">
        <v>4</v>
      </c>
      <c r="J11">
        <v>0.2</v>
      </c>
      <c r="K11">
        <v>705.26</v>
      </c>
      <c r="L11">
        <v>9.5</v>
      </c>
    </row>
    <row r="12" spans="1:12" x14ac:dyDescent="0.25">
      <c r="A12" t="s">
        <v>46</v>
      </c>
      <c r="B12" s="1">
        <v>45325</v>
      </c>
      <c r="C12" s="1">
        <v>45326</v>
      </c>
      <c r="D12" t="s">
        <v>47</v>
      </c>
      <c r="E12" t="s">
        <v>48</v>
      </c>
      <c r="F12" t="s">
        <v>15</v>
      </c>
      <c r="G12" t="s">
        <v>16</v>
      </c>
      <c r="H12" t="s">
        <v>41</v>
      </c>
      <c r="I12">
        <v>4</v>
      </c>
      <c r="J12">
        <v>0</v>
      </c>
      <c r="K12">
        <v>22.92</v>
      </c>
      <c r="L12">
        <v>3.78</v>
      </c>
    </row>
    <row r="13" spans="1:12" x14ac:dyDescent="0.25">
      <c r="A13" t="s">
        <v>49</v>
      </c>
      <c r="B13" s="1">
        <v>45999</v>
      </c>
      <c r="C13" s="1">
        <v>46005</v>
      </c>
      <c r="D13" t="s">
        <v>47</v>
      </c>
      <c r="E13" t="s">
        <v>50</v>
      </c>
      <c r="F13" t="s">
        <v>15</v>
      </c>
      <c r="G13" t="s">
        <v>16</v>
      </c>
      <c r="H13" t="s">
        <v>51</v>
      </c>
      <c r="I13">
        <v>5</v>
      </c>
      <c r="J13">
        <v>0.1</v>
      </c>
      <c r="K13">
        <v>89.84</v>
      </c>
      <c r="L13">
        <v>4.05</v>
      </c>
    </row>
    <row r="14" spans="1:12" x14ac:dyDescent="0.25">
      <c r="A14" t="s">
        <v>52</v>
      </c>
      <c r="B14" s="1">
        <v>45647</v>
      </c>
      <c r="C14" s="1">
        <v>45650</v>
      </c>
      <c r="D14" t="s">
        <v>47</v>
      </c>
      <c r="E14" t="s">
        <v>48</v>
      </c>
      <c r="F14" t="s">
        <v>25</v>
      </c>
      <c r="G14" t="s">
        <v>26</v>
      </c>
      <c r="H14" t="s">
        <v>53</v>
      </c>
      <c r="I14">
        <v>3</v>
      </c>
      <c r="J14">
        <v>0.25</v>
      </c>
      <c r="K14">
        <v>177.03</v>
      </c>
      <c r="L14">
        <v>4.95</v>
      </c>
    </row>
    <row r="15" spans="1:12" x14ac:dyDescent="0.25">
      <c r="A15" t="s">
        <v>54</v>
      </c>
      <c r="B15" s="1">
        <v>45897</v>
      </c>
      <c r="C15" s="1">
        <v>45902</v>
      </c>
      <c r="D15" t="s">
        <v>47</v>
      </c>
      <c r="E15" t="s">
        <v>50</v>
      </c>
      <c r="F15" t="s">
        <v>15</v>
      </c>
      <c r="G15" t="s">
        <v>16</v>
      </c>
      <c r="H15" t="s">
        <v>30</v>
      </c>
      <c r="I15">
        <v>13</v>
      </c>
      <c r="J15">
        <v>0</v>
      </c>
      <c r="K15">
        <v>73.23</v>
      </c>
      <c r="L15">
        <v>6.21</v>
      </c>
    </row>
    <row r="16" spans="1:12" x14ac:dyDescent="0.25">
      <c r="A16" t="s">
        <v>55</v>
      </c>
      <c r="B16" s="1">
        <v>45535</v>
      </c>
      <c r="C16" s="1">
        <v>45540</v>
      </c>
      <c r="D16" t="s">
        <v>13</v>
      </c>
      <c r="E16" t="s">
        <v>14</v>
      </c>
      <c r="F16" t="s">
        <v>29</v>
      </c>
      <c r="G16" t="s">
        <v>16</v>
      </c>
      <c r="H16" t="s">
        <v>30</v>
      </c>
      <c r="I16">
        <v>9</v>
      </c>
      <c r="J16">
        <v>0</v>
      </c>
      <c r="K16">
        <v>51.12</v>
      </c>
      <c r="L16">
        <v>5.13</v>
      </c>
    </row>
    <row r="17" spans="1:12" x14ac:dyDescent="0.25">
      <c r="A17" t="s">
        <v>56</v>
      </c>
      <c r="B17" s="1">
        <v>45379</v>
      </c>
      <c r="C17" s="1">
        <v>45384</v>
      </c>
      <c r="D17" t="s">
        <v>47</v>
      </c>
      <c r="E17" t="s">
        <v>50</v>
      </c>
      <c r="F17" t="s">
        <v>29</v>
      </c>
      <c r="G17" t="s">
        <v>20</v>
      </c>
      <c r="H17" t="s">
        <v>53</v>
      </c>
      <c r="I17">
        <v>3</v>
      </c>
      <c r="J17">
        <v>0</v>
      </c>
      <c r="K17">
        <v>159.77000000000001</v>
      </c>
      <c r="L17">
        <v>8.25</v>
      </c>
    </row>
    <row r="18" spans="1:12" x14ac:dyDescent="0.25">
      <c r="A18" t="s">
        <v>57</v>
      </c>
      <c r="B18" s="1">
        <v>45602</v>
      </c>
      <c r="C18" s="1">
        <v>45606</v>
      </c>
      <c r="D18" t="s">
        <v>32</v>
      </c>
      <c r="E18" t="s">
        <v>45</v>
      </c>
      <c r="F18" t="s">
        <v>25</v>
      </c>
      <c r="G18" t="s">
        <v>26</v>
      </c>
      <c r="H18" t="s">
        <v>41</v>
      </c>
      <c r="I18">
        <v>5</v>
      </c>
      <c r="J18">
        <v>0.1</v>
      </c>
      <c r="K18">
        <v>38.799999999999997</v>
      </c>
      <c r="L18">
        <v>6.75</v>
      </c>
    </row>
    <row r="19" spans="1:12" x14ac:dyDescent="0.25">
      <c r="A19" t="s">
        <v>58</v>
      </c>
      <c r="B19" s="1">
        <v>45839</v>
      </c>
      <c r="C19" s="1">
        <v>45840</v>
      </c>
      <c r="D19" t="s">
        <v>23</v>
      </c>
      <c r="E19" t="s">
        <v>59</v>
      </c>
      <c r="F19" t="s">
        <v>29</v>
      </c>
      <c r="G19" t="s">
        <v>20</v>
      </c>
      <c r="H19" t="s">
        <v>60</v>
      </c>
      <c r="I19">
        <v>2</v>
      </c>
      <c r="J19">
        <v>0.1</v>
      </c>
      <c r="K19">
        <v>180.98</v>
      </c>
      <c r="L19">
        <v>4.2</v>
      </c>
    </row>
    <row r="20" spans="1:12" x14ac:dyDescent="0.25">
      <c r="A20" t="s">
        <v>61</v>
      </c>
      <c r="B20" s="1">
        <v>45787</v>
      </c>
      <c r="C20" s="1">
        <v>45792</v>
      </c>
      <c r="D20" t="s">
        <v>32</v>
      </c>
      <c r="E20" t="s">
        <v>62</v>
      </c>
      <c r="F20" t="s">
        <v>15</v>
      </c>
      <c r="G20" t="s">
        <v>26</v>
      </c>
      <c r="H20" t="s">
        <v>63</v>
      </c>
      <c r="I20">
        <v>8</v>
      </c>
      <c r="J20">
        <v>0</v>
      </c>
      <c r="K20">
        <v>100.68</v>
      </c>
      <c r="L20">
        <v>4.8600000000000003</v>
      </c>
    </row>
    <row r="21" spans="1:12" x14ac:dyDescent="0.25">
      <c r="A21" t="s">
        <v>64</v>
      </c>
      <c r="B21" s="1">
        <v>45326</v>
      </c>
      <c r="C21" s="1">
        <v>45327</v>
      </c>
      <c r="D21" t="s">
        <v>47</v>
      </c>
      <c r="E21" t="s">
        <v>48</v>
      </c>
      <c r="F21" t="s">
        <v>15</v>
      </c>
      <c r="G21" t="s">
        <v>16</v>
      </c>
      <c r="H21" t="s">
        <v>65</v>
      </c>
      <c r="I21">
        <v>3</v>
      </c>
      <c r="J21">
        <v>0</v>
      </c>
      <c r="K21">
        <v>818.4</v>
      </c>
      <c r="L21">
        <v>6.84</v>
      </c>
    </row>
    <row r="22" spans="1:12" x14ac:dyDescent="0.25">
      <c r="A22" t="s">
        <v>66</v>
      </c>
      <c r="B22" s="1">
        <v>45637</v>
      </c>
      <c r="C22" s="1">
        <v>45642</v>
      </c>
      <c r="D22" t="s">
        <v>13</v>
      </c>
      <c r="E22" t="s">
        <v>19</v>
      </c>
      <c r="F22" t="s">
        <v>29</v>
      </c>
      <c r="G22" t="s">
        <v>26</v>
      </c>
      <c r="H22" t="s">
        <v>63</v>
      </c>
      <c r="I22">
        <v>5</v>
      </c>
      <c r="J22">
        <v>0.15</v>
      </c>
      <c r="K22">
        <v>77.349999999999994</v>
      </c>
      <c r="L22">
        <v>6.75</v>
      </c>
    </row>
    <row r="23" spans="1:12" x14ac:dyDescent="0.25">
      <c r="A23" t="s">
        <v>67</v>
      </c>
      <c r="B23" s="1">
        <v>45826</v>
      </c>
      <c r="C23" s="1">
        <v>45830</v>
      </c>
      <c r="D23" t="s">
        <v>47</v>
      </c>
      <c r="E23" t="s">
        <v>48</v>
      </c>
      <c r="F23" t="s">
        <v>25</v>
      </c>
      <c r="G23" t="s">
        <v>26</v>
      </c>
      <c r="H23" t="s">
        <v>68</v>
      </c>
      <c r="I23">
        <v>1</v>
      </c>
      <c r="J23">
        <v>0</v>
      </c>
      <c r="K23">
        <v>54.36</v>
      </c>
      <c r="L23">
        <v>3.45</v>
      </c>
    </row>
    <row r="24" spans="1:12" x14ac:dyDescent="0.25">
      <c r="A24" t="s">
        <v>69</v>
      </c>
      <c r="B24" s="1">
        <v>45524</v>
      </c>
      <c r="C24" s="1">
        <v>45525</v>
      </c>
      <c r="D24" t="s">
        <v>23</v>
      </c>
      <c r="E24" t="s">
        <v>43</v>
      </c>
      <c r="F24" t="s">
        <v>25</v>
      </c>
      <c r="G24" t="s">
        <v>16</v>
      </c>
      <c r="H24" t="s">
        <v>37</v>
      </c>
      <c r="I24">
        <v>2</v>
      </c>
      <c r="J24">
        <v>0</v>
      </c>
      <c r="K24">
        <v>215.64</v>
      </c>
      <c r="L24">
        <v>9.1</v>
      </c>
    </row>
    <row r="25" spans="1:12" x14ac:dyDescent="0.25">
      <c r="A25" t="s">
        <v>70</v>
      </c>
      <c r="B25" s="1">
        <v>45605</v>
      </c>
      <c r="C25" s="1">
        <v>45611</v>
      </c>
      <c r="D25" t="s">
        <v>47</v>
      </c>
      <c r="E25" t="s">
        <v>71</v>
      </c>
      <c r="F25" t="s">
        <v>15</v>
      </c>
      <c r="G25" t="s">
        <v>26</v>
      </c>
      <c r="H25" t="s">
        <v>17</v>
      </c>
      <c r="I25">
        <v>1</v>
      </c>
      <c r="J25">
        <v>0.2</v>
      </c>
      <c r="K25">
        <v>131.57</v>
      </c>
      <c r="L25">
        <v>3.45</v>
      </c>
    </row>
    <row r="26" spans="1:12" x14ac:dyDescent="0.25">
      <c r="A26" t="s">
        <v>72</v>
      </c>
      <c r="B26" s="1">
        <v>45767</v>
      </c>
      <c r="C26" s="1">
        <v>45769</v>
      </c>
      <c r="D26" t="s">
        <v>13</v>
      </c>
      <c r="E26" t="s">
        <v>36</v>
      </c>
      <c r="F26" t="s">
        <v>29</v>
      </c>
      <c r="G26" t="s">
        <v>16</v>
      </c>
      <c r="H26" t="s">
        <v>63</v>
      </c>
      <c r="I26">
        <v>7</v>
      </c>
      <c r="J26">
        <v>0</v>
      </c>
      <c r="K26">
        <v>87.34</v>
      </c>
      <c r="L26">
        <v>4.59</v>
      </c>
    </row>
    <row r="27" spans="1:12" x14ac:dyDescent="0.25">
      <c r="A27" t="s">
        <v>73</v>
      </c>
      <c r="B27" s="1">
        <v>45830</v>
      </c>
      <c r="C27" s="1">
        <v>45836</v>
      </c>
      <c r="D27" t="s">
        <v>32</v>
      </c>
      <c r="E27" t="s">
        <v>45</v>
      </c>
      <c r="F27" t="s">
        <v>15</v>
      </c>
      <c r="G27" t="s">
        <v>26</v>
      </c>
      <c r="H27" t="s">
        <v>51</v>
      </c>
      <c r="I27">
        <v>7</v>
      </c>
      <c r="J27">
        <v>0</v>
      </c>
      <c r="K27">
        <v>105.51</v>
      </c>
      <c r="L27">
        <v>7.65</v>
      </c>
    </row>
    <row r="28" spans="1:12" x14ac:dyDescent="0.25">
      <c r="A28" t="s">
        <v>74</v>
      </c>
      <c r="B28" s="1">
        <v>45876</v>
      </c>
      <c r="C28" s="1">
        <v>45882</v>
      </c>
      <c r="D28" t="s">
        <v>47</v>
      </c>
      <c r="E28" t="s">
        <v>48</v>
      </c>
      <c r="F28" t="s">
        <v>15</v>
      </c>
      <c r="G28" t="s">
        <v>26</v>
      </c>
      <c r="H28" t="s">
        <v>63</v>
      </c>
      <c r="I28">
        <v>11</v>
      </c>
      <c r="J28">
        <v>0.05</v>
      </c>
      <c r="K28">
        <v>119.24</v>
      </c>
      <c r="L28">
        <v>9.4499999999999993</v>
      </c>
    </row>
    <row r="29" spans="1:12" x14ac:dyDescent="0.25">
      <c r="A29" t="s">
        <v>75</v>
      </c>
      <c r="B29" s="1">
        <v>45482</v>
      </c>
      <c r="C29" s="1">
        <v>45488</v>
      </c>
      <c r="D29" t="s">
        <v>32</v>
      </c>
      <c r="E29" t="s">
        <v>33</v>
      </c>
      <c r="F29" t="s">
        <v>15</v>
      </c>
      <c r="G29" t="s">
        <v>20</v>
      </c>
      <c r="H29" t="s">
        <v>21</v>
      </c>
      <c r="I29">
        <v>2</v>
      </c>
      <c r="J29">
        <v>0</v>
      </c>
      <c r="K29">
        <v>208.22</v>
      </c>
      <c r="L29">
        <v>9.1</v>
      </c>
    </row>
    <row r="30" spans="1:12" x14ac:dyDescent="0.25">
      <c r="A30" t="s">
        <v>76</v>
      </c>
      <c r="B30" s="1">
        <v>45736</v>
      </c>
      <c r="C30" s="1">
        <v>45742</v>
      </c>
      <c r="D30" t="s">
        <v>23</v>
      </c>
      <c r="E30" t="s">
        <v>24</v>
      </c>
      <c r="F30" t="s">
        <v>25</v>
      </c>
      <c r="G30" t="s">
        <v>20</v>
      </c>
      <c r="H30" t="s">
        <v>41</v>
      </c>
      <c r="I30">
        <v>13</v>
      </c>
      <c r="J30">
        <v>0</v>
      </c>
      <c r="K30">
        <v>72.319999999999993</v>
      </c>
      <c r="L30">
        <v>10.35</v>
      </c>
    </row>
    <row r="31" spans="1:12" x14ac:dyDescent="0.25">
      <c r="A31" t="s">
        <v>77</v>
      </c>
      <c r="B31" s="1">
        <v>45492</v>
      </c>
      <c r="C31" s="1">
        <v>45497</v>
      </c>
      <c r="D31" t="s">
        <v>13</v>
      </c>
      <c r="E31" t="s">
        <v>14</v>
      </c>
      <c r="F31" t="s">
        <v>29</v>
      </c>
      <c r="G31" t="s">
        <v>26</v>
      </c>
      <c r="H31" t="s">
        <v>53</v>
      </c>
      <c r="I31">
        <v>2</v>
      </c>
      <c r="J31">
        <v>0</v>
      </c>
      <c r="K31">
        <v>100.74</v>
      </c>
      <c r="L31">
        <v>7</v>
      </c>
    </row>
    <row r="32" spans="1:12" x14ac:dyDescent="0.25">
      <c r="A32" t="s">
        <v>78</v>
      </c>
      <c r="B32" s="1">
        <v>45582</v>
      </c>
      <c r="C32" s="1">
        <v>45584</v>
      </c>
      <c r="D32" t="s">
        <v>13</v>
      </c>
      <c r="E32" t="s">
        <v>19</v>
      </c>
      <c r="F32" t="s">
        <v>29</v>
      </c>
      <c r="G32" t="s">
        <v>16</v>
      </c>
      <c r="H32" t="s">
        <v>60</v>
      </c>
      <c r="I32">
        <v>4</v>
      </c>
      <c r="J32">
        <v>0</v>
      </c>
      <c r="K32">
        <v>540.23</v>
      </c>
      <c r="L32">
        <v>5.7</v>
      </c>
    </row>
    <row r="33" spans="1:12" x14ac:dyDescent="0.25">
      <c r="A33" t="s">
        <v>79</v>
      </c>
      <c r="B33" s="1">
        <v>45413</v>
      </c>
      <c r="C33" s="1">
        <v>45418</v>
      </c>
      <c r="D33" t="s">
        <v>23</v>
      </c>
      <c r="E33" t="s">
        <v>59</v>
      </c>
      <c r="F33" t="s">
        <v>15</v>
      </c>
      <c r="G33" t="s">
        <v>16</v>
      </c>
      <c r="H33" t="s">
        <v>65</v>
      </c>
      <c r="I33">
        <v>2</v>
      </c>
      <c r="J33">
        <v>0</v>
      </c>
      <c r="K33">
        <v>563.76</v>
      </c>
      <c r="L33">
        <v>9.1</v>
      </c>
    </row>
    <row r="34" spans="1:12" x14ac:dyDescent="0.25">
      <c r="A34" t="s">
        <v>80</v>
      </c>
      <c r="B34" s="1">
        <v>45875</v>
      </c>
      <c r="C34" s="1">
        <v>45881</v>
      </c>
      <c r="D34" t="s">
        <v>47</v>
      </c>
      <c r="E34" t="s">
        <v>50</v>
      </c>
      <c r="F34" t="s">
        <v>15</v>
      </c>
      <c r="G34" t="s">
        <v>20</v>
      </c>
      <c r="H34" t="s">
        <v>60</v>
      </c>
      <c r="I34">
        <v>2</v>
      </c>
      <c r="J34">
        <v>0</v>
      </c>
      <c r="K34">
        <v>212.29</v>
      </c>
      <c r="L34">
        <v>4.2</v>
      </c>
    </row>
    <row r="35" spans="1:12" x14ac:dyDescent="0.25">
      <c r="A35" t="s">
        <v>81</v>
      </c>
      <c r="B35" s="1">
        <v>45926</v>
      </c>
      <c r="C35" s="1">
        <v>45929</v>
      </c>
      <c r="D35" t="s">
        <v>47</v>
      </c>
      <c r="E35" t="s">
        <v>48</v>
      </c>
      <c r="F35" t="s">
        <v>15</v>
      </c>
      <c r="G35" t="s">
        <v>26</v>
      </c>
      <c r="H35" t="s">
        <v>63</v>
      </c>
      <c r="I35">
        <v>6</v>
      </c>
      <c r="J35">
        <v>0</v>
      </c>
      <c r="K35">
        <v>82.26</v>
      </c>
      <c r="L35">
        <v>4.32</v>
      </c>
    </row>
    <row r="36" spans="1:12" x14ac:dyDescent="0.25">
      <c r="A36" t="s">
        <v>82</v>
      </c>
      <c r="B36" s="1">
        <v>45812</v>
      </c>
      <c r="C36" s="1">
        <v>45814</v>
      </c>
      <c r="D36" t="s">
        <v>32</v>
      </c>
      <c r="E36" t="s">
        <v>45</v>
      </c>
      <c r="F36" t="s">
        <v>25</v>
      </c>
      <c r="G36" t="s">
        <v>20</v>
      </c>
      <c r="H36" t="s">
        <v>53</v>
      </c>
      <c r="I36">
        <v>2</v>
      </c>
      <c r="J36">
        <v>0.15</v>
      </c>
      <c r="K36">
        <v>103.72</v>
      </c>
      <c r="L36">
        <v>4.2</v>
      </c>
    </row>
    <row r="37" spans="1:12" x14ac:dyDescent="0.25">
      <c r="A37" t="s">
        <v>83</v>
      </c>
      <c r="B37" s="1">
        <v>45464</v>
      </c>
      <c r="C37" s="1">
        <v>45466</v>
      </c>
      <c r="D37" t="s">
        <v>23</v>
      </c>
      <c r="E37" t="s">
        <v>43</v>
      </c>
      <c r="F37" t="s">
        <v>29</v>
      </c>
      <c r="G37" t="s">
        <v>16</v>
      </c>
      <c r="H37" t="s">
        <v>21</v>
      </c>
      <c r="I37">
        <v>2</v>
      </c>
      <c r="J37">
        <v>0.15</v>
      </c>
      <c r="K37">
        <v>194.03</v>
      </c>
      <c r="L37">
        <v>9.1</v>
      </c>
    </row>
    <row r="38" spans="1:12" x14ac:dyDescent="0.25">
      <c r="A38" t="s">
        <v>84</v>
      </c>
      <c r="B38" s="1">
        <v>45310</v>
      </c>
      <c r="C38" s="1">
        <v>45316</v>
      </c>
      <c r="D38" t="s">
        <v>23</v>
      </c>
      <c r="E38" t="s">
        <v>24</v>
      </c>
      <c r="F38" t="s">
        <v>15</v>
      </c>
      <c r="G38" t="s">
        <v>26</v>
      </c>
      <c r="H38" t="s">
        <v>68</v>
      </c>
      <c r="I38">
        <v>3</v>
      </c>
      <c r="J38">
        <v>0</v>
      </c>
      <c r="K38">
        <v>139.54</v>
      </c>
      <c r="L38">
        <v>4.95</v>
      </c>
    </row>
    <row r="39" spans="1:12" x14ac:dyDescent="0.25">
      <c r="A39" t="s">
        <v>85</v>
      </c>
      <c r="B39" s="1">
        <v>45870</v>
      </c>
      <c r="C39" s="1">
        <v>45872</v>
      </c>
      <c r="D39" t="s">
        <v>23</v>
      </c>
      <c r="E39" t="s">
        <v>24</v>
      </c>
      <c r="F39" t="s">
        <v>15</v>
      </c>
      <c r="G39" t="s">
        <v>26</v>
      </c>
      <c r="H39" t="s">
        <v>34</v>
      </c>
      <c r="I39">
        <v>1</v>
      </c>
      <c r="J39">
        <v>0</v>
      </c>
      <c r="K39">
        <v>183.76</v>
      </c>
      <c r="L39">
        <v>4.08</v>
      </c>
    </row>
    <row r="40" spans="1:12" x14ac:dyDescent="0.25">
      <c r="A40" t="s">
        <v>86</v>
      </c>
      <c r="B40" s="1">
        <v>45808</v>
      </c>
      <c r="C40" s="1">
        <v>45810</v>
      </c>
      <c r="D40" t="s">
        <v>13</v>
      </c>
      <c r="E40" t="s">
        <v>36</v>
      </c>
      <c r="F40" t="s">
        <v>15</v>
      </c>
      <c r="G40" t="s">
        <v>16</v>
      </c>
      <c r="H40" t="s">
        <v>87</v>
      </c>
      <c r="I40">
        <v>14</v>
      </c>
      <c r="J40">
        <v>0</v>
      </c>
      <c r="K40">
        <v>125.02</v>
      </c>
      <c r="L40">
        <v>6.48</v>
      </c>
    </row>
    <row r="41" spans="1:12" x14ac:dyDescent="0.25">
      <c r="A41" t="s">
        <v>88</v>
      </c>
      <c r="B41" s="1">
        <v>45914</v>
      </c>
      <c r="C41" s="1">
        <v>45920</v>
      </c>
      <c r="D41" t="s">
        <v>47</v>
      </c>
      <c r="E41" t="s">
        <v>71</v>
      </c>
      <c r="F41" t="s">
        <v>25</v>
      </c>
      <c r="G41" t="s">
        <v>16</v>
      </c>
      <c r="H41" t="s">
        <v>51</v>
      </c>
      <c r="I41">
        <v>12</v>
      </c>
      <c r="J41">
        <v>0.25</v>
      </c>
      <c r="K41">
        <v>138.78</v>
      </c>
      <c r="L41">
        <v>9.9</v>
      </c>
    </row>
    <row r="42" spans="1:12" x14ac:dyDescent="0.25">
      <c r="A42" t="s">
        <v>89</v>
      </c>
      <c r="B42" s="1">
        <v>45865</v>
      </c>
      <c r="C42" s="1">
        <v>45870</v>
      </c>
      <c r="D42" t="s">
        <v>13</v>
      </c>
      <c r="E42" t="s">
        <v>19</v>
      </c>
      <c r="F42" t="s">
        <v>15</v>
      </c>
      <c r="G42" t="s">
        <v>16</v>
      </c>
      <c r="H42" t="s">
        <v>87</v>
      </c>
      <c r="I42">
        <v>16</v>
      </c>
      <c r="J42">
        <v>0</v>
      </c>
      <c r="K42">
        <v>124.22</v>
      </c>
      <c r="L42">
        <v>7.02</v>
      </c>
    </row>
    <row r="43" spans="1:12" x14ac:dyDescent="0.25">
      <c r="A43" t="s">
        <v>90</v>
      </c>
      <c r="B43" s="1">
        <v>45426</v>
      </c>
      <c r="C43" s="1">
        <v>45432</v>
      </c>
      <c r="D43" t="s">
        <v>13</v>
      </c>
      <c r="E43" t="s">
        <v>19</v>
      </c>
      <c r="F43" t="s">
        <v>29</v>
      </c>
      <c r="G43" t="s">
        <v>20</v>
      </c>
      <c r="H43" t="s">
        <v>51</v>
      </c>
      <c r="I43">
        <v>12</v>
      </c>
      <c r="J43">
        <v>0.1</v>
      </c>
      <c r="K43">
        <v>168.75</v>
      </c>
      <c r="L43">
        <v>9.9</v>
      </c>
    </row>
    <row r="44" spans="1:12" x14ac:dyDescent="0.25">
      <c r="A44" t="s">
        <v>91</v>
      </c>
      <c r="B44" s="1">
        <v>45804</v>
      </c>
      <c r="C44" s="1">
        <v>45810</v>
      </c>
      <c r="D44" t="s">
        <v>13</v>
      </c>
      <c r="E44" t="s">
        <v>14</v>
      </c>
      <c r="F44" t="s">
        <v>25</v>
      </c>
      <c r="G44" t="s">
        <v>26</v>
      </c>
      <c r="H44" t="s">
        <v>39</v>
      </c>
      <c r="I44">
        <v>2</v>
      </c>
      <c r="J44">
        <v>0</v>
      </c>
      <c r="K44">
        <v>403.52</v>
      </c>
      <c r="L44">
        <v>4.2</v>
      </c>
    </row>
    <row r="45" spans="1:12" x14ac:dyDescent="0.25">
      <c r="A45" t="s">
        <v>92</v>
      </c>
      <c r="B45" s="1">
        <v>45776</v>
      </c>
      <c r="C45" s="1">
        <v>45782</v>
      </c>
      <c r="D45" t="s">
        <v>13</v>
      </c>
      <c r="E45" t="s">
        <v>14</v>
      </c>
      <c r="F45" t="s">
        <v>29</v>
      </c>
      <c r="G45" t="s">
        <v>20</v>
      </c>
      <c r="H45" t="s">
        <v>87</v>
      </c>
      <c r="I45">
        <v>5</v>
      </c>
      <c r="J45">
        <v>0</v>
      </c>
      <c r="K45">
        <v>39.51</v>
      </c>
      <c r="L45">
        <v>4.05</v>
      </c>
    </row>
    <row r="46" spans="1:12" x14ac:dyDescent="0.25">
      <c r="A46" t="s">
        <v>93</v>
      </c>
      <c r="B46" s="1">
        <v>45982</v>
      </c>
      <c r="C46" s="1">
        <v>45983</v>
      </c>
      <c r="D46" t="s">
        <v>32</v>
      </c>
      <c r="E46" t="s">
        <v>62</v>
      </c>
      <c r="F46" t="s">
        <v>15</v>
      </c>
      <c r="G46" t="s">
        <v>16</v>
      </c>
      <c r="H46" t="s">
        <v>21</v>
      </c>
      <c r="I46">
        <v>2</v>
      </c>
      <c r="J46">
        <v>0</v>
      </c>
      <c r="K46">
        <v>289.05</v>
      </c>
      <c r="L46">
        <v>9.1</v>
      </c>
    </row>
    <row r="47" spans="1:12" x14ac:dyDescent="0.25">
      <c r="A47" t="s">
        <v>94</v>
      </c>
      <c r="B47" s="1">
        <v>45841</v>
      </c>
      <c r="C47" s="1">
        <v>45845</v>
      </c>
      <c r="D47" t="s">
        <v>32</v>
      </c>
      <c r="E47" t="s">
        <v>62</v>
      </c>
      <c r="F47" t="s">
        <v>25</v>
      </c>
      <c r="G47" t="s">
        <v>20</v>
      </c>
      <c r="H47" t="s">
        <v>68</v>
      </c>
      <c r="I47">
        <v>3</v>
      </c>
      <c r="J47">
        <v>0.1</v>
      </c>
      <c r="K47">
        <v>134.59</v>
      </c>
      <c r="L47">
        <v>4.95</v>
      </c>
    </row>
    <row r="48" spans="1:12" x14ac:dyDescent="0.25">
      <c r="A48" t="s">
        <v>95</v>
      </c>
      <c r="B48" s="1">
        <v>45505</v>
      </c>
      <c r="C48" s="1">
        <v>45508</v>
      </c>
      <c r="D48" t="s">
        <v>47</v>
      </c>
      <c r="E48" t="s">
        <v>50</v>
      </c>
      <c r="F48" t="s">
        <v>29</v>
      </c>
      <c r="G48" t="s">
        <v>16</v>
      </c>
      <c r="H48" t="s">
        <v>68</v>
      </c>
      <c r="I48">
        <v>4</v>
      </c>
      <c r="J48">
        <v>0</v>
      </c>
      <c r="K48">
        <v>189.62</v>
      </c>
      <c r="L48">
        <v>9.5</v>
      </c>
    </row>
    <row r="49" spans="1:12" x14ac:dyDescent="0.25">
      <c r="A49" t="s">
        <v>96</v>
      </c>
      <c r="B49" s="1">
        <v>45651</v>
      </c>
      <c r="C49" s="1">
        <v>45655</v>
      </c>
      <c r="D49" t="s">
        <v>23</v>
      </c>
      <c r="E49" t="s">
        <v>43</v>
      </c>
      <c r="F49" t="s">
        <v>29</v>
      </c>
      <c r="G49" t="s">
        <v>26</v>
      </c>
      <c r="H49" t="s">
        <v>63</v>
      </c>
      <c r="I49">
        <v>11</v>
      </c>
      <c r="J49">
        <v>0.15</v>
      </c>
      <c r="K49">
        <v>167.62</v>
      </c>
      <c r="L49">
        <v>5.67</v>
      </c>
    </row>
    <row r="50" spans="1:12" x14ac:dyDescent="0.25">
      <c r="A50" t="s">
        <v>97</v>
      </c>
      <c r="B50" s="1">
        <v>45764</v>
      </c>
      <c r="C50" s="1">
        <v>45767</v>
      </c>
      <c r="D50" t="s">
        <v>23</v>
      </c>
      <c r="E50" t="s">
        <v>59</v>
      </c>
      <c r="F50" t="s">
        <v>29</v>
      </c>
      <c r="G50" t="s">
        <v>20</v>
      </c>
      <c r="H50" t="s">
        <v>17</v>
      </c>
      <c r="I50">
        <v>3</v>
      </c>
      <c r="J50">
        <v>0</v>
      </c>
      <c r="K50">
        <v>360.26</v>
      </c>
      <c r="L50">
        <v>4.95</v>
      </c>
    </row>
    <row r="51" spans="1:12" x14ac:dyDescent="0.25">
      <c r="A51" t="s">
        <v>98</v>
      </c>
      <c r="B51" s="1">
        <v>45669</v>
      </c>
      <c r="C51" s="1">
        <v>45671</v>
      </c>
      <c r="D51" t="s">
        <v>47</v>
      </c>
      <c r="E51" t="s">
        <v>50</v>
      </c>
      <c r="F51" t="s">
        <v>15</v>
      </c>
      <c r="G51" t="s">
        <v>16</v>
      </c>
      <c r="H51" t="s">
        <v>41</v>
      </c>
      <c r="I51">
        <v>13</v>
      </c>
      <c r="J51">
        <v>0</v>
      </c>
      <c r="K51">
        <v>69.59</v>
      </c>
      <c r="L51">
        <v>10.35</v>
      </c>
    </row>
    <row r="52" spans="1:12" x14ac:dyDescent="0.25">
      <c r="A52" t="s">
        <v>99</v>
      </c>
      <c r="B52" s="1">
        <v>45611</v>
      </c>
      <c r="C52" s="1">
        <v>45615</v>
      </c>
      <c r="D52" t="s">
        <v>13</v>
      </c>
      <c r="E52" t="s">
        <v>19</v>
      </c>
      <c r="F52" t="s">
        <v>29</v>
      </c>
      <c r="G52" t="s">
        <v>16</v>
      </c>
      <c r="H52" t="s">
        <v>65</v>
      </c>
      <c r="I52">
        <v>1</v>
      </c>
      <c r="J52">
        <v>0.1</v>
      </c>
      <c r="K52">
        <v>350.29</v>
      </c>
      <c r="L52">
        <v>4.08</v>
      </c>
    </row>
    <row r="53" spans="1:12" x14ac:dyDescent="0.25">
      <c r="A53" t="s">
        <v>100</v>
      </c>
      <c r="B53" s="1">
        <v>45872</v>
      </c>
      <c r="C53" s="1">
        <v>45873</v>
      </c>
      <c r="D53" t="s">
        <v>23</v>
      </c>
      <c r="E53" t="s">
        <v>59</v>
      </c>
      <c r="F53" t="s">
        <v>15</v>
      </c>
      <c r="G53" t="s">
        <v>16</v>
      </c>
      <c r="H53" t="s">
        <v>53</v>
      </c>
      <c r="I53">
        <v>1</v>
      </c>
      <c r="J53">
        <v>0.05</v>
      </c>
      <c r="K53">
        <v>48.28</v>
      </c>
      <c r="L53">
        <v>3.45</v>
      </c>
    </row>
    <row r="54" spans="1:12" x14ac:dyDescent="0.25">
      <c r="A54" t="s">
        <v>101</v>
      </c>
      <c r="B54" s="1">
        <v>45417</v>
      </c>
      <c r="C54" s="1">
        <v>45420</v>
      </c>
      <c r="D54" t="s">
        <v>47</v>
      </c>
      <c r="E54" t="s">
        <v>71</v>
      </c>
      <c r="F54" t="s">
        <v>25</v>
      </c>
      <c r="G54" t="s">
        <v>20</v>
      </c>
      <c r="H54" t="s">
        <v>37</v>
      </c>
      <c r="I54">
        <v>1</v>
      </c>
      <c r="J54">
        <v>0</v>
      </c>
      <c r="K54">
        <v>108.96</v>
      </c>
      <c r="L54">
        <v>6.8</v>
      </c>
    </row>
    <row r="55" spans="1:12" x14ac:dyDescent="0.25">
      <c r="A55" t="s">
        <v>102</v>
      </c>
      <c r="B55" s="1">
        <v>45409</v>
      </c>
      <c r="C55" s="1">
        <v>45412</v>
      </c>
      <c r="D55" t="s">
        <v>13</v>
      </c>
      <c r="E55" t="s">
        <v>14</v>
      </c>
      <c r="F55" t="s">
        <v>25</v>
      </c>
      <c r="G55" t="s">
        <v>20</v>
      </c>
      <c r="H55" t="s">
        <v>37</v>
      </c>
      <c r="I55">
        <v>4</v>
      </c>
      <c r="J55">
        <v>0.25</v>
      </c>
      <c r="K55">
        <v>333.46</v>
      </c>
      <c r="L55">
        <v>13.7</v>
      </c>
    </row>
    <row r="56" spans="1:12" x14ac:dyDescent="0.25">
      <c r="A56" t="s">
        <v>103</v>
      </c>
      <c r="B56" s="1">
        <v>45992</v>
      </c>
      <c r="C56" s="1">
        <v>45994</v>
      </c>
      <c r="D56" t="s">
        <v>47</v>
      </c>
      <c r="E56" t="s">
        <v>71</v>
      </c>
      <c r="F56" t="s">
        <v>25</v>
      </c>
      <c r="G56" t="s">
        <v>20</v>
      </c>
      <c r="H56" t="s">
        <v>17</v>
      </c>
      <c r="I56">
        <v>4</v>
      </c>
      <c r="J56">
        <v>0</v>
      </c>
      <c r="K56">
        <v>688.1</v>
      </c>
      <c r="L56">
        <v>5.7</v>
      </c>
    </row>
    <row r="57" spans="1:12" x14ac:dyDescent="0.25">
      <c r="A57" t="s">
        <v>104</v>
      </c>
      <c r="B57" s="1">
        <v>46020</v>
      </c>
      <c r="C57" s="1">
        <v>46024</v>
      </c>
      <c r="D57" t="s">
        <v>32</v>
      </c>
      <c r="E57" t="s">
        <v>33</v>
      </c>
      <c r="F57" t="s">
        <v>29</v>
      </c>
      <c r="G57" t="s">
        <v>16</v>
      </c>
      <c r="H57" t="s">
        <v>30</v>
      </c>
      <c r="I57">
        <v>10</v>
      </c>
      <c r="J57">
        <v>0</v>
      </c>
      <c r="K57">
        <v>90.14</v>
      </c>
      <c r="L57">
        <v>5.4</v>
      </c>
    </row>
    <row r="58" spans="1:12" x14ac:dyDescent="0.25">
      <c r="A58" t="s">
        <v>105</v>
      </c>
      <c r="B58" s="1">
        <v>45492</v>
      </c>
      <c r="C58" s="1">
        <v>45495</v>
      </c>
      <c r="D58" t="s">
        <v>23</v>
      </c>
      <c r="E58" t="s">
        <v>24</v>
      </c>
      <c r="F58" t="s">
        <v>29</v>
      </c>
      <c r="G58" t="s">
        <v>20</v>
      </c>
      <c r="H58" t="s">
        <v>65</v>
      </c>
      <c r="I58">
        <v>3</v>
      </c>
      <c r="J58">
        <v>0.2</v>
      </c>
      <c r="K58">
        <v>642.79</v>
      </c>
      <c r="L58">
        <v>11.4</v>
      </c>
    </row>
    <row r="59" spans="1:12" x14ac:dyDescent="0.25">
      <c r="A59" t="s">
        <v>106</v>
      </c>
      <c r="B59" s="1">
        <v>45382</v>
      </c>
      <c r="C59" s="1">
        <v>45383</v>
      </c>
      <c r="D59" t="s">
        <v>13</v>
      </c>
      <c r="E59" t="s">
        <v>19</v>
      </c>
      <c r="F59" t="s">
        <v>15</v>
      </c>
      <c r="G59" t="s">
        <v>26</v>
      </c>
      <c r="H59" t="s">
        <v>53</v>
      </c>
      <c r="I59">
        <v>2</v>
      </c>
      <c r="J59">
        <v>0.05</v>
      </c>
      <c r="K59">
        <v>103.07</v>
      </c>
      <c r="L59">
        <v>7</v>
      </c>
    </row>
    <row r="60" spans="1:12" x14ac:dyDescent="0.25">
      <c r="A60" t="s">
        <v>107</v>
      </c>
      <c r="B60" s="1">
        <v>45757</v>
      </c>
      <c r="C60" s="1">
        <v>45762</v>
      </c>
      <c r="D60" t="s">
        <v>23</v>
      </c>
      <c r="E60" t="s">
        <v>43</v>
      </c>
      <c r="F60" t="s">
        <v>29</v>
      </c>
      <c r="G60" t="s">
        <v>26</v>
      </c>
      <c r="H60" t="s">
        <v>51</v>
      </c>
      <c r="I60">
        <v>18</v>
      </c>
      <c r="J60">
        <v>0.2</v>
      </c>
      <c r="K60">
        <v>218.45</v>
      </c>
      <c r="L60">
        <v>12.6</v>
      </c>
    </row>
    <row r="61" spans="1:12" x14ac:dyDescent="0.25">
      <c r="A61" t="s">
        <v>108</v>
      </c>
      <c r="B61" s="1">
        <v>45483</v>
      </c>
      <c r="C61" s="1">
        <v>45486</v>
      </c>
      <c r="D61" t="s">
        <v>13</v>
      </c>
      <c r="E61" t="s">
        <v>19</v>
      </c>
      <c r="F61" t="s">
        <v>15</v>
      </c>
      <c r="G61" t="s">
        <v>26</v>
      </c>
      <c r="H61" t="s">
        <v>60</v>
      </c>
      <c r="I61">
        <v>4</v>
      </c>
      <c r="J61">
        <v>0.1</v>
      </c>
      <c r="K61">
        <v>388.28</v>
      </c>
      <c r="L61">
        <v>9.5</v>
      </c>
    </row>
    <row r="62" spans="1:12" x14ac:dyDescent="0.25">
      <c r="A62" t="s">
        <v>109</v>
      </c>
      <c r="B62" s="1">
        <v>45381</v>
      </c>
      <c r="C62" s="1">
        <v>45383</v>
      </c>
      <c r="D62" t="s">
        <v>13</v>
      </c>
      <c r="E62" t="s">
        <v>19</v>
      </c>
      <c r="F62" t="s">
        <v>29</v>
      </c>
      <c r="G62" t="s">
        <v>26</v>
      </c>
      <c r="H62" t="s">
        <v>17</v>
      </c>
      <c r="I62">
        <v>2</v>
      </c>
      <c r="J62">
        <v>0.1</v>
      </c>
      <c r="K62">
        <v>205.52</v>
      </c>
      <c r="L62">
        <v>4.2</v>
      </c>
    </row>
    <row r="63" spans="1:12" x14ac:dyDescent="0.25">
      <c r="A63" t="s">
        <v>110</v>
      </c>
      <c r="B63" s="1">
        <v>45947</v>
      </c>
      <c r="C63" s="1">
        <v>45950</v>
      </c>
      <c r="D63" t="s">
        <v>47</v>
      </c>
      <c r="E63" t="s">
        <v>71</v>
      </c>
      <c r="F63" t="s">
        <v>25</v>
      </c>
      <c r="G63" t="s">
        <v>20</v>
      </c>
      <c r="H63" t="s">
        <v>53</v>
      </c>
      <c r="I63">
        <v>2</v>
      </c>
      <c r="J63">
        <v>0</v>
      </c>
      <c r="K63">
        <v>137.1</v>
      </c>
      <c r="L63">
        <v>4.2</v>
      </c>
    </row>
    <row r="64" spans="1:12" x14ac:dyDescent="0.25">
      <c r="A64" t="s">
        <v>111</v>
      </c>
      <c r="B64" s="1">
        <v>45505</v>
      </c>
      <c r="C64" s="1">
        <v>45509</v>
      </c>
      <c r="D64" t="s">
        <v>23</v>
      </c>
      <c r="E64" t="s">
        <v>24</v>
      </c>
      <c r="F64" t="s">
        <v>25</v>
      </c>
      <c r="G64" t="s">
        <v>26</v>
      </c>
      <c r="H64" t="s">
        <v>53</v>
      </c>
      <c r="I64">
        <v>2</v>
      </c>
      <c r="J64">
        <v>0</v>
      </c>
      <c r="K64">
        <v>102.53</v>
      </c>
      <c r="L64">
        <v>4.2</v>
      </c>
    </row>
    <row r="65" spans="1:12" x14ac:dyDescent="0.25">
      <c r="A65" t="s">
        <v>112</v>
      </c>
      <c r="B65" s="1">
        <v>45410</v>
      </c>
      <c r="C65" s="1">
        <v>45412</v>
      </c>
      <c r="D65" t="s">
        <v>13</v>
      </c>
      <c r="E65" t="s">
        <v>14</v>
      </c>
      <c r="F65" t="s">
        <v>29</v>
      </c>
      <c r="G65" t="s">
        <v>20</v>
      </c>
      <c r="H65" t="s">
        <v>68</v>
      </c>
      <c r="I65">
        <v>3</v>
      </c>
      <c r="J65">
        <v>0</v>
      </c>
      <c r="K65">
        <v>151.93</v>
      </c>
      <c r="L65">
        <v>4.95</v>
      </c>
    </row>
    <row r="66" spans="1:12" x14ac:dyDescent="0.25">
      <c r="A66" t="s">
        <v>113</v>
      </c>
      <c r="B66" s="1">
        <v>45402</v>
      </c>
      <c r="C66" s="1">
        <v>45407</v>
      </c>
      <c r="D66" t="s">
        <v>13</v>
      </c>
      <c r="E66" t="s">
        <v>14</v>
      </c>
      <c r="F66" t="s">
        <v>25</v>
      </c>
      <c r="G66" t="s">
        <v>26</v>
      </c>
      <c r="H66" t="s">
        <v>65</v>
      </c>
      <c r="I66">
        <v>2</v>
      </c>
      <c r="J66">
        <v>0.2</v>
      </c>
      <c r="K66">
        <v>445.61</v>
      </c>
      <c r="L66">
        <v>5.46</v>
      </c>
    </row>
    <row r="67" spans="1:12" x14ac:dyDescent="0.25">
      <c r="A67" t="s">
        <v>114</v>
      </c>
      <c r="B67" s="1">
        <v>45646</v>
      </c>
      <c r="C67" s="1">
        <v>45650</v>
      </c>
      <c r="D67" t="s">
        <v>47</v>
      </c>
      <c r="E67" t="s">
        <v>48</v>
      </c>
      <c r="F67" t="s">
        <v>29</v>
      </c>
      <c r="G67" t="s">
        <v>16</v>
      </c>
      <c r="H67" t="s">
        <v>17</v>
      </c>
      <c r="I67">
        <v>1</v>
      </c>
      <c r="J67">
        <v>0</v>
      </c>
      <c r="K67">
        <v>189.61</v>
      </c>
      <c r="L67">
        <v>5.75</v>
      </c>
    </row>
    <row r="68" spans="1:12" x14ac:dyDescent="0.25">
      <c r="A68" t="s">
        <v>115</v>
      </c>
      <c r="B68" s="1">
        <v>45600</v>
      </c>
      <c r="C68" s="1">
        <v>45605</v>
      </c>
      <c r="D68" t="s">
        <v>13</v>
      </c>
      <c r="E68" t="s">
        <v>36</v>
      </c>
      <c r="F68" t="s">
        <v>15</v>
      </c>
      <c r="G68" t="s">
        <v>26</v>
      </c>
      <c r="H68" t="s">
        <v>60</v>
      </c>
      <c r="I68">
        <v>4</v>
      </c>
      <c r="J68">
        <v>0</v>
      </c>
      <c r="K68">
        <v>600.30999999999995</v>
      </c>
      <c r="L68">
        <v>9.5</v>
      </c>
    </row>
    <row r="69" spans="1:12" x14ac:dyDescent="0.25">
      <c r="A69" t="s">
        <v>116</v>
      </c>
      <c r="B69" s="1">
        <v>45484</v>
      </c>
      <c r="C69" s="1">
        <v>45486</v>
      </c>
      <c r="D69" t="s">
        <v>23</v>
      </c>
      <c r="E69" t="s">
        <v>24</v>
      </c>
      <c r="F69" t="s">
        <v>29</v>
      </c>
      <c r="G69" t="s">
        <v>20</v>
      </c>
      <c r="H69" t="s">
        <v>21</v>
      </c>
      <c r="I69">
        <v>4</v>
      </c>
      <c r="J69">
        <v>0</v>
      </c>
      <c r="K69">
        <v>405.27</v>
      </c>
      <c r="L69">
        <v>8.2200000000000006</v>
      </c>
    </row>
    <row r="70" spans="1:12" x14ac:dyDescent="0.25">
      <c r="A70" t="s">
        <v>117</v>
      </c>
      <c r="B70" s="1">
        <v>45628</v>
      </c>
      <c r="C70" s="1">
        <v>45632</v>
      </c>
      <c r="D70" t="s">
        <v>47</v>
      </c>
      <c r="E70" t="s">
        <v>71</v>
      </c>
      <c r="F70" t="s">
        <v>29</v>
      </c>
      <c r="G70" t="s">
        <v>26</v>
      </c>
      <c r="H70" t="s">
        <v>65</v>
      </c>
      <c r="I70">
        <v>1</v>
      </c>
      <c r="J70">
        <v>0.1</v>
      </c>
      <c r="K70">
        <v>376.49</v>
      </c>
      <c r="L70">
        <v>6.8</v>
      </c>
    </row>
    <row r="71" spans="1:12" x14ac:dyDescent="0.25">
      <c r="A71" t="s">
        <v>118</v>
      </c>
      <c r="B71" s="1">
        <v>45422</v>
      </c>
      <c r="C71" s="1">
        <v>45425</v>
      </c>
      <c r="D71" t="s">
        <v>23</v>
      </c>
      <c r="E71" t="s">
        <v>24</v>
      </c>
      <c r="F71" t="s">
        <v>15</v>
      </c>
      <c r="G71" t="s">
        <v>16</v>
      </c>
      <c r="H71" t="s">
        <v>68</v>
      </c>
      <c r="I71">
        <v>4</v>
      </c>
      <c r="J71">
        <v>0</v>
      </c>
      <c r="K71">
        <v>218.27</v>
      </c>
      <c r="L71">
        <v>9.5</v>
      </c>
    </row>
    <row r="72" spans="1:12" x14ac:dyDescent="0.25">
      <c r="A72" t="s">
        <v>119</v>
      </c>
      <c r="B72" s="1">
        <v>45362</v>
      </c>
      <c r="C72" s="1">
        <v>45363</v>
      </c>
      <c r="D72" t="s">
        <v>47</v>
      </c>
      <c r="E72" t="s">
        <v>71</v>
      </c>
      <c r="F72" t="s">
        <v>29</v>
      </c>
      <c r="G72" t="s">
        <v>16</v>
      </c>
      <c r="H72" t="s">
        <v>60</v>
      </c>
      <c r="I72">
        <v>4</v>
      </c>
      <c r="J72">
        <v>0</v>
      </c>
      <c r="K72">
        <v>418.07</v>
      </c>
      <c r="L72">
        <v>5.7</v>
      </c>
    </row>
    <row r="73" spans="1:12" x14ac:dyDescent="0.25">
      <c r="A73" t="s">
        <v>120</v>
      </c>
      <c r="B73" s="1">
        <v>45637</v>
      </c>
      <c r="C73" s="1">
        <v>45640</v>
      </c>
      <c r="D73" t="s">
        <v>13</v>
      </c>
      <c r="E73" t="s">
        <v>19</v>
      </c>
      <c r="F73" t="s">
        <v>29</v>
      </c>
      <c r="G73" t="s">
        <v>16</v>
      </c>
      <c r="H73" t="s">
        <v>39</v>
      </c>
      <c r="I73">
        <v>7</v>
      </c>
      <c r="J73">
        <v>0</v>
      </c>
      <c r="K73">
        <v>1907.78</v>
      </c>
      <c r="L73">
        <v>7.95</v>
      </c>
    </row>
    <row r="74" spans="1:12" x14ac:dyDescent="0.25">
      <c r="A74" t="s">
        <v>121</v>
      </c>
      <c r="B74" s="1">
        <v>45675</v>
      </c>
      <c r="C74" s="1">
        <v>45678</v>
      </c>
      <c r="D74" t="s">
        <v>47</v>
      </c>
      <c r="E74" t="s">
        <v>48</v>
      </c>
      <c r="F74" t="s">
        <v>25</v>
      </c>
      <c r="G74" t="s">
        <v>20</v>
      </c>
      <c r="H74" t="s">
        <v>60</v>
      </c>
      <c r="I74">
        <v>4</v>
      </c>
      <c r="J74">
        <v>0</v>
      </c>
      <c r="K74">
        <v>413.19</v>
      </c>
      <c r="L74">
        <v>5.7</v>
      </c>
    </row>
    <row r="75" spans="1:12" x14ac:dyDescent="0.25">
      <c r="A75" t="s">
        <v>122</v>
      </c>
      <c r="B75" s="1">
        <v>45396</v>
      </c>
      <c r="C75" s="1">
        <v>45402</v>
      </c>
      <c r="D75" t="s">
        <v>32</v>
      </c>
      <c r="E75" t="s">
        <v>45</v>
      </c>
      <c r="F75" t="s">
        <v>25</v>
      </c>
      <c r="G75" t="s">
        <v>16</v>
      </c>
      <c r="H75" t="s">
        <v>60</v>
      </c>
      <c r="I75">
        <v>1</v>
      </c>
      <c r="J75">
        <v>0.25</v>
      </c>
      <c r="K75">
        <v>83.36</v>
      </c>
      <c r="L75">
        <v>5.75</v>
      </c>
    </row>
    <row r="76" spans="1:12" x14ac:dyDescent="0.25">
      <c r="A76" t="s">
        <v>123</v>
      </c>
      <c r="B76" s="1">
        <v>45368</v>
      </c>
      <c r="C76" s="1">
        <v>45369</v>
      </c>
      <c r="D76" t="s">
        <v>13</v>
      </c>
      <c r="E76" t="s">
        <v>14</v>
      </c>
      <c r="F76" t="s">
        <v>25</v>
      </c>
      <c r="G76" t="s">
        <v>20</v>
      </c>
      <c r="H76" t="s">
        <v>68</v>
      </c>
      <c r="I76">
        <v>4</v>
      </c>
      <c r="J76">
        <v>0.1</v>
      </c>
      <c r="K76">
        <v>180.69</v>
      </c>
      <c r="L76">
        <v>5.7</v>
      </c>
    </row>
    <row r="77" spans="1:12" x14ac:dyDescent="0.25">
      <c r="A77" t="s">
        <v>124</v>
      </c>
      <c r="B77" s="1">
        <v>45613</v>
      </c>
      <c r="C77" s="1">
        <v>45619</v>
      </c>
      <c r="D77" t="s">
        <v>32</v>
      </c>
      <c r="E77" t="s">
        <v>62</v>
      </c>
      <c r="F77" t="s">
        <v>15</v>
      </c>
      <c r="G77" t="s">
        <v>26</v>
      </c>
      <c r="H77" t="s">
        <v>68</v>
      </c>
      <c r="I77">
        <v>3</v>
      </c>
      <c r="J77">
        <v>0.2</v>
      </c>
      <c r="K77">
        <v>168.04</v>
      </c>
      <c r="L77">
        <v>4.95</v>
      </c>
    </row>
    <row r="78" spans="1:12" x14ac:dyDescent="0.25">
      <c r="A78" t="s">
        <v>125</v>
      </c>
      <c r="B78" s="1">
        <v>45739</v>
      </c>
      <c r="C78" s="1">
        <v>45745</v>
      </c>
      <c r="D78" t="s">
        <v>32</v>
      </c>
      <c r="E78" t="s">
        <v>33</v>
      </c>
      <c r="F78" t="s">
        <v>25</v>
      </c>
      <c r="G78" t="s">
        <v>26</v>
      </c>
      <c r="H78" t="s">
        <v>39</v>
      </c>
      <c r="I78">
        <v>3</v>
      </c>
      <c r="J78">
        <v>0</v>
      </c>
      <c r="K78">
        <v>530.74</v>
      </c>
      <c r="L78">
        <v>4.95</v>
      </c>
    </row>
    <row r="79" spans="1:12" x14ac:dyDescent="0.25">
      <c r="A79" t="s">
        <v>126</v>
      </c>
      <c r="B79" s="1">
        <v>45956</v>
      </c>
      <c r="C79" s="1">
        <v>45958</v>
      </c>
      <c r="D79" t="s">
        <v>47</v>
      </c>
      <c r="E79" t="s">
        <v>48</v>
      </c>
      <c r="F79" t="s">
        <v>15</v>
      </c>
      <c r="G79" t="s">
        <v>26</v>
      </c>
      <c r="H79" t="s">
        <v>68</v>
      </c>
      <c r="I79">
        <v>1</v>
      </c>
      <c r="J79">
        <v>0</v>
      </c>
      <c r="K79">
        <v>62.22</v>
      </c>
      <c r="L79">
        <v>3.45</v>
      </c>
    </row>
    <row r="80" spans="1:12" x14ac:dyDescent="0.25">
      <c r="A80" t="s">
        <v>127</v>
      </c>
      <c r="B80" s="1">
        <v>45748</v>
      </c>
      <c r="C80" s="1">
        <v>45750</v>
      </c>
      <c r="D80" t="s">
        <v>47</v>
      </c>
      <c r="E80" t="s">
        <v>50</v>
      </c>
      <c r="F80" t="s">
        <v>25</v>
      </c>
      <c r="G80" t="s">
        <v>16</v>
      </c>
      <c r="H80" t="s">
        <v>17</v>
      </c>
      <c r="I80">
        <v>2</v>
      </c>
      <c r="J80">
        <v>0</v>
      </c>
      <c r="K80">
        <v>248.11</v>
      </c>
      <c r="L80">
        <v>7</v>
      </c>
    </row>
    <row r="81" spans="1:12" x14ac:dyDescent="0.25">
      <c r="A81" t="s">
        <v>128</v>
      </c>
      <c r="B81" s="1">
        <v>45752</v>
      </c>
      <c r="C81" s="1">
        <v>45754</v>
      </c>
      <c r="D81" t="s">
        <v>23</v>
      </c>
      <c r="E81" t="s">
        <v>43</v>
      </c>
      <c r="F81" t="s">
        <v>25</v>
      </c>
      <c r="G81" t="s">
        <v>20</v>
      </c>
      <c r="H81" t="s">
        <v>17</v>
      </c>
      <c r="I81">
        <v>1</v>
      </c>
      <c r="J81">
        <v>0</v>
      </c>
      <c r="K81">
        <v>123.25</v>
      </c>
      <c r="L81">
        <v>3.45</v>
      </c>
    </row>
    <row r="82" spans="1:12" x14ac:dyDescent="0.25">
      <c r="A82" t="s">
        <v>129</v>
      </c>
      <c r="B82" s="1">
        <v>45974</v>
      </c>
      <c r="C82" s="1">
        <v>45977</v>
      </c>
      <c r="D82" t="s">
        <v>32</v>
      </c>
      <c r="E82" t="s">
        <v>62</v>
      </c>
      <c r="F82" t="s">
        <v>15</v>
      </c>
      <c r="G82" t="s">
        <v>26</v>
      </c>
      <c r="H82" t="s">
        <v>68</v>
      </c>
      <c r="I82">
        <v>4</v>
      </c>
      <c r="J82">
        <v>0</v>
      </c>
      <c r="K82">
        <v>275.04000000000002</v>
      </c>
      <c r="L82">
        <v>5.7</v>
      </c>
    </row>
    <row r="83" spans="1:12" x14ac:dyDescent="0.25">
      <c r="A83" t="s">
        <v>130</v>
      </c>
      <c r="B83" s="1">
        <v>45512</v>
      </c>
      <c r="C83" s="1">
        <v>45517</v>
      </c>
      <c r="D83" t="s">
        <v>32</v>
      </c>
      <c r="E83" t="s">
        <v>33</v>
      </c>
      <c r="F83" t="s">
        <v>29</v>
      </c>
      <c r="G83" t="s">
        <v>16</v>
      </c>
      <c r="H83" t="s">
        <v>27</v>
      </c>
      <c r="I83">
        <v>8</v>
      </c>
      <c r="J83">
        <v>0</v>
      </c>
      <c r="K83">
        <v>216.42</v>
      </c>
      <c r="L83">
        <v>4.8600000000000003</v>
      </c>
    </row>
    <row r="84" spans="1:12" x14ac:dyDescent="0.25">
      <c r="A84" t="s">
        <v>131</v>
      </c>
      <c r="B84" s="1">
        <v>45399</v>
      </c>
      <c r="C84" s="1">
        <v>45404</v>
      </c>
      <c r="D84" t="s">
        <v>13</v>
      </c>
      <c r="E84" t="s">
        <v>19</v>
      </c>
      <c r="F84" t="s">
        <v>15</v>
      </c>
      <c r="G84" t="s">
        <v>20</v>
      </c>
      <c r="H84" t="s">
        <v>17</v>
      </c>
      <c r="I84">
        <v>3</v>
      </c>
      <c r="J84">
        <v>0.2</v>
      </c>
      <c r="K84">
        <v>305.68</v>
      </c>
      <c r="L84">
        <v>4.95</v>
      </c>
    </row>
    <row r="85" spans="1:12" x14ac:dyDescent="0.25">
      <c r="A85" t="s">
        <v>132</v>
      </c>
      <c r="B85" s="1">
        <v>45412</v>
      </c>
      <c r="C85" s="1">
        <v>45416</v>
      </c>
      <c r="D85" t="s">
        <v>13</v>
      </c>
      <c r="E85" t="s">
        <v>14</v>
      </c>
      <c r="F85" t="s">
        <v>29</v>
      </c>
      <c r="G85" t="s">
        <v>26</v>
      </c>
      <c r="H85" t="s">
        <v>21</v>
      </c>
      <c r="I85">
        <v>2</v>
      </c>
      <c r="J85">
        <v>0.15</v>
      </c>
      <c r="K85">
        <v>188.33</v>
      </c>
      <c r="L85">
        <v>5.46</v>
      </c>
    </row>
    <row r="86" spans="1:12" x14ac:dyDescent="0.25">
      <c r="A86" t="s">
        <v>133</v>
      </c>
      <c r="B86" s="1">
        <v>45372</v>
      </c>
      <c r="C86" s="1">
        <v>45373</v>
      </c>
      <c r="D86" t="s">
        <v>13</v>
      </c>
      <c r="E86" t="s">
        <v>19</v>
      </c>
      <c r="F86" t="s">
        <v>25</v>
      </c>
      <c r="G86" t="s">
        <v>16</v>
      </c>
      <c r="H86" t="s">
        <v>87</v>
      </c>
      <c r="I86">
        <v>5</v>
      </c>
      <c r="J86">
        <v>0</v>
      </c>
      <c r="K86">
        <v>39.4</v>
      </c>
      <c r="L86">
        <v>6.75</v>
      </c>
    </row>
    <row r="87" spans="1:12" x14ac:dyDescent="0.25">
      <c r="A87" t="s">
        <v>134</v>
      </c>
      <c r="B87" s="1">
        <v>45301</v>
      </c>
      <c r="C87" s="1">
        <v>45307</v>
      </c>
      <c r="D87" t="s">
        <v>23</v>
      </c>
      <c r="E87" t="s">
        <v>59</v>
      </c>
      <c r="F87" t="s">
        <v>15</v>
      </c>
      <c r="G87" t="s">
        <v>26</v>
      </c>
      <c r="H87" t="s">
        <v>30</v>
      </c>
      <c r="I87">
        <v>6</v>
      </c>
      <c r="J87">
        <v>0</v>
      </c>
      <c r="K87">
        <v>30.7</v>
      </c>
      <c r="L87">
        <v>4.32</v>
      </c>
    </row>
    <row r="88" spans="1:12" x14ac:dyDescent="0.25">
      <c r="A88" t="s">
        <v>135</v>
      </c>
      <c r="B88" s="1">
        <v>45912</v>
      </c>
      <c r="C88" s="1">
        <v>45917</v>
      </c>
      <c r="D88" t="s">
        <v>13</v>
      </c>
      <c r="E88" t="s">
        <v>19</v>
      </c>
      <c r="F88" t="s">
        <v>25</v>
      </c>
      <c r="G88" t="s">
        <v>16</v>
      </c>
      <c r="H88" t="s">
        <v>68</v>
      </c>
      <c r="I88">
        <v>2</v>
      </c>
      <c r="J88">
        <v>0.25</v>
      </c>
      <c r="K88">
        <v>81.63</v>
      </c>
      <c r="L88">
        <v>7</v>
      </c>
    </row>
    <row r="89" spans="1:12" x14ac:dyDescent="0.25">
      <c r="A89" t="s">
        <v>136</v>
      </c>
      <c r="B89" s="1">
        <v>45747</v>
      </c>
      <c r="C89" s="1">
        <v>45748</v>
      </c>
      <c r="D89" t="s">
        <v>13</v>
      </c>
      <c r="E89" t="s">
        <v>19</v>
      </c>
      <c r="F89" t="s">
        <v>25</v>
      </c>
      <c r="G89" t="s">
        <v>20</v>
      </c>
      <c r="H89" t="s">
        <v>39</v>
      </c>
      <c r="I89">
        <v>4</v>
      </c>
      <c r="J89">
        <v>0.1</v>
      </c>
      <c r="K89">
        <v>627.72</v>
      </c>
      <c r="L89">
        <v>9.5</v>
      </c>
    </row>
    <row r="90" spans="1:12" x14ac:dyDescent="0.25">
      <c r="A90" t="s">
        <v>137</v>
      </c>
      <c r="B90" s="1">
        <v>45875</v>
      </c>
      <c r="C90" s="1">
        <v>45878</v>
      </c>
      <c r="D90" t="s">
        <v>23</v>
      </c>
      <c r="E90" t="s">
        <v>59</v>
      </c>
      <c r="F90" t="s">
        <v>25</v>
      </c>
      <c r="G90" t="s">
        <v>16</v>
      </c>
      <c r="H90" t="s">
        <v>39</v>
      </c>
      <c r="I90">
        <v>1</v>
      </c>
      <c r="J90">
        <v>0.25</v>
      </c>
      <c r="K90">
        <v>131.94999999999999</v>
      </c>
      <c r="L90">
        <v>5.75</v>
      </c>
    </row>
    <row r="91" spans="1:12" x14ac:dyDescent="0.25">
      <c r="A91" t="s">
        <v>138</v>
      </c>
      <c r="B91" s="1">
        <v>45714</v>
      </c>
      <c r="C91" s="1">
        <v>45718</v>
      </c>
      <c r="D91" t="s">
        <v>47</v>
      </c>
      <c r="E91" t="s">
        <v>71</v>
      </c>
      <c r="F91" t="s">
        <v>25</v>
      </c>
      <c r="G91" t="s">
        <v>26</v>
      </c>
      <c r="H91" t="s">
        <v>53</v>
      </c>
      <c r="I91">
        <v>3</v>
      </c>
      <c r="J91">
        <v>0</v>
      </c>
      <c r="K91">
        <v>145.55000000000001</v>
      </c>
      <c r="L91">
        <v>8.25</v>
      </c>
    </row>
    <row r="92" spans="1:12" x14ac:dyDescent="0.25">
      <c r="A92" t="s">
        <v>139</v>
      </c>
      <c r="B92" s="1">
        <v>45932</v>
      </c>
      <c r="C92" s="1">
        <v>45934</v>
      </c>
      <c r="D92" t="s">
        <v>32</v>
      </c>
      <c r="E92" t="s">
        <v>33</v>
      </c>
      <c r="F92" t="s">
        <v>29</v>
      </c>
      <c r="G92" t="s">
        <v>26</v>
      </c>
      <c r="H92" t="s">
        <v>39</v>
      </c>
      <c r="I92">
        <v>2</v>
      </c>
      <c r="J92">
        <v>0</v>
      </c>
      <c r="K92">
        <v>463.21</v>
      </c>
      <c r="L92">
        <v>7</v>
      </c>
    </row>
    <row r="93" spans="1:12" x14ac:dyDescent="0.25">
      <c r="A93" t="s">
        <v>140</v>
      </c>
      <c r="B93" s="1">
        <v>45903</v>
      </c>
      <c r="C93" s="1">
        <v>45905</v>
      </c>
      <c r="D93" t="s">
        <v>47</v>
      </c>
      <c r="E93" t="s">
        <v>48</v>
      </c>
      <c r="F93" t="s">
        <v>15</v>
      </c>
      <c r="G93" t="s">
        <v>20</v>
      </c>
      <c r="H93" t="s">
        <v>68</v>
      </c>
      <c r="I93">
        <v>3</v>
      </c>
      <c r="J93">
        <v>0</v>
      </c>
      <c r="K93">
        <v>171.28</v>
      </c>
      <c r="L93">
        <v>8.25</v>
      </c>
    </row>
    <row r="94" spans="1:12" x14ac:dyDescent="0.25">
      <c r="A94" t="s">
        <v>141</v>
      </c>
      <c r="B94" s="1">
        <v>45295</v>
      </c>
      <c r="C94" s="1">
        <v>45300</v>
      </c>
      <c r="D94" t="s">
        <v>23</v>
      </c>
      <c r="E94" t="s">
        <v>59</v>
      </c>
      <c r="F94" t="s">
        <v>25</v>
      </c>
      <c r="G94" t="s">
        <v>20</v>
      </c>
      <c r="H94" t="s">
        <v>17</v>
      </c>
      <c r="I94">
        <v>4</v>
      </c>
      <c r="J94">
        <v>0.15</v>
      </c>
      <c r="K94">
        <v>388.72</v>
      </c>
      <c r="L94">
        <v>9.5</v>
      </c>
    </row>
    <row r="95" spans="1:12" x14ac:dyDescent="0.25">
      <c r="A95" t="s">
        <v>142</v>
      </c>
      <c r="B95" s="1">
        <v>45677</v>
      </c>
      <c r="C95" s="1">
        <v>45680</v>
      </c>
      <c r="D95" t="s">
        <v>47</v>
      </c>
      <c r="E95" t="s">
        <v>71</v>
      </c>
      <c r="F95" t="s">
        <v>29</v>
      </c>
      <c r="G95" t="s">
        <v>16</v>
      </c>
      <c r="H95" t="s">
        <v>65</v>
      </c>
      <c r="I95">
        <v>4</v>
      </c>
      <c r="J95">
        <v>0.2</v>
      </c>
      <c r="K95">
        <v>765.87</v>
      </c>
      <c r="L95">
        <v>8.2200000000000006</v>
      </c>
    </row>
    <row r="96" spans="1:12" x14ac:dyDescent="0.25">
      <c r="A96" t="s">
        <v>143</v>
      </c>
      <c r="B96" s="1">
        <v>45862</v>
      </c>
      <c r="C96" s="1">
        <v>45863</v>
      </c>
      <c r="D96" t="s">
        <v>32</v>
      </c>
      <c r="E96" t="s">
        <v>62</v>
      </c>
      <c r="F96" t="s">
        <v>29</v>
      </c>
      <c r="G96" t="s">
        <v>16</v>
      </c>
      <c r="H96" t="s">
        <v>63</v>
      </c>
      <c r="I96">
        <v>7</v>
      </c>
      <c r="J96">
        <v>0</v>
      </c>
      <c r="K96">
        <v>78.84</v>
      </c>
      <c r="L96">
        <v>7.65</v>
      </c>
    </row>
    <row r="97" spans="1:12" x14ac:dyDescent="0.25">
      <c r="A97" t="s">
        <v>144</v>
      </c>
      <c r="B97" s="1">
        <v>45983</v>
      </c>
      <c r="C97" s="1">
        <v>45989</v>
      </c>
      <c r="D97" t="s">
        <v>32</v>
      </c>
      <c r="E97" t="s">
        <v>62</v>
      </c>
      <c r="F97" t="s">
        <v>15</v>
      </c>
      <c r="G97" t="s">
        <v>20</v>
      </c>
      <c r="H97" t="s">
        <v>60</v>
      </c>
      <c r="I97">
        <v>3</v>
      </c>
      <c r="J97">
        <v>0.1</v>
      </c>
      <c r="K97">
        <v>406.74</v>
      </c>
      <c r="L97">
        <v>4.95</v>
      </c>
    </row>
    <row r="98" spans="1:12" x14ac:dyDescent="0.25">
      <c r="A98" t="s">
        <v>145</v>
      </c>
      <c r="B98" s="1">
        <v>45303</v>
      </c>
      <c r="C98" s="1">
        <v>45309</v>
      </c>
      <c r="D98" t="s">
        <v>23</v>
      </c>
      <c r="E98" t="s">
        <v>43</v>
      </c>
      <c r="F98" t="s">
        <v>25</v>
      </c>
      <c r="G98" t="s">
        <v>20</v>
      </c>
      <c r="H98" t="s">
        <v>27</v>
      </c>
      <c r="I98">
        <v>13</v>
      </c>
      <c r="J98">
        <v>0</v>
      </c>
      <c r="K98">
        <v>325.66000000000003</v>
      </c>
      <c r="L98">
        <v>6.21</v>
      </c>
    </row>
    <row r="99" spans="1:12" x14ac:dyDescent="0.25">
      <c r="A99" t="s">
        <v>146</v>
      </c>
      <c r="B99" s="1">
        <v>45749</v>
      </c>
      <c r="C99" s="1">
        <v>45750</v>
      </c>
      <c r="D99" t="s">
        <v>13</v>
      </c>
      <c r="E99" t="s">
        <v>14</v>
      </c>
      <c r="F99" t="s">
        <v>29</v>
      </c>
      <c r="G99" t="s">
        <v>20</v>
      </c>
      <c r="H99" t="s">
        <v>41</v>
      </c>
      <c r="I99">
        <v>9</v>
      </c>
      <c r="J99">
        <v>0.15</v>
      </c>
      <c r="K99">
        <v>48.6</v>
      </c>
      <c r="L99">
        <v>5.13</v>
      </c>
    </row>
    <row r="100" spans="1:12" x14ac:dyDescent="0.25">
      <c r="A100" t="s">
        <v>147</v>
      </c>
      <c r="B100" s="1">
        <v>45661</v>
      </c>
      <c r="C100" s="1">
        <v>45665</v>
      </c>
      <c r="D100" t="s">
        <v>23</v>
      </c>
      <c r="E100" t="s">
        <v>59</v>
      </c>
      <c r="F100" t="s">
        <v>29</v>
      </c>
      <c r="G100" t="s">
        <v>20</v>
      </c>
      <c r="H100" t="s">
        <v>21</v>
      </c>
      <c r="I100">
        <v>5</v>
      </c>
      <c r="J100">
        <v>0.15</v>
      </c>
      <c r="K100">
        <v>442.51</v>
      </c>
      <c r="L100">
        <v>16</v>
      </c>
    </row>
    <row r="101" spans="1:12" x14ac:dyDescent="0.25">
      <c r="A101" t="s">
        <v>148</v>
      </c>
      <c r="B101" s="1">
        <v>45681</v>
      </c>
      <c r="C101" s="1">
        <v>45687</v>
      </c>
      <c r="D101" t="s">
        <v>13</v>
      </c>
      <c r="E101" t="s">
        <v>36</v>
      </c>
      <c r="F101" t="s">
        <v>29</v>
      </c>
      <c r="G101" t="s">
        <v>16</v>
      </c>
      <c r="H101" t="s">
        <v>21</v>
      </c>
      <c r="I101">
        <v>4</v>
      </c>
      <c r="J101">
        <v>0</v>
      </c>
      <c r="K101">
        <v>401.66</v>
      </c>
      <c r="L101">
        <v>13.7</v>
      </c>
    </row>
    <row r="102" spans="1:12" x14ac:dyDescent="0.25">
      <c r="A102" t="s">
        <v>149</v>
      </c>
      <c r="B102" s="1">
        <v>45764</v>
      </c>
      <c r="C102" s="1">
        <v>45770</v>
      </c>
      <c r="D102" t="s">
        <v>13</v>
      </c>
      <c r="E102" t="s">
        <v>14</v>
      </c>
      <c r="F102" t="s">
        <v>25</v>
      </c>
      <c r="G102" t="s">
        <v>26</v>
      </c>
      <c r="H102" t="s">
        <v>51</v>
      </c>
      <c r="I102">
        <v>12</v>
      </c>
      <c r="J102">
        <v>0.05</v>
      </c>
      <c r="K102">
        <v>161.91</v>
      </c>
      <c r="L102">
        <v>5.94</v>
      </c>
    </row>
    <row r="103" spans="1:12" x14ac:dyDescent="0.25">
      <c r="A103" t="s">
        <v>150</v>
      </c>
      <c r="B103" s="1">
        <v>45599</v>
      </c>
      <c r="C103" s="1">
        <v>45600</v>
      </c>
      <c r="D103" t="s">
        <v>32</v>
      </c>
      <c r="E103" t="s">
        <v>45</v>
      </c>
      <c r="F103" t="s">
        <v>29</v>
      </c>
      <c r="G103" t="s">
        <v>20</v>
      </c>
      <c r="H103" t="s">
        <v>39</v>
      </c>
      <c r="I103">
        <v>4</v>
      </c>
      <c r="J103">
        <v>0.05</v>
      </c>
      <c r="K103">
        <v>1020.2</v>
      </c>
      <c r="L103">
        <v>9.5</v>
      </c>
    </row>
    <row r="104" spans="1:12" x14ac:dyDescent="0.25">
      <c r="A104" t="s">
        <v>151</v>
      </c>
      <c r="B104" s="1">
        <v>45894</v>
      </c>
      <c r="C104" s="1">
        <v>45897</v>
      </c>
      <c r="D104" t="s">
        <v>13</v>
      </c>
      <c r="E104" t="s">
        <v>19</v>
      </c>
      <c r="F104" t="s">
        <v>29</v>
      </c>
      <c r="G104" t="s">
        <v>26</v>
      </c>
      <c r="H104" t="s">
        <v>87</v>
      </c>
      <c r="I104">
        <v>6</v>
      </c>
      <c r="J104">
        <v>0</v>
      </c>
      <c r="K104">
        <v>46.16</v>
      </c>
      <c r="L104">
        <v>7.2</v>
      </c>
    </row>
    <row r="105" spans="1:12" x14ac:dyDescent="0.25">
      <c r="A105" t="s">
        <v>152</v>
      </c>
      <c r="B105" s="1">
        <v>45416</v>
      </c>
      <c r="C105" s="1">
        <v>45418</v>
      </c>
      <c r="D105" t="s">
        <v>13</v>
      </c>
      <c r="E105" t="s">
        <v>14</v>
      </c>
      <c r="F105" t="s">
        <v>29</v>
      </c>
      <c r="G105" t="s">
        <v>26</v>
      </c>
      <c r="H105" t="s">
        <v>30</v>
      </c>
      <c r="I105">
        <v>7</v>
      </c>
      <c r="J105">
        <v>0</v>
      </c>
      <c r="K105">
        <v>44</v>
      </c>
      <c r="L105">
        <v>7.65</v>
      </c>
    </row>
    <row r="106" spans="1:12" x14ac:dyDescent="0.25">
      <c r="A106" t="s">
        <v>153</v>
      </c>
      <c r="B106" s="1">
        <v>45530</v>
      </c>
      <c r="C106" s="1">
        <v>45532</v>
      </c>
      <c r="D106" t="s">
        <v>23</v>
      </c>
      <c r="E106" t="s">
        <v>59</v>
      </c>
      <c r="F106" t="s">
        <v>25</v>
      </c>
      <c r="G106" t="s">
        <v>16</v>
      </c>
      <c r="H106" t="s">
        <v>87</v>
      </c>
      <c r="I106">
        <v>5</v>
      </c>
      <c r="J106">
        <v>0</v>
      </c>
      <c r="K106">
        <v>37.82</v>
      </c>
      <c r="L106">
        <v>6.75</v>
      </c>
    </row>
    <row r="107" spans="1:12" x14ac:dyDescent="0.25">
      <c r="A107" t="s">
        <v>154</v>
      </c>
      <c r="B107" s="1">
        <v>45914</v>
      </c>
      <c r="C107" s="1">
        <v>45918</v>
      </c>
      <c r="D107" t="s">
        <v>32</v>
      </c>
      <c r="E107" t="s">
        <v>45</v>
      </c>
      <c r="F107" t="s">
        <v>29</v>
      </c>
      <c r="G107" t="s">
        <v>20</v>
      </c>
      <c r="H107" t="s">
        <v>65</v>
      </c>
      <c r="I107">
        <v>4</v>
      </c>
      <c r="J107">
        <v>0</v>
      </c>
      <c r="K107">
        <v>1163.2</v>
      </c>
      <c r="L107">
        <v>8.2200000000000006</v>
      </c>
    </row>
    <row r="108" spans="1:12" x14ac:dyDescent="0.25">
      <c r="A108" t="s">
        <v>155</v>
      </c>
      <c r="B108" s="1">
        <v>45573</v>
      </c>
      <c r="C108" s="1">
        <v>45579</v>
      </c>
      <c r="D108" t="s">
        <v>32</v>
      </c>
      <c r="E108" t="s">
        <v>45</v>
      </c>
      <c r="F108" t="s">
        <v>25</v>
      </c>
      <c r="G108" t="s">
        <v>20</v>
      </c>
      <c r="H108" t="s">
        <v>60</v>
      </c>
      <c r="I108">
        <v>4</v>
      </c>
      <c r="J108">
        <v>0.2</v>
      </c>
      <c r="K108">
        <v>438.36</v>
      </c>
      <c r="L108">
        <v>9.5</v>
      </c>
    </row>
    <row r="109" spans="1:12" x14ac:dyDescent="0.25">
      <c r="A109" t="s">
        <v>156</v>
      </c>
      <c r="B109" s="1">
        <v>45973</v>
      </c>
      <c r="C109" s="1">
        <v>45979</v>
      </c>
      <c r="D109" t="s">
        <v>13</v>
      </c>
      <c r="E109" t="s">
        <v>14</v>
      </c>
      <c r="F109" t="s">
        <v>29</v>
      </c>
      <c r="G109" t="s">
        <v>20</v>
      </c>
      <c r="H109" t="s">
        <v>53</v>
      </c>
      <c r="I109">
        <v>1</v>
      </c>
      <c r="J109">
        <v>0.15</v>
      </c>
      <c r="K109">
        <v>68.55</v>
      </c>
      <c r="L109">
        <v>5.75</v>
      </c>
    </row>
    <row r="110" spans="1:12" x14ac:dyDescent="0.25">
      <c r="A110" t="s">
        <v>157</v>
      </c>
      <c r="B110" s="1">
        <v>45862</v>
      </c>
      <c r="C110" s="1">
        <v>45865</v>
      </c>
      <c r="D110" t="s">
        <v>13</v>
      </c>
      <c r="E110" t="s">
        <v>19</v>
      </c>
      <c r="F110" t="s">
        <v>25</v>
      </c>
      <c r="G110" t="s">
        <v>20</v>
      </c>
      <c r="H110" t="s">
        <v>21</v>
      </c>
      <c r="I110">
        <v>2</v>
      </c>
      <c r="J110">
        <v>0</v>
      </c>
      <c r="K110">
        <v>205.31</v>
      </c>
      <c r="L110">
        <v>5.46</v>
      </c>
    </row>
    <row r="111" spans="1:12" x14ac:dyDescent="0.25">
      <c r="A111" t="s">
        <v>158</v>
      </c>
      <c r="B111" s="1">
        <v>45394</v>
      </c>
      <c r="C111" s="1">
        <v>45398</v>
      </c>
      <c r="D111" t="s">
        <v>23</v>
      </c>
      <c r="E111" t="s">
        <v>24</v>
      </c>
      <c r="F111" t="s">
        <v>25</v>
      </c>
      <c r="G111" t="s">
        <v>16</v>
      </c>
      <c r="H111" t="s">
        <v>65</v>
      </c>
      <c r="I111">
        <v>4</v>
      </c>
      <c r="J111">
        <v>0</v>
      </c>
      <c r="K111">
        <v>1086.5899999999999</v>
      </c>
      <c r="L111">
        <v>13.7</v>
      </c>
    </row>
    <row r="112" spans="1:12" x14ac:dyDescent="0.25">
      <c r="A112" t="s">
        <v>159</v>
      </c>
      <c r="B112" s="1">
        <v>45586</v>
      </c>
      <c r="C112" s="1">
        <v>45587</v>
      </c>
      <c r="D112" t="s">
        <v>47</v>
      </c>
      <c r="E112" t="s">
        <v>48</v>
      </c>
      <c r="F112" t="s">
        <v>25</v>
      </c>
      <c r="G112" t="s">
        <v>20</v>
      </c>
      <c r="H112" t="s">
        <v>51</v>
      </c>
      <c r="I112">
        <v>10</v>
      </c>
      <c r="J112">
        <v>0</v>
      </c>
      <c r="K112">
        <v>171.87</v>
      </c>
      <c r="L112">
        <v>9</v>
      </c>
    </row>
    <row r="113" spans="1:12" x14ac:dyDescent="0.25">
      <c r="A113" t="s">
        <v>160</v>
      </c>
      <c r="B113" s="1">
        <v>45945</v>
      </c>
      <c r="C113" s="1">
        <v>45948</v>
      </c>
      <c r="D113" t="s">
        <v>13</v>
      </c>
      <c r="E113" t="s">
        <v>14</v>
      </c>
      <c r="F113" t="s">
        <v>25</v>
      </c>
      <c r="G113" t="s">
        <v>26</v>
      </c>
      <c r="H113" t="s">
        <v>41</v>
      </c>
      <c r="I113">
        <v>12</v>
      </c>
      <c r="J113">
        <v>0</v>
      </c>
      <c r="K113">
        <v>89.24</v>
      </c>
      <c r="L113">
        <v>5.94</v>
      </c>
    </row>
    <row r="114" spans="1:12" x14ac:dyDescent="0.25">
      <c r="A114" t="s">
        <v>161</v>
      </c>
      <c r="B114" s="1">
        <v>45829</v>
      </c>
      <c r="C114" s="1">
        <v>45831</v>
      </c>
      <c r="D114" t="s">
        <v>23</v>
      </c>
      <c r="E114" t="s">
        <v>59</v>
      </c>
      <c r="F114" t="s">
        <v>25</v>
      </c>
      <c r="G114" t="s">
        <v>20</v>
      </c>
      <c r="H114" t="s">
        <v>53</v>
      </c>
      <c r="I114">
        <v>1</v>
      </c>
      <c r="J114">
        <v>0.15</v>
      </c>
      <c r="K114">
        <v>49.09</v>
      </c>
      <c r="L114">
        <v>5.75</v>
      </c>
    </row>
    <row r="115" spans="1:12" x14ac:dyDescent="0.25">
      <c r="A115" t="s">
        <v>162</v>
      </c>
      <c r="B115" s="1">
        <v>45798</v>
      </c>
      <c r="C115" s="1">
        <v>45801</v>
      </c>
      <c r="D115" t="s">
        <v>23</v>
      </c>
      <c r="E115" t="s">
        <v>59</v>
      </c>
      <c r="F115" t="s">
        <v>25</v>
      </c>
      <c r="G115" t="s">
        <v>26</v>
      </c>
      <c r="H115" t="s">
        <v>39</v>
      </c>
      <c r="I115">
        <v>4</v>
      </c>
      <c r="J115">
        <v>0</v>
      </c>
      <c r="K115">
        <v>764.32</v>
      </c>
      <c r="L115">
        <v>9.5</v>
      </c>
    </row>
    <row r="116" spans="1:12" x14ac:dyDescent="0.25">
      <c r="A116" t="s">
        <v>163</v>
      </c>
      <c r="B116" s="1">
        <v>45503</v>
      </c>
      <c r="C116" s="1">
        <v>45505</v>
      </c>
      <c r="D116" t="s">
        <v>13</v>
      </c>
      <c r="E116" t="s">
        <v>36</v>
      </c>
      <c r="F116" t="s">
        <v>15</v>
      </c>
      <c r="G116" t="s">
        <v>20</v>
      </c>
      <c r="H116" t="s">
        <v>63</v>
      </c>
      <c r="I116">
        <v>11</v>
      </c>
      <c r="J116">
        <v>0.1</v>
      </c>
      <c r="K116">
        <v>110.57</v>
      </c>
      <c r="L116">
        <v>5.67</v>
      </c>
    </row>
    <row r="117" spans="1:12" x14ac:dyDescent="0.25">
      <c r="A117" t="s">
        <v>164</v>
      </c>
      <c r="B117" s="1">
        <v>45513</v>
      </c>
      <c r="C117" s="1">
        <v>45519</v>
      </c>
      <c r="D117" t="s">
        <v>32</v>
      </c>
      <c r="E117" t="s">
        <v>45</v>
      </c>
      <c r="F117" t="s">
        <v>15</v>
      </c>
      <c r="G117" t="s">
        <v>16</v>
      </c>
      <c r="H117" t="s">
        <v>21</v>
      </c>
      <c r="I117">
        <v>4</v>
      </c>
      <c r="J117">
        <v>0</v>
      </c>
      <c r="K117">
        <v>405.64</v>
      </c>
      <c r="L117">
        <v>13.7</v>
      </c>
    </row>
    <row r="118" spans="1:12" x14ac:dyDescent="0.25">
      <c r="A118" t="s">
        <v>165</v>
      </c>
      <c r="B118" s="1">
        <v>45772</v>
      </c>
      <c r="C118" s="1">
        <v>45777</v>
      </c>
      <c r="D118" t="s">
        <v>13</v>
      </c>
      <c r="E118" t="s">
        <v>36</v>
      </c>
      <c r="F118" t="s">
        <v>29</v>
      </c>
      <c r="G118" t="s">
        <v>16</v>
      </c>
      <c r="H118" t="s">
        <v>60</v>
      </c>
      <c r="I118">
        <v>4</v>
      </c>
      <c r="J118">
        <v>0.2</v>
      </c>
      <c r="K118">
        <v>334.56</v>
      </c>
      <c r="L118">
        <v>5.7</v>
      </c>
    </row>
    <row r="119" spans="1:12" x14ac:dyDescent="0.25">
      <c r="A119" t="s">
        <v>166</v>
      </c>
      <c r="B119" s="1">
        <v>45629</v>
      </c>
      <c r="C119" s="1">
        <v>45630</v>
      </c>
      <c r="D119" t="s">
        <v>32</v>
      </c>
      <c r="E119" t="s">
        <v>33</v>
      </c>
      <c r="F119" t="s">
        <v>25</v>
      </c>
      <c r="G119" t="s">
        <v>20</v>
      </c>
      <c r="H119" t="s">
        <v>27</v>
      </c>
      <c r="I119">
        <v>5</v>
      </c>
      <c r="J119">
        <v>0</v>
      </c>
      <c r="K119">
        <v>195.69</v>
      </c>
      <c r="L119">
        <v>6.75</v>
      </c>
    </row>
    <row r="120" spans="1:12" x14ac:dyDescent="0.25">
      <c r="A120" t="s">
        <v>167</v>
      </c>
      <c r="B120" s="1">
        <v>45724</v>
      </c>
      <c r="C120" s="1">
        <v>45727</v>
      </c>
      <c r="D120" t="s">
        <v>47</v>
      </c>
      <c r="E120" t="s">
        <v>50</v>
      </c>
      <c r="F120" t="s">
        <v>29</v>
      </c>
      <c r="G120" t="s">
        <v>16</v>
      </c>
      <c r="H120" t="s">
        <v>68</v>
      </c>
      <c r="I120">
        <v>4</v>
      </c>
      <c r="J120">
        <v>0.05</v>
      </c>
      <c r="K120">
        <v>182.07</v>
      </c>
      <c r="L120">
        <v>5.7</v>
      </c>
    </row>
    <row r="121" spans="1:12" x14ac:dyDescent="0.25">
      <c r="A121" t="s">
        <v>168</v>
      </c>
      <c r="B121" s="1">
        <v>45300</v>
      </c>
      <c r="C121" s="1">
        <v>45303</v>
      </c>
      <c r="D121" t="s">
        <v>13</v>
      </c>
      <c r="E121" t="s">
        <v>36</v>
      </c>
      <c r="F121" t="s">
        <v>29</v>
      </c>
      <c r="G121" t="s">
        <v>16</v>
      </c>
      <c r="H121" t="s">
        <v>53</v>
      </c>
      <c r="I121">
        <v>4</v>
      </c>
      <c r="J121">
        <v>0.25</v>
      </c>
      <c r="K121">
        <v>158.08000000000001</v>
      </c>
      <c r="L121">
        <v>5.7</v>
      </c>
    </row>
    <row r="122" spans="1:12" x14ac:dyDescent="0.25">
      <c r="A122" t="s">
        <v>169</v>
      </c>
      <c r="B122" s="1">
        <v>45439</v>
      </c>
      <c r="C122" s="1">
        <v>45440</v>
      </c>
      <c r="D122" t="s">
        <v>47</v>
      </c>
      <c r="E122" t="s">
        <v>50</v>
      </c>
      <c r="F122" t="s">
        <v>25</v>
      </c>
      <c r="G122" t="s">
        <v>26</v>
      </c>
      <c r="H122" t="s">
        <v>68</v>
      </c>
      <c r="I122">
        <v>3</v>
      </c>
      <c r="J122">
        <v>0</v>
      </c>
      <c r="K122">
        <v>162.52000000000001</v>
      </c>
      <c r="L122">
        <v>4.95</v>
      </c>
    </row>
    <row r="123" spans="1:12" x14ac:dyDescent="0.25">
      <c r="A123" t="s">
        <v>170</v>
      </c>
      <c r="B123" s="1">
        <v>45379</v>
      </c>
      <c r="C123" s="1">
        <v>45385</v>
      </c>
      <c r="D123" t="s">
        <v>32</v>
      </c>
      <c r="E123" t="s">
        <v>33</v>
      </c>
      <c r="F123" t="s">
        <v>15</v>
      </c>
      <c r="G123" t="s">
        <v>16</v>
      </c>
      <c r="H123" t="s">
        <v>65</v>
      </c>
      <c r="I123">
        <v>1</v>
      </c>
      <c r="J123">
        <v>0.25</v>
      </c>
      <c r="K123">
        <v>202.1</v>
      </c>
      <c r="L123">
        <v>4.08</v>
      </c>
    </row>
    <row r="124" spans="1:12" x14ac:dyDescent="0.25">
      <c r="A124" t="s">
        <v>171</v>
      </c>
      <c r="B124" s="1">
        <v>45955</v>
      </c>
      <c r="C124" s="1">
        <v>45961</v>
      </c>
      <c r="D124" t="s">
        <v>13</v>
      </c>
      <c r="E124" t="s">
        <v>14</v>
      </c>
      <c r="F124" t="s">
        <v>15</v>
      </c>
      <c r="G124" t="s">
        <v>20</v>
      </c>
      <c r="H124" t="s">
        <v>87</v>
      </c>
      <c r="I124">
        <v>3</v>
      </c>
      <c r="J124">
        <v>0</v>
      </c>
      <c r="K124">
        <v>30.25</v>
      </c>
      <c r="L124">
        <v>3.51</v>
      </c>
    </row>
    <row r="125" spans="1:12" x14ac:dyDescent="0.25">
      <c r="A125" t="s">
        <v>172</v>
      </c>
      <c r="B125" s="1">
        <v>45893</v>
      </c>
      <c r="C125" s="1">
        <v>45898</v>
      </c>
      <c r="D125" t="s">
        <v>13</v>
      </c>
      <c r="E125" t="s">
        <v>36</v>
      </c>
      <c r="F125" t="s">
        <v>15</v>
      </c>
      <c r="G125" t="s">
        <v>16</v>
      </c>
      <c r="H125" t="s">
        <v>87</v>
      </c>
      <c r="I125">
        <v>8</v>
      </c>
      <c r="J125">
        <v>0</v>
      </c>
      <c r="K125">
        <v>65.239999999999995</v>
      </c>
      <c r="L125">
        <v>4.8600000000000003</v>
      </c>
    </row>
    <row r="126" spans="1:12" x14ac:dyDescent="0.25">
      <c r="A126" t="s">
        <v>173</v>
      </c>
      <c r="B126" s="1">
        <v>45510</v>
      </c>
      <c r="C126" s="1">
        <v>45512</v>
      </c>
      <c r="D126" t="s">
        <v>13</v>
      </c>
      <c r="E126" t="s">
        <v>19</v>
      </c>
      <c r="F126" t="s">
        <v>25</v>
      </c>
      <c r="G126" t="s">
        <v>20</v>
      </c>
      <c r="H126" t="s">
        <v>53</v>
      </c>
      <c r="I126">
        <v>3</v>
      </c>
      <c r="J126">
        <v>0.15</v>
      </c>
      <c r="K126">
        <v>140.37</v>
      </c>
      <c r="L126">
        <v>8.25</v>
      </c>
    </row>
    <row r="127" spans="1:12" x14ac:dyDescent="0.25">
      <c r="A127" t="s">
        <v>174</v>
      </c>
      <c r="B127" s="1">
        <v>45370</v>
      </c>
      <c r="C127" s="1">
        <v>45372</v>
      </c>
      <c r="D127" t="s">
        <v>23</v>
      </c>
      <c r="E127" t="s">
        <v>24</v>
      </c>
      <c r="F127" t="s">
        <v>15</v>
      </c>
      <c r="G127" t="s">
        <v>16</v>
      </c>
      <c r="H127" t="s">
        <v>30</v>
      </c>
      <c r="I127">
        <v>13</v>
      </c>
      <c r="J127">
        <v>0.1</v>
      </c>
      <c r="K127">
        <v>65.95</v>
      </c>
      <c r="L127">
        <v>6.21</v>
      </c>
    </row>
    <row r="128" spans="1:12" x14ac:dyDescent="0.25">
      <c r="A128" t="s">
        <v>175</v>
      </c>
      <c r="B128" s="1">
        <v>45564</v>
      </c>
      <c r="C128" s="1">
        <v>45565</v>
      </c>
      <c r="D128" t="s">
        <v>23</v>
      </c>
      <c r="E128" t="s">
        <v>24</v>
      </c>
      <c r="F128" t="s">
        <v>25</v>
      </c>
      <c r="G128" t="s">
        <v>16</v>
      </c>
      <c r="H128" t="s">
        <v>27</v>
      </c>
      <c r="I128">
        <v>5</v>
      </c>
      <c r="J128">
        <v>0.1</v>
      </c>
      <c r="K128">
        <v>135.84</v>
      </c>
      <c r="L128">
        <v>6.75</v>
      </c>
    </row>
    <row r="129" spans="1:12" x14ac:dyDescent="0.25">
      <c r="A129" t="s">
        <v>176</v>
      </c>
      <c r="B129" s="1">
        <v>45864</v>
      </c>
      <c r="C129" s="1">
        <v>45865</v>
      </c>
      <c r="D129" t="s">
        <v>32</v>
      </c>
      <c r="E129" t="s">
        <v>62</v>
      </c>
      <c r="F129" t="s">
        <v>15</v>
      </c>
      <c r="G129" t="s">
        <v>16</v>
      </c>
      <c r="H129" t="s">
        <v>37</v>
      </c>
      <c r="I129">
        <v>3</v>
      </c>
      <c r="J129">
        <v>0.15</v>
      </c>
      <c r="K129">
        <v>238.17</v>
      </c>
      <c r="L129">
        <v>6.84</v>
      </c>
    </row>
    <row r="130" spans="1:12" x14ac:dyDescent="0.25">
      <c r="A130" t="s">
        <v>177</v>
      </c>
      <c r="B130" s="1">
        <v>45520</v>
      </c>
      <c r="C130" s="1">
        <v>45522</v>
      </c>
      <c r="D130" t="s">
        <v>32</v>
      </c>
      <c r="E130" t="s">
        <v>62</v>
      </c>
      <c r="F130" t="s">
        <v>29</v>
      </c>
      <c r="G130" t="s">
        <v>16</v>
      </c>
      <c r="H130" t="s">
        <v>51</v>
      </c>
      <c r="I130">
        <v>13</v>
      </c>
      <c r="J130">
        <v>0</v>
      </c>
      <c r="K130">
        <v>174.1</v>
      </c>
      <c r="L130">
        <v>10.35</v>
      </c>
    </row>
    <row r="131" spans="1:12" x14ac:dyDescent="0.25">
      <c r="A131" t="s">
        <v>178</v>
      </c>
      <c r="B131" s="1">
        <v>45853</v>
      </c>
      <c r="C131" s="1">
        <v>45857</v>
      </c>
      <c r="D131" t="s">
        <v>47</v>
      </c>
      <c r="E131" t="s">
        <v>50</v>
      </c>
      <c r="F131" t="s">
        <v>15</v>
      </c>
      <c r="G131" t="s">
        <v>16</v>
      </c>
      <c r="H131" t="s">
        <v>27</v>
      </c>
      <c r="I131">
        <v>12</v>
      </c>
      <c r="J131">
        <v>0.1</v>
      </c>
      <c r="K131">
        <v>288.25</v>
      </c>
      <c r="L131">
        <v>5.94</v>
      </c>
    </row>
    <row r="132" spans="1:12" x14ac:dyDescent="0.25">
      <c r="A132" t="s">
        <v>179</v>
      </c>
      <c r="B132" s="1">
        <v>45458</v>
      </c>
      <c r="C132" s="1">
        <v>45463</v>
      </c>
      <c r="D132" t="s">
        <v>13</v>
      </c>
      <c r="E132" t="s">
        <v>36</v>
      </c>
      <c r="F132" t="s">
        <v>29</v>
      </c>
      <c r="G132" t="s">
        <v>16</v>
      </c>
      <c r="H132" t="s">
        <v>51</v>
      </c>
      <c r="I132">
        <v>10</v>
      </c>
      <c r="J132">
        <v>0</v>
      </c>
      <c r="K132">
        <v>147.09</v>
      </c>
      <c r="L132">
        <v>5.4</v>
      </c>
    </row>
    <row r="133" spans="1:12" x14ac:dyDescent="0.25">
      <c r="A133" t="s">
        <v>180</v>
      </c>
      <c r="B133" s="1">
        <v>45701</v>
      </c>
      <c r="C133" s="1">
        <v>45705</v>
      </c>
      <c r="D133" t="s">
        <v>13</v>
      </c>
      <c r="E133" t="s">
        <v>36</v>
      </c>
      <c r="F133" t="s">
        <v>29</v>
      </c>
      <c r="G133" t="s">
        <v>26</v>
      </c>
      <c r="H133" t="s">
        <v>53</v>
      </c>
      <c r="I133">
        <v>4</v>
      </c>
      <c r="J133">
        <v>0</v>
      </c>
      <c r="K133">
        <v>196.36</v>
      </c>
      <c r="L133">
        <v>5.7</v>
      </c>
    </row>
    <row r="134" spans="1:12" x14ac:dyDescent="0.25">
      <c r="A134" t="s">
        <v>181</v>
      </c>
      <c r="B134" s="1">
        <v>45330</v>
      </c>
      <c r="C134" s="1">
        <v>45336</v>
      </c>
      <c r="D134" t="s">
        <v>13</v>
      </c>
      <c r="E134" t="s">
        <v>14</v>
      </c>
      <c r="F134" t="s">
        <v>15</v>
      </c>
      <c r="G134" t="s">
        <v>16</v>
      </c>
      <c r="H134" t="s">
        <v>53</v>
      </c>
      <c r="I134">
        <v>4</v>
      </c>
      <c r="J134">
        <v>0</v>
      </c>
      <c r="K134">
        <v>191.93</v>
      </c>
      <c r="L134">
        <v>5.7</v>
      </c>
    </row>
    <row r="135" spans="1:12" x14ac:dyDescent="0.25">
      <c r="A135" t="s">
        <v>182</v>
      </c>
      <c r="B135" s="1">
        <v>45779</v>
      </c>
      <c r="C135" s="1">
        <v>45780</v>
      </c>
      <c r="D135" t="s">
        <v>47</v>
      </c>
      <c r="E135" t="s">
        <v>50</v>
      </c>
      <c r="F135" t="s">
        <v>29</v>
      </c>
      <c r="G135" t="s">
        <v>26</v>
      </c>
      <c r="H135" t="s">
        <v>68</v>
      </c>
      <c r="I135">
        <v>7</v>
      </c>
      <c r="J135">
        <v>0.2</v>
      </c>
      <c r="K135">
        <v>284.89999999999998</v>
      </c>
      <c r="L135">
        <v>7.95</v>
      </c>
    </row>
    <row r="136" spans="1:12" x14ac:dyDescent="0.25">
      <c r="A136" t="s">
        <v>183</v>
      </c>
      <c r="B136" s="1">
        <v>45479</v>
      </c>
      <c r="C136" s="1">
        <v>45482</v>
      </c>
      <c r="D136" t="s">
        <v>32</v>
      </c>
      <c r="E136" t="s">
        <v>33</v>
      </c>
      <c r="F136" t="s">
        <v>25</v>
      </c>
      <c r="G136" t="s">
        <v>16</v>
      </c>
      <c r="H136" t="s">
        <v>17</v>
      </c>
      <c r="I136">
        <v>3</v>
      </c>
      <c r="J136">
        <v>0</v>
      </c>
      <c r="K136">
        <v>362.14</v>
      </c>
      <c r="L136">
        <v>4.95</v>
      </c>
    </row>
    <row r="137" spans="1:12" x14ac:dyDescent="0.25">
      <c r="A137" t="s">
        <v>184</v>
      </c>
      <c r="B137" s="1">
        <v>45920</v>
      </c>
      <c r="C137" s="1">
        <v>45925</v>
      </c>
      <c r="D137" t="s">
        <v>47</v>
      </c>
      <c r="E137" t="s">
        <v>71</v>
      </c>
      <c r="F137" t="s">
        <v>15</v>
      </c>
      <c r="G137" t="s">
        <v>26</v>
      </c>
      <c r="H137" t="s">
        <v>39</v>
      </c>
      <c r="I137">
        <v>1</v>
      </c>
      <c r="J137">
        <v>0</v>
      </c>
      <c r="K137">
        <v>205.2</v>
      </c>
      <c r="L137">
        <v>3.45</v>
      </c>
    </row>
    <row r="138" spans="1:12" x14ac:dyDescent="0.25">
      <c r="A138" t="s">
        <v>185</v>
      </c>
      <c r="B138" s="1">
        <v>45476</v>
      </c>
      <c r="C138" s="1">
        <v>45479</v>
      </c>
      <c r="D138" t="s">
        <v>23</v>
      </c>
      <c r="E138" t="s">
        <v>43</v>
      </c>
      <c r="F138" t="s">
        <v>25</v>
      </c>
      <c r="G138" t="s">
        <v>20</v>
      </c>
      <c r="H138" t="s">
        <v>17</v>
      </c>
      <c r="I138">
        <v>7</v>
      </c>
      <c r="J138">
        <v>0.15</v>
      </c>
      <c r="K138">
        <v>671.2</v>
      </c>
      <c r="L138">
        <v>7.95</v>
      </c>
    </row>
    <row r="139" spans="1:12" x14ac:dyDescent="0.25">
      <c r="A139" t="s">
        <v>186</v>
      </c>
      <c r="B139" s="1">
        <v>45788</v>
      </c>
      <c r="C139" s="1">
        <v>45791</v>
      </c>
      <c r="D139" t="s">
        <v>23</v>
      </c>
      <c r="E139" t="s">
        <v>43</v>
      </c>
      <c r="F139" t="s">
        <v>25</v>
      </c>
      <c r="G139" t="s">
        <v>26</v>
      </c>
      <c r="H139" t="s">
        <v>17</v>
      </c>
      <c r="I139">
        <v>4</v>
      </c>
      <c r="J139">
        <v>0.2</v>
      </c>
      <c r="K139">
        <v>411.97</v>
      </c>
      <c r="L139">
        <v>5.7</v>
      </c>
    </row>
    <row r="140" spans="1:12" x14ac:dyDescent="0.25">
      <c r="A140" t="s">
        <v>187</v>
      </c>
      <c r="B140" s="1">
        <v>45499</v>
      </c>
      <c r="C140" s="1">
        <v>45505</v>
      </c>
      <c r="D140" t="s">
        <v>13</v>
      </c>
      <c r="E140" t="s">
        <v>14</v>
      </c>
      <c r="F140" t="s">
        <v>25</v>
      </c>
      <c r="G140" t="s">
        <v>16</v>
      </c>
      <c r="H140" t="s">
        <v>68</v>
      </c>
      <c r="I140">
        <v>2</v>
      </c>
      <c r="J140">
        <v>0</v>
      </c>
      <c r="K140">
        <v>90.92</v>
      </c>
      <c r="L140">
        <v>4.2</v>
      </c>
    </row>
    <row r="141" spans="1:12" x14ac:dyDescent="0.25">
      <c r="A141" t="s">
        <v>188</v>
      </c>
      <c r="B141" s="1">
        <v>45883</v>
      </c>
      <c r="C141" s="1">
        <v>45887</v>
      </c>
      <c r="D141" t="s">
        <v>47</v>
      </c>
      <c r="E141" t="s">
        <v>71</v>
      </c>
      <c r="F141" t="s">
        <v>29</v>
      </c>
      <c r="G141" t="s">
        <v>16</v>
      </c>
      <c r="H141" t="s">
        <v>27</v>
      </c>
      <c r="I141">
        <v>4</v>
      </c>
      <c r="J141">
        <v>0</v>
      </c>
      <c r="K141">
        <v>104.34</v>
      </c>
      <c r="L141">
        <v>3.78</v>
      </c>
    </row>
    <row r="142" spans="1:12" x14ac:dyDescent="0.25">
      <c r="A142" t="s">
        <v>189</v>
      </c>
      <c r="B142" s="1">
        <v>45634</v>
      </c>
      <c r="C142" s="1">
        <v>45638</v>
      </c>
      <c r="D142" t="s">
        <v>47</v>
      </c>
      <c r="E142" t="s">
        <v>50</v>
      </c>
      <c r="F142" t="s">
        <v>25</v>
      </c>
      <c r="G142" t="s">
        <v>26</v>
      </c>
      <c r="H142" t="s">
        <v>68</v>
      </c>
      <c r="I142">
        <v>4</v>
      </c>
      <c r="J142">
        <v>0</v>
      </c>
      <c r="K142">
        <v>284.68</v>
      </c>
      <c r="L142">
        <v>9.5</v>
      </c>
    </row>
    <row r="143" spans="1:12" x14ac:dyDescent="0.25">
      <c r="A143" t="s">
        <v>190</v>
      </c>
      <c r="B143" s="1">
        <v>45655</v>
      </c>
      <c r="C143" s="1">
        <v>45658</v>
      </c>
      <c r="D143" t="s">
        <v>47</v>
      </c>
      <c r="E143" t="s">
        <v>48</v>
      </c>
      <c r="F143" t="s">
        <v>25</v>
      </c>
      <c r="G143" t="s">
        <v>16</v>
      </c>
      <c r="H143" t="s">
        <v>34</v>
      </c>
      <c r="I143">
        <v>2</v>
      </c>
      <c r="J143">
        <v>0.25</v>
      </c>
      <c r="K143">
        <v>463.68</v>
      </c>
      <c r="L143">
        <v>5.46</v>
      </c>
    </row>
    <row r="144" spans="1:12" x14ac:dyDescent="0.25">
      <c r="A144" t="s">
        <v>191</v>
      </c>
      <c r="B144" s="1">
        <v>45579</v>
      </c>
      <c r="C144" s="1">
        <v>45581</v>
      </c>
      <c r="D144" t="s">
        <v>32</v>
      </c>
      <c r="E144" t="s">
        <v>45</v>
      </c>
      <c r="F144" t="s">
        <v>25</v>
      </c>
      <c r="G144" t="s">
        <v>16</v>
      </c>
      <c r="H144" t="s">
        <v>17</v>
      </c>
      <c r="I144">
        <v>2</v>
      </c>
      <c r="J144">
        <v>0.05</v>
      </c>
      <c r="K144">
        <v>272.56</v>
      </c>
      <c r="L144">
        <v>7</v>
      </c>
    </row>
    <row r="145" spans="1:12" x14ac:dyDescent="0.25">
      <c r="A145" t="s">
        <v>192</v>
      </c>
      <c r="B145" s="1">
        <v>45610</v>
      </c>
      <c r="C145" s="1">
        <v>45613</v>
      </c>
      <c r="D145" t="s">
        <v>23</v>
      </c>
      <c r="E145" t="s">
        <v>43</v>
      </c>
      <c r="F145" t="s">
        <v>15</v>
      </c>
      <c r="G145" t="s">
        <v>26</v>
      </c>
      <c r="H145" t="s">
        <v>60</v>
      </c>
      <c r="I145">
        <v>2</v>
      </c>
      <c r="J145">
        <v>0.05</v>
      </c>
      <c r="K145">
        <v>295.95</v>
      </c>
      <c r="L145">
        <v>7</v>
      </c>
    </row>
    <row r="146" spans="1:12" x14ac:dyDescent="0.25">
      <c r="A146" t="s">
        <v>193</v>
      </c>
      <c r="B146" s="1">
        <v>45859</v>
      </c>
      <c r="C146" s="1">
        <v>45861</v>
      </c>
      <c r="D146" t="s">
        <v>23</v>
      </c>
      <c r="E146" t="s">
        <v>43</v>
      </c>
      <c r="F146" t="s">
        <v>15</v>
      </c>
      <c r="G146" t="s">
        <v>16</v>
      </c>
      <c r="H146" t="s">
        <v>17</v>
      </c>
      <c r="I146">
        <v>4</v>
      </c>
      <c r="J146">
        <v>0.1</v>
      </c>
      <c r="K146">
        <v>426.96</v>
      </c>
      <c r="L146">
        <v>5.7</v>
      </c>
    </row>
    <row r="147" spans="1:12" x14ac:dyDescent="0.25">
      <c r="A147" t="s">
        <v>194</v>
      </c>
      <c r="B147" s="1">
        <v>45485</v>
      </c>
      <c r="C147" s="1">
        <v>45486</v>
      </c>
      <c r="D147" t="s">
        <v>13</v>
      </c>
      <c r="E147" t="s">
        <v>19</v>
      </c>
      <c r="F147" t="s">
        <v>25</v>
      </c>
      <c r="G147" t="s">
        <v>16</v>
      </c>
      <c r="H147" t="s">
        <v>30</v>
      </c>
      <c r="I147">
        <v>8</v>
      </c>
      <c r="J147">
        <v>0</v>
      </c>
      <c r="K147">
        <v>46.69</v>
      </c>
      <c r="L147">
        <v>8.1</v>
      </c>
    </row>
    <row r="148" spans="1:12" x14ac:dyDescent="0.25">
      <c r="A148" t="s">
        <v>195</v>
      </c>
      <c r="B148" s="1">
        <v>45407</v>
      </c>
      <c r="C148" s="1">
        <v>45412</v>
      </c>
      <c r="D148" t="s">
        <v>47</v>
      </c>
      <c r="E148" t="s">
        <v>50</v>
      </c>
      <c r="F148" t="s">
        <v>25</v>
      </c>
      <c r="G148" t="s">
        <v>16</v>
      </c>
      <c r="H148" t="s">
        <v>39</v>
      </c>
      <c r="I148">
        <v>2</v>
      </c>
      <c r="J148">
        <v>0.05</v>
      </c>
      <c r="K148">
        <v>352.76</v>
      </c>
      <c r="L148">
        <v>7</v>
      </c>
    </row>
    <row r="149" spans="1:12" x14ac:dyDescent="0.25">
      <c r="A149" t="s">
        <v>196</v>
      </c>
      <c r="B149" s="1">
        <v>45580</v>
      </c>
      <c r="C149" s="1">
        <v>45581</v>
      </c>
      <c r="D149" t="s">
        <v>13</v>
      </c>
      <c r="E149" t="s">
        <v>36</v>
      </c>
      <c r="F149" t="s">
        <v>15</v>
      </c>
      <c r="G149" t="s">
        <v>20</v>
      </c>
      <c r="H149" t="s">
        <v>30</v>
      </c>
      <c r="I149">
        <v>7</v>
      </c>
      <c r="J149">
        <v>0</v>
      </c>
      <c r="K149">
        <v>50.39</v>
      </c>
      <c r="L149">
        <v>4.59</v>
      </c>
    </row>
    <row r="150" spans="1:12" x14ac:dyDescent="0.25">
      <c r="A150" t="s">
        <v>197</v>
      </c>
      <c r="B150" s="1">
        <v>45321</v>
      </c>
      <c r="C150" s="1">
        <v>45326</v>
      </c>
      <c r="D150" t="s">
        <v>32</v>
      </c>
      <c r="E150" t="s">
        <v>45</v>
      </c>
      <c r="F150" t="s">
        <v>29</v>
      </c>
      <c r="G150" t="s">
        <v>26</v>
      </c>
      <c r="H150" t="s">
        <v>60</v>
      </c>
      <c r="I150">
        <v>3</v>
      </c>
      <c r="J150">
        <v>0</v>
      </c>
      <c r="K150">
        <v>293.66000000000003</v>
      </c>
      <c r="L150">
        <v>4.95</v>
      </c>
    </row>
    <row r="151" spans="1:12" x14ac:dyDescent="0.25">
      <c r="A151" t="s">
        <v>198</v>
      </c>
      <c r="B151" s="1">
        <v>45514</v>
      </c>
      <c r="C151" s="1">
        <v>45518</v>
      </c>
      <c r="D151" t="s">
        <v>13</v>
      </c>
      <c r="E151" t="s">
        <v>19</v>
      </c>
      <c r="F151" t="s">
        <v>15</v>
      </c>
      <c r="G151" t="s">
        <v>26</v>
      </c>
      <c r="H151" t="s">
        <v>63</v>
      </c>
      <c r="I151">
        <v>11</v>
      </c>
      <c r="J151">
        <v>0.15</v>
      </c>
      <c r="K151">
        <v>102.19</v>
      </c>
      <c r="L151">
        <v>5.67</v>
      </c>
    </row>
    <row r="152" spans="1:12" x14ac:dyDescent="0.25">
      <c r="A152" t="s">
        <v>199</v>
      </c>
      <c r="B152" s="1">
        <v>45529</v>
      </c>
      <c r="C152" s="1">
        <v>45530</v>
      </c>
      <c r="D152" t="s">
        <v>47</v>
      </c>
      <c r="E152" t="s">
        <v>50</v>
      </c>
      <c r="F152" t="s">
        <v>15</v>
      </c>
      <c r="G152" t="s">
        <v>16</v>
      </c>
      <c r="H152" t="s">
        <v>27</v>
      </c>
      <c r="I152">
        <v>8</v>
      </c>
      <c r="J152">
        <v>0</v>
      </c>
      <c r="K152">
        <v>199.21</v>
      </c>
      <c r="L152">
        <v>8.1</v>
      </c>
    </row>
    <row r="153" spans="1:12" x14ac:dyDescent="0.25">
      <c r="A153" t="s">
        <v>200</v>
      </c>
      <c r="B153" s="1">
        <v>45989</v>
      </c>
      <c r="C153" s="1">
        <v>45994</v>
      </c>
      <c r="D153" t="s">
        <v>13</v>
      </c>
      <c r="E153" t="s">
        <v>19</v>
      </c>
      <c r="F153" t="s">
        <v>29</v>
      </c>
      <c r="G153" t="s">
        <v>26</v>
      </c>
      <c r="H153" t="s">
        <v>27</v>
      </c>
      <c r="I153">
        <v>6</v>
      </c>
      <c r="J153">
        <v>0</v>
      </c>
      <c r="K153">
        <v>215.06</v>
      </c>
      <c r="L153">
        <v>4.32</v>
      </c>
    </row>
    <row r="154" spans="1:12" x14ac:dyDescent="0.25">
      <c r="A154" t="s">
        <v>201</v>
      </c>
      <c r="B154" s="1">
        <v>45333</v>
      </c>
      <c r="C154" s="1">
        <v>45334</v>
      </c>
      <c r="D154" t="s">
        <v>23</v>
      </c>
      <c r="E154" t="s">
        <v>24</v>
      </c>
      <c r="F154" t="s">
        <v>15</v>
      </c>
      <c r="G154" t="s">
        <v>20</v>
      </c>
      <c r="H154" t="s">
        <v>21</v>
      </c>
      <c r="I154">
        <v>2</v>
      </c>
      <c r="J154">
        <v>0.1</v>
      </c>
      <c r="K154">
        <v>178.36</v>
      </c>
      <c r="L154">
        <v>5.46</v>
      </c>
    </row>
    <row r="155" spans="1:12" x14ac:dyDescent="0.25">
      <c r="A155" t="s">
        <v>202</v>
      </c>
      <c r="B155" s="1">
        <v>45546</v>
      </c>
      <c r="C155" s="1">
        <v>45548</v>
      </c>
      <c r="D155" t="s">
        <v>47</v>
      </c>
      <c r="E155" t="s">
        <v>48</v>
      </c>
      <c r="F155" t="s">
        <v>25</v>
      </c>
      <c r="G155" t="s">
        <v>16</v>
      </c>
      <c r="H155" t="s">
        <v>30</v>
      </c>
      <c r="I155">
        <v>6</v>
      </c>
      <c r="J155">
        <v>0</v>
      </c>
      <c r="K155">
        <v>38.92</v>
      </c>
      <c r="L155">
        <v>7.2</v>
      </c>
    </row>
    <row r="156" spans="1:12" x14ac:dyDescent="0.25">
      <c r="A156" t="s">
        <v>203</v>
      </c>
      <c r="B156" s="1">
        <v>45561</v>
      </c>
      <c r="C156" s="1">
        <v>45564</v>
      </c>
      <c r="D156" t="s">
        <v>32</v>
      </c>
      <c r="E156" t="s">
        <v>45</v>
      </c>
      <c r="F156" t="s">
        <v>15</v>
      </c>
      <c r="G156" t="s">
        <v>26</v>
      </c>
      <c r="H156" t="s">
        <v>41</v>
      </c>
      <c r="I156">
        <v>23</v>
      </c>
      <c r="J156">
        <v>0</v>
      </c>
      <c r="K156">
        <v>160.51</v>
      </c>
      <c r="L156">
        <v>14.85</v>
      </c>
    </row>
    <row r="157" spans="1:12" x14ac:dyDescent="0.25">
      <c r="A157" t="s">
        <v>204</v>
      </c>
      <c r="B157" s="1">
        <v>46018</v>
      </c>
      <c r="C157" s="1">
        <v>46019</v>
      </c>
      <c r="D157" t="s">
        <v>13</v>
      </c>
      <c r="E157" t="s">
        <v>14</v>
      </c>
      <c r="F157" t="s">
        <v>15</v>
      </c>
      <c r="G157" t="s">
        <v>26</v>
      </c>
      <c r="H157" t="s">
        <v>17</v>
      </c>
      <c r="I157">
        <v>3</v>
      </c>
      <c r="J157">
        <v>0</v>
      </c>
      <c r="K157">
        <v>564.28</v>
      </c>
      <c r="L157">
        <v>4.95</v>
      </c>
    </row>
    <row r="158" spans="1:12" x14ac:dyDescent="0.25">
      <c r="A158" t="s">
        <v>205</v>
      </c>
      <c r="B158" s="1">
        <v>45517</v>
      </c>
      <c r="C158" s="1">
        <v>45521</v>
      </c>
      <c r="D158" t="s">
        <v>13</v>
      </c>
      <c r="E158" t="s">
        <v>14</v>
      </c>
      <c r="F158" t="s">
        <v>25</v>
      </c>
      <c r="G158" t="s">
        <v>16</v>
      </c>
      <c r="H158" t="s">
        <v>39</v>
      </c>
      <c r="I158">
        <v>3</v>
      </c>
      <c r="J158">
        <v>0.25</v>
      </c>
      <c r="K158">
        <v>429.09</v>
      </c>
      <c r="L158">
        <v>8.25</v>
      </c>
    </row>
    <row r="159" spans="1:12" x14ac:dyDescent="0.25">
      <c r="A159" t="s">
        <v>206</v>
      </c>
      <c r="B159" s="1">
        <v>45865</v>
      </c>
      <c r="C159" s="1">
        <v>45869</v>
      </c>
      <c r="D159" t="s">
        <v>13</v>
      </c>
      <c r="E159" t="s">
        <v>36</v>
      </c>
      <c r="F159" t="s">
        <v>15</v>
      </c>
      <c r="G159" t="s">
        <v>26</v>
      </c>
      <c r="H159" t="s">
        <v>21</v>
      </c>
      <c r="I159">
        <v>5</v>
      </c>
      <c r="J159">
        <v>0.1</v>
      </c>
      <c r="K159">
        <v>483.95</v>
      </c>
      <c r="L159">
        <v>16</v>
      </c>
    </row>
    <row r="160" spans="1:12" x14ac:dyDescent="0.25">
      <c r="A160" t="s">
        <v>207</v>
      </c>
      <c r="B160" s="1">
        <v>45872</v>
      </c>
      <c r="C160" s="1">
        <v>45875</v>
      </c>
      <c r="D160" t="s">
        <v>32</v>
      </c>
      <c r="E160" t="s">
        <v>45</v>
      </c>
      <c r="F160" t="s">
        <v>15</v>
      </c>
      <c r="G160" t="s">
        <v>20</v>
      </c>
      <c r="H160" t="s">
        <v>17</v>
      </c>
      <c r="I160">
        <v>2</v>
      </c>
      <c r="J160">
        <v>0.25</v>
      </c>
      <c r="K160">
        <v>174.11</v>
      </c>
      <c r="L160">
        <v>7</v>
      </c>
    </row>
    <row r="161" spans="1:12" x14ac:dyDescent="0.25">
      <c r="A161" t="s">
        <v>208</v>
      </c>
      <c r="B161" s="1">
        <v>45367</v>
      </c>
      <c r="C161" s="1">
        <v>45372</v>
      </c>
      <c r="D161" t="s">
        <v>47</v>
      </c>
      <c r="E161" t="s">
        <v>71</v>
      </c>
      <c r="F161" t="s">
        <v>25</v>
      </c>
      <c r="G161" t="s">
        <v>20</v>
      </c>
      <c r="H161" t="s">
        <v>34</v>
      </c>
      <c r="I161">
        <v>1</v>
      </c>
      <c r="J161">
        <v>0</v>
      </c>
      <c r="K161">
        <v>197.86</v>
      </c>
      <c r="L161">
        <v>6.8</v>
      </c>
    </row>
    <row r="162" spans="1:12" x14ac:dyDescent="0.25">
      <c r="A162" t="s">
        <v>209</v>
      </c>
      <c r="B162" s="1">
        <v>45307</v>
      </c>
      <c r="C162" s="1">
        <v>45308</v>
      </c>
      <c r="D162" t="s">
        <v>13</v>
      </c>
      <c r="E162" t="s">
        <v>14</v>
      </c>
      <c r="F162" t="s">
        <v>25</v>
      </c>
      <c r="G162" t="s">
        <v>16</v>
      </c>
      <c r="H162" t="s">
        <v>37</v>
      </c>
      <c r="I162">
        <v>2</v>
      </c>
      <c r="J162">
        <v>0.15</v>
      </c>
      <c r="K162">
        <v>162.97</v>
      </c>
      <c r="L162">
        <v>5.46</v>
      </c>
    </row>
    <row r="163" spans="1:12" x14ac:dyDescent="0.25">
      <c r="A163" t="s">
        <v>210</v>
      </c>
      <c r="B163" s="1">
        <v>45729</v>
      </c>
      <c r="C163" s="1">
        <v>45735</v>
      </c>
      <c r="D163" t="s">
        <v>23</v>
      </c>
      <c r="E163" t="s">
        <v>43</v>
      </c>
      <c r="F163" t="s">
        <v>25</v>
      </c>
      <c r="G163" t="s">
        <v>16</v>
      </c>
      <c r="H163" t="s">
        <v>65</v>
      </c>
      <c r="I163">
        <v>1</v>
      </c>
      <c r="J163">
        <v>0</v>
      </c>
      <c r="K163">
        <v>274.7</v>
      </c>
      <c r="L163">
        <v>6.8</v>
      </c>
    </row>
    <row r="164" spans="1:12" x14ac:dyDescent="0.25">
      <c r="A164" t="s">
        <v>211</v>
      </c>
      <c r="B164" s="1">
        <v>45936</v>
      </c>
      <c r="C164" s="1">
        <v>45942</v>
      </c>
      <c r="D164" t="s">
        <v>23</v>
      </c>
      <c r="E164" t="s">
        <v>59</v>
      </c>
      <c r="F164" t="s">
        <v>29</v>
      </c>
      <c r="G164" t="s">
        <v>20</v>
      </c>
      <c r="H164" t="s">
        <v>39</v>
      </c>
      <c r="I164">
        <v>1</v>
      </c>
      <c r="J164">
        <v>0</v>
      </c>
      <c r="K164">
        <v>215.38</v>
      </c>
      <c r="L164">
        <v>3.45</v>
      </c>
    </row>
    <row r="165" spans="1:12" x14ac:dyDescent="0.25">
      <c r="A165" t="s">
        <v>212</v>
      </c>
      <c r="B165" s="1">
        <v>45400</v>
      </c>
      <c r="C165" s="1">
        <v>45405</v>
      </c>
      <c r="D165" t="s">
        <v>23</v>
      </c>
      <c r="E165" t="s">
        <v>59</v>
      </c>
      <c r="F165" t="s">
        <v>25</v>
      </c>
      <c r="G165" t="s">
        <v>16</v>
      </c>
      <c r="H165" t="s">
        <v>63</v>
      </c>
      <c r="I165">
        <v>8</v>
      </c>
      <c r="J165">
        <v>0</v>
      </c>
      <c r="K165">
        <v>95.35</v>
      </c>
      <c r="L165">
        <v>8.1</v>
      </c>
    </row>
    <row r="166" spans="1:12" x14ac:dyDescent="0.25">
      <c r="A166" t="s">
        <v>213</v>
      </c>
      <c r="B166" s="1">
        <v>45756</v>
      </c>
      <c r="C166" s="1">
        <v>45761</v>
      </c>
      <c r="D166" t="s">
        <v>23</v>
      </c>
      <c r="E166" t="s">
        <v>24</v>
      </c>
      <c r="F166" t="s">
        <v>29</v>
      </c>
      <c r="G166" t="s">
        <v>16</v>
      </c>
      <c r="H166" t="s">
        <v>68</v>
      </c>
      <c r="I166">
        <v>3</v>
      </c>
      <c r="J166">
        <v>0</v>
      </c>
      <c r="K166">
        <v>146.08000000000001</v>
      </c>
      <c r="L166">
        <v>4.95</v>
      </c>
    </row>
    <row r="167" spans="1:12" x14ac:dyDescent="0.25">
      <c r="A167" t="s">
        <v>214</v>
      </c>
      <c r="B167" s="1">
        <v>45490</v>
      </c>
      <c r="C167" s="1">
        <v>45496</v>
      </c>
      <c r="D167" t="s">
        <v>32</v>
      </c>
      <c r="E167" t="s">
        <v>62</v>
      </c>
      <c r="F167" t="s">
        <v>15</v>
      </c>
      <c r="G167" t="s">
        <v>16</v>
      </c>
      <c r="H167" t="s">
        <v>34</v>
      </c>
      <c r="I167">
        <v>3</v>
      </c>
      <c r="J167">
        <v>0</v>
      </c>
      <c r="K167">
        <v>600.47</v>
      </c>
      <c r="L167">
        <v>6.84</v>
      </c>
    </row>
    <row r="168" spans="1:12" x14ac:dyDescent="0.25">
      <c r="A168" t="s">
        <v>215</v>
      </c>
      <c r="B168" s="1">
        <v>45663</v>
      </c>
      <c r="C168" s="1">
        <v>45665</v>
      </c>
      <c r="D168" t="s">
        <v>32</v>
      </c>
      <c r="E168" t="s">
        <v>33</v>
      </c>
      <c r="F168" t="s">
        <v>29</v>
      </c>
      <c r="G168" t="s">
        <v>26</v>
      </c>
      <c r="H168" t="s">
        <v>51</v>
      </c>
      <c r="I168">
        <v>14</v>
      </c>
      <c r="J168">
        <v>0.05</v>
      </c>
      <c r="K168">
        <v>166.91</v>
      </c>
      <c r="L168">
        <v>10.8</v>
      </c>
    </row>
    <row r="169" spans="1:12" x14ac:dyDescent="0.25">
      <c r="A169" t="s">
        <v>216</v>
      </c>
      <c r="B169" s="1">
        <v>45768</v>
      </c>
      <c r="C169" s="1">
        <v>45772</v>
      </c>
      <c r="D169" t="s">
        <v>13</v>
      </c>
      <c r="E169" t="s">
        <v>14</v>
      </c>
      <c r="F169" t="s">
        <v>15</v>
      </c>
      <c r="G169" t="s">
        <v>26</v>
      </c>
      <c r="H169" t="s">
        <v>63</v>
      </c>
      <c r="I169">
        <v>4</v>
      </c>
      <c r="J169">
        <v>0.1</v>
      </c>
      <c r="K169">
        <v>45.1</v>
      </c>
      <c r="L169">
        <v>3.78</v>
      </c>
    </row>
    <row r="170" spans="1:12" x14ac:dyDescent="0.25">
      <c r="A170" t="s">
        <v>217</v>
      </c>
      <c r="B170" s="1">
        <v>45932</v>
      </c>
      <c r="C170" s="1">
        <v>45937</v>
      </c>
      <c r="D170" t="s">
        <v>13</v>
      </c>
      <c r="E170" t="s">
        <v>36</v>
      </c>
      <c r="F170" t="s">
        <v>15</v>
      </c>
      <c r="G170" t="s">
        <v>16</v>
      </c>
      <c r="H170" t="s">
        <v>39</v>
      </c>
      <c r="I170">
        <v>4</v>
      </c>
      <c r="J170">
        <v>0.05</v>
      </c>
      <c r="K170">
        <v>864.55</v>
      </c>
      <c r="L170">
        <v>9.5</v>
      </c>
    </row>
    <row r="171" spans="1:12" x14ac:dyDescent="0.25">
      <c r="A171" t="s">
        <v>218</v>
      </c>
      <c r="B171" s="1">
        <v>45708</v>
      </c>
      <c r="C171" s="1">
        <v>45714</v>
      </c>
      <c r="D171" t="s">
        <v>47</v>
      </c>
      <c r="E171" t="s">
        <v>50</v>
      </c>
      <c r="F171" t="s">
        <v>15</v>
      </c>
      <c r="G171" t="s">
        <v>16</v>
      </c>
      <c r="H171" t="s">
        <v>17</v>
      </c>
      <c r="I171">
        <v>4</v>
      </c>
      <c r="J171">
        <v>0</v>
      </c>
      <c r="K171">
        <v>433.61</v>
      </c>
      <c r="L171">
        <v>5.7</v>
      </c>
    </row>
    <row r="172" spans="1:12" x14ac:dyDescent="0.25">
      <c r="A172" t="s">
        <v>219</v>
      </c>
      <c r="B172" s="1">
        <v>45319</v>
      </c>
      <c r="C172" s="1">
        <v>45321</v>
      </c>
      <c r="D172" t="s">
        <v>13</v>
      </c>
      <c r="E172" t="s">
        <v>36</v>
      </c>
      <c r="F172" t="s">
        <v>29</v>
      </c>
      <c r="G172" t="s">
        <v>26</v>
      </c>
      <c r="H172" t="s">
        <v>51</v>
      </c>
      <c r="I172">
        <v>7</v>
      </c>
      <c r="J172">
        <v>0</v>
      </c>
      <c r="K172">
        <v>95.54</v>
      </c>
      <c r="L172">
        <v>4.59</v>
      </c>
    </row>
    <row r="173" spans="1:12" x14ac:dyDescent="0.25">
      <c r="A173" t="s">
        <v>220</v>
      </c>
      <c r="B173" s="1">
        <v>45620</v>
      </c>
      <c r="C173" s="1">
        <v>45625</v>
      </c>
      <c r="D173" t="s">
        <v>32</v>
      </c>
      <c r="E173" t="s">
        <v>62</v>
      </c>
      <c r="F173" t="s">
        <v>29</v>
      </c>
      <c r="G173" t="s">
        <v>16</v>
      </c>
      <c r="H173" t="s">
        <v>60</v>
      </c>
      <c r="I173">
        <v>3</v>
      </c>
      <c r="J173">
        <v>0.05</v>
      </c>
      <c r="K173">
        <v>408.63</v>
      </c>
      <c r="L173">
        <v>4.95</v>
      </c>
    </row>
    <row r="174" spans="1:12" x14ac:dyDescent="0.25">
      <c r="A174" t="s">
        <v>221</v>
      </c>
      <c r="B174" s="1">
        <v>45517</v>
      </c>
      <c r="C174" s="1">
        <v>45518</v>
      </c>
      <c r="D174" t="s">
        <v>23</v>
      </c>
      <c r="E174" t="s">
        <v>24</v>
      </c>
      <c r="F174" t="s">
        <v>15</v>
      </c>
      <c r="G174" t="s">
        <v>16</v>
      </c>
      <c r="H174" t="s">
        <v>34</v>
      </c>
      <c r="I174">
        <v>2</v>
      </c>
      <c r="J174">
        <v>0</v>
      </c>
      <c r="K174">
        <v>393.65</v>
      </c>
      <c r="L174">
        <v>5.46</v>
      </c>
    </row>
    <row r="175" spans="1:12" x14ac:dyDescent="0.25">
      <c r="A175" t="s">
        <v>222</v>
      </c>
      <c r="B175" s="1">
        <v>45687</v>
      </c>
      <c r="C175" s="1">
        <v>45692</v>
      </c>
      <c r="D175" t="s">
        <v>13</v>
      </c>
      <c r="E175" t="s">
        <v>14</v>
      </c>
      <c r="F175" t="s">
        <v>29</v>
      </c>
      <c r="G175" t="s">
        <v>20</v>
      </c>
      <c r="H175" t="s">
        <v>34</v>
      </c>
      <c r="I175">
        <v>3</v>
      </c>
      <c r="J175">
        <v>0.15</v>
      </c>
      <c r="K175">
        <v>437.79</v>
      </c>
      <c r="L175">
        <v>11.4</v>
      </c>
    </row>
    <row r="176" spans="1:12" x14ac:dyDescent="0.25">
      <c r="A176" t="s">
        <v>223</v>
      </c>
      <c r="B176" s="1">
        <v>45766</v>
      </c>
      <c r="C176" s="1">
        <v>45768</v>
      </c>
      <c r="D176" t="s">
        <v>23</v>
      </c>
      <c r="E176" t="s">
        <v>24</v>
      </c>
      <c r="F176" t="s">
        <v>15</v>
      </c>
      <c r="G176" t="s">
        <v>16</v>
      </c>
      <c r="H176" t="s">
        <v>63</v>
      </c>
      <c r="I176">
        <v>20</v>
      </c>
      <c r="J176">
        <v>0</v>
      </c>
      <c r="K176">
        <v>230.65</v>
      </c>
      <c r="L176">
        <v>8.1</v>
      </c>
    </row>
    <row r="177" spans="1:12" x14ac:dyDescent="0.25">
      <c r="A177" t="s">
        <v>224</v>
      </c>
      <c r="B177" s="1">
        <v>45294</v>
      </c>
      <c r="C177" s="1">
        <v>45297</v>
      </c>
      <c r="D177" t="s">
        <v>23</v>
      </c>
      <c r="E177" t="s">
        <v>43</v>
      </c>
      <c r="F177" t="s">
        <v>29</v>
      </c>
      <c r="G177" t="s">
        <v>20</v>
      </c>
      <c r="H177" t="s">
        <v>27</v>
      </c>
      <c r="I177">
        <v>5</v>
      </c>
      <c r="J177">
        <v>0</v>
      </c>
      <c r="K177">
        <v>118.12</v>
      </c>
      <c r="L177">
        <v>4.05</v>
      </c>
    </row>
    <row r="178" spans="1:12" x14ac:dyDescent="0.25">
      <c r="A178" t="s">
        <v>225</v>
      </c>
      <c r="B178" s="1">
        <v>46014</v>
      </c>
      <c r="C178" s="1">
        <v>46017</v>
      </c>
      <c r="D178" t="s">
        <v>13</v>
      </c>
      <c r="E178" t="s">
        <v>19</v>
      </c>
      <c r="F178" t="s">
        <v>25</v>
      </c>
      <c r="G178" t="s">
        <v>20</v>
      </c>
      <c r="H178" t="s">
        <v>21</v>
      </c>
      <c r="I178">
        <v>1</v>
      </c>
      <c r="J178">
        <v>0</v>
      </c>
      <c r="K178">
        <v>165.14</v>
      </c>
      <c r="L178">
        <v>6.8</v>
      </c>
    </row>
    <row r="179" spans="1:12" x14ac:dyDescent="0.25">
      <c r="A179" t="s">
        <v>226</v>
      </c>
      <c r="B179" s="1">
        <v>45775</v>
      </c>
      <c r="C179" s="1">
        <v>45776</v>
      </c>
      <c r="D179" t="s">
        <v>47</v>
      </c>
      <c r="E179" t="s">
        <v>71</v>
      </c>
      <c r="F179" t="s">
        <v>29</v>
      </c>
      <c r="G179" t="s">
        <v>26</v>
      </c>
      <c r="H179" t="s">
        <v>51</v>
      </c>
      <c r="I179">
        <v>8</v>
      </c>
      <c r="J179">
        <v>0</v>
      </c>
      <c r="K179">
        <v>121.37</v>
      </c>
      <c r="L179">
        <v>8.1</v>
      </c>
    </row>
    <row r="180" spans="1:12" x14ac:dyDescent="0.25">
      <c r="A180" t="s">
        <v>227</v>
      </c>
      <c r="B180" s="1">
        <v>45939</v>
      </c>
      <c r="C180" s="1">
        <v>45945</v>
      </c>
      <c r="D180" t="s">
        <v>47</v>
      </c>
      <c r="E180" t="s">
        <v>71</v>
      </c>
      <c r="F180" t="s">
        <v>15</v>
      </c>
      <c r="G180" t="s">
        <v>26</v>
      </c>
      <c r="H180" t="s">
        <v>60</v>
      </c>
      <c r="I180">
        <v>1</v>
      </c>
      <c r="J180">
        <v>0</v>
      </c>
      <c r="K180">
        <v>133.91</v>
      </c>
      <c r="L180">
        <v>3.45</v>
      </c>
    </row>
    <row r="181" spans="1:12" x14ac:dyDescent="0.25">
      <c r="A181" t="s">
        <v>228</v>
      </c>
      <c r="B181" s="1">
        <v>45952</v>
      </c>
      <c r="C181" s="1">
        <v>45953</v>
      </c>
      <c r="D181" t="s">
        <v>13</v>
      </c>
      <c r="E181" t="s">
        <v>36</v>
      </c>
      <c r="F181" t="s">
        <v>29</v>
      </c>
      <c r="G181" t="s">
        <v>16</v>
      </c>
      <c r="H181" t="s">
        <v>37</v>
      </c>
      <c r="I181">
        <v>4</v>
      </c>
      <c r="J181">
        <v>0</v>
      </c>
      <c r="K181">
        <v>471.48</v>
      </c>
      <c r="L181">
        <v>8.2200000000000006</v>
      </c>
    </row>
    <row r="182" spans="1:12" x14ac:dyDescent="0.25">
      <c r="A182" t="s">
        <v>229</v>
      </c>
      <c r="B182" s="1">
        <v>45342</v>
      </c>
      <c r="C182" s="1">
        <v>45347</v>
      </c>
      <c r="D182" t="s">
        <v>13</v>
      </c>
      <c r="E182" t="s">
        <v>36</v>
      </c>
      <c r="F182" t="s">
        <v>29</v>
      </c>
      <c r="G182" t="s">
        <v>26</v>
      </c>
      <c r="H182" t="s">
        <v>17</v>
      </c>
      <c r="I182">
        <v>3</v>
      </c>
      <c r="J182">
        <v>0</v>
      </c>
      <c r="K182">
        <v>319.39999999999998</v>
      </c>
      <c r="L182">
        <v>8.25</v>
      </c>
    </row>
    <row r="183" spans="1:12" x14ac:dyDescent="0.25">
      <c r="A183" t="s">
        <v>230</v>
      </c>
      <c r="B183" s="1">
        <v>45863</v>
      </c>
      <c r="C183" s="1">
        <v>45866</v>
      </c>
      <c r="D183" t="s">
        <v>23</v>
      </c>
      <c r="E183" t="s">
        <v>59</v>
      </c>
      <c r="F183" t="s">
        <v>25</v>
      </c>
      <c r="G183" t="s">
        <v>16</v>
      </c>
      <c r="H183" t="s">
        <v>65</v>
      </c>
      <c r="I183">
        <v>5</v>
      </c>
      <c r="J183">
        <v>0</v>
      </c>
      <c r="K183">
        <v>1302.1500000000001</v>
      </c>
      <c r="L183">
        <v>16</v>
      </c>
    </row>
    <row r="184" spans="1:12" x14ac:dyDescent="0.25">
      <c r="A184" t="s">
        <v>231</v>
      </c>
      <c r="B184" s="1">
        <v>45607</v>
      </c>
      <c r="C184" s="1">
        <v>45608</v>
      </c>
      <c r="D184" t="s">
        <v>32</v>
      </c>
      <c r="E184" t="s">
        <v>45</v>
      </c>
      <c r="F184" t="s">
        <v>25</v>
      </c>
      <c r="G184" t="s">
        <v>20</v>
      </c>
      <c r="H184" t="s">
        <v>60</v>
      </c>
      <c r="I184">
        <v>2</v>
      </c>
      <c r="J184">
        <v>0.2</v>
      </c>
      <c r="K184">
        <v>236.38</v>
      </c>
      <c r="L184">
        <v>7</v>
      </c>
    </row>
    <row r="185" spans="1:12" x14ac:dyDescent="0.25">
      <c r="A185" t="s">
        <v>232</v>
      </c>
      <c r="B185" s="1">
        <v>45558</v>
      </c>
      <c r="C185" s="1">
        <v>45559</v>
      </c>
      <c r="D185" t="s">
        <v>23</v>
      </c>
      <c r="E185" t="s">
        <v>24</v>
      </c>
      <c r="F185" t="s">
        <v>25</v>
      </c>
      <c r="G185" t="s">
        <v>26</v>
      </c>
      <c r="H185" t="s">
        <v>87</v>
      </c>
      <c r="I185">
        <v>5</v>
      </c>
      <c r="J185">
        <v>0.2</v>
      </c>
      <c r="K185">
        <v>34.78</v>
      </c>
      <c r="L185">
        <v>6.75</v>
      </c>
    </row>
    <row r="186" spans="1:12" x14ac:dyDescent="0.25">
      <c r="A186" t="s">
        <v>233</v>
      </c>
      <c r="B186" s="1">
        <v>45655</v>
      </c>
      <c r="C186" s="1">
        <v>45657</v>
      </c>
      <c r="D186" t="s">
        <v>13</v>
      </c>
      <c r="E186" t="s">
        <v>14</v>
      </c>
      <c r="F186" t="s">
        <v>29</v>
      </c>
      <c r="G186" t="s">
        <v>16</v>
      </c>
      <c r="H186" t="s">
        <v>39</v>
      </c>
      <c r="I186">
        <v>4</v>
      </c>
      <c r="J186">
        <v>0.1</v>
      </c>
      <c r="K186">
        <v>1018</v>
      </c>
      <c r="L186">
        <v>9.5</v>
      </c>
    </row>
    <row r="187" spans="1:12" x14ac:dyDescent="0.25">
      <c r="A187" t="s">
        <v>234</v>
      </c>
      <c r="B187" s="1">
        <v>45760</v>
      </c>
      <c r="C187" s="1">
        <v>45764</v>
      </c>
      <c r="D187" t="s">
        <v>13</v>
      </c>
      <c r="E187" t="s">
        <v>36</v>
      </c>
      <c r="F187" t="s">
        <v>29</v>
      </c>
      <c r="G187" t="s">
        <v>26</v>
      </c>
      <c r="H187" t="s">
        <v>51</v>
      </c>
      <c r="I187">
        <v>14</v>
      </c>
      <c r="J187">
        <v>0</v>
      </c>
      <c r="K187">
        <v>207.46</v>
      </c>
      <c r="L187">
        <v>6.48</v>
      </c>
    </row>
    <row r="188" spans="1:12" x14ac:dyDescent="0.25">
      <c r="A188" t="s">
        <v>235</v>
      </c>
      <c r="B188" s="1">
        <v>45381</v>
      </c>
      <c r="C188" s="1">
        <v>45384</v>
      </c>
      <c r="D188" t="s">
        <v>23</v>
      </c>
      <c r="E188" t="s">
        <v>24</v>
      </c>
      <c r="F188" t="s">
        <v>29</v>
      </c>
      <c r="G188" t="s">
        <v>20</v>
      </c>
      <c r="H188" t="s">
        <v>17</v>
      </c>
      <c r="I188">
        <v>1</v>
      </c>
      <c r="J188">
        <v>0.1</v>
      </c>
      <c r="K188">
        <v>106.88</v>
      </c>
      <c r="L188">
        <v>3.45</v>
      </c>
    </row>
    <row r="189" spans="1:12" x14ac:dyDescent="0.25">
      <c r="A189" t="s">
        <v>236</v>
      </c>
      <c r="B189" s="1">
        <v>45324</v>
      </c>
      <c r="C189" s="1">
        <v>45327</v>
      </c>
      <c r="D189" t="s">
        <v>32</v>
      </c>
      <c r="E189" t="s">
        <v>33</v>
      </c>
      <c r="F189" t="s">
        <v>15</v>
      </c>
      <c r="G189" t="s">
        <v>26</v>
      </c>
      <c r="H189" t="s">
        <v>60</v>
      </c>
      <c r="I189">
        <v>4</v>
      </c>
      <c r="J189">
        <v>0</v>
      </c>
      <c r="K189">
        <v>408.99</v>
      </c>
      <c r="L189">
        <v>5.7</v>
      </c>
    </row>
    <row r="190" spans="1:12" x14ac:dyDescent="0.25">
      <c r="A190" t="s">
        <v>237</v>
      </c>
      <c r="B190" s="1">
        <v>45648</v>
      </c>
      <c r="C190" s="1">
        <v>45649</v>
      </c>
      <c r="D190" t="s">
        <v>13</v>
      </c>
      <c r="E190" t="s">
        <v>19</v>
      </c>
      <c r="F190" t="s">
        <v>29</v>
      </c>
      <c r="G190" t="s">
        <v>16</v>
      </c>
      <c r="H190" t="s">
        <v>17</v>
      </c>
      <c r="I190">
        <v>4</v>
      </c>
      <c r="J190">
        <v>0</v>
      </c>
      <c r="K190">
        <v>756.56</v>
      </c>
      <c r="L190">
        <v>9.5</v>
      </c>
    </row>
    <row r="191" spans="1:12" x14ac:dyDescent="0.25">
      <c r="A191" t="s">
        <v>238</v>
      </c>
      <c r="B191" s="1">
        <v>45299</v>
      </c>
      <c r="C191" s="1">
        <v>45302</v>
      </c>
      <c r="D191" t="s">
        <v>32</v>
      </c>
      <c r="E191" t="s">
        <v>62</v>
      </c>
      <c r="F191" t="s">
        <v>29</v>
      </c>
      <c r="G191" t="s">
        <v>20</v>
      </c>
      <c r="H191" t="s">
        <v>37</v>
      </c>
      <c r="I191">
        <v>1</v>
      </c>
      <c r="J191">
        <v>0.1</v>
      </c>
      <c r="K191">
        <v>85.59</v>
      </c>
      <c r="L191">
        <v>4.08</v>
      </c>
    </row>
    <row r="192" spans="1:12" x14ac:dyDescent="0.25">
      <c r="A192" t="s">
        <v>239</v>
      </c>
      <c r="B192" s="1">
        <v>45894</v>
      </c>
      <c r="C192" s="1">
        <v>45897</v>
      </c>
      <c r="D192" t="s">
        <v>47</v>
      </c>
      <c r="E192" t="s">
        <v>50</v>
      </c>
      <c r="F192" t="s">
        <v>25</v>
      </c>
      <c r="G192" t="s">
        <v>26</v>
      </c>
      <c r="H192" t="s">
        <v>51</v>
      </c>
      <c r="I192">
        <v>3</v>
      </c>
      <c r="J192">
        <v>0.2</v>
      </c>
      <c r="K192">
        <v>33.49</v>
      </c>
      <c r="L192">
        <v>3.51</v>
      </c>
    </row>
    <row r="193" spans="1:12" x14ac:dyDescent="0.25">
      <c r="A193" t="s">
        <v>240</v>
      </c>
      <c r="B193" s="1">
        <v>45551</v>
      </c>
      <c r="C193" s="1">
        <v>45552</v>
      </c>
      <c r="D193" t="s">
        <v>47</v>
      </c>
      <c r="E193" t="s">
        <v>71</v>
      </c>
      <c r="F193" t="s">
        <v>25</v>
      </c>
      <c r="G193" t="s">
        <v>20</v>
      </c>
      <c r="H193" t="s">
        <v>87</v>
      </c>
      <c r="I193">
        <v>10</v>
      </c>
      <c r="J193">
        <v>0</v>
      </c>
      <c r="K193">
        <v>93.55</v>
      </c>
      <c r="L193">
        <v>5.4</v>
      </c>
    </row>
    <row r="194" spans="1:12" x14ac:dyDescent="0.25">
      <c r="A194" t="s">
        <v>241</v>
      </c>
      <c r="B194" s="1">
        <v>45635</v>
      </c>
      <c r="C194" s="1">
        <v>45637</v>
      </c>
      <c r="D194" t="s">
        <v>23</v>
      </c>
      <c r="E194" t="s">
        <v>59</v>
      </c>
      <c r="F194" t="s">
        <v>25</v>
      </c>
      <c r="G194" t="s">
        <v>20</v>
      </c>
      <c r="H194" t="s">
        <v>34</v>
      </c>
      <c r="I194">
        <v>1</v>
      </c>
      <c r="J194">
        <v>0</v>
      </c>
      <c r="K194">
        <v>302.95</v>
      </c>
      <c r="L194">
        <v>4.08</v>
      </c>
    </row>
    <row r="195" spans="1:12" x14ac:dyDescent="0.25">
      <c r="A195" t="s">
        <v>242</v>
      </c>
      <c r="B195" s="1">
        <v>45939</v>
      </c>
      <c r="C195" s="1">
        <v>45943</v>
      </c>
      <c r="D195" t="s">
        <v>23</v>
      </c>
      <c r="E195" t="s">
        <v>43</v>
      </c>
      <c r="F195" t="s">
        <v>29</v>
      </c>
      <c r="G195" t="s">
        <v>16</v>
      </c>
      <c r="H195" t="s">
        <v>17</v>
      </c>
      <c r="I195">
        <v>1</v>
      </c>
      <c r="J195">
        <v>0.15</v>
      </c>
      <c r="K195">
        <v>129.21</v>
      </c>
      <c r="L195">
        <v>5.75</v>
      </c>
    </row>
    <row r="196" spans="1:12" x14ac:dyDescent="0.25">
      <c r="A196" t="s">
        <v>243</v>
      </c>
      <c r="B196" s="1">
        <v>45514</v>
      </c>
      <c r="C196" s="1">
        <v>45520</v>
      </c>
      <c r="D196" t="s">
        <v>13</v>
      </c>
      <c r="E196" t="s">
        <v>19</v>
      </c>
      <c r="F196" t="s">
        <v>29</v>
      </c>
      <c r="G196" t="s">
        <v>26</v>
      </c>
      <c r="H196" t="s">
        <v>34</v>
      </c>
      <c r="I196">
        <v>2</v>
      </c>
      <c r="J196">
        <v>0</v>
      </c>
      <c r="K196">
        <v>406.86</v>
      </c>
      <c r="L196">
        <v>9.1</v>
      </c>
    </row>
    <row r="197" spans="1:12" x14ac:dyDescent="0.25">
      <c r="A197" t="s">
        <v>244</v>
      </c>
      <c r="B197" s="1">
        <v>45342</v>
      </c>
      <c r="C197" s="1">
        <v>45346</v>
      </c>
      <c r="D197" t="s">
        <v>23</v>
      </c>
      <c r="E197" t="s">
        <v>43</v>
      </c>
      <c r="F197" t="s">
        <v>29</v>
      </c>
      <c r="G197" t="s">
        <v>16</v>
      </c>
      <c r="H197" t="s">
        <v>41</v>
      </c>
      <c r="I197">
        <v>4</v>
      </c>
      <c r="J197">
        <v>0.15</v>
      </c>
      <c r="K197">
        <v>19.559999999999999</v>
      </c>
      <c r="L197">
        <v>3.78</v>
      </c>
    </row>
    <row r="198" spans="1:12" x14ac:dyDescent="0.25">
      <c r="A198" t="s">
        <v>245</v>
      </c>
      <c r="B198" s="1">
        <v>45905</v>
      </c>
      <c r="C198" s="1">
        <v>45910</v>
      </c>
      <c r="D198" t="s">
        <v>32</v>
      </c>
      <c r="E198" t="s">
        <v>33</v>
      </c>
      <c r="F198" t="s">
        <v>25</v>
      </c>
      <c r="G198" t="s">
        <v>16</v>
      </c>
      <c r="H198" t="s">
        <v>27</v>
      </c>
      <c r="I198">
        <v>11</v>
      </c>
      <c r="J198">
        <v>0.1</v>
      </c>
      <c r="K198">
        <v>296.26</v>
      </c>
      <c r="L198">
        <v>5.67</v>
      </c>
    </row>
    <row r="199" spans="1:12" x14ac:dyDescent="0.25">
      <c r="A199" t="s">
        <v>246</v>
      </c>
      <c r="B199" s="1">
        <v>45599</v>
      </c>
      <c r="C199" s="1">
        <v>45601</v>
      </c>
      <c r="D199" t="s">
        <v>47</v>
      </c>
      <c r="E199" t="s">
        <v>48</v>
      </c>
      <c r="F199" t="s">
        <v>25</v>
      </c>
      <c r="G199" t="s">
        <v>16</v>
      </c>
      <c r="H199" t="s">
        <v>60</v>
      </c>
      <c r="I199">
        <v>1</v>
      </c>
      <c r="J199">
        <v>0.25</v>
      </c>
      <c r="K199">
        <v>108.26</v>
      </c>
      <c r="L199">
        <v>5.75</v>
      </c>
    </row>
    <row r="200" spans="1:12" x14ac:dyDescent="0.25">
      <c r="A200" t="s">
        <v>247</v>
      </c>
      <c r="B200" s="1">
        <v>46017</v>
      </c>
      <c r="C200" s="1">
        <v>46019</v>
      </c>
      <c r="D200" t="s">
        <v>32</v>
      </c>
      <c r="E200" t="s">
        <v>45</v>
      </c>
      <c r="F200" t="s">
        <v>29</v>
      </c>
      <c r="G200" t="s">
        <v>20</v>
      </c>
      <c r="H200" t="s">
        <v>41</v>
      </c>
      <c r="I200">
        <v>11</v>
      </c>
      <c r="J200">
        <v>0</v>
      </c>
      <c r="K200">
        <v>93.16</v>
      </c>
      <c r="L200">
        <v>9.4499999999999993</v>
      </c>
    </row>
    <row r="201" spans="1:12" x14ac:dyDescent="0.25">
      <c r="A201" t="s">
        <v>248</v>
      </c>
      <c r="B201" s="1">
        <v>45770</v>
      </c>
      <c r="C201" s="1">
        <v>45776</v>
      </c>
      <c r="D201" t="s">
        <v>32</v>
      </c>
      <c r="E201" t="s">
        <v>33</v>
      </c>
      <c r="F201" t="s">
        <v>25</v>
      </c>
      <c r="G201" t="s">
        <v>26</v>
      </c>
      <c r="H201" t="s">
        <v>87</v>
      </c>
      <c r="I201">
        <v>8</v>
      </c>
      <c r="J201">
        <v>0</v>
      </c>
      <c r="K201">
        <v>62.59</v>
      </c>
      <c r="L201">
        <v>4.8600000000000003</v>
      </c>
    </row>
    <row r="202" spans="1:12" x14ac:dyDescent="0.25">
      <c r="A202" t="s">
        <v>249</v>
      </c>
      <c r="B202" s="1">
        <v>45847</v>
      </c>
      <c r="C202" s="1">
        <v>45848</v>
      </c>
      <c r="D202" t="s">
        <v>32</v>
      </c>
      <c r="E202" t="s">
        <v>45</v>
      </c>
      <c r="F202" t="s">
        <v>29</v>
      </c>
      <c r="G202" t="s">
        <v>20</v>
      </c>
      <c r="H202" t="s">
        <v>17</v>
      </c>
      <c r="I202">
        <v>1</v>
      </c>
      <c r="J202">
        <v>0.2</v>
      </c>
      <c r="K202">
        <v>90.1</v>
      </c>
      <c r="L202">
        <v>3.45</v>
      </c>
    </row>
    <row r="203" spans="1:12" x14ac:dyDescent="0.25">
      <c r="A203" t="s">
        <v>250</v>
      </c>
      <c r="B203" s="1">
        <v>45452</v>
      </c>
      <c r="C203" s="1">
        <v>45457</v>
      </c>
      <c r="D203" t="s">
        <v>13</v>
      </c>
      <c r="E203" t="s">
        <v>19</v>
      </c>
      <c r="F203" t="s">
        <v>15</v>
      </c>
      <c r="G203" t="s">
        <v>26</v>
      </c>
      <c r="H203" t="s">
        <v>65</v>
      </c>
      <c r="I203">
        <v>7</v>
      </c>
      <c r="J203">
        <v>0.15</v>
      </c>
      <c r="K203">
        <v>1717.7</v>
      </c>
      <c r="L203">
        <v>12.36</v>
      </c>
    </row>
    <row r="204" spans="1:12" x14ac:dyDescent="0.25">
      <c r="A204" t="s">
        <v>251</v>
      </c>
      <c r="B204" s="1">
        <v>45357</v>
      </c>
      <c r="C204" s="1">
        <v>45362</v>
      </c>
      <c r="D204" t="s">
        <v>13</v>
      </c>
      <c r="E204" t="s">
        <v>36</v>
      </c>
      <c r="F204" t="s">
        <v>25</v>
      </c>
      <c r="G204" t="s">
        <v>26</v>
      </c>
      <c r="H204" t="s">
        <v>65</v>
      </c>
      <c r="I204">
        <v>1</v>
      </c>
      <c r="J204">
        <v>0.15</v>
      </c>
      <c r="K204">
        <v>239.65</v>
      </c>
      <c r="L204">
        <v>6.8</v>
      </c>
    </row>
    <row r="205" spans="1:12" x14ac:dyDescent="0.25">
      <c r="A205" t="s">
        <v>252</v>
      </c>
      <c r="B205" s="1">
        <v>45828</v>
      </c>
      <c r="C205" s="1">
        <v>45832</v>
      </c>
      <c r="D205" t="s">
        <v>13</v>
      </c>
      <c r="E205" t="s">
        <v>36</v>
      </c>
      <c r="F205" t="s">
        <v>29</v>
      </c>
      <c r="G205" t="s">
        <v>20</v>
      </c>
      <c r="H205" t="s">
        <v>63</v>
      </c>
      <c r="I205">
        <v>7</v>
      </c>
      <c r="J205">
        <v>0</v>
      </c>
      <c r="K205">
        <v>92.57</v>
      </c>
      <c r="L205">
        <v>7.65</v>
      </c>
    </row>
    <row r="206" spans="1:12" x14ac:dyDescent="0.25">
      <c r="A206" t="s">
        <v>253</v>
      </c>
      <c r="B206" s="1">
        <v>46011</v>
      </c>
      <c r="C206" s="1">
        <v>46015</v>
      </c>
      <c r="D206" t="s">
        <v>32</v>
      </c>
      <c r="E206" t="s">
        <v>33</v>
      </c>
      <c r="F206" t="s">
        <v>25</v>
      </c>
      <c r="G206" t="s">
        <v>20</v>
      </c>
      <c r="H206" t="s">
        <v>60</v>
      </c>
      <c r="I206">
        <v>4</v>
      </c>
      <c r="J206">
        <v>0</v>
      </c>
      <c r="K206">
        <v>682.3</v>
      </c>
      <c r="L206">
        <v>5.7</v>
      </c>
    </row>
    <row r="207" spans="1:12" x14ac:dyDescent="0.25">
      <c r="A207" t="s">
        <v>254</v>
      </c>
      <c r="B207" s="1">
        <v>45563</v>
      </c>
      <c r="C207" s="1">
        <v>45564</v>
      </c>
      <c r="D207" t="s">
        <v>47</v>
      </c>
      <c r="E207" t="s">
        <v>71</v>
      </c>
      <c r="F207" t="s">
        <v>29</v>
      </c>
      <c r="G207" t="s">
        <v>20</v>
      </c>
      <c r="H207" t="s">
        <v>17</v>
      </c>
      <c r="I207">
        <v>5</v>
      </c>
      <c r="J207">
        <v>0</v>
      </c>
      <c r="K207">
        <v>702.28</v>
      </c>
      <c r="L207">
        <v>6.45</v>
      </c>
    </row>
    <row r="208" spans="1:12" x14ac:dyDescent="0.25">
      <c r="A208" t="s">
        <v>255</v>
      </c>
      <c r="B208" s="1">
        <v>45641</v>
      </c>
      <c r="C208" s="1">
        <v>45644</v>
      </c>
      <c r="D208" t="s">
        <v>23</v>
      </c>
      <c r="E208" t="s">
        <v>24</v>
      </c>
      <c r="F208" t="s">
        <v>15</v>
      </c>
      <c r="G208" t="s">
        <v>26</v>
      </c>
      <c r="H208" t="s">
        <v>37</v>
      </c>
      <c r="I208">
        <v>1</v>
      </c>
      <c r="J208">
        <v>0</v>
      </c>
      <c r="K208">
        <v>152.43</v>
      </c>
      <c r="L208">
        <v>4.08</v>
      </c>
    </row>
    <row r="209" spans="1:12" x14ac:dyDescent="0.25">
      <c r="A209" t="s">
        <v>256</v>
      </c>
      <c r="B209" s="1">
        <v>45578</v>
      </c>
      <c r="C209" s="1">
        <v>45580</v>
      </c>
      <c r="D209" t="s">
        <v>13</v>
      </c>
      <c r="E209" t="s">
        <v>14</v>
      </c>
      <c r="F209" t="s">
        <v>25</v>
      </c>
      <c r="G209" t="s">
        <v>16</v>
      </c>
      <c r="H209" t="s">
        <v>65</v>
      </c>
      <c r="I209">
        <v>1</v>
      </c>
      <c r="J209">
        <v>0.05</v>
      </c>
      <c r="K209">
        <v>308.32</v>
      </c>
      <c r="L209">
        <v>4.08</v>
      </c>
    </row>
    <row r="210" spans="1:12" x14ac:dyDescent="0.25">
      <c r="A210" t="s">
        <v>257</v>
      </c>
      <c r="B210" s="1">
        <v>45878</v>
      </c>
      <c r="C210" s="1">
        <v>45881</v>
      </c>
      <c r="D210" t="s">
        <v>13</v>
      </c>
      <c r="E210" t="s">
        <v>19</v>
      </c>
      <c r="F210" t="s">
        <v>29</v>
      </c>
      <c r="G210" t="s">
        <v>20</v>
      </c>
      <c r="H210" t="s">
        <v>21</v>
      </c>
      <c r="I210">
        <v>1</v>
      </c>
      <c r="J210">
        <v>0.05</v>
      </c>
      <c r="K210">
        <v>105.73</v>
      </c>
      <c r="L210">
        <v>4.08</v>
      </c>
    </row>
    <row r="211" spans="1:12" x14ac:dyDescent="0.25">
      <c r="A211" t="s">
        <v>258</v>
      </c>
      <c r="B211" s="1">
        <v>45913</v>
      </c>
      <c r="C211" s="1">
        <v>45914</v>
      </c>
      <c r="D211" t="s">
        <v>47</v>
      </c>
      <c r="E211" t="s">
        <v>50</v>
      </c>
      <c r="F211" t="s">
        <v>29</v>
      </c>
      <c r="G211" t="s">
        <v>20</v>
      </c>
      <c r="H211" t="s">
        <v>41</v>
      </c>
      <c r="I211">
        <v>4</v>
      </c>
      <c r="J211">
        <v>0.25</v>
      </c>
      <c r="K211">
        <v>19.27</v>
      </c>
      <c r="L211">
        <v>3.78</v>
      </c>
    </row>
    <row r="212" spans="1:12" x14ac:dyDescent="0.25">
      <c r="A212" t="s">
        <v>259</v>
      </c>
      <c r="B212" s="1">
        <v>45556</v>
      </c>
      <c r="C212" s="1">
        <v>45562</v>
      </c>
      <c r="D212" t="s">
        <v>47</v>
      </c>
      <c r="E212" t="s">
        <v>71</v>
      </c>
      <c r="F212" t="s">
        <v>15</v>
      </c>
      <c r="G212" t="s">
        <v>20</v>
      </c>
      <c r="H212" t="s">
        <v>60</v>
      </c>
      <c r="I212">
        <v>1</v>
      </c>
      <c r="J212">
        <v>0</v>
      </c>
      <c r="K212">
        <v>121.59</v>
      </c>
      <c r="L212">
        <v>3.45</v>
      </c>
    </row>
    <row r="213" spans="1:12" x14ac:dyDescent="0.25">
      <c r="A213" t="s">
        <v>260</v>
      </c>
      <c r="B213" s="1">
        <v>45731</v>
      </c>
      <c r="C213" s="1">
        <v>45736</v>
      </c>
      <c r="D213" t="s">
        <v>23</v>
      </c>
      <c r="E213" t="s">
        <v>43</v>
      </c>
      <c r="F213" t="s">
        <v>29</v>
      </c>
      <c r="G213" t="s">
        <v>20</v>
      </c>
      <c r="H213" t="s">
        <v>41</v>
      </c>
      <c r="I213">
        <v>5</v>
      </c>
      <c r="J213">
        <v>0</v>
      </c>
      <c r="K213">
        <v>27.99</v>
      </c>
      <c r="L213">
        <v>6.75</v>
      </c>
    </row>
    <row r="214" spans="1:12" x14ac:dyDescent="0.25">
      <c r="A214" t="s">
        <v>261</v>
      </c>
      <c r="B214" s="1">
        <v>46000</v>
      </c>
      <c r="C214" s="1">
        <v>46003</v>
      </c>
      <c r="D214" t="s">
        <v>13</v>
      </c>
      <c r="E214" t="s">
        <v>19</v>
      </c>
      <c r="F214" t="s">
        <v>29</v>
      </c>
      <c r="G214" t="s">
        <v>20</v>
      </c>
      <c r="H214" t="s">
        <v>17</v>
      </c>
      <c r="I214">
        <v>4</v>
      </c>
      <c r="J214">
        <v>0.1</v>
      </c>
      <c r="K214">
        <v>675.3</v>
      </c>
      <c r="L214">
        <v>9.5</v>
      </c>
    </row>
    <row r="215" spans="1:12" x14ac:dyDescent="0.25">
      <c r="A215" t="s">
        <v>262</v>
      </c>
      <c r="B215" s="1">
        <v>45633</v>
      </c>
      <c r="C215" s="1">
        <v>45636</v>
      </c>
      <c r="D215" t="s">
        <v>13</v>
      </c>
      <c r="E215" t="s">
        <v>19</v>
      </c>
      <c r="F215" t="s">
        <v>29</v>
      </c>
      <c r="G215" t="s">
        <v>26</v>
      </c>
      <c r="H215" t="s">
        <v>65</v>
      </c>
      <c r="I215">
        <v>7</v>
      </c>
      <c r="J215">
        <v>0</v>
      </c>
      <c r="K215">
        <v>2809.08</v>
      </c>
      <c r="L215">
        <v>12.36</v>
      </c>
    </row>
    <row r="216" spans="1:12" x14ac:dyDescent="0.25">
      <c r="A216" t="s">
        <v>263</v>
      </c>
      <c r="B216" s="1">
        <v>45739</v>
      </c>
      <c r="C216" s="1">
        <v>45740</v>
      </c>
      <c r="D216" t="s">
        <v>47</v>
      </c>
      <c r="E216" t="s">
        <v>48</v>
      </c>
      <c r="F216" t="s">
        <v>25</v>
      </c>
      <c r="G216" t="s">
        <v>26</v>
      </c>
      <c r="H216" t="s">
        <v>63</v>
      </c>
      <c r="I216">
        <v>11</v>
      </c>
      <c r="J216">
        <v>0</v>
      </c>
      <c r="K216">
        <v>130.91</v>
      </c>
      <c r="L216">
        <v>5.67</v>
      </c>
    </row>
    <row r="217" spans="1:12" x14ac:dyDescent="0.25">
      <c r="A217" t="s">
        <v>264</v>
      </c>
      <c r="B217" s="1">
        <v>45868</v>
      </c>
      <c r="C217" s="1">
        <v>45870</v>
      </c>
      <c r="D217" t="s">
        <v>32</v>
      </c>
      <c r="E217" t="s">
        <v>45</v>
      </c>
      <c r="F217" t="s">
        <v>25</v>
      </c>
      <c r="G217" t="s">
        <v>20</v>
      </c>
      <c r="H217" t="s">
        <v>21</v>
      </c>
      <c r="I217">
        <v>3</v>
      </c>
      <c r="J217">
        <v>0</v>
      </c>
      <c r="K217">
        <v>325</v>
      </c>
      <c r="L217">
        <v>11.4</v>
      </c>
    </row>
    <row r="218" spans="1:12" x14ac:dyDescent="0.25">
      <c r="A218" t="s">
        <v>265</v>
      </c>
      <c r="B218" s="1">
        <v>45393</v>
      </c>
      <c r="C218" s="1">
        <v>45394</v>
      </c>
      <c r="D218" t="s">
        <v>13</v>
      </c>
      <c r="E218" t="s">
        <v>19</v>
      </c>
      <c r="F218" t="s">
        <v>15</v>
      </c>
      <c r="G218" t="s">
        <v>26</v>
      </c>
      <c r="H218" t="s">
        <v>53</v>
      </c>
      <c r="I218">
        <v>5</v>
      </c>
      <c r="J218">
        <v>0</v>
      </c>
      <c r="K218">
        <v>275.57</v>
      </c>
      <c r="L218">
        <v>10.75</v>
      </c>
    </row>
    <row r="219" spans="1:12" x14ac:dyDescent="0.25">
      <c r="A219" t="s">
        <v>266</v>
      </c>
      <c r="B219" s="1">
        <v>45939</v>
      </c>
      <c r="C219" s="1">
        <v>45942</v>
      </c>
      <c r="D219" t="s">
        <v>13</v>
      </c>
      <c r="E219" t="s">
        <v>19</v>
      </c>
      <c r="F219" t="s">
        <v>15</v>
      </c>
      <c r="G219" t="s">
        <v>20</v>
      </c>
      <c r="H219" t="s">
        <v>21</v>
      </c>
      <c r="I219">
        <v>3</v>
      </c>
      <c r="J219">
        <v>0.15</v>
      </c>
      <c r="K219">
        <v>315.11</v>
      </c>
      <c r="L219">
        <v>6.84</v>
      </c>
    </row>
    <row r="220" spans="1:12" x14ac:dyDescent="0.25">
      <c r="A220" t="s">
        <v>267</v>
      </c>
      <c r="B220" s="1">
        <v>45961</v>
      </c>
      <c r="C220" s="1">
        <v>45966</v>
      </c>
      <c r="D220" t="s">
        <v>32</v>
      </c>
      <c r="E220" t="s">
        <v>45</v>
      </c>
      <c r="F220" t="s">
        <v>25</v>
      </c>
      <c r="G220" t="s">
        <v>20</v>
      </c>
      <c r="H220" t="s">
        <v>17</v>
      </c>
      <c r="I220">
        <v>4</v>
      </c>
      <c r="J220">
        <v>0.15</v>
      </c>
      <c r="K220">
        <v>475.11</v>
      </c>
      <c r="L220">
        <v>5.7</v>
      </c>
    </row>
    <row r="221" spans="1:12" x14ac:dyDescent="0.25">
      <c r="A221" t="s">
        <v>268</v>
      </c>
      <c r="B221" s="1">
        <v>45498</v>
      </c>
      <c r="C221" s="1">
        <v>45503</v>
      </c>
      <c r="D221" t="s">
        <v>32</v>
      </c>
      <c r="E221" t="s">
        <v>62</v>
      </c>
      <c r="F221" t="s">
        <v>29</v>
      </c>
      <c r="G221" t="s">
        <v>26</v>
      </c>
      <c r="H221" t="s">
        <v>68</v>
      </c>
      <c r="I221">
        <v>2</v>
      </c>
      <c r="J221">
        <v>0</v>
      </c>
      <c r="K221">
        <v>98.57</v>
      </c>
      <c r="L221">
        <v>7</v>
      </c>
    </row>
    <row r="222" spans="1:12" x14ac:dyDescent="0.25">
      <c r="A222" t="s">
        <v>269</v>
      </c>
      <c r="B222" s="1">
        <v>45932</v>
      </c>
      <c r="C222" s="1">
        <v>45934</v>
      </c>
      <c r="D222" t="s">
        <v>32</v>
      </c>
      <c r="E222" t="s">
        <v>45</v>
      </c>
      <c r="F222" t="s">
        <v>25</v>
      </c>
      <c r="G222" t="s">
        <v>16</v>
      </c>
      <c r="H222" t="s">
        <v>34</v>
      </c>
      <c r="I222">
        <v>1</v>
      </c>
      <c r="J222">
        <v>0</v>
      </c>
      <c r="K222">
        <v>243.71</v>
      </c>
      <c r="L222">
        <v>4.08</v>
      </c>
    </row>
    <row r="223" spans="1:12" x14ac:dyDescent="0.25">
      <c r="A223" t="s">
        <v>270</v>
      </c>
      <c r="B223" s="1">
        <v>45885</v>
      </c>
      <c r="C223" s="1">
        <v>45888</v>
      </c>
      <c r="D223" t="s">
        <v>47</v>
      </c>
      <c r="E223" t="s">
        <v>71</v>
      </c>
      <c r="F223" t="s">
        <v>29</v>
      </c>
      <c r="G223" t="s">
        <v>16</v>
      </c>
      <c r="H223" t="s">
        <v>41</v>
      </c>
      <c r="I223">
        <v>3</v>
      </c>
      <c r="J223">
        <v>0</v>
      </c>
      <c r="K223">
        <v>16.829999999999998</v>
      </c>
      <c r="L223">
        <v>3.51</v>
      </c>
    </row>
    <row r="224" spans="1:12" x14ac:dyDescent="0.25">
      <c r="A224" t="s">
        <v>271</v>
      </c>
      <c r="B224" s="1">
        <v>45898</v>
      </c>
      <c r="C224" s="1">
        <v>45900</v>
      </c>
      <c r="D224" t="s">
        <v>13</v>
      </c>
      <c r="E224" t="s">
        <v>14</v>
      </c>
      <c r="F224" t="s">
        <v>15</v>
      </c>
      <c r="G224" t="s">
        <v>20</v>
      </c>
      <c r="H224" t="s">
        <v>60</v>
      </c>
      <c r="I224">
        <v>5</v>
      </c>
      <c r="J224">
        <v>0</v>
      </c>
      <c r="K224">
        <v>506.92</v>
      </c>
      <c r="L224">
        <v>10.75</v>
      </c>
    </row>
    <row r="225" spans="1:12" x14ac:dyDescent="0.25">
      <c r="A225" t="s">
        <v>272</v>
      </c>
      <c r="B225" s="1">
        <v>45824</v>
      </c>
      <c r="C225" s="1">
        <v>45825</v>
      </c>
      <c r="D225" t="s">
        <v>47</v>
      </c>
      <c r="E225" t="s">
        <v>50</v>
      </c>
      <c r="F225" t="s">
        <v>25</v>
      </c>
      <c r="G225" t="s">
        <v>20</v>
      </c>
      <c r="H225" t="s">
        <v>37</v>
      </c>
      <c r="I225">
        <v>3</v>
      </c>
      <c r="J225">
        <v>0</v>
      </c>
      <c r="K225">
        <v>332.52</v>
      </c>
      <c r="L225">
        <v>11.4</v>
      </c>
    </row>
    <row r="226" spans="1:12" x14ac:dyDescent="0.25">
      <c r="A226" t="s">
        <v>273</v>
      </c>
      <c r="B226" s="1">
        <v>45624</v>
      </c>
      <c r="C226" s="1">
        <v>45625</v>
      </c>
      <c r="D226" t="s">
        <v>23</v>
      </c>
      <c r="E226" t="s">
        <v>59</v>
      </c>
      <c r="F226" t="s">
        <v>29</v>
      </c>
      <c r="G226" t="s">
        <v>16</v>
      </c>
      <c r="H226" t="s">
        <v>39</v>
      </c>
      <c r="I226">
        <v>3</v>
      </c>
      <c r="J226">
        <v>0</v>
      </c>
      <c r="K226">
        <v>804.09</v>
      </c>
      <c r="L226">
        <v>4.95</v>
      </c>
    </row>
    <row r="227" spans="1:12" x14ac:dyDescent="0.25">
      <c r="A227" t="s">
        <v>274</v>
      </c>
      <c r="B227" s="1">
        <v>45875</v>
      </c>
      <c r="C227" s="1">
        <v>45876</v>
      </c>
      <c r="D227" t="s">
        <v>13</v>
      </c>
      <c r="E227" t="s">
        <v>19</v>
      </c>
      <c r="F227" t="s">
        <v>15</v>
      </c>
      <c r="G227" t="s">
        <v>20</v>
      </c>
      <c r="H227" t="s">
        <v>30</v>
      </c>
      <c r="I227">
        <v>8</v>
      </c>
      <c r="J227">
        <v>0.15</v>
      </c>
      <c r="K227">
        <v>40.75</v>
      </c>
      <c r="L227">
        <v>8.1</v>
      </c>
    </row>
    <row r="228" spans="1:12" x14ac:dyDescent="0.25">
      <c r="A228" t="s">
        <v>275</v>
      </c>
      <c r="B228" s="1">
        <v>45735</v>
      </c>
      <c r="C228" s="1">
        <v>45738</v>
      </c>
      <c r="D228" t="s">
        <v>13</v>
      </c>
      <c r="E228" t="s">
        <v>19</v>
      </c>
      <c r="F228" t="s">
        <v>29</v>
      </c>
      <c r="G228" t="s">
        <v>16</v>
      </c>
      <c r="H228" t="s">
        <v>63</v>
      </c>
      <c r="I228">
        <v>13</v>
      </c>
      <c r="J228">
        <v>0.05</v>
      </c>
      <c r="K228">
        <v>148.63999999999999</v>
      </c>
      <c r="L228">
        <v>10.35</v>
      </c>
    </row>
    <row r="229" spans="1:12" x14ac:dyDescent="0.25">
      <c r="A229" t="s">
        <v>276</v>
      </c>
      <c r="B229" s="1">
        <v>45533</v>
      </c>
      <c r="C229" s="1">
        <v>45536</v>
      </c>
      <c r="D229" t="s">
        <v>32</v>
      </c>
      <c r="E229" t="s">
        <v>33</v>
      </c>
      <c r="F229" t="s">
        <v>15</v>
      </c>
      <c r="G229" t="s">
        <v>26</v>
      </c>
      <c r="H229" t="s">
        <v>39</v>
      </c>
      <c r="I229">
        <v>2</v>
      </c>
      <c r="J229">
        <v>0.2</v>
      </c>
      <c r="K229">
        <v>278.97000000000003</v>
      </c>
      <c r="L229">
        <v>7</v>
      </c>
    </row>
    <row r="230" spans="1:12" x14ac:dyDescent="0.25">
      <c r="A230" t="s">
        <v>277</v>
      </c>
      <c r="B230" s="1">
        <v>45325</v>
      </c>
      <c r="C230" s="1">
        <v>45326</v>
      </c>
      <c r="D230" t="s">
        <v>13</v>
      </c>
      <c r="E230" t="s">
        <v>19</v>
      </c>
      <c r="F230" t="s">
        <v>15</v>
      </c>
      <c r="G230" t="s">
        <v>20</v>
      </c>
      <c r="H230" t="s">
        <v>37</v>
      </c>
      <c r="I230">
        <v>4</v>
      </c>
      <c r="J230">
        <v>0</v>
      </c>
      <c r="K230">
        <v>374.67</v>
      </c>
      <c r="L230">
        <v>8.2200000000000006</v>
      </c>
    </row>
    <row r="231" spans="1:12" x14ac:dyDescent="0.25">
      <c r="A231" t="s">
        <v>278</v>
      </c>
      <c r="B231" s="1">
        <v>45419</v>
      </c>
      <c r="C231" s="1">
        <v>45424</v>
      </c>
      <c r="D231" t="s">
        <v>23</v>
      </c>
      <c r="E231" t="s">
        <v>59</v>
      </c>
      <c r="F231" t="s">
        <v>29</v>
      </c>
      <c r="G231" t="s">
        <v>26</v>
      </c>
      <c r="H231" t="s">
        <v>53</v>
      </c>
      <c r="I231">
        <v>4</v>
      </c>
      <c r="J231">
        <v>0.05</v>
      </c>
      <c r="K231">
        <v>222.97</v>
      </c>
      <c r="L231">
        <v>5.7</v>
      </c>
    </row>
    <row r="232" spans="1:12" x14ac:dyDescent="0.25">
      <c r="A232" t="s">
        <v>279</v>
      </c>
      <c r="B232" s="1">
        <v>45525</v>
      </c>
      <c r="C232" s="1">
        <v>45526</v>
      </c>
      <c r="D232" t="s">
        <v>32</v>
      </c>
      <c r="E232" t="s">
        <v>33</v>
      </c>
      <c r="F232" t="s">
        <v>15</v>
      </c>
      <c r="G232" t="s">
        <v>16</v>
      </c>
      <c r="H232" t="s">
        <v>41</v>
      </c>
      <c r="I232">
        <v>10</v>
      </c>
      <c r="J232">
        <v>0</v>
      </c>
      <c r="K232">
        <v>57.33</v>
      </c>
      <c r="L232">
        <v>5.4</v>
      </c>
    </row>
    <row r="233" spans="1:12" x14ac:dyDescent="0.25">
      <c r="A233" t="s">
        <v>280</v>
      </c>
      <c r="B233" s="1">
        <v>45881</v>
      </c>
      <c r="C233" s="1">
        <v>45885</v>
      </c>
      <c r="D233" t="s">
        <v>32</v>
      </c>
      <c r="E233" t="s">
        <v>45</v>
      </c>
      <c r="F233" t="s">
        <v>15</v>
      </c>
      <c r="G233" t="s">
        <v>16</v>
      </c>
      <c r="H233" t="s">
        <v>30</v>
      </c>
      <c r="I233">
        <v>4</v>
      </c>
      <c r="J233">
        <v>0</v>
      </c>
      <c r="K233">
        <v>24</v>
      </c>
      <c r="L233">
        <v>6.3</v>
      </c>
    </row>
    <row r="234" spans="1:12" x14ac:dyDescent="0.25">
      <c r="A234" t="s">
        <v>281</v>
      </c>
      <c r="B234" s="1">
        <v>45428</v>
      </c>
      <c r="C234" s="1">
        <v>45433</v>
      </c>
      <c r="D234" t="s">
        <v>13</v>
      </c>
      <c r="E234" t="s">
        <v>36</v>
      </c>
      <c r="F234" t="s">
        <v>29</v>
      </c>
      <c r="G234" t="s">
        <v>20</v>
      </c>
      <c r="H234" t="s">
        <v>65</v>
      </c>
      <c r="I234">
        <v>3</v>
      </c>
      <c r="J234">
        <v>0</v>
      </c>
      <c r="K234">
        <v>857</v>
      </c>
      <c r="L234">
        <v>6.84</v>
      </c>
    </row>
    <row r="235" spans="1:12" x14ac:dyDescent="0.25">
      <c r="A235" t="s">
        <v>282</v>
      </c>
      <c r="B235" s="1">
        <v>45528</v>
      </c>
      <c r="C235" s="1">
        <v>45533</v>
      </c>
      <c r="D235" t="s">
        <v>32</v>
      </c>
      <c r="E235" t="s">
        <v>33</v>
      </c>
      <c r="F235" t="s">
        <v>29</v>
      </c>
      <c r="G235" t="s">
        <v>20</v>
      </c>
      <c r="H235" t="s">
        <v>63</v>
      </c>
      <c r="I235">
        <v>16</v>
      </c>
      <c r="J235">
        <v>0</v>
      </c>
      <c r="K235">
        <v>177.53</v>
      </c>
      <c r="L235">
        <v>7.02</v>
      </c>
    </row>
    <row r="236" spans="1:12" x14ac:dyDescent="0.25">
      <c r="A236" t="s">
        <v>283</v>
      </c>
      <c r="B236" s="1">
        <v>45427</v>
      </c>
      <c r="C236" s="1">
        <v>45432</v>
      </c>
      <c r="D236" t="s">
        <v>47</v>
      </c>
      <c r="E236" t="s">
        <v>50</v>
      </c>
      <c r="F236" t="s">
        <v>25</v>
      </c>
      <c r="G236" t="s">
        <v>26</v>
      </c>
      <c r="H236" t="s">
        <v>68</v>
      </c>
      <c r="I236">
        <v>1</v>
      </c>
      <c r="J236">
        <v>0</v>
      </c>
      <c r="K236">
        <v>53.09</v>
      </c>
      <c r="L236">
        <v>3.45</v>
      </c>
    </row>
    <row r="237" spans="1:12" x14ac:dyDescent="0.25">
      <c r="A237" t="s">
        <v>284</v>
      </c>
      <c r="B237" s="1">
        <v>45349</v>
      </c>
      <c r="C237" s="1">
        <v>45355</v>
      </c>
      <c r="D237" t="s">
        <v>47</v>
      </c>
      <c r="E237" t="s">
        <v>50</v>
      </c>
      <c r="F237" t="s">
        <v>15</v>
      </c>
      <c r="G237" t="s">
        <v>26</v>
      </c>
      <c r="H237" t="s">
        <v>60</v>
      </c>
      <c r="I237">
        <v>1</v>
      </c>
      <c r="J237">
        <v>0</v>
      </c>
      <c r="K237">
        <v>101.23</v>
      </c>
      <c r="L237">
        <v>5.75</v>
      </c>
    </row>
    <row r="238" spans="1:12" x14ac:dyDescent="0.25">
      <c r="A238" t="s">
        <v>285</v>
      </c>
      <c r="B238" s="1">
        <v>45929</v>
      </c>
      <c r="C238" s="1">
        <v>45935</v>
      </c>
      <c r="D238" t="s">
        <v>13</v>
      </c>
      <c r="E238" t="s">
        <v>36</v>
      </c>
      <c r="F238" t="s">
        <v>25</v>
      </c>
      <c r="G238" t="s">
        <v>16</v>
      </c>
      <c r="H238" t="s">
        <v>27</v>
      </c>
      <c r="I238">
        <v>9</v>
      </c>
      <c r="J238">
        <v>0.1</v>
      </c>
      <c r="K238">
        <v>249.32</v>
      </c>
      <c r="L238">
        <v>5.13</v>
      </c>
    </row>
    <row r="239" spans="1:12" x14ac:dyDescent="0.25">
      <c r="A239" t="s">
        <v>286</v>
      </c>
      <c r="B239" s="1">
        <v>45358</v>
      </c>
      <c r="C239" s="1">
        <v>45361</v>
      </c>
      <c r="D239" t="s">
        <v>32</v>
      </c>
      <c r="E239" t="s">
        <v>45</v>
      </c>
      <c r="F239" t="s">
        <v>29</v>
      </c>
      <c r="G239" t="s">
        <v>16</v>
      </c>
      <c r="H239" t="s">
        <v>39</v>
      </c>
      <c r="I239">
        <v>4</v>
      </c>
      <c r="J239">
        <v>0.1</v>
      </c>
      <c r="K239">
        <v>623.67999999999995</v>
      </c>
      <c r="L239">
        <v>9.5</v>
      </c>
    </row>
    <row r="240" spans="1:12" x14ac:dyDescent="0.25">
      <c r="A240" t="s">
        <v>287</v>
      </c>
      <c r="B240" s="1">
        <v>45791</v>
      </c>
      <c r="C240" s="1">
        <v>45796</v>
      </c>
      <c r="D240" t="s">
        <v>47</v>
      </c>
      <c r="E240" t="s">
        <v>48</v>
      </c>
      <c r="F240" t="s">
        <v>25</v>
      </c>
      <c r="G240" t="s">
        <v>26</v>
      </c>
      <c r="H240" t="s">
        <v>65</v>
      </c>
      <c r="I240">
        <v>2</v>
      </c>
      <c r="J240">
        <v>0</v>
      </c>
      <c r="K240">
        <v>589.42999999999995</v>
      </c>
      <c r="L240">
        <v>9.1</v>
      </c>
    </row>
    <row r="241" spans="1:12" x14ac:dyDescent="0.25">
      <c r="A241" t="s">
        <v>288</v>
      </c>
      <c r="B241" s="1">
        <v>45584</v>
      </c>
      <c r="C241" s="1">
        <v>45588</v>
      </c>
      <c r="D241" t="s">
        <v>23</v>
      </c>
      <c r="E241" t="s">
        <v>59</v>
      </c>
      <c r="F241" t="s">
        <v>29</v>
      </c>
      <c r="G241" t="s">
        <v>16</v>
      </c>
      <c r="H241" t="s">
        <v>39</v>
      </c>
      <c r="I241">
        <v>3</v>
      </c>
      <c r="J241">
        <v>0</v>
      </c>
      <c r="K241">
        <v>669.63</v>
      </c>
      <c r="L241">
        <v>4.95</v>
      </c>
    </row>
    <row r="242" spans="1:12" x14ac:dyDescent="0.25">
      <c r="A242" t="s">
        <v>289</v>
      </c>
      <c r="B242" s="1">
        <v>45965</v>
      </c>
      <c r="C242" s="1">
        <v>45968</v>
      </c>
      <c r="D242" t="s">
        <v>23</v>
      </c>
      <c r="E242" t="s">
        <v>43</v>
      </c>
      <c r="F242" t="s">
        <v>15</v>
      </c>
      <c r="G242" t="s">
        <v>20</v>
      </c>
      <c r="H242" t="s">
        <v>17</v>
      </c>
      <c r="I242">
        <v>3</v>
      </c>
      <c r="J242">
        <v>0.05</v>
      </c>
      <c r="K242">
        <v>473.62</v>
      </c>
      <c r="L242">
        <v>4.95</v>
      </c>
    </row>
    <row r="243" spans="1:12" x14ac:dyDescent="0.25">
      <c r="A243" t="s">
        <v>290</v>
      </c>
      <c r="B243" s="1">
        <v>45913</v>
      </c>
      <c r="C243" s="1">
        <v>45915</v>
      </c>
      <c r="D243" t="s">
        <v>13</v>
      </c>
      <c r="E243" t="s">
        <v>19</v>
      </c>
      <c r="F243" t="s">
        <v>25</v>
      </c>
      <c r="G243" t="s">
        <v>26</v>
      </c>
      <c r="H243" t="s">
        <v>27</v>
      </c>
      <c r="I243">
        <v>14</v>
      </c>
      <c r="J243">
        <v>0.25</v>
      </c>
      <c r="K243">
        <v>303.95</v>
      </c>
      <c r="L243">
        <v>6.48</v>
      </c>
    </row>
    <row r="244" spans="1:12" x14ac:dyDescent="0.25">
      <c r="A244" t="s">
        <v>291</v>
      </c>
      <c r="B244" s="1">
        <v>45523</v>
      </c>
      <c r="C244" s="1">
        <v>45527</v>
      </c>
      <c r="D244" t="s">
        <v>47</v>
      </c>
      <c r="E244" t="s">
        <v>71</v>
      </c>
      <c r="F244" t="s">
        <v>29</v>
      </c>
      <c r="G244" t="s">
        <v>20</v>
      </c>
      <c r="H244" t="s">
        <v>27</v>
      </c>
      <c r="I244">
        <v>8</v>
      </c>
      <c r="J244">
        <v>0</v>
      </c>
      <c r="K244">
        <v>216.53</v>
      </c>
      <c r="L244">
        <v>4.8600000000000003</v>
      </c>
    </row>
    <row r="245" spans="1:12" x14ac:dyDescent="0.25">
      <c r="A245" t="s">
        <v>292</v>
      </c>
      <c r="B245" s="1">
        <v>45440</v>
      </c>
      <c r="C245" s="1">
        <v>45445</v>
      </c>
      <c r="D245" t="s">
        <v>13</v>
      </c>
      <c r="E245" t="s">
        <v>36</v>
      </c>
      <c r="F245" t="s">
        <v>15</v>
      </c>
      <c r="G245" t="s">
        <v>16</v>
      </c>
      <c r="H245" t="s">
        <v>21</v>
      </c>
      <c r="I245">
        <v>3</v>
      </c>
      <c r="J245">
        <v>0</v>
      </c>
      <c r="K245">
        <v>333.4</v>
      </c>
      <c r="L245">
        <v>6.84</v>
      </c>
    </row>
    <row r="246" spans="1:12" x14ac:dyDescent="0.25">
      <c r="A246" t="s">
        <v>293</v>
      </c>
      <c r="B246" s="1">
        <v>46021</v>
      </c>
      <c r="C246" s="1">
        <v>46026</v>
      </c>
      <c r="D246" t="s">
        <v>32</v>
      </c>
      <c r="E246" t="s">
        <v>62</v>
      </c>
      <c r="F246" t="s">
        <v>25</v>
      </c>
      <c r="G246" t="s">
        <v>16</v>
      </c>
      <c r="H246" t="s">
        <v>51</v>
      </c>
      <c r="I246">
        <v>12</v>
      </c>
      <c r="J246">
        <v>0</v>
      </c>
      <c r="K246">
        <v>240.97</v>
      </c>
      <c r="L246">
        <v>9.9</v>
      </c>
    </row>
    <row r="247" spans="1:12" x14ac:dyDescent="0.25">
      <c r="A247" t="s">
        <v>294</v>
      </c>
      <c r="B247" s="1">
        <v>45960</v>
      </c>
      <c r="C247" s="1">
        <v>45966</v>
      </c>
      <c r="D247" t="s">
        <v>32</v>
      </c>
      <c r="E247" t="s">
        <v>45</v>
      </c>
      <c r="F247" t="s">
        <v>29</v>
      </c>
      <c r="G247" t="s">
        <v>20</v>
      </c>
      <c r="H247" t="s">
        <v>51</v>
      </c>
      <c r="I247">
        <v>5</v>
      </c>
      <c r="J247">
        <v>0</v>
      </c>
      <c r="K247">
        <v>87.21</v>
      </c>
      <c r="L247">
        <v>4.05</v>
      </c>
    </row>
    <row r="248" spans="1:12" x14ac:dyDescent="0.25">
      <c r="A248" t="s">
        <v>295</v>
      </c>
      <c r="B248" s="1">
        <v>45704</v>
      </c>
      <c r="C248" s="1">
        <v>45709</v>
      </c>
      <c r="D248" t="s">
        <v>47</v>
      </c>
      <c r="E248" t="s">
        <v>48</v>
      </c>
      <c r="F248" t="s">
        <v>29</v>
      </c>
      <c r="G248" t="s">
        <v>26</v>
      </c>
      <c r="H248" t="s">
        <v>21</v>
      </c>
      <c r="I248">
        <v>1</v>
      </c>
      <c r="J248">
        <v>0</v>
      </c>
      <c r="K248">
        <v>100.68</v>
      </c>
      <c r="L248">
        <v>4.08</v>
      </c>
    </row>
    <row r="249" spans="1:12" x14ac:dyDescent="0.25">
      <c r="A249" t="s">
        <v>296</v>
      </c>
      <c r="B249" s="1">
        <v>45546</v>
      </c>
      <c r="C249" s="1">
        <v>45548</v>
      </c>
      <c r="D249" t="s">
        <v>13</v>
      </c>
      <c r="E249" t="s">
        <v>19</v>
      </c>
      <c r="F249" t="s">
        <v>25</v>
      </c>
      <c r="G249" t="s">
        <v>26</v>
      </c>
      <c r="H249" t="s">
        <v>30</v>
      </c>
      <c r="I249">
        <v>11</v>
      </c>
      <c r="J249">
        <v>0.15</v>
      </c>
      <c r="K249">
        <v>58.44</v>
      </c>
      <c r="L249">
        <v>5.67</v>
      </c>
    </row>
    <row r="250" spans="1:12" x14ac:dyDescent="0.25">
      <c r="A250" t="s">
        <v>297</v>
      </c>
      <c r="B250" s="1">
        <v>45382</v>
      </c>
      <c r="C250" s="1">
        <v>45386</v>
      </c>
      <c r="D250" t="s">
        <v>13</v>
      </c>
      <c r="E250" t="s">
        <v>36</v>
      </c>
      <c r="F250" t="s">
        <v>29</v>
      </c>
      <c r="G250" t="s">
        <v>26</v>
      </c>
      <c r="H250" t="s">
        <v>21</v>
      </c>
      <c r="I250">
        <v>2</v>
      </c>
      <c r="J250">
        <v>0</v>
      </c>
      <c r="K250">
        <v>204.69</v>
      </c>
      <c r="L250">
        <v>9.1</v>
      </c>
    </row>
    <row r="251" spans="1:12" x14ac:dyDescent="0.25">
      <c r="A251" t="s">
        <v>298</v>
      </c>
      <c r="B251" s="1">
        <v>45880</v>
      </c>
      <c r="C251" s="1">
        <v>45882</v>
      </c>
      <c r="D251" t="s">
        <v>13</v>
      </c>
      <c r="E251" t="s">
        <v>36</v>
      </c>
      <c r="F251" t="s">
        <v>25</v>
      </c>
      <c r="G251" t="s">
        <v>26</v>
      </c>
      <c r="H251" t="s">
        <v>30</v>
      </c>
      <c r="I251">
        <v>5</v>
      </c>
      <c r="J251">
        <v>0</v>
      </c>
      <c r="K251">
        <v>27.29</v>
      </c>
      <c r="L251">
        <v>4.05</v>
      </c>
    </row>
    <row r="252" spans="1:12" x14ac:dyDescent="0.25">
      <c r="A252" t="s">
        <v>299</v>
      </c>
      <c r="B252" s="1">
        <v>45994</v>
      </c>
      <c r="C252" s="1">
        <v>46000</v>
      </c>
      <c r="D252" t="s">
        <v>47</v>
      </c>
      <c r="E252" t="s">
        <v>50</v>
      </c>
      <c r="F252" t="s">
        <v>15</v>
      </c>
      <c r="G252" t="s">
        <v>20</v>
      </c>
      <c r="H252" t="s">
        <v>21</v>
      </c>
      <c r="I252">
        <v>4</v>
      </c>
      <c r="J252">
        <v>0</v>
      </c>
      <c r="K252">
        <v>640.98</v>
      </c>
      <c r="L252">
        <v>13.7</v>
      </c>
    </row>
    <row r="253" spans="1:12" x14ac:dyDescent="0.25">
      <c r="A253" t="s">
        <v>300</v>
      </c>
      <c r="B253" s="1">
        <v>45654</v>
      </c>
      <c r="C253" s="1">
        <v>45659</v>
      </c>
      <c r="D253" t="s">
        <v>23</v>
      </c>
      <c r="E253" t="s">
        <v>24</v>
      </c>
      <c r="F253" t="s">
        <v>15</v>
      </c>
      <c r="G253" t="s">
        <v>20</v>
      </c>
      <c r="H253" t="s">
        <v>17</v>
      </c>
      <c r="I253">
        <v>1</v>
      </c>
      <c r="J253">
        <v>0</v>
      </c>
      <c r="K253">
        <v>179.55</v>
      </c>
      <c r="L253">
        <v>3.45</v>
      </c>
    </row>
    <row r="254" spans="1:12" x14ac:dyDescent="0.25">
      <c r="A254" t="s">
        <v>301</v>
      </c>
      <c r="B254" s="1">
        <v>46020</v>
      </c>
      <c r="C254" s="1">
        <v>46022</v>
      </c>
      <c r="D254" t="s">
        <v>23</v>
      </c>
      <c r="E254" t="s">
        <v>59</v>
      </c>
      <c r="F254" t="s">
        <v>29</v>
      </c>
      <c r="G254" t="s">
        <v>16</v>
      </c>
      <c r="H254" t="s">
        <v>51</v>
      </c>
      <c r="I254">
        <v>14</v>
      </c>
      <c r="J254">
        <v>0</v>
      </c>
      <c r="K254">
        <v>304.69</v>
      </c>
      <c r="L254">
        <v>10.8</v>
      </c>
    </row>
    <row r="255" spans="1:12" x14ac:dyDescent="0.25">
      <c r="A255" t="s">
        <v>302</v>
      </c>
      <c r="B255" s="1">
        <v>45407</v>
      </c>
      <c r="C255" s="1">
        <v>45410</v>
      </c>
      <c r="D255" t="s">
        <v>13</v>
      </c>
      <c r="E255" t="s">
        <v>14</v>
      </c>
      <c r="F255" t="s">
        <v>29</v>
      </c>
      <c r="G255" t="s">
        <v>20</v>
      </c>
      <c r="H255" t="s">
        <v>68</v>
      </c>
      <c r="I255">
        <v>3</v>
      </c>
      <c r="J255">
        <v>0.05</v>
      </c>
      <c r="K255">
        <v>151.05000000000001</v>
      </c>
      <c r="L255">
        <v>4.95</v>
      </c>
    </row>
    <row r="256" spans="1:12" x14ac:dyDescent="0.25">
      <c r="A256" t="s">
        <v>303</v>
      </c>
      <c r="B256" s="1">
        <v>45875</v>
      </c>
      <c r="C256" s="1">
        <v>45878</v>
      </c>
      <c r="D256" t="s">
        <v>23</v>
      </c>
      <c r="E256" t="s">
        <v>43</v>
      </c>
      <c r="F256" t="s">
        <v>25</v>
      </c>
      <c r="G256" t="s">
        <v>26</v>
      </c>
      <c r="H256" t="s">
        <v>63</v>
      </c>
      <c r="I256">
        <v>13</v>
      </c>
      <c r="J256">
        <v>0</v>
      </c>
      <c r="K256">
        <v>159.1</v>
      </c>
      <c r="L256">
        <v>10.35</v>
      </c>
    </row>
    <row r="257" spans="1:12" x14ac:dyDescent="0.25">
      <c r="A257" t="s">
        <v>304</v>
      </c>
      <c r="B257" s="1">
        <v>45804</v>
      </c>
      <c r="C257" s="1">
        <v>45810</v>
      </c>
      <c r="D257" t="s">
        <v>47</v>
      </c>
      <c r="E257" t="s">
        <v>50</v>
      </c>
      <c r="F257" t="s">
        <v>15</v>
      </c>
      <c r="G257" t="s">
        <v>16</v>
      </c>
      <c r="H257" t="s">
        <v>51</v>
      </c>
      <c r="I257">
        <v>7</v>
      </c>
      <c r="J257">
        <v>0.1</v>
      </c>
      <c r="K257">
        <v>90.74</v>
      </c>
      <c r="L257">
        <v>4.59</v>
      </c>
    </row>
    <row r="258" spans="1:12" x14ac:dyDescent="0.25">
      <c r="A258" t="s">
        <v>305</v>
      </c>
      <c r="B258" s="1">
        <v>45953</v>
      </c>
      <c r="C258" s="1">
        <v>45954</v>
      </c>
      <c r="D258" t="s">
        <v>13</v>
      </c>
      <c r="E258" t="s">
        <v>19</v>
      </c>
      <c r="F258" t="s">
        <v>29</v>
      </c>
      <c r="G258" t="s">
        <v>20</v>
      </c>
      <c r="H258" t="s">
        <v>37</v>
      </c>
      <c r="I258">
        <v>3</v>
      </c>
      <c r="J258">
        <v>0.15</v>
      </c>
      <c r="K258">
        <v>305.83999999999997</v>
      </c>
      <c r="L258">
        <v>6.84</v>
      </c>
    </row>
    <row r="259" spans="1:12" x14ac:dyDescent="0.25">
      <c r="A259" t="s">
        <v>306</v>
      </c>
      <c r="B259" s="1">
        <v>45418</v>
      </c>
      <c r="C259" s="1">
        <v>45424</v>
      </c>
      <c r="D259" t="s">
        <v>13</v>
      </c>
      <c r="E259" t="s">
        <v>14</v>
      </c>
      <c r="F259" t="s">
        <v>15</v>
      </c>
      <c r="G259" t="s">
        <v>20</v>
      </c>
      <c r="H259" t="s">
        <v>37</v>
      </c>
      <c r="I259">
        <v>3</v>
      </c>
      <c r="J259">
        <v>0</v>
      </c>
      <c r="K259">
        <v>347.25</v>
      </c>
      <c r="L259">
        <v>6.84</v>
      </c>
    </row>
    <row r="260" spans="1:12" x14ac:dyDescent="0.25">
      <c r="A260" t="s">
        <v>307</v>
      </c>
      <c r="B260" s="1">
        <v>45355</v>
      </c>
      <c r="C260" s="1">
        <v>45358</v>
      </c>
      <c r="D260" t="s">
        <v>13</v>
      </c>
      <c r="E260" t="s">
        <v>36</v>
      </c>
      <c r="F260" t="s">
        <v>15</v>
      </c>
      <c r="G260" t="s">
        <v>16</v>
      </c>
      <c r="H260" t="s">
        <v>21</v>
      </c>
      <c r="I260">
        <v>4</v>
      </c>
      <c r="J260">
        <v>0.05</v>
      </c>
      <c r="K260">
        <v>384.91</v>
      </c>
      <c r="L260">
        <v>13.7</v>
      </c>
    </row>
    <row r="261" spans="1:12" x14ac:dyDescent="0.25">
      <c r="A261" t="s">
        <v>308</v>
      </c>
      <c r="B261" s="1">
        <v>45434</v>
      </c>
      <c r="C261" s="1">
        <v>45438</v>
      </c>
      <c r="D261" t="s">
        <v>23</v>
      </c>
      <c r="E261" t="s">
        <v>43</v>
      </c>
      <c r="F261" t="s">
        <v>29</v>
      </c>
      <c r="G261" t="s">
        <v>16</v>
      </c>
      <c r="H261" t="s">
        <v>39</v>
      </c>
      <c r="I261">
        <v>1</v>
      </c>
      <c r="J261">
        <v>0</v>
      </c>
      <c r="K261">
        <v>205.39</v>
      </c>
      <c r="L261">
        <v>3.45</v>
      </c>
    </row>
    <row r="262" spans="1:12" x14ac:dyDescent="0.25">
      <c r="A262" t="s">
        <v>309</v>
      </c>
      <c r="B262" s="1">
        <v>45527</v>
      </c>
      <c r="C262" s="1">
        <v>45530</v>
      </c>
      <c r="D262" t="s">
        <v>32</v>
      </c>
      <c r="E262" t="s">
        <v>62</v>
      </c>
      <c r="F262" t="s">
        <v>29</v>
      </c>
      <c r="G262" t="s">
        <v>16</v>
      </c>
      <c r="H262" t="s">
        <v>17</v>
      </c>
      <c r="I262">
        <v>3</v>
      </c>
      <c r="J262">
        <v>0</v>
      </c>
      <c r="K262">
        <v>352.7</v>
      </c>
      <c r="L262">
        <v>8.25</v>
      </c>
    </row>
    <row r="263" spans="1:12" x14ac:dyDescent="0.25">
      <c r="A263" t="s">
        <v>310</v>
      </c>
      <c r="B263" s="1">
        <v>45679</v>
      </c>
      <c r="C263" s="1">
        <v>45681</v>
      </c>
      <c r="D263" t="s">
        <v>13</v>
      </c>
      <c r="E263" t="s">
        <v>19</v>
      </c>
      <c r="F263" t="s">
        <v>15</v>
      </c>
      <c r="G263" t="s">
        <v>16</v>
      </c>
      <c r="H263" t="s">
        <v>30</v>
      </c>
      <c r="I263">
        <v>14</v>
      </c>
      <c r="J263">
        <v>0</v>
      </c>
      <c r="K263">
        <v>74.81</v>
      </c>
      <c r="L263">
        <v>6.48</v>
      </c>
    </row>
    <row r="264" spans="1:12" x14ac:dyDescent="0.25">
      <c r="A264" t="s">
        <v>311</v>
      </c>
      <c r="B264" s="1">
        <v>45907</v>
      </c>
      <c r="C264" s="1">
        <v>45913</v>
      </c>
      <c r="D264" t="s">
        <v>13</v>
      </c>
      <c r="E264" t="s">
        <v>14</v>
      </c>
      <c r="F264" t="s">
        <v>25</v>
      </c>
      <c r="G264" t="s">
        <v>26</v>
      </c>
      <c r="H264" t="s">
        <v>21</v>
      </c>
      <c r="I264">
        <v>4</v>
      </c>
      <c r="J264">
        <v>0</v>
      </c>
      <c r="K264">
        <v>507.75</v>
      </c>
      <c r="L264">
        <v>8.2200000000000006</v>
      </c>
    </row>
    <row r="265" spans="1:12" x14ac:dyDescent="0.25">
      <c r="A265" t="s">
        <v>312</v>
      </c>
      <c r="B265" s="1">
        <v>45720</v>
      </c>
      <c r="C265" s="1">
        <v>45723</v>
      </c>
      <c r="D265" t="s">
        <v>47</v>
      </c>
      <c r="E265" t="s">
        <v>50</v>
      </c>
      <c r="F265" t="s">
        <v>15</v>
      </c>
      <c r="G265" t="s">
        <v>20</v>
      </c>
      <c r="H265" t="s">
        <v>53</v>
      </c>
      <c r="I265">
        <v>1</v>
      </c>
      <c r="J265">
        <v>0.25</v>
      </c>
      <c r="K265">
        <v>38.090000000000003</v>
      </c>
      <c r="L265">
        <v>5.75</v>
      </c>
    </row>
    <row r="266" spans="1:12" x14ac:dyDescent="0.25">
      <c r="A266" t="s">
        <v>313</v>
      </c>
      <c r="B266" s="1">
        <v>45989</v>
      </c>
      <c r="C266" s="1">
        <v>45993</v>
      </c>
      <c r="D266" t="s">
        <v>13</v>
      </c>
      <c r="E266" t="s">
        <v>36</v>
      </c>
      <c r="F266" t="s">
        <v>29</v>
      </c>
      <c r="G266" t="s">
        <v>16</v>
      </c>
      <c r="H266" t="s">
        <v>34</v>
      </c>
      <c r="I266">
        <v>1</v>
      </c>
      <c r="J266">
        <v>0.1</v>
      </c>
      <c r="K266">
        <v>248.18</v>
      </c>
      <c r="L266">
        <v>6.8</v>
      </c>
    </row>
    <row r="267" spans="1:12" x14ac:dyDescent="0.25">
      <c r="A267" t="s">
        <v>314</v>
      </c>
      <c r="B267" s="1">
        <v>45972</v>
      </c>
      <c r="C267" s="1">
        <v>45975</v>
      </c>
      <c r="D267" t="s">
        <v>13</v>
      </c>
      <c r="E267" t="s">
        <v>14</v>
      </c>
      <c r="F267" t="s">
        <v>15</v>
      </c>
      <c r="G267" t="s">
        <v>26</v>
      </c>
      <c r="H267" t="s">
        <v>68</v>
      </c>
      <c r="I267">
        <v>1</v>
      </c>
      <c r="J267">
        <v>0</v>
      </c>
      <c r="K267">
        <v>65.930000000000007</v>
      </c>
      <c r="L267">
        <v>5.75</v>
      </c>
    </row>
    <row r="268" spans="1:12" x14ac:dyDescent="0.25">
      <c r="A268" t="s">
        <v>315</v>
      </c>
      <c r="B268" s="1">
        <v>45793</v>
      </c>
      <c r="C268" s="1">
        <v>45795</v>
      </c>
      <c r="D268" t="s">
        <v>32</v>
      </c>
      <c r="E268" t="s">
        <v>33</v>
      </c>
      <c r="F268" t="s">
        <v>29</v>
      </c>
      <c r="G268" t="s">
        <v>20</v>
      </c>
      <c r="H268" t="s">
        <v>87</v>
      </c>
      <c r="I268">
        <v>6</v>
      </c>
      <c r="J268">
        <v>0.15</v>
      </c>
      <c r="K268">
        <v>44.91</v>
      </c>
      <c r="L268">
        <v>7.2</v>
      </c>
    </row>
    <row r="269" spans="1:12" x14ac:dyDescent="0.25">
      <c r="A269" t="s">
        <v>316</v>
      </c>
      <c r="B269" s="1">
        <v>45681</v>
      </c>
      <c r="C269" s="1">
        <v>45685</v>
      </c>
      <c r="D269" t="s">
        <v>13</v>
      </c>
      <c r="E269" t="s">
        <v>19</v>
      </c>
      <c r="F269" t="s">
        <v>29</v>
      </c>
      <c r="G269" t="s">
        <v>20</v>
      </c>
      <c r="H269" t="s">
        <v>60</v>
      </c>
      <c r="I269">
        <v>2</v>
      </c>
      <c r="J269">
        <v>0.1</v>
      </c>
      <c r="K269">
        <v>174.33</v>
      </c>
      <c r="L269">
        <v>7</v>
      </c>
    </row>
    <row r="270" spans="1:12" x14ac:dyDescent="0.25">
      <c r="A270" t="s">
        <v>317</v>
      </c>
      <c r="B270" s="1">
        <v>45362</v>
      </c>
      <c r="C270" s="1">
        <v>45366</v>
      </c>
      <c r="D270" t="s">
        <v>47</v>
      </c>
      <c r="E270" t="s">
        <v>71</v>
      </c>
      <c r="F270" t="s">
        <v>25</v>
      </c>
      <c r="G270" t="s">
        <v>20</v>
      </c>
      <c r="H270" t="s">
        <v>39</v>
      </c>
      <c r="I270">
        <v>4</v>
      </c>
      <c r="J270">
        <v>0.25</v>
      </c>
      <c r="K270">
        <v>516.13</v>
      </c>
      <c r="L270">
        <v>9.5</v>
      </c>
    </row>
    <row r="271" spans="1:12" x14ac:dyDescent="0.25">
      <c r="A271" t="s">
        <v>318</v>
      </c>
      <c r="B271" s="1">
        <v>45991</v>
      </c>
      <c r="C271" s="1">
        <v>45997</v>
      </c>
      <c r="D271" t="s">
        <v>13</v>
      </c>
      <c r="E271" t="s">
        <v>36</v>
      </c>
      <c r="F271" t="s">
        <v>25</v>
      </c>
      <c r="G271" t="s">
        <v>16</v>
      </c>
      <c r="H271" t="s">
        <v>17</v>
      </c>
      <c r="I271">
        <v>3</v>
      </c>
      <c r="J271">
        <v>0.25</v>
      </c>
      <c r="K271">
        <v>390.74</v>
      </c>
      <c r="L271">
        <v>4.95</v>
      </c>
    </row>
    <row r="272" spans="1:12" x14ac:dyDescent="0.25">
      <c r="A272" t="s">
        <v>319</v>
      </c>
      <c r="B272" s="1">
        <v>45591</v>
      </c>
      <c r="C272" s="1">
        <v>45592</v>
      </c>
      <c r="D272" t="s">
        <v>32</v>
      </c>
      <c r="E272" t="s">
        <v>33</v>
      </c>
      <c r="F272" t="s">
        <v>15</v>
      </c>
      <c r="G272" t="s">
        <v>16</v>
      </c>
      <c r="H272" t="s">
        <v>60</v>
      </c>
      <c r="I272">
        <v>1</v>
      </c>
      <c r="J272">
        <v>0</v>
      </c>
      <c r="K272">
        <v>123.53</v>
      </c>
      <c r="L272">
        <v>5.75</v>
      </c>
    </row>
    <row r="273" spans="1:12" x14ac:dyDescent="0.25">
      <c r="A273" t="s">
        <v>320</v>
      </c>
      <c r="B273" s="1">
        <v>45986</v>
      </c>
      <c r="C273" s="1">
        <v>45992</v>
      </c>
      <c r="D273" t="s">
        <v>32</v>
      </c>
      <c r="E273" t="s">
        <v>33</v>
      </c>
      <c r="F273" t="s">
        <v>15</v>
      </c>
      <c r="G273" t="s">
        <v>20</v>
      </c>
      <c r="H273" t="s">
        <v>65</v>
      </c>
      <c r="I273">
        <v>1</v>
      </c>
      <c r="J273">
        <v>0.2</v>
      </c>
      <c r="K273">
        <v>312.44</v>
      </c>
      <c r="L273">
        <v>4.08</v>
      </c>
    </row>
    <row r="274" spans="1:12" x14ac:dyDescent="0.25">
      <c r="A274" t="s">
        <v>321</v>
      </c>
      <c r="B274" s="1">
        <v>45813</v>
      </c>
      <c r="C274" s="1">
        <v>45818</v>
      </c>
      <c r="D274" t="s">
        <v>13</v>
      </c>
      <c r="E274" t="s">
        <v>19</v>
      </c>
      <c r="F274" t="s">
        <v>25</v>
      </c>
      <c r="G274" t="s">
        <v>20</v>
      </c>
      <c r="H274" t="s">
        <v>37</v>
      </c>
      <c r="I274">
        <v>4</v>
      </c>
      <c r="J274">
        <v>0</v>
      </c>
      <c r="K274">
        <v>451.72</v>
      </c>
      <c r="L274">
        <v>8.2200000000000006</v>
      </c>
    </row>
    <row r="275" spans="1:12" x14ac:dyDescent="0.25">
      <c r="A275" t="s">
        <v>322</v>
      </c>
      <c r="B275" s="1">
        <v>45693</v>
      </c>
      <c r="C275" s="1">
        <v>45696</v>
      </c>
      <c r="D275" t="s">
        <v>47</v>
      </c>
      <c r="E275" t="s">
        <v>48</v>
      </c>
      <c r="F275" t="s">
        <v>15</v>
      </c>
      <c r="G275" t="s">
        <v>20</v>
      </c>
      <c r="H275" t="s">
        <v>53</v>
      </c>
      <c r="I275">
        <v>3</v>
      </c>
      <c r="J275">
        <v>0</v>
      </c>
      <c r="K275">
        <v>144.91999999999999</v>
      </c>
      <c r="L275">
        <v>8.25</v>
      </c>
    </row>
    <row r="276" spans="1:12" x14ac:dyDescent="0.25">
      <c r="A276" t="s">
        <v>323</v>
      </c>
      <c r="B276" s="1">
        <v>45923</v>
      </c>
      <c r="C276" s="1">
        <v>45929</v>
      </c>
      <c r="D276" t="s">
        <v>47</v>
      </c>
      <c r="E276" t="s">
        <v>50</v>
      </c>
      <c r="F276" t="s">
        <v>25</v>
      </c>
      <c r="G276" t="s">
        <v>20</v>
      </c>
      <c r="H276" t="s">
        <v>60</v>
      </c>
      <c r="I276">
        <v>2</v>
      </c>
      <c r="J276">
        <v>0.2</v>
      </c>
      <c r="K276">
        <v>186.26</v>
      </c>
      <c r="L276">
        <v>7</v>
      </c>
    </row>
    <row r="277" spans="1:12" x14ac:dyDescent="0.25">
      <c r="A277" t="s">
        <v>324</v>
      </c>
      <c r="B277" s="1">
        <v>45504</v>
      </c>
      <c r="C277" s="1">
        <v>45505</v>
      </c>
      <c r="D277" t="s">
        <v>32</v>
      </c>
      <c r="E277" t="s">
        <v>33</v>
      </c>
      <c r="F277" t="s">
        <v>25</v>
      </c>
      <c r="G277" t="s">
        <v>16</v>
      </c>
      <c r="H277" t="s">
        <v>21</v>
      </c>
      <c r="I277">
        <v>3</v>
      </c>
      <c r="J277">
        <v>0</v>
      </c>
      <c r="K277">
        <v>295.58</v>
      </c>
      <c r="L277">
        <v>6.84</v>
      </c>
    </row>
    <row r="278" spans="1:12" x14ac:dyDescent="0.25">
      <c r="A278" t="s">
        <v>325</v>
      </c>
      <c r="B278" s="1">
        <v>45749</v>
      </c>
      <c r="C278" s="1">
        <v>45751</v>
      </c>
      <c r="D278" t="s">
        <v>47</v>
      </c>
      <c r="E278" t="s">
        <v>48</v>
      </c>
      <c r="F278" t="s">
        <v>25</v>
      </c>
      <c r="G278" t="s">
        <v>16</v>
      </c>
      <c r="H278" t="s">
        <v>21</v>
      </c>
      <c r="I278">
        <v>4</v>
      </c>
      <c r="J278">
        <v>0.05</v>
      </c>
      <c r="K278">
        <v>427.15</v>
      </c>
      <c r="L278">
        <v>13.7</v>
      </c>
    </row>
    <row r="279" spans="1:12" x14ac:dyDescent="0.25">
      <c r="A279" t="s">
        <v>326</v>
      </c>
      <c r="B279" s="1">
        <v>45663</v>
      </c>
      <c r="C279" s="1">
        <v>45668</v>
      </c>
      <c r="D279" t="s">
        <v>47</v>
      </c>
      <c r="E279" t="s">
        <v>48</v>
      </c>
      <c r="F279" t="s">
        <v>29</v>
      </c>
      <c r="G279" t="s">
        <v>20</v>
      </c>
      <c r="H279" t="s">
        <v>37</v>
      </c>
      <c r="I279">
        <v>1</v>
      </c>
      <c r="J279">
        <v>0</v>
      </c>
      <c r="K279">
        <v>92.61</v>
      </c>
      <c r="L279">
        <v>4.08</v>
      </c>
    </row>
    <row r="280" spans="1:12" x14ac:dyDescent="0.25">
      <c r="A280" t="s">
        <v>327</v>
      </c>
      <c r="B280" s="1">
        <v>45916</v>
      </c>
      <c r="C280" s="1">
        <v>45919</v>
      </c>
      <c r="D280" t="s">
        <v>13</v>
      </c>
      <c r="E280" t="s">
        <v>36</v>
      </c>
      <c r="F280" t="s">
        <v>29</v>
      </c>
      <c r="G280" t="s">
        <v>26</v>
      </c>
      <c r="H280" t="s">
        <v>68</v>
      </c>
      <c r="I280">
        <v>1</v>
      </c>
      <c r="J280">
        <v>0.05</v>
      </c>
      <c r="K280">
        <v>50.22</v>
      </c>
      <c r="L280">
        <v>3.45</v>
      </c>
    </row>
    <row r="281" spans="1:12" x14ac:dyDescent="0.25">
      <c r="A281" t="s">
        <v>328</v>
      </c>
      <c r="B281" s="1">
        <v>46002</v>
      </c>
      <c r="C281" s="1">
        <v>46004</v>
      </c>
      <c r="D281" t="s">
        <v>23</v>
      </c>
      <c r="E281" t="s">
        <v>24</v>
      </c>
      <c r="F281" t="s">
        <v>15</v>
      </c>
      <c r="G281" t="s">
        <v>20</v>
      </c>
      <c r="H281" t="s">
        <v>21</v>
      </c>
      <c r="I281">
        <v>1</v>
      </c>
      <c r="J281">
        <v>0</v>
      </c>
      <c r="K281">
        <v>153.72</v>
      </c>
      <c r="L281">
        <v>4.08</v>
      </c>
    </row>
    <row r="282" spans="1:12" x14ac:dyDescent="0.25">
      <c r="A282" t="s">
        <v>329</v>
      </c>
      <c r="B282" s="1">
        <v>45765</v>
      </c>
      <c r="C282" s="1">
        <v>45770</v>
      </c>
      <c r="D282" t="s">
        <v>13</v>
      </c>
      <c r="E282" t="s">
        <v>19</v>
      </c>
      <c r="F282" t="s">
        <v>15</v>
      </c>
      <c r="G282" t="s">
        <v>16</v>
      </c>
      <c r="H282" t="s">
        <v>21</v>
      </c>
      <c r="I282">
        <v>1</v>
      </c>
      <c r="J282">
        <v>0</v>
      </c>
      <c r="K282">
        <v>109.51</v>
      </c>
      <c r="L282">
        <v>4.08</v>
      </c>
    </row>
    <row r="283" spans="1:12" x14ac:dyDescent="0.25">
      <c r="A283" t="s">
        <v>330</v>
      </c>
      <c r="B283" s="1">
        <v>45371</v>
      </c>
      <c r="C283" s="1">
        <v>45376</v>
      </c>
      <c r="D283" t="s">
        <v>23</v>
      </c>
      <c r="E283" t="s">
        <v>43</v>
      </c>
      <c r="F283" t="s">
        <v>25</v>
      </c>
      <c r="G283" t="s">
        <v>16</v>
      </c>
      <c r="H283" t="s">
        <v>87</v>
      </c>
      <c r="I283">
        <v>14</v>
      </c>
      <c r="J283">
        <v>0</v>
      </c>
      <c r="K283">
        <v>107.62</v>
      </c>
      <c r="L283">
        <v>6.48</v>
      </c>
    </row>
    <row r="284" spans="1:12" x14ac:dyDescent="0.25">
      <c r="A284" t="s">
        <v>331</v>
      </c>
      <c r="B284" s="1">
        <v>45412</v>
      </c>
      <c r="C284" s="1">
        <v>45415</v>
      </c>
      <c r="D284" t="s">
        <v>13</v>
      </c>
      <c r="E284" t="s">
        <v>36</v>
      </c>
      <c r="F284" t="s">
        <v>25</v>
      </c>
      <c r="G284" t="s">
        <v>26</v>
      </c>
      <c r="H284" t="s">
        <v>21</v>
      </c>
      <c r="I284">
        <v>2</v>
      </c>
      <c r="J284">
        <v>0.15</v>
      </c>
      <c r="K284">
        <v>195.12</v>
      </c>
      <c r="L284">
        <v>5.46</v>
      </c>
    </row>
    <row r="285" spans="1:12" x14ac:dyDescent="0.25">
      <c r="A285" t="s">
        <v>332</v>
      </c>
      <c r="B285" s="1">
        <v>45927</v>
      </c>
      <c r="C285" s="1">
        <v>45930</v>
      </c>
      <c r="D285" t="s">
        <v>47</v>
      </c>
      <c r="E285" t="s">
        <v>71</v>
      </c>
      <c r="F285" t="s">
        <v>25</v>
      </c>
      <c r="G285" t="s">
        <v>26</v>
      </c>
      <c r="H285" t="s">
        <v>37</v>
      </c>
      <c r="I285">
        <v>2</v>
      </c>
      <c r="J285">
        <v>0</v>
      </c>
      <c r="K285">
        <v>228.54</v>
      </c>
      <c r="L285">
        <v>5.46</v>
      </c>
    </row>
    <row r="286" spans="1:12" x14ac:dyDescent="0.25">
      <c r="A286" t="s">
        <v>333</v>
      </c>
      <c r="B286" s="1">
        <v>45876</v>
      </c>
      <c r="C286" s="1">
        <v>45880</v>
      </c>
      <c r="D286" t="s">
        <v>47</v>
      </c>
      <c r="E286" t="s">
        <v>71</v>
      </c>
      <c r="F286" t="s">
        <v>25</v>
      </c>
      <c r="G286" t="s">
        <v>16</v>
      </c>
      <c r="H286" t="s">
        <v>51</v>
      </c>
      <c r="I286">
        <v>6</v>
      </c>
      <c r="J286">
        <v>0.2</v>
      </c>
      <c r="K286">
        <v>65.489999999999995</v>
      </c>
      <c r="L286">
        <v>4.32</v>
      </c>
    </row>
    <row r="287" spans="1:12" x14ac:dyDescent="0.25">
      <c r="A287" t="s">
        <v>334</v>
      </c>
      <c r="B287" s="1">
        <v>45779</v>
      </c>
      <c r="C287" s="1">
        <v>45785</v>
      </c>
      <c r="D287" t="s">
        <v>47</v>
      </c>
      <c r="E287" t="s">
        <v>50</v>
      </c>
      <c r="F287" t="s">
        <v>25</v>
      </c>
      <c r="G287" t="s">
        <v>16</v>
      </c>
      <c r="H287" t="s">
        <v>27</v>
      </c>
      <c r="I287">
        <v>11</v>
      </c>
      <c r="J287">
        <v>0</v>
      </c>
      <c r="K287">
        <v>322.87</v>
      </c>
      <c r="L287">
        <v>5.67</v>
      </c>
    </row>
    <row r="288" spans="1:12" x14ac:dyDescent="0.25">
      <c r="A288" t="s">
        <v>335</v>
      </c>
      <c r="B288" s="1">
        <v>45386</v>
      </c>
      <c r="C288" s="1">
        <v>45387</v>
      </c>
      <c r="D288" t="s">
        <v>47</v>
      </c>
      <c r="E288" t="s">
        <v>50</v>
      </c>
      <c r="F288" t="s">
        <v>25</v>
      </c>
      <c r="G288" t="s">
        <v>26</v>
      </c>
      <c r="H288" t="s">
        <v>63</v>
      </c>
      <c r="I288">
        <v>6</v>
      </c>
      <c r="J288">
        <v>0.2</v>
      </c>
      <c r="K288">
        <v>59.01</v>
      </c>
      <c r="L288">
        <v>7.2</v>
      </c>
    </row>
    <row r="289" spans="1:12" x14ac:dyDescent="0.25">
      <c r="A289" t="s">
        <v>336</v>
      </c>
      <c r="B289" s="1">
        <v>45782</v>
      </c>
      <c r="C289" s="1">
        <v>45784</v>
      </c>
      <c r="D289" t="s">
        <v>32</v>
      </c>
      <c r="E289" t="s">
        <v>45</v>
      </c>
      <c r="F289" t="s">
        <v>29</v>
      </c>
      <c r="G289" t="s">
        <v>16</v>
      </c>
      <c r="H289" t="s">
        <v>87</v>
      </c>
      <c r="I289">
        <v>5</v>
      </c>
      <c r="J289">
        <v>0</v>
      </c>
      <c r="K289">
        <v>40.35</v>
      </c>
      <c r="L289">
        <v>4.05</v>
      </c>
    </row>
    <row r="290" spans="1:12" x14ac:dyDescent="0.25">
      <c r="A290" t="s">
        <v>337</v>
      </c>
      <c r="B290" s="1">
        <v>45446</v>
      </c>
      <c r="C290" s="1">
        <v>45451</v>
      </c>
      <c r="D290" t="s">
        <v>13</v>
      </c>
      <c r="E290" t="s">
        <v>14</v>
      </c>
      <c r="F290" t="s">
        <v>15</v>
      </c>
      <c r="G290" t="s">
        <v>16</v>
      </c>
      <c r="H290" t="s">
        <v>53</v>
      </c>
      <c r="I290">
        <v>4</v>
      </c>
      <c r="J290">
        <v>0</v>
      </c>
      <c r="K290">
        <v>248.09</v>
      </c>
      <c r="L290">
        <v>5.7</v>
      </c>
    </row>
    <row r="291" spans="1:12" x14ac:dyDescent="0.25">
      <c r="A291" t="s">
        <v>338</v>
      </c>
      <c r="B291" s="1">
        <v>45440</v>
      </c>
      <c r="C291" s="1">
        <v>45444</v>
      </c>
      <c r="D291" t="s">
        <v>23</v>
      </c>
      <c r="E291" t="s">
        <v>43</v>
      </c>
      <c r="F291" t="s">
        <v>25</v>
      </c>
      <c r="G291" t="s">
        <v>26</v>
      </c>
      <c r="H291" t="s">
        <v>63</v>
      </c>
      <c r="I291">
        <v>13</v>
      </c>
      <c r="J291">
        <v>0</v>
      </c>
      <c r="K291">
        <v>169.94</v>
      </c>
      <c r="L291">
        <v>6.21</v>
      </c>
    </row>
    <row r="292" spans="1:12" x14ac:dyDescent="0.25">
      <c r="A292" t="s">
        <v>339</v>
      </c>
      <c r="B292" s="1">
        <v>45610</v>
      </c>
      <c r="C292" s="1">
        <v>45611</v>
      </c>
      <c r="D292" t="s">
        <v>13</v>
      </c>
      <c r="E292" t="s">
        <v>36</v>
      </c>
      <c r="F292" t="s">
        <v>25</v>
      </c>
      <c r="G292" t="s">
        <v>16</v>
      </c>
      <c r="H292" t="s">
        <v>21</v>
      </c>
      <c r="I292">
        <v>2</v>
      </c>
      <c r="J292">
        <v>0.05</v>
      </c>
      <c r="K292">
        <v>281.49</v>
      </c>
      <c r="L292">
        <v>5.46</v>
      </c>
    </row>
    <row r="293" spans="1:12" x14ac:dyDescent="0.25">
      <c r="A293" t="s">
        <v>340</v>
      </c>
      <c r="B293" s="1">
        <v>45350</v>
      </c>
      <c r="C293" s="1">
        <v>45355</v>
      </c>
      <c r="D293" t="s">
        <v>32</v>
      </c>
      <c r="E293" t="s">
        <v>33</v>
      </c>
      <c r="F293" t="s">
        <v>29</v>
      </c>
      <c r="G293" t="s">
        <v>20</v>
      </c>
      <c r="H293" t="s">
        <v>27</v>
      </c>
      <c r="I293">
        <v>13</v>
      </c>
      <c r="J293">
        <v>0.15</v>
      </c>
      <c r="K293">
        <v>269.49</v>
      </c>
      <c r="L293">
        <v>6.21</v>
      </c>
    </row>
    <row r="294" spans="1:12" x14ac:dyDescent="0.25">
      <c r="A294" t="s">
        <v>341</v>
      </c>
      <c r="B294" s="1">
        <v>45358</v>
      </c>
      <c r="C294" s="1">
        <v>45363</v>
      </c>
      <c r="D294" t="s">
        <v>13</v>
      </c>
      <c r="E294" t="s">
        <v>19</v>
      </c>
      <c r="F294" t="s">
        <v>15</v>
      </c>
      <c r="G294" t="s">
        <v>20</v>
      </c>
      <c r="H294" t="s">
        <v>53</v>
      </c>
      <c r="I294">
        <v>1</v>
      </c>
      <c r="J294">
        <v>0.1</v>
      </c>
      <c r="K294">
        <v>50.23</v>
      </c>
      <c r="L294">
        <v>5.75</v>
      </c>
    </row>
    <row r="295" spans="1:12" x14ac:dyDescent="0.25">
      <c r="A295" t="s">
        <v>342</v>
      </c>
      <c r="B295" s="1">
        <v>45354</v>
      </c>
      <c r="C295" s="1">
        <v>45356</v>
      </c>
      <c r="D295" t="s">
        <v>32</v>
      </c>
      <c r="E295" t="s">
        <v>45</v>
      </c>
      <c r="F295" t="s">
        <v>25</v>
      </c>
      <c r="G295" t="s">
        <v>20</v>
      </c>
      <c r="H295" t="s">
        <v>65</v>
      </c>
      <c r="I295">
        <v>3</v>
      </c>
      <c r="J295">
        <v>0.1</v>
      </c>
      <c r="K295">
        <v>725.92</v>
      </c>
      <c r="L295">
        <v>6.84</v>
      </c>
    </row>
    <row r="296" spans="1:12" x14ac:dyDescent="0.25">
      <c r="A296" t="s">
        <v>343</v>
      </c>
      <c r="B296" s="1">
        <v>45514</v>
      </c>
      <c r="C296" s="1">
        <v>45519</v>
      </c>
      <c r="D296" t="s">
        <v>47</v>
      </c>
      <c r="E296" t="s">
        <v>71</v>
      </c>
      <c r="F296" t="s">
        <v>25</v>
      </c>
      <c r="G296" t="s">
        <v>26</v>
      </c>
      <c r="H296" t="s">
        <v>17</v>
      </c>
      <c r="I296">
        <v>4</v>
      </c>
      <c r="J296">
        <v>0</v>
      </c>
      <c r="K296">
        <v>465.66</v>
      </c>
      <c r="L296">
        <v>5.7</v>
      </c>
    </row>
    <row r="297" spans="1:12" x14ac:dyDescent="0.25">
      <c r="A297" t="s">
        <v>344</v>
      </c>
      <c r="B297" s="1">
        <v>45717</v>
      </c>
      <c r="C297" s="1">
        <v>45722</v>
      </c>
      <c r="D297" t="s">
        <v>13</v>
      </c>
      <c r="E297" t="s">
        <v>19</v>
      </c>
      <c r="F297" t="s">
        <v>29</v>
      </c>
      <c r="G297" t="s">
        <v>26</v>
      </c>
      <c r="H297" t="s">
        <v>27</v>
      </c>
      <c r="I297">
        <v>6</v>
      </c>
      <c r="J297">
        <v>0.15</v>
      </c>
      <c r="K297">
        <v>129.54</v>
      </c>
      <c r="L297">
        <v>4.32</v>
      </c>
    </row>
    <row r="298" spans="1:12" x14ac:dyDescent="0.25">
      <c r="A298" t="s">
        <v>345</v>
      </c>
      <c r="B298" s="1">
        <v>46019</v>
      </c>
      <c r="C298" s="1">
        <v>46020</v>
      </c>
      <c r="D298" t="s">
        <v>23</v>
      </c>
      <c r="E298" t="s">
        <v>43</v>
      </c>
      <c r="F298" t="s">
        <v>25</v>
      </c>
      <c r="G298" t="s">
        <v>26</v>
      </c>
      <c r="H298" t="s">
        <v>34</v>
      </c>
      <c r="I298">
        <v>2</v>
      </c>
      <c r="J298">
        <v>0</v>
      </c>
      <c r="K298">
        <v>575.03</v>
      </c>
      <c r="L298">
        <v>5.46</v>
      </c>
    </row>
    <row r="299" spans="1:12" x14ac:dyDescent="0.25">
      <c r="A299" t="s">
        <v>346</v>
      </c>
      <c r="B299" s="1">
        <v>45493</v>
      </c>
      <c r="C299" s="1">
        <v>45495</v>
      </c>
      <c r="D299" t="s">
        <v>23</v>
      </c>
      <c r="E299" t="s">
        <v>59</v>
      </c>
      <c r="F299" t="s">
        <v>25</v>
      </c>
      <c r="G299" t="s">
        <v>26</v>
      </c>
      <c r="H299" t="s">
        <v>68</v>
      </c>
      <c r="I299">
        <v>2</v>
      </c>
      <c r="J299">
        <v>0.25</v>
      </c>
      <c r="K299">
        <v>69.83</v>
      </c>
      <c r="L299">
        <v>7</v>
      </c>
    </row>
    <row r="300" spans="1:12" x14ac:dyDescent="0.25">
      <c r="A300" t="s">
        <v>347</v>
      </c>
      <c r="B300" s="1">
        <v>45343</v>
      </c>
      <c r="C300" s="1">
        <v>45347</v>
      </c>
      <c r="D300" t="s">
        <v>47</v>
      </c>
      <c r="E300" t="s">
        <v>48</v>
      </c>
      <c r="F300" t="s">
        <v>15</v>
      </c>
      <c r="G300" t="s">
        <v>20</v>
      </c>
      <c r="H300" t="s">
        <v>53</v>
      </c>
      <c r="I300">
        <v>3</v>
      </c>
      <c r="J300">
        <v>0</v>
      </c>
      <c r="K300">
        <v>149.63999999999999</v>
      </c>
      <c r="L300">
        <v>4.95</v>
      </c>
    </row>
    <row r="301" spans="1:12" x14ac:dyDescent="0.25">
      <c r="A301" t="s">
        <v>348</v>
      </c>
      <c r="B301" s="1">
        <v>45582</v>
      </c>
      <c r="C301" s="1">
        <v>45587</v>
      </c>
      <c r="D301" t="s">
        <v>47</v>
      </c>
      <c r="E301" t="s">
        <v>48</v>
      </c>
      <c r="F301" t="s">
        <v>15</v>
      </c>
      <c r="G301" t="s">
        <v>20</v>
      </c>
      <c r="H301" t="s">
        <v>51</v>
      </c>
      <c r="I301">
        <v>9</v>
      </c>
      <c r="J301">
        <v>0</v>
      </c>
      <c r="K301">
        <v>162.91999999999999</v>
      </c>
      <c r="L301">
        <v>5.13</v>
      </c>
    </row>
    <row r="302" spans="1:12" x14ac:dyDescent="0.25">
      <c r="A302" t="s">
        <v>349</v>
      </c>
      <c r="B302" s="1">
        <v>45386</v>
      </c>
      <c r="C302" s="1">
        <v>45391</v>
      </c>
      <c r="D302" t="s">
        <v>47</v>
      </c>
      <c r="E302" t="s">
        <v>71</v>
      </c>
      <c r="F302" t="s">
        <v>25</v>
      </c>
      <c r="G302" t="s">
        <v>20</v>
      </c>
      <c r="H302" t="s">
        <v>39</v>
      </c>
      <c r="I302">
        <v>3</v>
      </c>
      <c r="J302">
        <v>0</v>
      </c>
      <c r="K302">
        <v>561.95000000000005</v>
      </c>
      <c r="L302">
        <v>8.25</v>
      </c>
    </row>
    <row r="303" spans="1:12" x14ac:dyDescent="0.25">
      <c r="A303" t="s">
        <v>350</v>
      </c>
      <c r="B303" s="1">
        <v>45923</v>
      </c>
      <c r="C303" s="1">
        <v>45924</v>
      </c>
      <c r="D303" t="s">
        <v>13</v>
      </c>
      <c r="E303" t="s">
        <v>14</v>
      </c>
      <c r="F303" t="s">
        <v>29</v>
      </c>
      <c r="G303" t="s">
        <v>26</v>
      </c>
      <c r="H303" t="s">
        <v>27</v>
      </c>
      <c r="I303">
        <v>12</v>
      </c>
      <c r="J303">
        <v>0.25</v>
      </c>
      <c r="K303">
        <v>270.29000000000002</v>
      </c>
      <c r="L303">
        <v>9.9</v>
      </c>
    </row>
    <row r="304" spans="1:12" x14ac:dyDescent="0.25">
      <c r="A304" t="s">
        <v>351</v>
      </c>
      <c r="B304" s="1">
        <v>45632</v>
      </c>
      <c r="C304" s="1">
        <v>45637</v>
      </c>
      <c r="D304" t="s">
        <v>32</v>
      </c>
      <c r="E304" t="s">
        <v>33</v>
      </c>
      <c r="F304" t="s">
        <v>15</v>
      </c>
      <c r="G304" t="s">
        <v>16</v>
      </c>
      <c r="H304" t="s">
        <v>30</v>
      </c>
      <c r="I304">
        <v>14</v>
      </c>
      <c r="J304">
        <v>0</v>
      </c>
      <c r="K304">
        <v>119.52</v>
      </c>
      <c r="L304">
        <v>10.8</v>
      </c>
    </row>
    <row r="305" spans="1:12" x14ac:dyDescent="0.25">
      <c r="A305" t="s">
        <v>352</v>
      </c>
      <c r="B305" s="1">
        <v>45724</v>
      </c>
      <c r="C305" s="1">
        <v>45726</v>
      </c>
      <c r="D305" t="s">
        <v>32</v>
      </c>
      <c r="E305" t="s">
        <v>45</v>
      </c>
      <c r="F305" t="s">
        <v>29</v>
      </c>
      <c r="G305" t="s">
        <v>16</v>
      </c>
      <c r="H305" t="s">
        <v>87</v>
      </c>
      <c r="I305">
        <v>6</v>
      </c>
      <c r="J305">
        <v>0.1</v>
      </c>
      <c r="K305">
        <v>43.52</v>
      </c>
      <c r="L305">
        <v>7.2</v>
      </c>
    </row>
    <row r="306" spans="1:12" x14ac:dyDescent="0.25">
      <c r="A306" t="s">
        <v>353</v>
      </c>
      <c r="B306" s="1">
        <v>45519</v>
      </c>
      <c r="C306" s="1">
        <v>45523</v>
      </c>
      <c r="D306" t="s">
        <v>23</v>
      </c>
      <c r="E306" t="s">
        <v>43</v>
      </c>
      <c r="F306" t="s">
        <v>25</v>
      </c>
      <c r="G306" t="s">
        <v>20</v>
      </c>
      <c r="H306" t="s">
        <v>63</v>
      </c>
      <c r="I306">
        <v>7</v>
      </c>
      <c r="J306">
        <v>0</v>
      </c>
      <c r="K306">
        <v>81.02</v>
      </c>
      <c r="L306">
        <v>4.59</v>
      </c>
    </row>
    <row r="307" spans="1:12" x14ac:dyDescent="0.25">
      <c r="A307" t="s">
        <v>354</v>
      </c>
      <c r="B307" s="1">
        <v>45993</v>
      </c>
      <c r="C307" s="1">
        <v>45999</v>
      </c>
      <c r="D307" t="s">
        <v>32</v>
      </c>
      <c r="E307" t="s">
        <v>45</v>
      </c>
      <c r="F307" t="s">
        <v>15</v>
      </c>
      <c r="G307" t="s">
        <v>16</v>
      </c>
      <c r="H307" t="s">
        <v>63</v>
      </c>
      <c r="I307">
        <v>3</v>
      </c>
      <c r="J307">
        <v>0.05</v>
      </c>
      <c r="K307">
        <v>48.87</v>
      </c>
      <c r="L307">
        <v>5.85</v>
      </c>
    </row>
    <row r="308" spans="1:12" x14ac:dyDescent="0.25">
      <c r="A308" t="s">
        <v>355</v>
      </c>
      <c r="B308" s="1">
        <v>45851</v>
      </c>
      <c r="C308" s="1">
        <v>45855</v>
      </c>
      <c r="D308" t="s">
        <v>13</v>
      </c>
      <c r="E308" t="s">
        <v>19</v>
      </c>
      <c r="F308" t="s">
        <v>29</v>
      </c>
      <c r="G308" t="s">
        <v>20</v>
      </c>
      <c r="H308" t="s">
        <v>51</v>
      </c>
      <c r="I308">
        <v>5</v>
      </c>
      <c r="J308">
        <v>0.15</v>
      </c>
      <c r="K308">
        <v>55.8</v>
      </c>
      <c r="L308">
        <v>4.05</v>
      </c>
    </row>
    <row r="309" spans="1:12" x14ac:dyDescent="0.25">
      <c r="A309" t="s">
        <v>356</v>
      </c>
      <c r="B309" s="1">
        <v>45941</v>
      </c>
      <c r="C309" s="1">
        <v>45946</v>
      </c>
      <c r="D309" t="s">
        <v>47</v>
      </c>
      <c r="E309" t="s">
        <v>71</v>
      </c>
      <c r="F309" t="s">
        <v>29</v>
      </c>
      <c r="G309" t="s">
        <v>26</v>
      </c>
      <c r="H309" t="s">
        <v>65</v>
      </c>
      <c r="I309">
        <v>4</v>
      </c>
      <c r="J309">
        <v>0.2</v>
      </c>
      <c r="K309">
        <v>1057.79</v>
      </c>
      <c r="L309">
        <v>13.7</v>
      </c>
    </row>
    <row r="310" spans="1:12" x14ac:dyDescent="0.25">
      <c r="A310" t="s">
        <v>357</v>
      </c>
      <c r="B310" s="1">
        <v>45911</v>
      </c>
      <c r="C310" s="1">
        <v>45914</v>
      </c>
      <c r="D310" t="s">
        <v>32</v>
      </c>
      <c r="E310" t="s">
        <v>33</v>
      </c>
      <c r="F310" t="s">
        <v>15</v>
      </c>
      <c r="G310" t="s">
        <v>16</v>
      </c>
      <c r="H310" t="s">
        <v>68</v>
      </c>
      <c r="I310">
        <v>1</v>
      </c>
      <c r="J310">
        <v>0.2</v>
      </c>
      <c r="K310">
        <v>46.81</v>
      </c>
      <c r="L310">
        <v>5.75</v>
      </c>
    </row>
    <row r="311" spans="1:12" x14ac:dyDescent="0.25">
      <c r="A311" t="s">
        <v>358</v>
      </c>
      <c r="B311" s="1">
        <v>45292</v>
      </c>
      <c r="C311" s="1">
        <v>45296</v>
      </c>
      <c r="D311" t="s">
        <v>32</v>
      </c>
      <c r="E311" t="s">
        <v>45</v>
      </c>
      <c r="F311" t="s">
        <v>25</v>
      </c>
      <c r="G311" t="s">
        <v>26</v>
      </c>
      <c r="H311" t="s">
        <v>37</v>
      </c>
      <c r="I311">
        <v>2</v>
      </c>
      <c r="J311">
        <v>0.1</v>
      </c>
      <c r="K311">
        <v>164.59</v>
      </c>
      <c r="L311">
        <v>5.46</v>
      </c>
    </row>
    <row r="312" spans="1:12" x14ac:dyDescent="0.25">
      <c r="A312" t="s">
        <v>359</v>
      </c>
      <c r="B312" s="1">
        <v>45334</v>
      </c>
      <c r="C312" s="1">
        <v>45336</v>
      </c>
      <c r="D312" t="s">
        <v>32</v>
      </c>
      <c r="E312" t="s">
        <v>45</v>
      </c>
      <c r="F312" t="s">
        <v>15</v>
      </c>
      <c r="G312" t="s">
        <v>16</v>
      </c>
      <c r="H312" t="s">
        <v>60</v>
      </c>
      <c r="I312">
        <v>4</v>
      </c>
      <c r="J312">
        <v>0</v>
      </c>
      <c r="K312">
        <v>385.29</v>
      </c>
      <c r="L312">
        <v>5.7</v>
      </c>
    </row>
    <row r="313" spans="1:12" x14ac:dyDescent="0.25">
      <c r="A313" t="s">
        <v>360</v>
      </c>
      <c r="B313" s="1">
        <v>45729</v>
      </c>
      <c r="C313" s="1">
        <v>45732</v>
      </c>
      <c r="D313" t="s">
        <v>47</v>
      </c>
      <c r="E313" t="s">
        <v>48</v>
      </c>
      <c r="F313" t="s">
        <v>25</v>
      </c>
      <c r="G313" t="s">
        <v>26</v>
      </c>
      <c r="H313" t="s">
        <v>68</v>
      </c>
      <c r="I313">
        <v>5</v>
      </c>
      <c r="J313">
        <v>0</v>
      </c>
      <c r="K313">
        <v>244.48</v>
      </c>
      <c r="L313">
        <v>6.45</v>
      </c>
    </row>
    <row r="314" spans="1:12" x14ac:dyDescent="0.25">
      <c r="A314" t="s">
        <v>361</v>
      </c>
      <c r="B314" s="1">
        <v>45528</v>
      </c>
      <c r="C314" s="1">
        <v>45530</v>
      </c>
      <c r="D314" t="s">
        <v>32</v>
      </c>
      <c r="E314" t="s">
        <v>62</v>
      </c>
      <c r="F314" t="s">
        <v>25</v>
      </c>
      <c r="G314" t="s">
        <v>16</v>
      </c>
      <c r="H314" t="s">
        <v>53</v>
      </c>
      <c r="I314">
        <v>1</v>
      </c>
      <c r="J314">
        <v>0</v>
      </c>
      <c r="K314">
        <v>55.82</v>
      </c>
      <c r="L314">
        <v>3.45</v>
      </c>
    </row>
    <row r="315" spans="1:12" x14ac:dyDescent="0.25">
      <c r="A315" t="s">
        <v>362</v>
      </c>
      <c r="B315" s="1">
        <v>45680</v>
      </c>
      <c r="C315" s="1">
        <v>45686</v>
      </c>
      <c r="D315" t="s">
        <v>23</v>
      </c>
      <c r="E315" t="s">
        <v>24</v>
      </c>
      <c r="F315" t="s">
        <v>15</v>
      </c>
      <c r="G315" t="s">
        <v>20</v>
      </c>
      <c r="H315" t="s">
        <v>41</v>
      </c>
      <c r="I315">
        <v>3</v>
      </c>
      <c r="J315">
        <v>0.1</v>
      </c>
      <c r="K315">
        <v>14.04</v>
      </c>
      <c r="L315">
        <v>5.85</v>
      </c>
    </row>
    <row r="316" spans="1:12" x14ac:dyDescent="0.25">
      <c r="A316" t="s">
        <v>363</v>
      </c>
      <c r="B316" s="1">
        <v>45582</v>
      </c>
      <c r="C316" s="1">
        <v>45588</v>
      </c>
      <c r="D316" t="s">
        <v>47</v>
      </c>
      <c r="E316" t="s">
        <v>48</v>
      </c>
      <c r="F316" t="s">
        <v>29</v>
      </c>
      <c r="G316" t="s">
        <v>20</v>
      </c>
      <c r="H316" t="s">
        <v>41</v>
      </c>
      <c r="I316">
        <v>23</v>
      </c>
      <c r="J316">
        <v>0</v>
      </c>
      <c r="K316">
        <v>167.36</v>
      </c>
      <c r="L316">
        <v>8.91</v>
      </c>
    </row>
    <row r="317" spans="1:12" x14ac:dyDescent="0.25">
      <c r="A317" t="s">
        <v>364</v>
      </c>
      <c r="B317" s="1">
        <v>45794</v>
      </c>
      <c r="C317" s="1">
        <v>45796</v>
      </c>
      <c r="D317" t="s">
        <v>47</v>
      </c>
      <c r="E317" t="s">
        <v>71</v>
      </c>
      <c r="F317" t="s">
        <v>25</v>
      </c>
      <c r="G317" t="s">
        <v>16</v>
      </c>
      <c r="H317" t="s">
        <v>63</v>
      </c>
      <c r="I317">
        <v>10</v>
      </c>
      <c r="J317">
        <v>0</v>
      </c>
      <c r="K317">
        <v>120.18</v>
      </c>
      <c r="L317">
        <v>5.4</v>
      </c>
    </row>
    <row r="318" spans="1:12" x14ac:dyDescent="0.25">
      <c r="A318" t="s">
        <v>365</v>
      </c>
      <c r="B318" s="1">
        <v>45816</v>
      </c>
      <c r="C318" s="1">
        <v>45818</v>
      </c>
      <c r="D318" t="s">
        <v>23</v>
      </c>
      <c r="E318" t="s">
        <v>43</v>
      </c>
      <c r="F318" t="s">
        <v>29</v>
      </c>
      <c r="G318" t="s">
        <v>26</v>
      </c>
      <c r="H318" t="s">
        <v>34</v>
      </c>
      <c r="I318">
        <v>1</v>
      </c>
      <c r="J318">
        <v>0</v>
      </c>
      <c r="K318">
        <v>225.17</v>
      </c>
      <c r="L318">
        <v>6.8</v>
      </c>
    </row>
    <row r="319" spans="1:12" x14ac:dyDescent="0.25">
      <c r="A319" t="s">
        <v>366</v>
      </c>
      <c r="B319" s="1">
        <v>45522</v>
      </c>
      <c r="C319" s="1">
        <v>45527</v>
      </c>
      <c r="D319" t="s">
        <v>13</v>
      </c>
      <c r="E319" t="s">
        <v>36</v>
      </c>
      <c r="F319" t="s">
        <v>15</v>
      </c>
      <c r="G319" t="s">
        <v>20</v>
      </c>
      <c r="H319" t="s">
        <v>63</v>
      </c>
      <c r="I319">
        <v>8</v>
      </c>
      <c r="J319">
        <v>0.1</v>
      </c>
      <c r="K319">
        <v>78.459999999999994</v>
      </c>
      <c r="L319">
        <v>4.8600000000000003</v>
      </c>
    </row>
    <row r="320" spans="1:12" x14ac:dyDescent="0.25">
      <c r="A320" t="s">
        <v>367</v>
      </c>
      <c r="B320" s="1">
        <v>45652</v>
      </c>
      <c r="C320" s="1">
        <v>45654</v>
      </c>
      <c r="D320" t="s">
        <v>13</v>
      </c>
      <c r="E320" t="s">
        <v>36</v>
      </c>
      <c r="F320" t="s">
        <v>29</v>
      </c>
      <c r="G320" t="s">
        <v>26</v>
      </c>
      <c r="H320" t="s">
        <v>34</v>
      </c>
      <c r="I320">
        <v>1</v>
      </c>
      <c r="J320">
        <v>0</v>
      </c>
      <c r="K320">
        <v>278.35000000000002</v>
      </c>
      <c r="L320">
        <v>6.8</v>
      </c>
    </row>
    <row r="321" spans="1:12" x14ac:dyDescent="0.25">
      <c r="A321" t="s">
        <v>368</v>
      </c>
      <c r="B321" s="1">
        <v>45660</v>
      </c>
      <c r="C321" s="1">
        <v>45661</v>
      </c>
      <c r="D321" t="s">
        <v>13</v>
      </c>
      <c r="E321" t="s">
        <v>19</v>
      </c>
      <c r="F321" t="s">
        <v>15</v>
      </c>
      <c r="G321" t="s">
        <v>16</v>
      </c>
      <c r="H321" t="s">
        <v>37</v>
      </c>
      <c r="I321">
        <v>4</v>
      </c>
      <c r="J321">
        <v>0.05</v>
      </c>
      <c r="K321">
        <v>343.43</v>
      </c>
      <c r="L321">
        <v>8.2200000000000006</v>
      </c>
    </row>
    <row r="322" spans="1:12" x14ac:dyDescent="0.25">
      <c r="A322" t="s">
        <v>369</v>
      </c>
      <c r="B322" s="1">
        <v>45627</v>
      </c>
      <c r="C322" s="1">
        <v>45632</v>
      </c>
      <c r="D322" t="s">
        <v>47</v>
      </c>
      <c r="E322" t="s">
        <v>48</v>
      </c>
      <c r="F322" t="s">
        <v>25</v>
      </c>
      <c r="G322" t="s">
        <v>20</v>
      </c>
      <c r="H322" t="s">
        <v>87</v>
      </c>
      <c r="I322">
        <v>9</v>
      </c>
      <c r="J322">
        <v>0.1</v>
      </c>
      <c r="K322">
        <v>101.54</v>
      </c>
      <c r="L322">
        <v>5.13</v>
      </c>
    </row>
    <row r="323" spans="1:12" x14ac:dyDescent="0.25">
      <c r="A323" t="s">
        <v>370</v>
      </c>
      <c r="B323" s="1">
        <v>45301</v>
      </c>
      <c r="C323" s="1">
        <v>45302</v>
      </c>
      <c r="D323" t="s">
        <v>13</v>
      </c>
      <c r="E323" t="s">
        <v>19</v>
      </c>
      <c r="F323" t="s">
        <v>25</v>
      </c>
      <c r="G323" t="s">
        <v>16</v>
      </c>
      <c r="H323" t="s">
        <v>65</v>
      </c>
      <c r="I323">
        <v>2</v>
      </c>
      <c r="J323">
        <v>0</v>
      </c>
      <c r="K323">
        <v>483.53</v>
      </c>
      <c r="L323">
        <v>9.1</v>
      </c>
    </row>
    <row r="324" spans="1:12" x14ac:dyDescent="0.25">
      <c r="A324" t="s">
        <v>371</v>
      </c>
      <c r="B324" s="1">
        <v>45344</v>
      </c>
      <c r="C324" s="1">
        <v>45347</v>
      </c>
      <c r="D324" t="s">
        <v>47</v>
      </c>
      <c r="E324" t="s">
        <v>48</v>
      </c>
      <c r="F324" t="s">
        <v>29</v>
      </c>
      <c r="G324" t="s">
        <v>26</v>
      </c>
      <c r="H324" t="s">
        <v>37</v>
      </c>
      <c r="I324">
        <v>2</v>
      </c>
      <c r="J324">
        <v>0.2</v>
      </c>
      <c r="K324">
        <v>150.33000000000001</v>
      </c>
      <c r="L324">
        <v>9.1</v>
      </c>
    </row>
    <row r="325" spans="1:12" x14ac:dyDescent="0.25">
      <c r="A325" t="s">
        <v>372</v>
      </c>
      <c r="B325" s="1">
        <v>45586</v>
      </c>
      <c r="C325" s="1">
        <v>45588</v>
      </c>
      <c r="D325" t="s">
        <v>23</v>
      </c>
      <c r="E325" t="s">
        <v>43</v>
      </c>
      <c r="F325" t="s">
        <v>15</v>
      </c>
      <c r="G325" t="s">
        <v>16</v>
      </c>
      <c r="H325" t="s">
        <v>39</v>
      </c>
      <c r="I325">
        <v>1</v>
      </c>
      <c r="J325">
        <v>0</v>
      </c>
      <c r="K325">
        <v>232.68</v>
      </c>
      <c r="L325">
        <v>3.45</v>
      </c>
    </row>
    <row r="326" spans="1:12" x14ac:dyDescent="0.25">
      <c r="A326" t="s">
        <v>373</v>
      </c>
      <c r="B326" s="1">
        <v>45796</v>
      </c>
      <c r="C326" s="1">
        <v>45799</v>
      </c>
      <c r="D326" t="s">
        <v>13</v>
      </c>
      <c r="E326" t="s">
        <v>36</v>
      </c>
      <c r="F326" t="s">
        <v>25</v>
      </c>
      <c r="G326" t="s">
        <v>16</v>
      </c>
      <c r="H326" t="s">
        <v>37</v>
      </c>
      <c r="I326">
        <v>7</v>
      </c>
      <c r="J326">
        <v>0</v>
      </c>
      <c r="K326">
        <v>759.06</v>
      </c>
      <c r="L326">
        <v>12.36</v>
      </c>
    </row>
    <row r="327" spans="1:12" x14ac:dyDescent="0.25">
      <c r="A327" t="s">
        <v>374</v>
      </c>
      <c r="B327" s="1">
        <v>46008</v>
      </c>
      <c r="C327" s="1">
        <v>46013</v>
      </c>
      <c r="D327" t="s">
        <v>47</v>
      </c>
      <c r="E327" t="s">
        <v>50</v>
      </c>
      <c r="F327" t="s">
        <v>29</v>
      </c>
      <c r="G327" t="s">
        <v>16</v>
      </c>
      <c r="H327" t="s">
        <v>41</v>
      </c>
      <c r="I327">
        <v>10</v>
      </c>
      <c r="J327">
        <v>0</v>
      </c>
      <c r="K327">
        <v>82.5</v>
      </c>
      <c r="L327">
        <v>5.4</v>
      </c>
    </row>
    <row r="328" spans="1:12" x14ac:dyDescent="0.25">
      <c r="A328" t="s">
        <v>375</v>
      </c>
      <c r="B328" s="1">
        <v>45712</v>
      </c>
      <c r="C328" s="1">
        <v>45714</v>
      </c>
      <c r="D328" t="s">
        <v>13</v>
      </c>
      <c r="E328" t="s">
        <v>14</v>
      </c>
      <c r="F328" t="s">
        <v>25</v>
      </c>
      <c r="G328" t="s">
        <v>20</v>
      </c>
      <c r="H328" t="s">
        <v>17</v>
      </c>
      <c r="I328">
        <v>2</v>
      </c>
      <c r="J328">
        <v>0.05</v>
      </c>
      <c r="K328">
        <v>213.89</v>
      </c>
      <c r="L328">
        <v>4.2</v>
      </c>
    </row>
    <row r="329" spans="1:12" x14ac:dyDescent="0.25">
      <c r="A329" t="s">
        <v>376</v>
      </c>
      <c r="B329" s="1">
        <v>45454</v>
      </c>
      <c r="C329" s="1">
        <v>45457</v>
      </c>
      <c r="D329" t="s">
        <v>32</v>
      </c>
      <c r="E329" t="s">
        <v>45</v>
      </c>
      <c r="F329" t="s">
        <v>25</v>
      </c>
      <c r="G329" t="s">
        <v>26</v>
      </c>
      <c r="H329" t="s">
        <v>63</v>
      </c>
      <c r="I329">
        <v>14</v>
      </c>
      <c r="J329">
        <v>0</v>
      </c>
      <c r="K329">
        <v>175.66</v>
      </c>
      <c r="L329">
        <v>6.48</v>
      </c>
    </row>
    <row r="330" spans="1:12" x14ac:dyDescent="0.25">
      <c r="A330" t="s">
        <v>377</v>
      </c>
      <c r="B330" s="1">
        <v>45334</v>
      </c>
      <c r="C330" s="1">
        <v>45338</v>
      </c>
      <c r="D330" t="s">
        <v>23</v>
      </c>
      <c r="E330" t="s">
        <v>24</v>
      </c>
      <c r="F330" t="s">
        <v>25</v>
      </c>
      <c r="G330" t="s">
        <v>16</v>
      </c>
      <c r="H330" t="s">
        <v>41</v>
      </c>
      <c r="I330">
        <v>13</v>
      </c>
      <c r="J330">
        <v>0</v>
      </c>
      <c r="K330">
        <v>69.73</v>
      </c>
      <c r="L330">
        <v>6.21</v>
      </c>
    </row>
    <row r="331" spans="1:12" x14ac:dyDescent="0.25">
      <c r="A331" t="s">
        <v>378</v>
      </c>
      <c r="B331" s="1">
        <v>45980</v>
      </c>
      <c r="C331" s="1">
        <v>45985</v>
      </c>
      <c r="D331" t="s">
        <v>23</v>
      </c>
      <c r="E331" t="s">
        <v>24</v>
      </c>
      <c r="F331" t="s">
        <v>25</v>
      </c>
      <c r="G331" t="s">
        <v>26</v>
      </c>
      <c r="H331" t="s">
        <v>27</v>
      </c>
      <c r="I331">
        <v>13</v>
      </c>
      <c r="J331">
        <v>0</v>
      </c>
      <c r="K331">
        <v>508.52</v>
      </c>
      <c r="L331">
        <v>6.21</v>
      </c>
    </row>
    <row r="332" spans="1:12" x14ac:dyDescent="0.25">
      <c r="A332" t="s">
        <v>379</v>
      </c>
      <c r="B332" s="1">
        <v>45469</v>
      </c>
      <c r="C332" s="1">
        <v>45472</v>
      </c>
      <c r="D332" t="s">
        <v>13</v>
      </c>
      <c r="E332" t="s">
        <v>19</v>
      </c>
      <c r="F332" t="s">
        <v>29</v>
      </c>
      <c r="G332" t="s">
        <v>20</v>
      </c>
      <c r="H332" t="s">
        <v>87</v>
      </c>
      <c r="I332">
        <v>7</v>
      </c>
      <c r="J332">
        <v>0</v>
      </c>
      <c r="K332">
        <v>63.13</v>
      </c>
      <c r="L332">
        <v>4.59</v>
      </c>
    </row>
    <row r="333" spans="1:12" x14ac:dyDescent="0.25">
      <c r="A333" t="s">
        <v>380</v>
      </c>
      <c r="B333" s="1">
        <v>45420</v>
      </c>
      <c r="C333" s="1">
        <v>45422</v>
      </c>
      <c r="D333" t="s">
        <v>47</v>
      </c>
      <c r="E333" t="s">
        <v>50</v>
      </c>
      <c r="F333" t="s">
        <v>25</v>
      </c>
      <c r="G333" t="s">
        <v>16</v>
      </c>
      <c r="H333" t="s">
        <v>87</v>
      </c>
      <c r="I333">
        <v>16</v>
      </c>
      <c r="J333">
        <v>0</v>
      </c>
      <c r="K333">
        <v>134.80000000000001</v>
      </c>
      <c r="L333">
        <v>7.02</v>
      </c>
    </row>
    <row r="334" spans="1:12" x14ac:dyDescent="0.25">
      <c r="A334" t="s">
        <v>381</v>
      </c>
      <c r="B334" s="1">
        <v>45420</v>
      </c>
      <c r="C334" s="1">
        <v>45422</v>
      </c>
      <c r="D334" t="s">
        <v>47</v>
      </c>
      <c r="E334" t="s">
        <v>71</v>
      </c>
      <c r="F334" t="s">
        <v>25</v>
      </c>
      <c r="G334" t="s">
        <v>26</v>
      </c>
      <c r="H334" t="s">
        <v>60</v>
      </c>
      <c r="I334">
        <v>2</v>
      </c>
      <c r="J334">
        <v>0</v>
      </c>
      <c r="K334">
        <v>216.3</v>
      </c>
      <c r="L334">
        <v>4.2</v>
      </c>
    </row>
    <row r="335" spans="1:12" x14ac:dyDescent="0.25">
      <c r="A335" t="s">
        <v>382</v>
      </c>
      <c r="B335" s="1">
        <v>45424</v>
      </c>
      <c r="C335" s="1">
        <v>45426</v>
      </c>
      <c r="D335" t="s">
        <v>23</v>
      </c>
      <c r="E335" t="s">
        <v>43</v>
      </c>
      <c r="F335" t="s">
        <v>29</v>
      </c>
      <c r="G335" t="s">
        <v>26</v>
      </c>
      <c r="H335" t="s">
        <v>68</v>
      </c>
      <c r="I335">
        <v>3</v>
      </c>
      <c r="J335">
        <v>0</v>
      </c>
      <c r="K335">
        <v>156.84</v>
      </c>
      <c r="L335">
        <v>4.95</v>
      </c>
    </row>
    <row r="336" spans="1:12" x14ac:dyDescent="0.25">
      <c r="A336" t="s">
        <v>383</v>
      </c>
      <c r="B336" s="1">
        <v>45578</v>
      </c>
      <c r="C336" s="1">
        <v>45580</v>
      </c>
      <c r="D336" t="s">
        <v>23</v>
      </c>
      <c r="E336" t="s">
        <v>24</v>
      </c>
      <c r="F336" t="s">
        <v>15</v>
      </c>
      <c r="G336" t="s">
        <v>20</v>
      </c>
      <c r="H336" t="s">
        <v>30</v>
      </c>
      <c r="I336">
        <v>12</v>
      </c>
      <c r="J336">
        <v>0</v>
      </c>
      <c r="K336">
        <v>83.83</v>
      </c>
      <c r="L336">
        <v>9.9</v>
      </c>
    </row>
    <row r="337" spans="1:12" x14ac:dyDescent="0.25">
      <c r="A337" t="s">
        <v>384</v>
      </c>
      <c r="B337" s="1">
        <v>45651</v>
      </c>
      <c r="C337" s="1">
        <v>45655</v>
      </c>
      <c r="D337" t="s">
        <v>23</v>
      </c>
      <c r="E337" t="s">
        <v>24</v>
      </c>
      <c r="F337" t="s">
        <v>15</v>
      </c>
      <c r="G337" t="s">
        <v>26</v>
      </c>
      <c r="H337" t="s">
        <v>41</v>
      </c>
      <c r="I337">
        <v>9</v>
      </c>
      <c r="J337">
        <v>0.2</v>
      </c>
      <c r="K337">
        <v>63.21</v>
      </c>
      <c r="L337">
        <v>5.13</v>
      </c>
    </row>
    <row r="338" spans="1:12" x14ac:dyDescent="0.25">
      <c r="A338" t="s">
        <v>385</v>
      </c>
      <c r="B338" s="1">
        <v>45961</v>
      </c>
      <c r="C338" s="1">
        <v>45967</v>
      </c>
      <c r="D338" t="s">
        <v>23</v>
      </c>
      <c r="E338" t="s">
        <v>43</v>
      </c>
      <c r="F338" t="s">
        <v>15</v>
      </c>
      <c r="G338" t="s">
        <v>20</v>
      </c>
      <c r="H338" t="s">
        <v>63</v>
      </c>
      <c r="I338">
        <v>10</v>
      </c>
      <c r="J338">
        <v>0.25</v>
      </c>
      <c r="K338">
        <v>103.24</v>
      </c>
      <c r="L338">
        <v>5.4</v>
      </c>
    </row>
    <row r="339" spans="1:12" x14ac:dyDescent="0.25">
      <c r="A339" t="s">
        <v>386</v>
      </c>
      <c r="B339" s="1">
        <v>45681</v>
      </c>
      <c r="C339" s="1">
        <v>45685</v>
      </c>
      <c r="D339" t="s">
        <v>32</v>
      </c>
      <c r="E339" t="s">
        <v>33</v>
      </c>
      <c r="F339" t="s">
        <v>25</v>
      </c>
      <c r="G339" t="s">
        <v>16</v>
      </c>
      <c r="H339" t="s">
        <v>27</v>
      </c>
      <c r="I339">
        <v>4</v>
      </c>
      <c r="J339">
        <v>0</v>
      </c>
      <c r="K339">
        <v>97.44</v>
      </c>
      <c r="L339">
        <v>6.3</v>
      </c>
    </row>
    <row r="340" spans="1:12" x14ac:dyDescent="0.25">
      <c r="A340" t="s">
        <v>387</v>
      </c>
      <c r="B340" s="1">
        <v>45426</v>
      </c>
      <c r="C340" s="1">
        <v>45428</v>
      </c>
      <c r="D340" t="s">
        <v>13</v>
      </c>
      <c r="E340" t="s">
        <v>19</v>
      </c>
      <c r="F340" t="s">
        <v>15</v>
      </c>
      <c r="G340" t="s">
        <v>20</v>
      </c>
      <c r="H340" t="s">
        <v>65</v>
      </c>
      <c r="I340">
        <v>4</v>
      </c>
      <c r="J340">
        <v>0</v>
      </c>
      <c r="K340">
        <v>1208.68</v>
      </c>
      <c r="L340">
        <v>13.7</v>
      </c>
    </row>
    <row r="341" spans="1:12" x14ac:dyDescent="0.25">
      <c r="A341" t="s">
        <v>388</v>
      </c>
      <c r="B341" s="1">
        <v>45850</v>
      </c>
      <c r="C341" s="1">
        <v>45853</v>
      </c>
      <c r="D341" t="s">
        <v>32</v>
      </c>
      <c r="E341" t="s">
        <v>33</v>
      </c>
      <c r="F341" t="s">
        <v>15</v>
      </c>
      <c r="G341" t="s">
        <v>20</v>
      </c>
      <c r="H341" t="s">
        <v>34</v>
      </c>
      <c r="I341">
        <v>1</v>
      </c>
      <c r="J341">
        <v>0</v>
      </c>
      <c r="K341">
        <v>186.1</v>
      </c>
      <c r="L341">
        <v>6.8</v>
      </c>
    </row>
    <row r="342" spans="1:12" x14ac:dyDescent="0.25">
      <c r="A342" t="s">
        <v>389</v>
      </c>
      <c r="B342" s="1">
        <v>45308</v>
      </c>
      <c r="C342" s="1">
        <v>45309</v>
      </c>
      <c r="D342" t="s">
        <v>47</v>
      </c>
      <c r="E342" t="s">
        <v>48</v>
      </c>
      <c r="F342" t="s">
        <v>25</v>
      </c>
      <c r="G342" t="s">
        <v>20</v>
      </c>
      <c r="H342" t="s">
        <v>37</v>
      </c>
      <c r="I342">
        <v>2</v>
      </c>
      <c r="J342">
        <v>0</v>
      </c>
      <c r="K342">
        <v>186.58</v>
      </c>
      <c r="L342">
        <v>9.1</v>
      </c>
    </row>
    <row r="343" spans="1:12" x14ac:dyDescent="0.25">
      <c r="A343" t="s">
        <v>390</v>
      </c>
      <c r="B343" s="1">
        <v>45819</v>
      </c>
      <c r="C343" s="1">
        <v>45823</v>
      </c>
      <c r="D343" t="s">
        <v>13</v>
      </c>
      <c r="E343" t="s">
        <v>14</v>
      </c>
      <c r="F343" t="s">
        <v>29</v>
      </c>
      <c r="G343" t="s">
        <v>16</v>
      </c>
      <c r="H343" t="s">
        <v>27</v>
      </c>
      <c r="I343">
        <v>23</v>
      </c>
      <c r="J343">
        <v>0</v>
      </c>
      <c r="K343">
        <v>629.21</v>
      </c>
      <c r="L343">
        <v>8.91</v>
      </c>
    </row>
    <row r="344" spans="1:12" x14ac:dyDescent="0.25">
      <c r="A344" t="s">
        <v>391</v>
      </c>
      <c r="B344" s="1">
        <v>45838</v>
      </c>
      <c r="C344" s="1">
        <v>45844</v>
      </c>
      <c r="D344" t="s">
        <v>47</v>
      </c>
      <c r="E344" t="s">
        <v>71</v>
      </c>
      <c r="F344" t="s">
        <v>15</v>
      </c>
      <c r="G344" t="s">
        <v>16</v>
      </c>
      <c r="H344" t="s">
        <v>41</v>
      </c>
      <c r="I344">
        <v>9</v>
      </c>
      <c r="J344">
        <v>0</v>
      </c>
      <c r="K344">
        <v>58.14</v>
      </c>
      <c r="L344">
        <v>8.5500000000000007</v>
      </c>
    </row>
    <row r="345" spans="1:12" x14ac:dyDescent="0.25">
      <c r="A345" t="s">
        <v>392</v>
      </c>
      <c r="B345" s="1">
        <v>45639</v>
      </c>
      <c r="C345" s="1">
        <v>45641</v>
      </c>
      <c r="D345" t="s">
        <v>13</v>
      </c>
      <c r="E345" t="s">
        <v>14</v>
      </c>
      <c r="F345" t="s">
        <v>25</v>
      </c>
      <c r="G345" t="s">
        <v>20</v>
      </c>
      <c r="H345" t="s">
        <v>39</v>
      </c>
      <c r="I345">
        <v>2</v>
      </c>
      <c r="J345">
        <v>0.05</v>
      </c>
      <c r="K345">
        <v>525.35</v>
      </c>
      <c r="L345">
        <v>4.2</v>
      </c>
    </row>
    <row r="346" spans="1:12" x14ac:dyDescent="0.25">
      <c r="A346" t="s">
        <v>393</v>
      </c>
      <c r="B346" s="1">
        <v>45360</v>
      </c>
      <c r="C346" s="1">
        <v>45363</v>
      </c>
      <c r="D346" t="s">
        <v>32</v>
      </c>
      <c r="E346" t="s">
        <v>62</v>
      </c>
      <c r="F346" t="s">
        <v>25</v>
      </c>
      <c r="G346" t="s">
        <v>16</v>
      </c>
      <c r="H346" t="s">
        <v>17</v>
      </c>
      <c r="I346">
        <v>3</v>
      </c>
      <c r="J346">
        <v>0</v>
      </c>
      <c r="K346">
        <v>369.02</v>
      </c>
      <c r="L346">
        <v>4.95</v>
      </c>
    </row>
    <row r="347" spans="1:12" x14ac:dyDescent="0.25">
      <c r="A347" t="s">
        <v>394</v>
      </c>
      <c r="B347" s="1">
        <v>45458</v>
      </c>
      <c r="C347" s="1">
        <v>45460</v>
      </c>
      <c r="D347" t="s">
        <v>32</v>
      </c>
      <c r="E347" t="s">
        <v>62</v>
      </c>
      <c r="F347" t="s">
        <v>15</v>
      </c>
      <c r="G347" t="s">
        <v>16</v>
      </c>
      <c r="H347" t="s">
        <v>39</v>
      </c>
      <c r="I347">
        <v>2</v>
      </c>
      <c r="J347">
        <v>0</v>
      </c>
      <c r="K347">
        <v>389.45</v>
      </c>
      <c r="L347">
        <v>7</v>
      </c>
    </row>
    <row r="348" spans="1:12" x14ac:dyDescent="0.25">
      <c r="A348" t="s">
        <v>395</v>
      </c>
      <c r="B348" s="1">
        <v>45517</v>
      </c>
      <c r="C348" s="1">
        <v>45518</v>
      </c>
      <c r="D348" t="s">
        <v>23</v>
      </c>
      <c r="E348" t="s">
        <v>24</v>
      </c>
      <c r="F348" t="s">
        <v>29</v>
      </c>
      <c r="G348" t="s">
        <v>20</v>
      </c>
      <c r="H348" t="s">
        <v>39</v>
      </c>
      <c r="I348">
        <v>2</v>
      </c>
      <c r="J348">
        <v>0.1</v>
      </c>
      <c r="K348">
        <v>340.68</v>
      </c>
      <c r="L348">
        <v>7</v>
      </c>
    </row>
    <row r="349" spans="1:12" x14ac:dyDescent="0.25">
      <c r="A349" t="s">
        <v>396</v>
      </c>
      <c r="B349" s="1">
        <v>45352</v>
      </c>
      <c r="C349" s="1">
        <v>45355</v>
      </c>
      <c r="D349" t="s">
        <v>13</v>
      </c>
      <c r="E349" t="s">
        <v>14</v>
      </c>
      <c r="F349" t="s">
        <v>25</v>
      </c>
      <c r="G349" t="s">
        <v>16</v>
      </c>
      <c r="H349" t="s">
        <v>87</v>
      </c>
      <c r="I349">
        <v>9</v>
      </c>
      <c r="J349">
        <v>0.2</v>
      </c>
      <c r="K349">
        <v>56.96</v>
      </c>
      <c r="L349">
        <v>8.5500000000000007</v>
      </c>
    </row>
    <row r="350" spans="1:12" x14ac:dyDescent="0.25">
      <c r="A350" t="s">
        <v>397</v>
      </c>
      <c r="B350" s="1">
        <v>45950</v>
      </c>
      <c r="C350" s="1">
        <v>45953</v>
      </c>
      <c r="D350" t="s">
        <v>47</v>
      </c>
      <c r="E350" t="s">
        <v>71</v>
      </c>
      <c r="F350" t="s">
        <v>25</v>
      </c>
      <c r="G350" t="s">
        <v>26</v>
      </c>
      <c r="H350" t="s">
        <v>51</v>
      </c>
      <c r="I350">
        <v>7</v>
      </c>
      <c r="J350">
        <v>0.2</v>
      </c>
      <c r="K350">
        <v>94.98</v>
      </c>
      <c r="L350">
        <v>4.59</v>
      </c>
    </row>
    <row r="351" spans="1:12" x14ac:dyDescent="0.25">
      <c r="A351" t="s">
        <v>398</v>
      </c>
      <c r="B351" s="1">
        <v>45962</v>
      </c>
      <c r="C351" s="1">
        <v>45964</v>
      </c>
      <c r="D351" t="s">
        <v>47</v>
      </c>
      <c r="E351" t="s">
        <v>50</v>
      </c>
      <c r="F351" t="s">
        <v>29</v>
      </c>
      <c r="G351" t="s">
        <v>20</v>
      </c>
      <c r="H351" t="s">
        <v>30</v>
      </c>
      <c r="I351">
        <v>14</v>
      </c>
      <c r="J351">
        <v>0</v>
      </c>
      <c r="K351">
        <v>118.58</v>
      </c>
      <c r="L351">
        <v>6.48</v>
      </c>
    </row>
    <row r="352" spans="1:12" x14ac:dyDescent="0.25">
      <c r="A352" t="s">
        <v>399</v>
      </c>
      <c r="B352" s="1">
        <v>45855</v>
      </c>
      <c r="C352" s="1">
        <v>45860</v>
      </c>
      <c r="D352" t="s">
        <v>23</v>
      </c>
      <c r="E352" t="s">
        <v>43</v>
      </c>
      <c r="F352" t="s">
        <v>29</v>
      </c>
      <c r="G352" t="s">
        <v>20</v>
      </c>
      <c r="H352" t="s">
        <v>17</v>
      </c>
      <c r="I352">
        <v>3</v>
      </c>
      <c r="J352">
        <v>0</v>
      </c>
      <c r="K352">
        <v>336.74</v>
      </c>
      <c r="L352">
        <v>8.25</v>
      </c>
    </row>
    <row r="353" spans="1:12" x14ac:dyDescent="0.25">
      <c r="A353" t="s">
        <v>400</v>
      </c>
      <c r="B353" s="1">
        <v>45842</v>
      </c>
      <c r="C353" s="1">
        <v>45846</v>
      </c>
      <c r="D353" t="s">
        <v>23</v>
      </c>
      <c r="E353" t="s">
        <v>24</v>
      </c>
      <c r="F353" t="s">
        <v>15</v>
      </c>
      <c r="G353" t="s">
        <v>16</v>
      </c>
      <c r="H353" t="s">
        <v>39</v>
      </c>
      <c r="I353">
        <v>1</v>
      </c>
      <c r="J353">
        <v>0.2</v>
      </c>
      <c r="K353">
        <v>136.38999999999999</v>
      </c>
      <c r="L353">
        <v>5.75</v>
      </c>
    </row>
    <row r="354" spans="1:12" x14ac:dyDescent="0.25">
      <c r="A354" t="s">
        <v>401</v>
      </c>
      <c r="B354" s="1">
        <v>45499</v>
      </c>
      <c r="C354" s="1">
        <v>45501</v>
      </c>
      <c r="D354" t="s">
        <v>13</v>
      </c>
      <c r="E354" t="s">
        <v>14</v>
      </c>
      <c r="F354" t="s">
        <v>25</v>
      </c>
      <c r="G354" t="s">
        <v>16</v>
      </c>
      <c r="H354" t="s">
        <v>30</v>
      </c>
      <c r="I354">
        <v>4</v>
      </c>
      <c r="J354">
        <v>0.05</v>
      </c>
      <c r="K354">
        <v>21.31</v>
      </c>
      <c r="L354">
        <v>3.78</v>
      </c>
    </row>
    <row r="355" spans="1:12" x14ac:dyDescent="0.25">
      <c r="A355" t="s">
        <v>402</v>
      </c>
      <c r="B355" s="1">
        <v>45510</v>
      </c>
      <c r="C355" s="1">
        <v>45514</v>
      </c>
      <c r="D355" t="s">
        <v>23</v>
      </c>
      <c r="E355" t="s">
        <v>43</v>
      </c>
      <c r="F355" t="s">
        <v>15</v>
      </c>
      <c r="G355" t="s">
        <v>26</v>
      </c>
      <c r="H355" t="s">
        <v>17</v>
      </c>
      <c r="I355">
        <v>4</v>
      </c>
      <c r="J355">
        <v>0</v>
      </c>
      <c r="K355">
        <v>482.68</v>
      </c>
      <c r="L355">
        <v>9.5</v>
      </c>
    </row>
    <row r="356" spans="1:12" x14ac:dyDescent="0.25">
      <c r="A356" t="s">
        <v>403</v>
      </c>
      <c r="B356" s="1">
        <v>46010</v>
      </c>
      <c r="C356" s="1">
        <v>46011</v>
      </c>
      <c r="D356" t="s">
        <v>32</v>
      </c>
      <c r="E356" t="s">
        <v>62</v>
      </c>
      <c r="F356" t="s">
        <v>29</v>
      </c>
      <c r="G356" t="s">
        <v>26</v>
      </c>
      <c r="H356" t="s">
        <v>21</v>
      </c>
      <c r="I356">
        <v>2</v>
      </c>
      <c r="J356">
        <v>0</v>
      </c>
      <c r="K356">
        <v>337.23</v>
      </c>
      <c r="L356">
        <v>9.1</v>
      </c>
    </row>
    <row r="357" spans="1:12" x14ac:dyDescent="0.25">
      <c r="A357" t="s">
        <v>404</v>
      </c>
      <c r="B357" s="1">
        <v>45537</v>
      </c>
      <c r="C357" s="1">
        <v>45540</v>
      </c>
      <c r="D357" t="s">
        <v>32</v>
      </c>
      <c r="E357" t="s">
        <v>45</v>
      </c>
      <c r="F357" t="s">
        <v>29</v>
      </c>
      <c r="G357" t="s">
        <v>16</v>
      </c>
      <c r="H357" t="s">
        <v>41</v>
      </c>
      <c r="I357">
        <v>22</v>
      </c>
      <c r="J357">
        <v>0</v>
      </c>
      <c r="K357">
        <v>140.69999999999999</v>
      </c>
      <c r="L357">
        <v>14.4</v>
      </c>
    </row>
    <row r="358" spans="1:12" x14ac:dyDescent="0.25">
      <c r="A358" t="s">
        <v>405</v>
      </c>
      <c r="B358" s="1">
        <v>45533</v>
      </c>
      <c r="C358" s="1">
        <v>45535</v>
      </c>
      <c r="D358" t="s">
        <v>47</v>
      </c>
      <c r="E358" t="s">
        <v>50</v>
      </c>
      <c r="F358" t="s">
        <v>15</v>
      </c>
      <c r="G358" t="s">
        <v>26</v>
      </c>
      <c r="H358" t="s">
        <v>60</v>
      </c>
      <c r="I358">
        <v>3</v>
      </c>
      <c r="J358">
        <v>0</v>
      </c>
      <c r="K358">
        <v>335.22</v>
      </c>
      <c r="L358">
        <v>4.95</v>
      </c>
    </row>
    <row r="359" spans="1:12" x14ac:dyDescent="0.25">
      <c r="A359" t="s">
        <v>406</v>
      </c>
      <c r="B359" s="1">
        <v>45940</v>
      </c>
      <c r="C359" s="1">
        <v>45944</v>
      </c>
      <c r="D359" t="s">
        <v>23</v>
      </c>
      <c r="E359" t="s">
        <v>59</v>
      </c>
      <c r="F359" t="s">
        <v>29</v>
      </c>
      <c r="G359" t="s">
        <v>26</v>
      </c>
      <c r="H359" t="s">
        <v>65</v>
      </c>
      <c r="I359">
        <v>1</v>
      </c>
      <c r="J359">
        <v>0.05</v>
      </c>
      <c r="K359">
        <v>318.70999999999998</v>
      </c>
      <c r="L359">
        <v>4.08</v>
      </c>
    </row>
    <row r="360" spans="1:12" x14ac:dyDescent="0.25">
      <c r="A360" t="s">
        <v>407</v>
      </c>
      <c r="B360" s="1">
        <v>45845</v>
      </c>
      <c r="C360" s="1">
        <v>45850</v>
      </c>
      <c r="D360" t="s">
        <v>13</v>
      </c>
      <c r="E360" t="s">
        <v>14</v>
      </c>
      <c r="F360" t="s">
        <v>25</v>
      </c>
      <c r="G360" t="s">
        <v>20</v>
      </c>
      <c r="H360" t="s">
        <v>34</v>
      </c>
      <c r="I360">
        <v>5</v>
      </c>
      <c r="J360">
        <v>0</v>
      </c>
      <c r="K360">
        <v>928.11</v>
      </c>
      <c r="L360">
        <v>16</v>
      </c>
    </row>
    <row r="361" spans="1:12" x14ac:dyDescent="0.25">
      <c r="A361" t="s">
        <v>408</v>
      </c>
      <c r="B361" s="1">
        <v>45733</v>
      </c>
      <c r="C361" s="1">
        <v>45738</v>
      </c>
      <c r="D361" t="s">
        <v>23</v>
      </c>
      <c r="E361" t="s">
        <v>24</v>
      </c>
      <c r="F361" t="s">
        <v>25</v>
      </c>
      <c r="G361" t="s">
        <v>20</v>
      </c>
      <c r="H361" t="s">
        <v>68</v>
      </c>
      <c r="I361">
        <v>5</v>
      </c>
      <c r="J361">
        <v>0</v>
      </c>
      <c r="K361">
        <v>232.95</v>
      </c>
      <c r="L361">
        <v>10.75</v>
      </c>
    </row>
    <row r="362" spans="1:12" x14ac:dyDescent="0.25">
      <c r="A362" t="s">
        <v>409</v>
      </c>
      <c r="B362" s="1">
        <v>45397</v>
      </c>
      <c r="C362" s="1">
        <v>45398</v>
      </c>
      <c r="D362" t="s">
        <v>47</v>
      </c>
      <c r="E362" t="s">
        <v>50</v>
      </c>
      <c r="F362" t="s">
        <v>29</v>
      </c>
      <c r="G362" t="s">
        <v>26</v>
      </c>
      <c r="H362" t="s">
        <v>27</v>
      </c>
      <c r="I362">
        <v>10</v>
      </c>
      <c r="J362">
        <v>0</v>
      </c>
      <c r="K362">
        <v>281.18</v>
      </c>
      <c r="L362">
        <v>5.4</v>
      </c>
    </row>
    <row r="363" spans="1:12" x14ac:dyDescent="0.25">
      <c r="A363" t="s">
        <v>410</v>
      </c>
      <c r="B363" s="1">
        <v>45876</v>
      </c>
      <c r="C363" s="1">
        <v>45882</v>
      </c>
      <c r="D363" t="s">
        <v>23</v>
      </c>
      <c r="E363" t="s">
        <v>59</v>
      </c>
      <c r="F363" t="s">
        <v>15</v>
      </c>
      <c r="G363" t="s">
        <v>20</v>
      </c>
      <c r="H363" t="s">
        <v>39</v>
      </c>
      <c r="I363">
        <v>1</v>
      </c>
      <c r="J363">
        <v>0</v>
      </c>
      <c r="K363">
        <v>176.31</v>
      </c>
      <c r="L363">
        <v>5.75</v>
      </c>
    </row>
    <row r="364" spans="1:12" x14ac:dyDescent="0.25">
      <c r="A364" t="s">
        <v>411</v>
      </c>
      <c r="B364" s="1">
        <v>45430</v>
      </c>
      <c r="C364" s="1">
        <v>45434</v>
      </c>
      <c r="D364" t="s">
        <v>47</v>
      </c>
      <c r="E364" t="s">
        <v>71</v>
      </c>
      <c r="F364" t="s">
        <v>29</v>
      </c>
      <c r="G364" t="s">
        <v>20</v>
      </c>
      <c r="H364" t="s">
        <v>53</v>
      </c>
      <c r="I364">
        <v>2</v>
      </c>
      <c r="J364">
        <v>0.2</v>
      </c>
      <c r="K364">
        <v>92.3</v>
      </c>
      <c r="L364">
        <v>4.2</v>
      </c>
    </row>
    <row r="365" spans="1:12" x14ac:dyDescent="0.25">
      <c r="A365" t="s">
        <v>412</v>
      </c>
      <c r="B365" s="1">
        <v>45973</v>
      </c>
      <c r="C365" s="1">
        <v>45974</v>
      </c>
      <c r="D365" t="s">
        <v>23</v>
      </c>
      <c r="E365" t="s">
        <v>43</v>
      </c>
      <c r="F365" t="s">
        <v>29</v>
      </c>
      <c r="G365" t="s">
        <v>16</v>
      </c>
      <c r="H365" t="s">
        <v>41</v>
      </c>
      <c r="I365">
        <v>9</v>
      </c>
      <c r="J365">
        <v>0</v>
      </c>
      <c r="K365">
        <v>78.33</v>
      </c>
      <c r="L365">
        <v>8.5500000000000007</v>
      </c>
    </row>
    <row r="366" spans="1:12" x14ac:dyDescent="0.25">
      <c r="A366" t="s">
        <v>413</v>
      </c>
      <c r="B366" s="1">
        <v>45613</v>
      </c>
      <c r="C366" s="1">
        <v>45617</v>
      </c>
      <c r="D366" t="s">
        <v>47</v>
      </c>
      <c r="E366" t="s">
        <v>50</v>
      </c>
      <c r="F366" t="s">
        <v>29</v>
      </c>
      <c r="G366" t="s">
        <v>26</v>
      </c>
      <c r="H366" t="s">
        <v>27</v>
      </c>
      <c r="I366">
        <v>14</v>
      </c>
      <c r="J366">
        <v>0</v>
      </c>
      <c r="K366">
        <v>543.75</v>
      </c>
      <c r="L366">
        <v>10.8</v>
      </c>
    </row>
    <row r="367" spans="1:12" x14ac:dyDescent="0.25">
      <c r="A367" t="s">
        <v>414</v>
      </c>
      <c r="B367" s="1">
        <v>45636</v>
      </c>
      <c r="C367" s="1">
        <v>45642</v>
      </c>
      <c r="D367" t="s">
        <v>23</v>
      </c>
      <c r="E367" t="s">
        <v>43</v>
      </c>
      <c r="F367" t="s">
        <v>29</v>
      </c>
      <c r="G367" t="s">
        <v>26</v>
      </c>
      <c r="H367" t="s">
        <v>41</v>
      </c>
      <c r="I367">
        <v>13</v>
      </c>
      <c r="J367">
        <v>0.05</v>
      </c>
      <c r="K367">
        <v>109.43</v>
      </c>
      <c r="L367">
        <v>10.35</v>
      </c>
    </row>
    <row r="368" spans="1:12" x14ac:dyDescent="0.25">
      <c r="A368" t="s">
        <v>415</v>
      </c>
      <c r="B368" s="1">
        <v>45523</v>
      </c>
      <c r="C368" s="1">
        <v>45527</v>
      </c>
      <c r="D368" t="s">
        <v>23</v>
      </c>
      <c r="E368" t="s">
        <v>59</v>
      </c>
      <c r="F368" t="s">
        <v>15</v>
      </c>
      <c r="G368" t="s">
        <v>16</v>
      </c>
      <c r="H368" t="s">
        <v>51</v>
      </c>
      <c r="I368">
        <v>5</v>
      </c>
      <c r="J368">
        <v>0</v>
      </c>
      <c r="K368">
        <v>73.459999999999994</v>
      </c>
      <c r="L368">
        <v>4.05</v>
      </c>
    </row>
    <row r="369" spans="1:12" x14ac:dyDescent="0.25">
      <c r="A369" t="s">
        <v>416</v>
      </c>
      <c r="B369" s="1">
        <v>45711</v>
      </c>
      <c r="C369" s="1">
        <v>45714</v>
      </c>
      <c r="D369" t="s">
        <v>23</v>
      </c>
      <c r="E369" t="s">
        <v>59</v>
      </c>
      <c r="F369" t="s">
        <v>29</v>
      </c>
      <c r="G369" t="s">
        <v>20</v>
      </c>
      <c r="H369" t="s">
        <v>37</v>
      </c>
      <c r="I369">
        <v>1</v>
      </c>
      <c r="J369">
        <v>0</v>
      </c>
      <c r="K369">
        <v>94.95</v>
      </c>
      <c r="L369">
        <v>6.8</v>
      </c>
    </row>
    <row r="370" spans="1:12" x14ac:dyDescent="0.25">
      <c r="A370" t="s">
        <v>417</v>
      </c>
      <c r="B370" s="1">
        <v>45648</v>
      </c>
      <c r="C370" s="1">
        <v>45651</v>
      </c>
      <c r="D370" t="s">
        <v>47</v>
      </c>
      <c r="E370" t="s">
        <v>48</v>
      </c>
      <c r="F370" t="s">
        <v>25</v>
      </c>
      <c r="G370" t="s">
        <v>16</v>
      </c>
      <c r="H370" t="s">
        <v>21</v>
      </c>
      <c r="I370">
        <v>4</v>
      </c>
      <c r="J370">
        <v>0.15</v>
      </c>
      <c r="K370">
        <v>553.44000000000005</v>
      </c>
      <c r="L370">
        <v>8.2200000000000006</v>
      </c>
    </row>
    <row r="371" spans="1:12" x14ac:dyDescent="0.25">
      <c r="A371" t="s">
        <v>418</v>
      </c>
      <c r="B371" s="1">
        <v>45472</v>
      </c>
      <c r="C371" s="1">
        <v>45473</v>
      </c>
      <c r="D371" t="s">
        <v>47</v>
      </c>
      <c r="E371" t="s">
        <v>48</v>
      </c>
      <c r="F371" t="s">
        <v>15</v>
      </c>
      <c r="G371" t="s">
        <v>16</v>
      </c>
      <c r="H371" t="s">
        <v>30</v>
      </c>
      <c r="I371">
        <v>7</v>
      </c>
      <c r="J371">
        <v>0</v>
      </c>
      <c r="K371">
        <v>44.26</v>
      </c>
      <c r="L371">
        <v>4.59</v>
      </c>
    </row>
    <row r="372" spans="1:12" x14ac:dyDescent="0.25">
      <c r="A372" t="s">
        <v>419</v>
      </c>
      <c r="B372" s="1">
        <v>45467</v>
      </c>
      <c r="C372" s="1">
        <v>45473</v>
      </c>
      <c r="D372" t="s">
        <v>13</v>
      </c>
      <c r="E372" t="s">
        <v>14</v>
      </c>
      <c r="F372" t="s">
        <v>15</v>
      </c>
      <c r="G372" t="s">
        <v>16</v>
      </c>
      <c r="H372" t="s">
        <v>68</v>
      </c>
      <c r="I372">
        <v>2</v>
      </c>
      <c r="J372">
        <v>0.1</v>
      </c>
      <c r="K372">
        <v>95.38</v>
      </c>
      <c r="L372">
        <v>4.2</v>
      </c>
    </row>
    <row r="373" spans="1:12" x14ac:dyDescent="0.25">
      <c r="A373" t="s">
        <v>420</v>
      </c>
      <c r="B373" s="1">
        <v>45754</v>
      </c>
      <c r="C373" s="1">
        <v>45760</v>
      </c>
      <c r="D373" t="s">
        <v>32</v>
      </c>
      <c r="E373" t="s">
        <v>33</v>
      </c>
      <c r="F373" t="s">
        <v>25</v>
      </c>
      <c r="G373" t="s">
        <v>26</v>
      </c>
      <c r="H373" t="s">
        <v>63</v>
      </c>
      <c r="I373">
        <v>6</v>
      </c>
      <c r="J373">
        <v>0.05</v>
      </c>
      <c r="K373">
        <v>70.040000000000006</v>
      </c>
      <c r="L373">
        <v>4.32</v>
      </c>
    </row>
    <row r="374" spans="1:12" x14ac:dyDescent="0.25">
      <c r="A374" t="s">
        <v>421</v>
      </c>
      <c r="B374" s="1">
        <v>45359</v>
      </c>
      <c r="C374" s="1">
        <v>45361</v>
      </c>
      <c r="D374" t="s">
        <v>47</v>
      </c>
      <c r="E374" t="s">
        <v>71</v>
      </c>
      <c r="F374" t="s">
        <v>15</v>
      </c>
      <c r="G374" t="s">
        <v>16</v>
      </c>
      <c r="H374" t="s">
        <v>39</v>
      </c>
      <c r="I374">
        <v>4</v>
      </c>
      <c r="J374">
        <v>0</v>
      </c>
      <c r="K374">
        <v>712.4</v>
      </c>
      <c r="L374">
        <v>9.5</v>
      </c>
    </row>
    <row r="375" spans="1:12" x14ac:dyDescent="0.25">
      <c r="A375" t="s">
        <v>422</v>
      </c>
      <c r="B375" s="1">
        <v>45744</v>
      </c>
      <c r="C375" s="1">
        <v>45748</v>
      </c>
      <c r="D375" t="s">
        <v>47</v>
      </c>
      <c r="E375" t="s">
        <v>48</v>
      </c>
      <c r="F375" t="s">
        <v>15</v>
      </c>
      <c r="G375" t="s">
        <v>20</v>
      </c>
      <c r="H375" t="s">
        <v>53</v>
      </c>
      <c r="I375">
        <v>1</v>
      </c>
      <c r="J375">
        <v>0.25</v>
      </c>
      <c r="K375">
        <v>39.04</v>
      </c>
      <c r="L375">
        <v>3.45</v>
      </c>
    </row>
    <row r="376" spans="1:12" x14ac:dyDescent="0.25">
      <c r="A376" t="s">
        <v>423</v>
      </c>
      <c r="B376" s="1">
        <v>46009</v>
      </c>
      <c r="C376" s="1">
        <v>46010</v>
      </c>
      <c r="D376" t="s">
        <v>23</v>
      </c>
      <c r="E376" t="s">
        <v>24</v>
      </c>
      <c r="F376" t="s">
        <v>29</v>
      </c>
      <c r="G376" t="s">
        <v>20</v>
      </c>
      <c r="H376" t="s">
        <v>37</v>
      </c>
      <c r="I376">
        <v>2</v>
      </c>
      <c r="J376">
        <v>0</v>
      </c>
      <c r="K376">
        <v>306.13</v>
      </c>
      <c r="L376">
        <v>5.46</v>
      </c>
    </row>
    <row r="377" spans="1:12" x14ac:dyDescent="0.25">
      <c r="A377" t="s">
        <v>424</v>
      </c>
      <c r="B377" s="1">
        <v>45981</v>
      </c>
      <c r="C377" s="1">
        <v>45982</v>
      </c>
      <c r="D377" t="s">
        <v>47</v>
      </c>
      <c r="E377" t="s">
        <v>48</v>
      </c>
      <c r="F377" t="s">
        <v>29</v>
      </c>
      <c r="G377" t="s">
        <v>26</v>
      </c>
      <c r="H377" t="s">
        <v>17</v>
      </c>
      <c r="I377">
        <v>2</v>
      </c>
      <c r="J377">
        <v>0</v>
      </c>
      <c r="K377">
        <v>349.68</v>
      </c>
      <c r="L377">
        <v>7</v>
      </c>
    </row>
    <row r="378" spans="1:12" x14ac:dyDescent="0.25">
      <c r="A378" t="s">
        <v>425</v>
      </c>
      <c r="B378" s="1">
        <v>45423</v>
      </c>
      <c r="C378" s="1">
        <v>45425</v>
      </c>
      <c r="D378" t="s">
        <v>13</v>
      </c>
      <c r="E378" t="s">
        <v>14</v>
      </c>
      <c r="F378" t="s">
        <v>29</v>
      </c>
      <c r="G378" t="s">
        <v>20</v>
      </c>
      <c r="H378" t="s">
        <v>51</v>
      </c>
      <c r="I378">
        <v>5</v>
      </c>
      <c r="J378">
        <v>0.1</v>
      </c>
      <c r="K378">
        <v>63.92</v>
      </c>
      <c r="L378">
        <v>6.75</v>
      </c>
    </row>
    <row r="379" spans="1:12" x14ac:dyDescent="0.25">
      <c r="A379" t="s">
        <v>426</v>
      </c>
      <c r="B379" s="1">
        <v>45885</v>
      </c>
      <c r="C379" s="1">
        <v>45889</v>
      </c>
      <c r="D379" t="s">
        <v>23</v>
      </c>
      <c r="E379" t="s">
        <v>24</v>
      </c>
      <c r="F379" t="s">
        <v>15</v>
      </c>
      <c r="G379" t="s">
        <v>16</v>
      </c>
      <c r="H379" t="s">
        <v>63</v>
      </c>
      <c r="I379">
        <v>18</v>
      </c>
      <c r="J379">
        <v>0.2</v>
      </c>
      <c r="K379">
        <v>162.94</v>
      </c>
      <c r="L379">
        <v>12.6</v>
      </c>
    </row>
    <row r="380" spans="1:12" x14ac:dyDescent="0.25">
      <c r="A380" t="s">
        <v>427</v>
      </c>
      <c r="B380" s="1">
        <v>45516</v>
      </c>
      <c r="C380" s="1">
        <v>45518</v>
      </c>
      <c r="D380" t="s">
        <v>47</v>
      </c>
      <c r="E380" t="s">
        <v>71</v>
      </c>
      <c r="F380" t="s">
        <v>25</v>
      </c>
      <c r="G380" t="s">
        <v>20</v>
      </c>
      <c r="H380" t="s">
        <v>53</v>
      </c>
      <c r="I380">
        <v>1</v>
      </c>
      <c r="J380">
        <v>0</v>
      </c>
      <c r="K380">
        <v>55.06</v>
      </c>
      <c r="L380">
        <v>5.75</v>
      </c>
    </row>
    <row r="381" spans="1:12" x14ac:dyDescent="0.25">
      <c r="A381" t="s">
        <v>428</v>
      </c>
      <c r="B381" s="1">
        <v>45430</v>
      </c>
      <c r="C381" s="1">
        <v>45433</v>
      </c>
      <c r="D381" t="s">
        <v>32</v>
      </c>
      <c r="E381" t="s">
        <v>62</v>
      </c>
      <c r="F381" t="s">
        <v>29</v>
      </c>
      <c r="G381" t="s">
        <v>26</v>
      </c>
      <c r="H381" t="s">
        <v>60</v>
      </c>
      <c r="I381">
        <v>4</v>
      </c>
      <c r="J381">
        <v>0.05</v>
      </c>
      <c r="K381">
        <v>451.84</v>
      </c>
      <c r="L381">
        <v>5.7</v>
      </c>
    </row>
    <row r="382" spans="1:12" x14ac:dyDescent="0.25">
      <c r="A382" t="s">
        <v>429</v>
      </c>
      <c r="B382" s="1">
        <v>45380</v>
      </c>
      <c r="C382" s="1">
        <v>45383</v>
      </c>
      <c r="D382" t="s">
        <v>23</v>
      </c>
      <c r="E382" t="s">
        <v>43</v>
      </c>
      <c r="F382" t="s">
        <v>25</v>
      </c>
      <c r="G382" t="s">
        <v>20</v>
      </c>
      <c r="H382" t="s">
        <v>65</v>
      </c>
      <c r="I382">
        <v>4</v>
      </c>
      <c r="J382">
        <v>0.05</v>
      </c>
      <c r="K382">
        <v>974.53</v>
      </c>
      <c r="L382">
        <v>13.7</v>
      </c>
    </row>
    <row r="383" spans="1:12" x14ac:dyDescent="0.25">
      <c r="A383" t="s">
        <v>430</v>
      </c>
      <c r="B383" s="1">
        <v>45905</v>
      </c>
      <c r="C383" s="1">
        <v>45907</v>
      </c>
      <c r="D383" t="s">
        <v>13</v>
      </c>
      <c r="E383" t="s">
        <v>19</v>
      </c>
      <c r="F383" t="s">
        <v>29</v>
      </c>
      <c r="G383" t="s">
        <v>16</v>
      </c>
      <c r="H383" t="s">
        <v>65</v>
      </c>
      <c r="I383">
        <v>7</v>
      </c>
      <c r="J383">
        <v>0.1</v>
      </c>
      <c r="K383">
        <v>1909.41</v>
      </c>
      <c r="L383">
        <v>12.36</v>
      </c>
    </row>
    <row r="384" spans="1:12" x14ac:dyDescent="0.25">
      <c r="A384" t="s">
        <v>431</v>
      </c>
      <c r="B384" s="1">
        <v>45520</v>
      </c>
      <c r="C384" s="1">
        <v>45525</v>
      </c>
      <c r="D384" t="s">
        <v>13</v>
      </c>
      <c r="E384" t="s">
        <v>19</v>
      </c>
      <c r="F384" t="s">
        <v>25</v>
      </c>
      <c r="G384" t="s">
        <v>26</v>
      </c>
      <c r="H384" t="s">
        <v>63</v>
      </c>
      <c r="I384">
        <v>12</v>
      </c>
      <c r="J384">
        <v>0</v>
      </c>
      <c r="K384">
        <v>145.08000000000001</v>
      </c>
      <c r="L384">
        <v>9.9</v>
      </c>
    </row>
    <row r="385" spans="1:12" x14ac:dyDescent="0.25">
      <c r="A385" t="s">
        <v>432</v>
      </c>
      <c r="B385" s="1">
        <v>45677</v>
      </c>
      <c r="C385" s="1">
        <v>45679</v>
      </c>
      <c r="D385" t="s">
        <v>23</v>
      </c>
      <c r="E385" t="s">
        <v>24</v>
      </c>
      <c r="F385" t="s">
        <v>29</v>
      </c>
      <c r="G385" t="s">
        <v>16</v>
      </c>
      <c r="H385" t="s">
        <v>87</v>
      </c>
      <c r="I385">
        <v>4</v>
      </c>
      <c r="J385">
        <v>0.2</v>
      </c>
      <c r="K385">
        <v>24.11</v>
      </c>
      <c r="L385">
        <v>6.3</v>
      </c>
    </row>
    <row r="386" spans="1:12" x14ac:dyDescent="0.25">
      <c r="A386" t="s">
        <v>433</v>
      </c>
      <c r="B386" s="1">
        <v>45531</v>
      </c>
      <c r="C386" s="1">
        <v>45534</v>
      </c>
      <c r="D386" t="s">
        <v>47</v>
      </c>
      <c r="E386" t="s">
        <v>71</v>
      </c>
      <c r="F386" t="s">
        <v>29</v>
      </c>
      <c r="G386" t="s">
        <v>20</v>
      </c>
      <c r="H386" t="s">
        <v>27</v>
      </c>
      <c r="I386">
        <v>9</v>
      </c>
      <c r="J386">
        <v>0</v>
      </c>
      <c r="K386">
        <v>237.8</v>
      </c>
      <c r="L386">
        <v>8.5500000000000007</v>
      </c>
    </row>
    <row r="387" spans="1:12" x14ac:dyDescent="0.25">
      <c r="A387" t="s">
        <v>434</v>
      </c>
      <c r="B387" s="1">
        <v>45792</v>
      </c>
      <c r="C387" s="1">
        <v>45793</v>
      </c>
      <c r="D387" t="s">
        <v>13</v>
      </c>
      <c r="E387" t="s">
        <v>19</v>
      </c>
      <c r="F387" t="s">
        <v>15</v>
      </c>
      <c r="G387" t="s">
        <v>16</v>
      </c>
      <c r="H387" t="s">
        <v>41</v>
      </c>
      <c r="I387">
        <v>5</v>
      </c>
      <c r="J387">
        <v>0.15</v>
      </c>
      <c r="K387">
        <v>26.97</v>
      </c>
      <c r="L387">
        <v>4.05</v>
      </c>
    </row>
    <row r="388" spans="1:12" x14ac:dyDescent="0.25">
      <c r="A388" t="s">
        <v>435</v>
      </c>
      <c r="B388" s="1">
        <v>45361</v>
      </c>
      <c r="C388" s="1">
        <v>45367</v>
      </c>
      <c r="D388" t="s">
        <v>13</v>
      </c>
      <c r="E388" t="s">
        <v>36</v>
      </c>
      <c r="F388" t="s">
        <v>29</v>
      </c>
      <c r="G388" t="s">
        <v>20</v>
      </c>
      <c r="H388" t="s">
        <v>51</v>
      </c>
      <c r="I388">
        <v>4</v>
      </c>
      <c r="J388">
        <v>0</v>
      </c>
      <c r="K388">
        <v>53.36</v>
      </c>
      <c r="L388">
        <v>6.3</v>
      </c>
    </row>
    <row r="389" spans="1:12" x14ac:dyDescent="0.25">
      <c r="A389" t="s">
        <v>436</v>
      </c>
      <c r="B389" s="1">
        <v>45820</v>
      </c>
      <c r="C389" s="1">
        <v>45826</v>
      </c>
      <c r="D389" t="s">
        <v>13</v>
      </c>
      <c r="E389" t="s">
        <v>36</v>
      </c>
      <c r="F389" t="s">
        <v>25</v>
      </c>
      <c r="G389" t="s">
        <v>20</v>
      </c>
      <c r="H389" t="s">
        <v>39</v>
      </c>
      <c r="I389">
        <v>3</v>
      </c>
      <c r="J389">
        <v>0</v>
      </c>
      <c r="K389">
        <v>565.91</v>
      </c>
      <c r="L389">
        <v>4.95</v>
      </c>
    </row>
    <row r="390" spans="1:12" x14ac:dyDescent="0.25">
      <c r="A390" t="s">
        <v>437</v>
      </c>
      <c r="B390" s="1">
        <v>45794</v>
      </c>
      <c r="C390" s="1">
        <v>45795</v>
      </c>
      <c r="D390" t="s">
        <v>13</v>
      </c>
      <c r="E390" t="s">
        <v>36</v>
      </c>
      <c r="F390" t="s">
        <v>29</v>
      </c>
      <c r="G390" t="s">
        <v>16</v>
      </c>
      <c r="H390" t="s">
        <v>17</v>
      </c>
      <c r="I390">
        <v>3</v>
      </c>
      <c r="J390">
        <v>0</v>
      </c>
      <c r="K390">
        <v>377.09</v>
      </c>
      <c r="L390">
        <v>4.95</v>
      </c>
    </row>
    <row r="391" spans="1:12" x14ac:dyDescent="0.25">
      <c r="A391" t="s">
        <v>438</v>
      </c>
      <c r="B391" s="1">
        <v>45927</v>
      </c>
      <c r="C391" s="1">
        <v>45929</v>
      </c>
      <c r="D391" t="s">
        <v>47</v>
      </c>
      <c r="E391" t="s">
        <v>48</v>
      </c>
      <c r="F391" t="s">
        <v>29</v>
      </c>
      <c r="G391" t="s">
        <v>16</v>
      </c>
      <c r="H391" t="s">
        <v>53</v>
      </c>
      <c r="I391">
        <v>4</v>
      </c>
      <c r="J391">
        <v>0.15</v>
      </c>
      <c r="K391">
        <v>211.28</v>
      </c>
      <c r="L391">
        <v>5.7</v>
      </c>
    </row>
    <row r="392" spans="1:12" x14ac:dyDescent="0.25">
      <c r="A392" t="s">
        <v>439</v>
      </c>
      <c r="B392" s="1">
        <v>45691</v>
      </c>
      <c r="C392" s="1">
        <v>45695</v>
      </c>
      <c r="D392" t="s">
        <v>23</v>
      </c>
      <c r="E392" t="s">
        <v>59</v>
      </c>
      <c r="F392" t="s">
        <v>29</v>
      </c>
      <c r="G392" t="s">
        <v>16</v>
      </c>
      <c r="H392" t="s">
        <v>65</v>
      </c>
      <c r="I392">
        <v>2</v>
      </c>
      <c r="J392">
        <v>0.2</v>
      </c>
      <c r="K392">
        <v>389.97</v>
      </c>
      <c r="L392">
        <v>5.46</v>
      </c>
    </row>
    <row r="393" spans="1:12" x14ac:dyDescent="0.25">
      <c r="A393" t="s">
        <v>440</v>
      </c>
      <c r="B393" s="1">
        <v>45605</v>
      </c>
      <c r="C393" s="1">
        <v>45609</v>
      </c>
      <c r="D393" t="s">
        <v>23</v>
      </c>
      <c r="E393" t="s">
        <v>24</v>
      </c>
      <c r="F393" t="s">
        <v>25</v>
      </c>
      <c r="G393" t="s">
        <v>26</v>
      </c>
      <c r="H393" t="s">
        <v>21</v>
      </c>
      <c r="I393">
        <v>3</v>
      </c>
      <c r="J393">
        <v>0.1</v>
      </c>
      <c r="K393">
        <v>409.05</v>
      </c>
      <c r="L393">
        <v>11.4</v>
      </c>
    </row>
    <row r="394" spans="1:12" x14ac:dyDescent="0.25">
      <c r="A394" t="s">
        <v>441</v>
      </c>
      <c r="B394" s="1">
        <v>45633</v>
      </c>
      <c r="C394" s="1">
        <v>45634</v>
      </c>
      <c r="D394" t="s">
        <v>23</v>
      </c>
      <c r="E394" t="s">
        <v>43</v>
      </c>
      <c r="F394" t="s">
        <v>25</v>
      </c>
      <c r="G394" t="s">
        <v>16</v>
      </c>
      <c r="H394" t="s">
        <v>17</v>
      </c>
      <c r="I394">
        <v>2</v>
      </c>
      <c r="J394">
        <v>0.05</v>
      </c>
      <c r="K394">
        <v>354.66</v>
      </c>
      <c r="L394">
        <v>7</v>
      </c>
    </row>
    <row r="395" spans="1:12" x14ac:dyDescent="0.25">
      <c r="A395" t="s">
        <v>442</v>
      </c>
      <c r="B395" s="1">
        <v>45777</v>
      </c>
      <c r="C395" s="1">
        <v>45781</v>
      </c>
      <c r="D395" t="s">
        <v>13</v>
      </c>
      <c r="E395" t="s">
        <v>36</v>
      </c>
      <c r="F395" t="s">
        <v>25</v>
      </c>
      <c r="G395" t="s">
        <v>20</v>
      </c>
      <c r="H395" t="s">
        <v>87</v>
      </c>
      <c r="I395">
        <v>14</v>
      </c>
      <c r="J395">
        <v>0</v>
      </c>
      <c r="K395">
        <v>110.46</v>
      </c>
      <c r="L395">
        <v>6.48</v>
      </c>
    </row>
    <row r="396" spans="1:12" x14ac:dyDescent="0.25">
      <c r="A396" t="s">
        <v>443</v>
      </c>
      <c r="B396" s="1">
        <v>45729</v>
      </c>
      <c r="C396" s="1">
        <v>45731</v>
      </c>
      <c r="D396" t="s">
        <v>32</v>
      </c>
      <c r="E396" t="s">
        <v>33</v>
      </c>
      <c r="F396" t="s">
        <v>15</v>
      </c>
      <c r="G396" t="s">
        <v>26</v>
      </c>
      <c r="H396" t="s">
        <v>51</v>
      </c>
      <c r="I396">
        <v>14</v>
      </c>
      <c r="J396">
        <v>0</v>
      </c>
      <c r="K396">
        <v>202.59</v>
      </c>
      <c r="L396">
        <v>10.8</v>
      </c>
    </row>
    <row r="397" spans="1:12" x14ac:dyDescent="0.25">
      <c r="A397" t="s">
        <v>444</v>
      </c>
      <c r="B397" s="1">
        <v>45966</v>
      </c>
      <c r="C397" s="1">
        <v>45967</v>
      </c>
      <c r="D397" t="s">
        <v>23</v>
      </c>
      <c r="E397" t="s">
        <v>43</v>
      </c>
      <c r="F397" t="s">
        <v>15</v>
      </c>
      <c r="G397" t="s">
        <v>26</v>
      </c>
      <c r="H397" t="s">
        <v>53</v>
      </c>
      <c r="I397">
        <v>5</v>
      </c>
      <c r="J397">
        <v>0.1</v>
      </c>
      <c r="K397">
        <v>327.32</v>
      </c>
      <c r="L397">
        <v>10.75</v>
      </c>
    </row>
    <row r="398" spans="1:12" x14ac:dyDescent="0.25">
      <c r="A398" t="s">
        <v>445</v>
      </c>
      <c r="B398" s="1">
        <v>45466</v>
      </c>
      <c r="C398" s="1">
        <v>45472</v>
      </c>
      <c r="D398" t="s">
        <v>47</v>
      </c>
      <c r="E398" t="s">
        <v>71</v>
      </c>
      <c r="F398" t="s">
        <v>25</v>
      </c>
      <c r="G398" t="s">
        <v>20</v>
      </c>
      <c r="H398" t="s">
        <v>51</v>
      </c>
      <c r="I398">
        <v>3</v>
      </c>
      <c r="J398">
        <v>0</v>
      </c>
      <c r="K398">
        <v>44.96</v>
      </c>
      <c r="L398">
        <v>5.85</v>
      </c>
    </row>
    <row r="399" spans="1:12" x14ac:dyDescent="0.25">
      <c r="A399" t="s">
        <v>446</v>
      </c>
      <c r="B399" s="1">
        <v>45481</v>
      </c>
      <c r="C399" s="1">
        <v>45487</v>
      </c>
      <c r="D399" t="s">
        <v>32</v>
      </c>
      <c r="E399" t="s">
        <v>62</v>
      </c>
      <c r="F399" t="s">
        <v>29</v>
      </c>
      <c r="G399" t="s">
        <v>26</v>
      </c>
      <c r="H399" t="s">
        <v>60</v>
      </c>
      <c r="I399">
        <v>4</v>
      </c>
      <c r="J399">
        <v>0</v>
      </c>
      <c r="K399">
        <v>434.92</v>
      </c>
      <c r="L399">
        <v>9.5</v>
      </c>
    </row>
    <row r="400" spans="1:12" x14ac:dyDescent="0.25">
      <c r="A400" t="s">
        <v>447</v>
      </c>
      <c r="B400" s="1">
        <v>45770</v>
      </c>
      <c r="C400" s="1">
        <v>45776</v>
      </c>
      <c r="D400" t="s">
        <v>32</v>
      </c>
      <c r="E400" t="s">
        <v>62</v>
      </c>
      <c r="F400" t="s">
        <v>25</v>
      </c>
      <c r="G400" t="s">
        <v>16</v>
      </c>
      <c r="H400" t="s">
        <v>34</v>
      </c>
      <c r="I400">
        <v>2</v>
      </c>
      <c r="J400">
        <v>0</v>
      </c>
      <c r="K400">
        <v>414.82</v>
      </c>
      <c r="L400">
        <v>9.1</v>
      </c>
    </row>
    <row r="401" spans="1:12" x14ac:dyDescent="0.25">
      <c r="A401" t="s">
        <v>448</v>
      </c>
      <c r="B401" s="1">
        <v>45605</v>
      </c>
      <c r="C401" s="1">
        <v>45608</v>
      </c>
      <c r="D401" t="s">
        <v>23</v>
      </c>
      <c r="E401" t="s">
        <v>59</v>
      </c>
      <c r="F401" t="s">
        <v>29</v>
      </c>
      <c r="G401" t="s">
        <v>26</v>
      </c>
      <c r="H401" t="s">
        <v>87</v>
      </c>
      <c r="I401">
        <v>8</v>
      </c>
      <c r="J401">
        <v>0</v>
      </c>
      <c r="K401">
        <v>85.37</v>
      </c>
      <c r="L401">
        <v>4.8600000000000003</v>
      </c>
    </row>
    <row r="402" spans="1:12" x14ac:dyDescent="0.25">
      <c r="A402" t="s">
        <v>449</v>
      </c>
      <c r="B402" s="1">
        <v>45633</v>
      </c>
      <c r="C402" s="1">
        <v>45638</v>
      </c>
      <c r="D402" t="s">
        <v>13</v>
      </c>
      <c r="E402" t="s">
        <v>36</v>
      </c>
      <c r="F402" t="s">
        <v>25</v>
      </c>
      <c r="G402" t="s">
        <v>26</v>
      </c>
      <c r="H402" t="s">
        <v>27</v>
      </c>
      <c r="I402">
        <v>5</v>
      </c>
      <c r="J402">
        <v>0</v>
      </c>
      <c r="K402">
        <v>202.62</v>
      </c>
      <c r="L402">
        <v>6.75</v>
      </c>
    </row>
    <row r="403" spans="1:12" x14ac:dyDescent="0.25">
      <c r="A403" t="s">
        <v>450</v>
      </c>
      <c r="B403" s="1">
        <v>45739</v>
      </c>
      <c r="C403" s="1">
        <v>45740</v>
      </c>
      <c r="D403" t="s">
        <v>47</v>
      </c>
      <c r="E403" t="s">
        <v>71</v>
      </c>
      <c r="F403" t="s">
        <v>25</v>
      </c>
      <c r="G403" t="s">
        <v>20</v>
      </c>
      <c r="H403" t="s">
        <v>60</v>
      </c>
      <c r="I403">
        <v>2</v>
      </c>
      <c r="J403">
        <v>0.05</v>
      </c>
      <c r="K403">
        <v>201.46</v>
      </c>
      <c r="L403">
        <v>4.2</v>
      </c>
    </row>
    <row r="404" spans="1:12" x14ac:dyDescent="0.25">
      <c r="A404" t="s">
        <v>451</v>
      </c>
      <c r="B404" s="1">
        <v>45359</v>
      </c>
      <c r="C404" s="1">
        <v>45362</v>
      </c>
      <c r="D404" t="s">
        <v>13</v>
      </c>
      <c r="E404" t="s">
        <v>36</v>
      </c>
      <c r="F404" t="s">
        <v>25</v>
      </c>
      <c r="G404" t="s">
        <v>16</v>
      </c>
      <c r="H404" t="s">
        <v>65</v>
      </c>
      <c r="I404">
        <v>2</v>
      </c>
      <c r="J404">
        <v>0</v>
      </c>
      <c r="K404">
        <v>563.47</v>
      </c>
      <c r="L404">
        <v>5.46</v>
      </c>
    </row>
    <row r="405" spans="1:12" x14ac:dyDescent="0.25">
      <c r="A405" t="s">
        <v>452</v>
      </c>
      <c r="B405" s="1">
        <v>46008</v>
      </c>
      <c r="C405" s="1">
        <v>46010</v>
      </c>
      <c r="D405" t="s">
        <v>32</v>
      </c>
      <c r="E405" t="s">
        <v>45</v>
      </c>
      <c r="F405" t="s">
        <v>15</v>
      </c>
      <c r="G405" t="s">
        <v>26</v>
      </c>
      <c r="H405" t="s">
        <v>21</v>
      </c>
      <c r="I405">
        <v>2</v>
      </c>
      <c r="J405">
        <v>0.15</v>
      </c>
      <c r="K405">
        <v>259.26</v>
      </c>
      <c r="L405">
        <v>9.1</v>
      </c>
    </row>
    <row r="406" spans="1:12" x14ac:dyDescent="0.25">
      <c r="A406" t="s">
        <v>453</v>
      </c>
      <c r="B406" s="1">
        <v>45742</v>
      </c>
      <c r="C406" s="1">
        <v>45744</v>
      </c>
      <c r="D406" t="s">
        <v>23</v>
      </c>
      <c r="E406" t="s">
        <v>24</v>
      </c>
      <c r="F406" t="s">
        <v>25</v>
      </c>
      <c r="G406" t="s">
        <v>26</v>
      </c>
      <c r="H406" t="s">
        <v>41</v>
      </c>
      <c r="I406">
        <v>8</v>
      </c>
      <c r="J406">
        <v>0.1</v>
      </c>
      <c r="K406">
        <v>39.700000000000003</v>
      </c>
      <c r="L406">
        <v>4.8600000000000003</v>
      </c>
    </row>
    <row r="407" spans="1:12" x14ac:dyDescent="0.25">
      <c r="A407" t="s">
        <v>454</v>
      </c>
      <c r="B407" s="1">
        <v>45294</v>
      </c>
      <c r="C407" s="1">
        <v>45295</v>
      </c>
      <c r="D407" t="s">
        <v>13</v>
      </c>
      <c r="E407" t="s">
        <v>19</v>
      </c>
      <c r="F407" t="s">
        <v>25</v>
      </c>
      <c r="G407" t="s">
        <v>16</v>
      </c>
      <c r="H407" t="s">
        <v>63</v>
      </c>
      <c r="I407">
        <v>9</v>
      </c>
      <c r="J407">
        <v>0.2</v>
      </c>
      <c r="K407">
        <v>75.819999999999993</v>
      </c>
      <c r="L407">
        <v>5.13</v>
      </c>
    </row>
    <row r="408" spans="1:12" x14ac:dyDescent="0.25">
      <c r="A408" t="s">
        <v>455</v>
      </c>
      <c r="B408" s="1">
        <v>45679</v>
      </c>
      <c r="C408" s="1">
        <v>45680</v>
      </c>
      <c r="D408" t="s">
        <v>47</v>
      </c>
      <c r="E408" t="s">
        <v>48</v>
      </c>
      <c r="F408" t="s">
        <v>15</v>
      </c>
      <c r="G408" t="s">
        <v>20</v>
      </c>
      <c r="H408" t="s">
        <v>65</v>
      </c>
      <c r="I408">
        <v>4</v>
      </c>
      <c r="J408">
        <v>0.15</v>
      </c>
      <c r="K408">
        <v>885.09</v>
      </c>
      <c r="L408">
        <v>13.7</v>
      </c>
    </row>
    <row r="409" spans="1:12" x14ac:dyDescent="0.25">
      <c r="A409" t="s">
        <v>456</v>
      </c>
      <c r="B409" s="1">
        <v>45625</v>
      </c>
      <c r="C409" s="1">
        <v>45629</v>
      </c>
      <c r="D409" t="s">
        <v>32</v>
      </c>
      <c r="E409" t="s">
        <v>62</v>
      </c>
      <c r="F409" t="s">
        <v>25</v>
      </c>
      <c r="G409" t="s">
        <v>20</v>
      </c>
      <c r="H409" t="s">
        <v>34</v>
      </c>
      <c r="I409">
        <v>2</v>
      </c>
      <c r="J409">
        <v>0.1</v>
      </c>
      <c r="K409">
        <v>473.43</v>
      </c>
      <c r="L409">
        <v>5.46</v>
      </c>
    </row>
    <row r="410" spans="1:12" x14ac:dyDescent="0.25">
      <c r="A410" t="s">
        <v>457</v>
      </c>
      <c r="B410" s="1">
        <v>45437</v>
      </c>
      <c r="C410" s="1">
        <v>45439</v>
      </c>
      <c r="D410" t="s">
        <v>32</v>
      </c>
      <c r="E410" t="s">
        <v>45</v>
      </c>
      <c r="F410" t="s">
        <v>29</v>
      </c>
      <c r="G410" t="s">
        <v>16</v>
      </c>
      <c r="H410" t="s">
        <v>87</v>
      </c>
      <c r="I410">
        <v>11</v>
      </c>
      <c r="J410">
        <v>0.15</v>
      </c>
      <c r="K410">
        <v>75.39</v>
      </c>
      <c r="L410">
        <v>9.4499999999999993</v>
      </c>
    </row>
    <row r="411" spans="1:12" x14ac:dyDescent="0.25">
      <c r="A411" t="s">
        <v>458</v>
      </c>
      <c r="B411" s="1">
        <v>45673</v>
      </c>
      <c r="C411" s="1">
        <v>45678</v>
      </c>
      <c r="D411" t="s">
        <v>32</v>
      </c>
      <c r="E411" t="s">
        <v>62</v>
      </c>
      <c r="F411" t="s">
        <v>25</v>
      </c>
      <c r="G411" t="s">
        <v>20</v>
      </c>
      <c r="H411" t="s">
        <v>65</v>
      </c>
      <c r="I411">
        <v>3</v>
      </c>
      <c r="J411">
        <v>0.25</v>
      </c>
      <c r="K411">
        <v>561.84</v>
      </c>
      <c r="L411">
        <v>6.84</v>
      </c>
    </row>
    <row r="412" spans="1:12" x14ac:dyDescent="0.25">
      <c r="A412" t="s">
        <v>459</v>
      </c>
      <c r="B412" s="1">
        <v>45813</v>
      </c>
      <c r="C412" s="1">
        <v>45814</v>
      </c>
      <c r="D412" t="s">
        <v>13</v>
      </c>
      <c r="E412" t="s">
        <v>36</v>
      </c>
      <c r="F412" t="s">
        <v>29</v>
      </c>
      <c r="G412" t="s">
        <v>16</v>
      </c>
      <c r="H412" t="s">
        <v>41</v>
      </c>
      <c r="I412">
        <v>8</v>
      </c>
      <c r="J412">
        <v>0.1</v>
      </c>
      <c r="K412">
        <v>45.12</v>
      </c>
      <c r="L412">
        <v>8.1</v>
      </c>
    </row>
    <row r="413" spans="1:12" x14ac:dyDescent="0.25">
      <c r="A413" t="s">
        <v>460</v>
      </c>
      <c r="B413" s="1">
        <v>45944</v>
      </c>
      <c r="C413" s="1">
        <v>45946</v>
      </c>
      <c r="D413" t="s">
        <v>32</v>
      </c>
      <c r="E413" t="s">
        <v>62</v>
      </c>
      <c r="F413" t="s">
        <v>29</v>
      </c>
      <c r="G413" t="s">
        <v>20</v>
      </c>
      <c r="H413" t="s">
        <v>65</v>
      </c>
      <c r="I413">
        <v>3</v>
      </c>
      <c r="J413">
        <v>0.15</v>
      </c>
      <c r="K413">
        <v>893.86</v>
      </c>
      <c r="L413">
        <v>6.84</v>
      </c>
    </row>
    <row r="414" spans="1:12" x14ac:dyDescent="0.25">
      <c r="A414" t="s">
        <v>461</v>
      </c>
      <c r="B414" s="1">
        <v>45481</v>
      </c>
      <c r="C414" s="1">
        <v>45483</v>
      </c>
      <c r="D414" t="s">
        <v>32</v>
      </c>
      <c r="E414" t="s">
        <v>62</v>
      </c>
      <c r="F414" t="s">
        <v>25</v>
      </c>
      <c r="G414" t="s">
        <v>16</v>
      </c>
      <c r="H414" t="s">
        <v>30</v>
      </c>
      <c r="I414">
        <v>5</v>
      </c>
      <c r="J414">
        <v>0.15</v>
      </c>
      <c r="K414">
        <v>23.71</v>
      </c>
      <c r="L414">
        <v>6.75</v>
      </c>
    </row>
    <row r="415" spans="1:12" x14ac:dyDescent="0.25">
      <c r="A415" t="s">
        <v>462</v>
      </c>
      <c r="B415" s="1">
        <v>45845</v>
      </c>
      <c r="C415" s="1">
        <v>45848</v>
      </c>
      <c r="D415" t="s">
        <v>13</v>
      </c>
      <c r="E415" t="s">
        <v>14</v>
      </c>
      <c r="F415" t="s">
        <v>15</v>
      </c>
      <c r="G415" t="s">
        <v>20</v>
      </c>
      <c r="H415" t="s">
        <v>21</v>
      </c>
      <c r="I415">
        <v>1</v>
      </c>
      <c r="J415">
        <v>0</v>
      </c>
      <c r="K415">
        <v>98.22</v>
      </c>
      <c r="L415">
        <v>4.08</v>
      </c>
    </row>
    <row r="416" spans="1:12" x14ac:dyDescent="0.25">
      <c r="A416" t="s">
        <v>463</v>
      </c>
      <c r="B416" s="1">
        <v>45767</v>
      </c>
      <c r="C416" s="1">
        <v>45772</v>
      </c>
      <c r="D416" t="s">
        <v>23</v>
      </c>
      <c r="E416" t="s">
        <v>59</v>
      </c>
      <c r="F416" t="s">
        <v>15</v>
      </c>
      <c r="G416" t="s">
        <v>20</v>
      </c>
      <c r="H416" t="s">
        <v>27</v>
      </c>
      <c r="I416">
        <v>7</v>
      </c>
      <c r="J416">
        <v>0</v>
      </c>
      <c r="K416">
        <v>183.52</v>
      </c>
      <c r="L416">
        <v>4.59</v>
      </c>
    </row>
    <row r="417" spans="1:12" x14ac:dyDescent="0.25">
      <c r="A417" t="s">
        <v>464</v>
      </c>
      <c r="B417" s="1">
        <v>45486</v>
      </c>
      <c r="C417" s="1">
        <v>45491</v>
      </c>
      <c r="D417" t="s">
        <v>47</v>
      </c>
      <c r="E417" t="s">
        <v>48</v>
      </c>
      <c r="F417" t="s">
        <v>25</v>
      </c>
      <c r="G417" t="s">
        <v>16</v>
      </c>
      <c r="H417" t="s">
        <v>27</v>
      </c>
      <c r="I417">
        <v>10</v>
      </c>
      <c r="J417">
        <v>0</v>
      </c>
      <c r="K417">
        <v>262.38</v>
      </c>
      <c r="L417">
        <v>5.4</v>
      </c>
    </row>
    <row r="418" spans="1:12" x14ac:dyDescent="0.25">
      <c r="A418" t="s">
        <v>465</v>
      </c>
      <c r="B418" s="1">
        <v>45936</v>
      </c>
      <c r="C418" s="1">
        <v>45940</v>
      </c>
      <c r="D418" t="s">
        <v>47</v>
      </c>
      <c r="E418" t="s">
        <v>50</v>
      </c>
      <c r="F418" t="s">
        <v>25</v>
      </c>
      <c r="G418" t="s">
        <v>20</v>
      </c>
      <c r="H418" t="s">
        <v>21</v>
      </c>
      <c r="I418">
        <v>1</v>
      </c>
      <c r="J418">
        <v>0.25</v>
      </c>
      <c r="K418">
        <v>93.46</v>
      </c>
      <c r="L418">
        <v>6.8</v>
      </c>
    </row>
    <row r="419" spans="1:12" x14ac:dyDescent="0.25">
      <c r="A419" t="s">
        <v>466</v>
      </c>
      <c r="B419" s="1">
        <v>45557</v>
      </c>
      <c r="C419" s="1">
        <v>45562</v>
      </c>
      <c r="D419" t="s">
        <v>32</v>
      </c>
      <c r="E419" t="s">
        <v>33</v>
      </c>
      <c r="F419" t="s">
        <v>15</v>
      </c>
      <c r="G419" t="s">
        <v>20</v>
      </c>
      <c r="H419" t="s">
        <v>17</v>
      </c>
      <c r="I419">
        <v>2</v>
      </c>
      <c r="J419">
        <v>0.15</v>
      </c>
      <c r="K419">
        <v>217.06</v>
      </c>
      <c r="L419">
        <v>4.2</v>
      </c>
    </row>
    <row r="420" spans="1:12" x14ac:dyDescent="0.25">
      <c r="A420" t="s">
        <v>467</v>
      </c>
      <c r="B420" s="1">
        <v>45974</v>
      </c>
      <c r="C420" s="1">
        <v>45976</v>
      </c>
      <c r="D420" t="s">
        <v>32</v>
      </c>
      <c r="E420" t="s">
        <v>45</v>
      </c>
      <c r="F420" t="s">
        <v>15</v>
      </c>
      <c r="G420" t="s">
        <v>20</v>
      </c>
      <c r="H420" t="s">
        <v>30</v>
      </c>
      <c r="I420">
        <v>11</v>
      </c>
      <c r="J420">
        <v>0.25</v>
      </c>
      <c r="K420">
        <v>64.95</v>
      </c>
      <c r="L420">
        <v>9.4499999999999993</v>
      </c>
    </row>
    <row r="421" spans="1:12" x14ac:dyDescent="0.25">
      <c r="A421" t="s">
        <v>468</v>
      </c>
      <c r="B421" s="1">
        <v>45720</v>
      </c>
      <c r="C421" s="1">
        <v>45724</v>
      </c>
      <c r="D421" t="s">
        <v>32</v>
      </c>
      <c r="E421" t="s">
        <v>62</v>
      </c>
      <c r="F421" t="s">
        <v>25</v>
      </c>
      <c r="G421" t="s">
        <v>26</v>
      </c>
      <c r="H421" t="s">
        <v>68</v>
      </c>
      <c r="I421">
        <v>3</v>
      </c>
      <c r="J421">
        <v>0.05</v>
      </c>
      <c r="K421">
        <v>134.54</v>
      </c>
      <c r="L421">
        <v>4.95</v>
      </c>
    </row>
    <row r="422" spans="1:12" x14ac:dyDescent="0.25">
      <c r="A422" t="s">
        <v>469</v>
      </c>
      <c r="B422" s="1">
        <v>45736</v>
      </c>
      <c r="C422" s="1">
        <v>45737</v>
      </c>
      <c r="D422" t="s">
        <v>32</v>
      </c>
      <c r="E422" t="s">
        <v>45</v>
      </c>
      <c r="F422" t="s">
        <v>15</v>
      </c>
      <c r="G422" t="s">
        <v>16</v>
      </c>
      <c r="H422" t="s">
        <v>41</v>
      </c>
      <c r="I422">
        <v>10</v>
      </c>
      <c r="J422">
        <v>0</v>
      </c>
      <c r="K422">
        <v>54.75</v>
      </c>
      <c r="L422">
        <v>5.4</v>
      </c>
    </row>
    <row r="423" spans="1:12" x14ac:dyDescent="0.25">
      <c r="A423" t="s">
        <v>470</v>
      </c>
      <c r="B423" s="1">
        <v>45983</v>
      </c>
      <c r="C423" s="1">
        <v>45987</v>
      </c>
      <c r="D423" t="s">
        <v>32</v>
      </c>
      <c r="E423" t="s">
        <v>62</v>
      </c>
      <c r="F423" t="s">
        <v>29</v>
      </c>
      <c r="G423" t="s">
        <v>26</v>
      </c>
      <c r="H423" t="s">
        <v>34</v>
      </c>
      <c r="I423">
        <v>7</v>
      </c>
      <c r="J423">
        <v>0.2</v>
      </c>
      <c r="K423">
        <v>1608.68</v>
      </c>
      <c r="L423">
        <v>20.6</v>
      </c>
    </row>
    <row r="424" spans="1:12" x14ac:dyDescent="0.25">
      <c r="A424" t="s">
        <v>471</v>
      </c>
      <c r="B424" s="1">
        <v>45994</v>
      </c>
      <c r="C424" s="1">
        <v>45999</v>
      </c>
      <c r="D424" t="s">
        <v>23</v>
      </c>
      <c r="E424" t="s">
        <v>59</v>
      </c>
      <c r="F424" t="s">
        <v>29</v>
      </c>
      <c r="G424" t="s">
        <v>20</v>
      </c>
      <c r="H424" t="s">
        <v>21</v>
      </c>
      <c r="I424">
        <v>4</v>
      </c>
      <c r="J424">
        <v>0.1</v>
      </c>
      <c r="K424">
        <v>549.57000000000005</v>
      </c>
      <c r="L424">
        <v>8.2200000000000006</v>
      </c>
    </row>
    <row r="425" spans="1:12" x14ac:dyDescent="0.25">
      <c r="A425" t="s">
        <v>472</v>
      </c>
      <c r="B425" s="1">
        <v>45344</v>
      </c>
      <c r="C425" s="1">
        <v>45350</v>
      </c>
      <c r="D425" t="s">
        <v>13</v>
      </c>
      <c r="E425" t="s">
        <v>36</v>
      </c>
      <c r="F425" t="s">
        <v>29</v>
      </c>
      <c r="G425" t="s">
        <v>20</v>
      </c>
      <c r="H425" t="s">
        <v>51</v>
      </c>
      <c r="I425">
        <v>4</v>
      </c>
      <c r="J425">
        <v>0</v>
      </c>
      <c r="K425">
        <v>52.16</v>
      </c>
      <c r="L425">
        <v>6.3</v>
      </c>
    </row>
    <row r="426" spans="1:12" x14ac:dyDescent="0.25">
      <c r="A426" t="s">
        <v>473</v>
      </c>
      <c r="B426" s="1">
        <v>45484</v>
      </c>
      <c r="C426" s="1">
        <v>45487</v>
      </c>
      <c r="D426" t="s">
        <v>13</v>
      </c>
      <c r="E426" t="s">
        <v>36</v>
      </c>
      <c r="F426" t="s">
        <v>15</v>
      </c>
      <c r="G426" t="s">
        <v>20</v>
      </c>
      <c r="H426" t="s">
        <v>30</v>
      </c>
      <c r="I426">
        <v>12</v>
      </c>
      <c r="J426">
        <v>0</v>
      </c>
      <c r="K426">
        <v>66.38</v>
      </c>
      <c r="L426">
        <v>5.94</v>
      </c>
    </row>
    <row r="427" spans="1:12" x14ac:dyDescent="0.25">
      <c r="A427" t="s">
        <v>474</v>
      </c>
      <c r="B427" s="1">
        <v>45874</v>
      </c>
      <c r="C427" s="1">
        <v>45879</v>
      </c>
      <c r="D427" t="s">
        <v>23</v>
      </c>
      <c r="E427" t="s">
        <v>24</v>
      </c>
      <c r="F427" t="s">
        <v>25</v>
      </c>
      <c r="G427" t="s">
        <v>20</v>
      </c>
      <c r="H427" t="s">
        <v>27</v>
      </c>
      <c r="I427">
        <v>13</v>
      </c>
      <c r="J427">
        <v>0.05</v>
      </c>
      <c r="K427">
        <v>336.75</v>
      </c>
      <c r="L427">
        <v>6.21</v>
      </c>
    </row>
    <row r="428" spans="1:12" x14ac:dyDescent="0.25">
      <c r="A428" t="s">
        <v>475</v>
      </c>
      <c r="B428" s="1">
        <v>45864</v>
      </c>
      <c r="C428" s="1">
        <v>45866</v>
      </c>
      <c r="D428" t="s">
        <v>47</v>
      </c>
      <c r="E428" t="s">
        <v>71</v>
      </c>
      <c r="F428" t="s">
        <v>25</v>
      </c>
      <c r="G428" t="s">
        <v>20</v>
      </c>
      <c r="H428" t="s">
        <v>17</v>
      </c>
      <c r="I428">
        <v>5</v>
      </c>
      <c r="J428">
        <v>0</v>
      </c>
      <c r="K428">
        <v>583.96</v>
      </c>
      <c r="L428">
        <v>6.45</v>
      </c>
    </row>
    <row r="429" spans="1:12" x14ac:dyDescent="0.25">
      <c r="A429" t="s">
        <v>476</v>
      </c>
      <c r="B429" s="1">
        <v>45489</v>
      </c>
      <c r="C429" s="1">
        <v>45492</v>
      </c>
      <c r="D429" t="s">
        <v>23</v>
      </c>
      <c r="E429" t="s">
        <v>24</v>
      </c>
      <c r="F429" t="s">
        <v>29</v>
      </c>
      <c r="G429" t="s">
        <v>26</v>
      </c>
      <c r="H429" t="s">
        <v>41</v>
      </c>
      <c r="I429">
        <v>7</v>
      </c>
      <c r="J429">
        <v>0.05</v>
      </c>
      <c r="K429">
        <v>36.549999999999997</v>
      </c>
      <c r="L429">
        <v>7.65</v>
      </c>
    </row>
    <row r="430" spans="1:12" x14ac:dyDescent="0.25">
      <c r="A430" t="s">
        <v>477</v>
      </c>
      <c r="B430" s="1">
        <v>45841</v>
      </c>
      <c r="C430" s="1">
        <v>45845</v>
      </c>
      <c r="D430" t="s">
        <v>23</v>
      </c>
      <c r="E430" t="s">
        <v>24</v>
      </c>
      <c r="F430" t="s">
        <v>25</v>
      </c>
      <c r="G430" t="s">
        <v>16</v>
      </c>
      <c r="H430" t="s">
        <v>30</v>
      </c>
      <c r="I430">
        <v>9</v>
      </c>
      <c r="J430">
        <v>0.1</v>
      </c>
      <c r="K430">
        <v>43.78</v>
      </c>
      <c r="L430">
        <v>8.5500000000000007</v>
      </c>
    </row>
    <row r="431" spans="1:12" x14ac:dyDescent="0.25">
      <c r="A431" t="s">
        <v>478</v>
      </c>
      <c r="B431" s="1">
        <v>46002</v>
      </c>
      <c r="C431" s="1">
        <v>46006</v>
      </c>
      <c r="D431" t="s">
        <v>23</v>
      </c>
      <c r="E431" t="s">
        <v>59</v>
      </c>
      <c r="F431" t="s">
        <v>25</v>
      </c>
      <c r="G431" t="s">
        <v>16</v>
      </c>
      <c r="H431" t="s">
        <v>41</v>
      </c>
      <c r="I431">
        <v>12</v>
      </c>
      <c r="J431">
        <v>0.25</v>
      </c>
      <c r="K431">
        <v>83.36</v>
      </c>
      <c r="L431">
        <v>5.94</v>
      </c>
    </row>
    <row r="432" spans="1:12" x14ac:dyDescent="0.25">
      <c r="A432" t="s">
        <v>479</v>
      </c>
      <c r="B432" s="1">
        <v>45736</v>
      </c>
      <c r="C432" s="1">
        <v>45741</v>
      </c>
      <c r="D432" t="s">
        <v>23</v>
      </c>
      <c r="E432" t="s">
        <v>24</v>
      </c>
      <c r="F432" t="s">
        <v>15</v>
      </c>
      <c r="G432" t="s">
        <v>26</v>
      </c>
      <c r="H432" t="s">
        <v>21</v>
      </c>
      <c r="I432">
        <v>7</v>
      </c>
      <c r="J432">
        <v>0</v>
      </c>
      <c r="K432">
        <v>761.25</v>
      </c>
      <c r="L432">
        <v>12.36</v>
      </c>
    </row>
    <row r="433" spans="1:12" x14ac:dyDescent="0.25">
      <c r="A433" t="s">
        <v>480</v>
      </c>
      <c r="B433" s="1">
        <v>45503</v>
      </c>
      <c r="C433" s="1">
        <v>45507</v>
      </c>
      <c r="D433" t="s">
        <v>47</v>
      </c>
      <c r="E433" t="s">
        <v>48</v>
      </c>
      <c r="F433" t="s">
        <v>15</v>
      </c>
      <c r="G433" t="s">
        <v>20</v>
      </c>
      <c r="H433" t="s">
        <v>68</v>
      </c>
      <c r="I433">
        <v>5</v>
      </c>
      <c r="J433">
        <v>0.15</v>
      </c>
      <c r="K433">
        <v>191.73</v>
      </c>
      <c r="L433">
        <v>10.75</v>
      </c>
    </row>
    <row r="434" spans="1:12" x14ac:dyDescent="0.25">
      <c r="A434" t="s">
        <v>481</v>
      </c>
      <c r="B434" s="1">
        <v>45616</v>
      </c>
      <c r="C434" s="1">
        <v>45619</v>
      </c>
      <c r="D434" t="s">
        <v>13</v>
      </c>
      <c r="E434" t="s">
        <v>36</v>
      </c>
      <c r="F434" t="s">
        <v>25</v>
      </c>
      <c r="G434" t="s">
        <v>20</v>
      </c>
      <c r="H434" t="s">
        <v>30</v>
      </c>
      <c r="I434">
        <v>11</v>
      </c>
      <c r="J434">
        <v>0.15</v>
      </c>
      <c r="K434">
        <v>78.77</v>
      </c>
      <c r="L434">
        <v>5.67</v>
      </c>
    </row>
    <row r="435" spans="1:12" x14ac:dyDescent="0.25">
      <c r="A435" t="s">
        <v>482</v>
      </c>
      <c r="B435" s="1">
        <v>45767</v>
      </c>
      <c r="C435" s="1">
        <v>45772</v>
      </c>
      <c r="D435" t="s">
        <v>23</v>
      </c>
      <c r="E435" t="s">
        <v>43</v>
      </c>
      <c r="F435" t="s">
        <v>15</v>
      </c>
      <c r="G435" t="s">
        <v>20</v>
      </c>
      <c r="H435" t="s">
        <v>30</v>
      </c>
      <c r="I435">
        <v>14</v>
      </c>
      <c r="J435">
        <v>0.1</v>
      </c>
      <c r="K435">
        <v>71.709999999999994</v>
      </c>
      <c r="L435">
        <v>6.48</v>
      </c>
    </row>
    <row r="436" spans="1:12" x14ac:dyDescent="0.25">
      <c r="A436" t="s">
        <v>483</v>
      </c>
      <c r="B436" s="1">
        <v>45548</v>
      </c>
      <c r="C436" s="1">
        <v>45554</v>
      </c>
      <c r="D436" t="s">
        <v>47</v>
      </c>
      <c r="E436" t="s">
        <v>50</v>
      </c>
      <c r="F436" t="s">
        <v>29</v>
      </c>
      <c r="G436" t="s">
        <v>20</v>
      </c>
      <c r="H436" t="s">
        <v>41</v>
      </c>
      <c r="I436">
        <v>4</v>
      </c>
      <c r="J436">
        <v>0.25</v>
      </c>
      <c r="K436">
        <v>20.89</v>
      </c>
      <c r="L436">
        <v>3.78</v>
      </c>
    </row>
    <row r="437" spans="1:12" x14ac:dyDescent="0.25">
      <c r="A437" t="s">
        <v>484</v>
      </c>
      <c r="B437" s="1">
        <v>45598</v>
      </c>
      <c r="C437" s="1">
        <v>45600</v>
      </c>
      <c r="D437" t="s">
        <v>13</v>
      </c>
      <c r="E437" t="s">
        <v>36</v>
      </c>
      <c r="F437" t="s">
        <v>25</v>
      </c>
      <c r="G437" t="s">
        <v>20</v>
      </c>
      <c r="H437" t="s">
        <v>60</v>
      </c>
      <c r="I437">
        <v>2</v>
      </c>
      <c r="J437">
        <v>0</v>
      </c>
      <c r="K437">
        <v>293.54000000000002</v>
      </c>
      <c r="L437">
        <v>7</v>
      </c>
    </row>
    <row r="438" spans="1:12" x14ac:dyDescent="0.25">
      <c r="A438" t="s">
        <v>485</v>
      </c>
      <c r="B438" s="1">
        <v>45614</v>
      </c>
      <c r="C438" s="1">
        <v>45617</v>
      </c>
      <c r="D438" t="s">
        <v>13</v>
      </c>
      <c r="E438" t="s">
        <v>14</v>
      </c>
      <c r="F438" t="s">
        <v>15</v>
      </c>
      <c r="G438" t="s">
        <v>26</v>
      </c>
      <c r="H438" t="s">
        <v>53</v>
      </c>
      <c r="I438">
        <v>4</v>
      </c>
      <c r="J438">
        <v>0.2</v>
      </c>
      <c r="K438">
        <v>247.14</v>
      </c>
      <c r="L438">
        <v>9.5</v>
      </c>
    </row>
    <row r="439" spans="1:12" x14ac:dyDescent="0.25">
      <c r="A439" t="s">
        <v>486</v>
      </c>
      <c r="B439" s="1">
        <v>45706</v>
      </c>
      <c r="C439" s="1">
        <v>45712</v>
      </c>
      <c r="D439" t="s">
        <v>23</v>
      </c>
      <c r="E439" t="s">
        <v>43</v>
      </c>
      <c r="F439" t="s">
        <v>15</v>
      </c>
      <c r="G439" t="s">
        <v>16</v>
      </c>
      <c r="H439" t="s">
        <v>63</v>
      </c>
      <c r="I439">
        <v>20</v>
      </c>
      <c r="J439">
        <v>0</v>
      </c>
      <c r="K439">
        <v>219.79</v>
      </c>
      <c r="L439">
        <v>13.5</v>
      </c>
    </row>
    <row r="440" spans="1:12" x14ac:dyDescent="0.25">
      <c r="A440" t="s">
        <v>487</v>
      </c>
      <c r="B440" s="1">
        <v>45637</v>
      </c>
      <c r="C440" s="1">
        <v>45642</v>
      </c>
      <c r="D440" t="s">
        <v>32</v>
      </c>
      <c r="E440" t="s">
        <v>33</v>
      </c>
      <c r="F440" t="s">
        <v>29</v>
      </c>
      <c r="G440" t="s">
        <v>26</v>
      </c>
      <c r="H440" t="s">
        <v>37</v>
      </c>
      <c r="I440">
        <v>3</v>
      </c>
      <c r="J440">
        <v>0.15</v>
      </c>
      <c r="K440">
        <v>376.6</v>
      </c>
      <c r="L440">
        <v>6.84</v>
      </c>
    </row>
    <row r="441" spans="1:12" x14ac:dyDescent="0.25">
      <c r="A441" t="s">
        <v>488</v>
      </c>
      <c r="B441" s="1">
        <v>45705</v>
      </c>
      <c r="C441" s="1">
        <v>45706</v>
      </c>
      <c r="D441" t="s">
        <v>47</v>
      </c>
      <c r="E441" t="s">
        <v>71</v>
      </c>
      <c r="F441" t="s">
        <v>29</v>
      </c>
      <c r="G441" t="s">
        <v>26</v>
      </c>
      <c r="H441" t="s">
        <v>30</v>
      </c>
      <c r="I441">
        <v>9</v>
      </c>
      <c r="J441">
        <v>0</v>
      </c>
      <c r="K441">
        <v>51.19</v>
      </c>
      <c r="L441">
        <v>8.5500000000000007</v>
      </c>
    </row>
    <row r="442" spans="1:12" x14ac:dyDescent="0.25">
      <c r="A442" t="s">
        <v>489</v>
      </c>
      <c r="B442" s="1">
        <v>45745</v>
      </c>
      <c r="C442" s="1">
        <v>45746</v>
      </c>
      <c r="D442" t="s">
        <v>23</v>
      </c>
      <c r="E442" t="s">
        <v>43</v>
      </c>
      <c r="F442" t="s">
        <v>15</v>
      </c>
      <c r="G442" t="s">
        <v>26</v>
      </c>
      <c r="H442" t="s">
        <v>68</v>
      </c>
      <c r="I442">
        <v>2</v>
      </c>
      <c r="J442">
        <v>0</v>
      </c>
      <c r="K442">
        <v>99.08</v>
      </c>
      <c r="L442">
        <v>7</v>
      </c>
    </row>
    <row r="443" spans="1:12" x14ac:dyDescent="0.25">
      <c r="A443" t="s">
        <v>490</v>
      </c>
      <c r="B443" s="1">
        <v>45648</v>
      </c>
      <c r="C443" s="1">
        <v>45653</v>
      </c>
      <c r="D443" t="s">
        <v>23</v>
      </c>
      <c r="E443" t="s">
        <v>24</v>
      </c>
      <c r="F443" t="s">
        <v>25</v>
      </c>
      <c r="G443" t="s">
        <v>16</v>
      </c>
      <c r="H443" t="s">
        <v>41</v>
      </c>
      <c r="I443">
        <v>11</v>
      </c>
      <c r="J443">
        <v>0.2</v>
      </c>
      <c r="K443">
        <v>75.900000000000006</v>
      </c>
      <c r="L443">
        <v>5.67</v>
      </c>
    </row>
    <row r="444" spans="1:12" x14ac:dyDescent="0.25">
      <c r="A444" t="s">
        <v>491</v>
      </c>
      <c r="B444" s="1">
        <v>45330</v>
      </c>
      <c r="C444" s="1">
        <v>45333</v>
      </c>
      <c r="D444" t="s">
        <v>32</v>
      </c>
      <c r="E444" t="s">
        <v>33</v>
      </c>
      <c r="F444" t="s">
        <v>15</v>
      </c>
      <c r="G444" t="s">
        <v>26</v>
      </c>
      <c r="H444" t="s">
        <v>34</v>
      </c>
      <c r="I444">
        <v>3</v>
      </c>
      <c r="J444">
        <v>0.1</v>
      </c>
      <c r="K444">
        <v>522.69000000000005</v>
      </c>
      <c r="L444">
        <v>6.84</v>
      </c>
    </row>
    <row r="445" spans="1:12" x14ac:dyDescent="0.25">
      <c r="A445" t="s">
        <v>492</v>
      </c>
      <c r="B445" s="1">
        <v>45567</v>
      </c>
      <c r="C445" s="1">
        <v>45568</v>
      </c>
      <c r="D445" t="s">
        <v>47</v>
      </c>
      <c r="E445" t="s">
        <v>50</v>
      </c>
      <c r="F445" t="s">
        <v>25</v>
      </c>
      <c r="G445" t="s">
        <v>20</v>
      </c>
      <c r="H445" t="s">
        <v>21</v>
      </c>
      <c r="I445">
        <v>1</v>
      </c>
      <c r="J445">
        <v>0.25</v>
      </c>
      <c r="K445">
        <v>100.55</v>
      </c>
      <c r="L445">
        <v>4.08</v>
      </c>
    </row>
    <row r="446" spans="1:12" x14ac:dyDescent="0.25">
      <c r="A446" t="s">
        <v>493</v>
      </c>
      <c r="B446" s="1">
        <v>45759</v>
      </c>
      <c r="C446" s="1">
        <v>45761</v>
      </c>
      <c r="D446" t="s">
        <v>47</v>
      </c>
      <c r="E446" t="s">
        <v>48</v>
      </c>
      <c r="F446" t="s">
        <v>15</v>
      </c>
      <c r="G446" t="s">
        <v>20</v>
      </c>
      <c r="H446" t="s">
        <v>37</v>
      </c>
      <c r="I446">
        <v>3</v>
      </c>
      <c r="J446">
        <v>0</v>
      </c>
      <c r="K446">
        <v>298.91000000000003</v>
      </c>
      <c r="L446">
        <v>6.84</v>
      </c>
    </row>
    <row r="447" spans="1:12" x14ac:dyDescent="0.25">
      <c r="A447" t="s">
        <v>494</v>
      </c>
      <c r="B447" s="1">
        <v>45677</v>
      </c>
      <c r="C447" s="1">
        <v>45681</v>
      </c>
      <c r="D447" t="s">
        <v>32</v>
      </c>
      <c r="E447" t="s">
        <v>45</v>
      </c>
      <c r="F447" t="s">
        <v>15</v>
      </c>
      <c r="G447" t="s">
        <v>20</v>
      </c>
      <c r="H447" t="s">
        <v>53</v>
      </c>
      <c r="I447">
        <v>2</v>
      </c>
      <c r="J447">
        <v>0</v>
      </c>
      <c r="K447">
        <v>101.18</v>
      </c>
      <c r="L447">
        <v>4.2</v>
      </c>
    </row>
    <row r="448" spans="1:12" x14ac:dyDescent="0.25">
      <c r="A448" t="s">
        <v>495</v>
      </c>
      <c r="B448" s="1">
        <v>45921</v>
      </c>
      <c r="C448" s="1">
        <v>45923</v>
      </c>
      <c r="D448" t="s">
        <v>23</v>
      </c>
      <c r="E448" t="s">
        <v>43</v>
      </c>
      <c r="F448" t="s">
        <v>25</v>
      </c>
      <c r="G448" t="s">
        <v>20</v>
      </c>
      <c r="H448" t="s">
        <v>65</v>
      </c>
      <c r="I448">
        <v>4</v>
      </c>
      <c r="J448">
        <v>0</v>
      </c>
      <c r="K448">
        <v>1272.5</v>
      </c>
      <c r="L448">
        <v>8.2200000000000006</v>
      </c>
    </row>
    <row r="449" spans="1:12" x14ac:dyDescent="0.25">
      <c r="A449" t="s">
        <v>496</v>
      </c>
      <c r="B449" s="1">
        <v>45984</v>
      </c>
      <c r="C449" s="1">
        <v>45989</v>
      </c>
      <c r="D449" t="s">
        <v>47</v>
      </c>
      <c r="E449" t="s">
        <v>48</v>
      </c>
      <c r="F449" t="s">
        <v>15</v>
      </c>
      <c r="G449" t="s">
        <v>26</v>
      </c>
      <c r="H449" t="s">
        <v>37</v>
      </c>
      <c r="I449">
        <v>1</v>
      </c>
      <c r="J449">
        <v>0</v>
      </c>
      <c r="K449">
        <v>142.04</v>
      </c>
      <c r="L449">
        <v>4.08</v>
      </c>
    </row>
    <row r="450" spans="1:12" x14ac:dyDescent="0.25">
      <c r="A450" t="s">
        <v>497</v>
      </c>
      <c r="B450" s="1">
        <v>45776</v>
      </c>
      <c r="C450" s="1">
        <v>45779</v>
      </c>
      <c r="D450" t="s">
        <v>23</v>
      </c>
      <c r="E450" t="s">
        <v>43</v>
      </c>
      <c r="F450" t="s">
        <v>29</v>
      </c>
      <c r="G450" t="s">
        <v>16</v>
      </c>
      <c r="H450" t="s">
        <v>51</v>
      </c>
      <c r="I450">
        <v>10</v>
      </c>
      <c r="J450">
        <v>0.15</v>
      </c>
      <c r="K450">
        <v>127.54</v>
      </c>
      <c r="L450">
        <v>5.4</v>
      </c>
    </row>
    <row r="451" spans="1:12" x14ac:dyDescent="0.25">
      <c r="A451" t="s">
        <v>498</v>
      </c>
      <c r="B451" s="1">
        <v>45608</v>
      </c>
      <c r="C451" s="1">
        <v>45613</v>
      </c>
      <c r="D451" t="s">
        <v>13</v>
      </c>
      <c r="E451" t="s">
        <v>36</v>
      </c>
      <c r="F451" t="s">
        <v>15</v>
      </c>
      <c r="G451" t="s">
        <v>16</v>
      </c>
      <c r="H451" t="s">
        <v>65</v>
      </c>
      <c r="I451">
        <v>1</v>
      </c>
      <c r="J451">
        <v>0</v>
      </c>
      <c r="K451">
        <v>383.02</v>
      </c>
      <c r="L451">
        <v>4.08</v>
      </c>
    </row>
    <row r="452" spans="1:12" x14ac:dyDescent="0.25">
      <c r="A452" t="s">
        <v>499</v>
      </c>
      <c r="B452" s="1">
        <v>45446</v>
      </c>
      <c r="C452" s="1">
        <v>45452</v>
      </c>
      <c r="D452" t="s">
        <v>13</v>
      </c>
      <c r="E452" t="s">
        <v>19</v>
      </c>
      <c r="F452" t="s">
        <v>15</v>
      </c>
      <c r="G452" t="s">
        <v>16</v>
      </c>
      <c r="H452" t="s">
        <v>65</v>
      </c>
      <c r="I452">
        <v>2</v>
      </c>
      <c r="J452">
        <v>0</v>
      </c>
      <c r="K452">
        <v>594.11</v>
      </c>
      <c r="L452">
        <v>9.1</v>
      </c>
    </row>
    <row r="453" spans="1:12" x14ac:dyDescent="0.25">
      <c r="A453" t="s">
        <v>500</v>
      </c>
      <c r="B453" s="1">
        <v>45358</v>
      </c>
      <c r="C453" s="1">
        <v>45364</v>
      </c>
      <c r="D453" t="s">
        <v>23</v>
      </c>
      <c r="E453" t="s">
        <v>43</v>
      </c>
      <c r="F453" t="s">
        <v>29</v>
      </c>
      <c r="G453" t="s">
        <v>16</v>
      </c>
      <c r="H453" t="s">
        <v>34</v>
      </c>
      <c r="I453">
        <v>1</v>
      </c>
      <c r="J453">
        <v>0</v>
      </c>
      <c r="K453">
        <v>181.72</v>
      </c>
      <c r="L453">
        <v>4.08</v>
      </c>
    </row>
    <row r="454" spans="1:12" x14ac:dyDescent="0.25">
      <c r="A454" t="s">
        <v>501</v>
      </c>
      <c r="B454" s="1">
        <v>45875</v>
      </c>
      <c r="C454" s="1">
        <v>45876</v>
      </c>
      <c r="D454" t="s">
        <v>47</v>
      </c>
      <c r="E454" t="s">
        <v>71</v>
      </c>
      <c r="F454" t="s">
        <v>29</v>
      </c>
      <c r="G454" t="s">
        <v>26</v>
      </c>
      <c r="H454" t="s">
        <v>39</v>
      </c>
      <c r="I454">
        <v>4</v>
      </c>
      <c r="J454">
        <v>0</v>
      </c>
      <c r="K454">
        <v>736.28</v>
      </c>
      <c r="L454">
        <v>5.7</v>
      </c>
    </row>
    <row r="455" spans="1:12" x14ac:dyDescent="0.25">
      <c r="A455" t="s">
        <v>502</v>
      </c>
      <c r="B455" s="1">
        <v>45390</v>
      </c>
      <c r="C455" s="1">
        <v>45395</v>
      </c>
      <c r="D455" t="s">
        <v>32</v>
      </c>
      <c r="E455" t="s">
        <v>33</v>
      </c>
      <c r="F455" t="s">
        <v>25</v>
      </c>
      <c r="G455" t="s">
        <v>16</v>
      </c>
      <c r="H455" t="s">
        <v>68</v>
      </c>
      <c r="I455">
        <v>2</v>
      </c>
      <c r="J455">
        <v>0.15</v>
      </c>
      <c r="K455">
        <v>88.45</v>
      </c>
      <c r="L455">
        <v>4.2</v>
      </c>
    </row>
    <row r="456" spans="1:12" x14ac:dyDescent="0.25">
      <c r="A456" t="s">
        <v>503</v>
      </c>
      <c r="B456" s="1">
        <v>45660</v>
      </c>
      <c r="C456" s="1">
        <v>45662</v>
      </c>
      <c r="D456" t="s">
        <v>23</v>
      </c>
      <c r="E456" t="s">
        <v>59</v>
      </c>
      <c r="F456" t="s">
        <v>25</v>
      </c>
      <c r="G456" t="s">
        <v>16</v>
      </c>
      <c r="H456" t="s">
        <v>21</v>
      </c>
      <c r="I456">
        <v>3</v>
      </c>
      <c r="J456">
        <v>0</v>
      </c>
      <c r="K456">
        <v>294.38</v>
      </c>
      <c r="L456">
        <v>11.4</v>
      </c>
    </row>
    <row r="457" spans="1:12" x14ac:dyDescent="0.25">
      <c r="A457" t="s">
        <v>504</v>
      </c>
      <c r="B457" s="1">
        <v>45926</v>
      </c>
      <c r="C457" s="1">
        <v>45931</v>
      </c>
      <c r="D457" t="s">
        <v>47</v>
      </c>
      <c r="E457" t="s">
        <v>71</v>
      </c>
      <c r="F457" t="s">
        <v>15</v>
      </c>
      <c r="G457" t="s">
        <v>20</v>
      </c>
      <c r="H457" t="s">
        <v>60</v>
      </c>
      <c r="I457">
        <v>3</v>
      </c>
      <c r="J457">
        <v>0.15</v>
      </c>
      <c r="K457">
        <v>317.63</v>
      </c>
      <c r="L457">
        <v>8.25</v>
      </c>
    </row>
    <row r="458" spans="1:12" x14ac:dyDescent="0.25">
      <c r="A458" t="s">
        <v>505</v>
      </c>
      <c r="B458" s="1">
        <v>45879</v>
      </c>
      <c r="C458" s="1">
        <v>45884</v>
      </c>
      <c r="D458" t="s">
        <v>47</v>
      </c>
      <c r="E458" t="s">
        <v>71</v>
      </c>
      <c r="F458" t="s">
        <v>15</v>
      </c>
      <c r="G458" t="s">
        <v>26</v>
      </c>
      <c r="H458" t="s">
        <v>37</v>
      </c>
      <c r="I458">
        <v>1</v>
      </c>
      <c r="J458">
        <v>0</v>
      </c>
      <c r="K458">
        <v>107.22</v>
      </c>
      <c r="L458">
        <v>4.08</v>
      </c>
    </row>
    <row r="459" spans="1:12" x14ac:dyDescent="0.25">
      <c r="A459" t="s">
        <v>506</v>
      </c>
      <c r="B459" s="1">
        <v>45667</v>
      </c>
      <c r="C459" s="1">
        <v>45668</v>
      </c>
      <c r="D459" t="s">
        <v>32</v>
      </c>
      <c r="E459" t="s">
        <v>62</v>
      </c>
      <c r="F459" t="s">
        <v>15</v>
      </c>
      <c r="G459" t="s">
        <v>16</v>
      </c>
      <c r="H459" t="s">
        <v>17</v>
      </c>
      <c r="I459">
        <v>1</v>
      </c>
      <c r="J459">
        <v>0.1</v>
      </c>
      <c r="K459">
        <v>102.21</v>
      </c>
      <c r="L459">
        <v>3.45</v>
      </c>
    </row>
    <row r="460" spans="1:12" x14ac:dyDescent="0.25">
      <c r="A460" t="s">
        <v>507</v>
      </c>
      <c r="B460" s="1">
        <v>45823</v>
      </c>
      <c r="C460" s="1">
        <v>45825</v>
      </c>
      <c r="D460" t="s">
        <v>13</v>
      </c>
      <c r="E460" t="s">
        <v>36</v>
      </c>
      <c r="F460" t="s">
        <v>15</v>
      </c>
      <c r="G460" t="s">
        <v>16</v>
      </c>
      <c r="H460" t="s">
        <v>87</v>
      </c>
      <c r="I460">
        <v>6</v>
      </c>
      <c r="J460">
        <v>0.15</v>
      </c>
      <c r="K460">
        <v>46.17</v>
      </c>
      <c r="L460">
        <v>7.2</v>
      </c>
    </row>
    <row r="461" spans="1:12" x14ac:dyDescent="0.25">
      <c r="A461" t="s">
        <v>508</v>
      </c>
      <c r="B461" s="1">
        <v>45719</v>
      </c>
      <c r="C461" s="1">
        <v>45720</v>
      </c>
      <c r="D461" t="s">
        <v>13</v>
      </c>
      <c r="E461" t="s">
        <v>19</v>
      </c>
      <c r="F461" t="s">
        <v>29</v>
      </c>
      <c r="G461" t="s">
        <v>16</v>
      </c>
      <c r="H461" t="s">
        <v>87</v>
      </c>
      <c r="I461">
        <v>8</v>
      </c>
      <c r="J461">
        <v>0</v>
      </c>
      <c r="K461">
        <v>63.55</v>
      </c>
      <c r="L461">
        <v>4.8600000000000003</v>
      </c>
    </row>
    <row r="462" spans="1:12" x14ac:dyDescent="0.25">
      <c r="A462" t="s">
        <v>509</v>
      </c>
      <c r="B462" s="1">
        <v>45881</v>
      </c>
      <c r="C462" s="1">
        <v>45887</v>
      </c>
      <c r="D462" t="s">
        <v>47</v>
      </c>
      <c r="E462" t="s">
        <v>71</v>
      </c>
      <c r="F462" t="s">
        <v>15</v>
      </c>
      <c r="G462" t="s">
        <v>26</v>
      </c>
      <c r="H462" t="s">
        <v>39</v>
      </c>
      <c r="I462">
        <v>4</v>
      </c>
      <c r="J462">
        <v>0.1</v>
      </c>
      <c r="K462">
        <v>659.25</v>
      </c>
      <c r="L462">
        <v>9.5</v>
      </c>
    </row>
    <row r="463" spans="1:12" x14ac:dyDescent="0.25">
      <c r="A463" t="s">
        <v>510</v>
      </c>
      <c r="B463" s="1">
        <v>45628</v>
      </c>
      <c r="C463" s="1">
        <v>45629</v>
      </c>
      <c r="D463" t="s">
        <v>32</v>
      </c>
      <c r="E463" t="s">
        <v>45</v>
      </c>
      <c r="F463" t="s">
        <v>29</v>
      </c>
      <c r="G463" t="s">
        <v>26</v>
      </c>
      <c r="H463" t="s">
        <v>87</v>
      </c>
      <c r="I463">
        <v>6</v>
      </c>
      <c r="J463">
        <v>0</v>
      </c>
      <c r="K463">
        <v>74.55</v>
      </c>
      <c r="L463">
        <v>4.32</v>
      </c>
    </row>
    <row r="464" spans="1:12" x14ac:dyDescent="0.25">
      <c r="A464" t="s">
        <v>511</v>
      </c>
      <c r="B464" s="1">
        <v>45958</v>
      </c>
      <c r="C464" s="1">
        <v>45964</v>
      </c>
      <c r="D464" t="s">
        <v>47</v>
      </c>
      <c r="E464" t="s">
        <v>48</v>
      </c>
      <c r="F464" t="s">
        <v>25</v>
      </c>
      <c r="G464" t="s">
        <v>26</v>
      </c>
      <c r="H464" t="s">
        <v>27</v>
      </c>
      <c r="I464">
        <v>8</v>
      </c>
      <c r="J464">
        <v>0.05</v>
      </c>
      <c r="K464">
        <v>233.34</v>
      </c>
      <c r="L464">
        <v>4.8600000000000003</v>
      </c>
    </row>
    <row r="465" spans="1:12" x14ac:dyDescent="0.25">
      <c r="A465" t="s">
        <v>512</v>
      </c>
      <c r="B465" s="1">
        <v>46019</v>
      </c>
      <c r="C465" s="1">
        <v>46021</v>
      </c>
      <c r="D465" t="s">
        <v>32</v>
      </c>
      <c r="E465" t="s">
        <v>33</v>
      </c>
      <c r="F465" t="s">
        <v>15</v>
      </c>
      <c r="G465" t="s">
        <v>16</v>
      </c>
      <c r="H465" t="s">
        <v>34</v>
      </c>
      <c r="I465">
        <v>1</v>
      </c>
      <c r="J465">
        <v>0</v>
      </c>
      <c r="K465">
        <v>303.64999999999998</v>
      </c>
      <c r="L465">
        <v>6.8</v>
      </c>
    </row>
    <row r="466" spans="1:12" x14ac:dyDescent="0.25">
      <c r="A466" t="s">
        <v>513</v>
      </c>
      <c r="B466" s="1">
        <v>45871</v>
      </c>
      <c r="C466" s="1">
        <v>45876</v>
      </c>
      <c r="D466" t="s">
        <v>47</v>
      </c>
      <c r="E466" t="s">
        <v>48</v>
      </c>
      <c r="F466" t="s">
        <v>25</v>
      </c>
      <c r="G466" t="s">
        <v>20</v>
      </c>
      <c r="H466" t="s">
        <v>87</v>
      </c>
      <c r="I466">
        <v>9</v>
      </c>
      <c r="J466">
        <v>0.15</v>
      </c>
      <c r="K466">
        <v>58.71</v>
      </c>
      <c r="L466">
        <v>8.5500000000000007</v>
      </c>
    </row>
    <row r="467" spans="1:12" x14ac:dyDescent="0.25">
      <c r="A467" t="s">
        <v>514</v>
      </c>
      <c r="B467" s="1">
        <v>45770</v>
      </c>
      <c r="C467" s="1">
        <v>45771</v>
      </c>
      <c r="D467" t="s">
        <v>23</v>
      </c>
      <c r="E467" t="s">
        <v>59</v>
      </c>
      <c r="F467" t="s">
        <v>25</v>
      </c>
      <c r="G467" t="s">
        <v>16</v>
      </c>
      <c r="H467" t="s">
        <v>63</v>
      </c>
      <c r="I467">
        <v>10</v>
      </c>
      <c r="J467">
        <v>0.15</v>
      </c>
      <c r="K467">
        <v>101.01</v>
      </c>
      <c r="L467">
        <v>5.4</v>
      </c>
    </row>
    <row r="468" spans="1:12" x14ac:dyDescent="0.25">
      <c r="A468" t="s">
        <v>515</v>
      </c>
      <c r="B468" s="1">
        <v>45451</v>
      </c>
      <c r="C468" s="1">
        <v>45454</v>
      </c>
      <c r="D468" t="s">
        <v>47</v>
      </c>
      <c r="E468" t="s">
        <v>50</v>
      </c>
      <c r="F468" t="s">
        <v>15</v>
      </c>
      <c r="G468" t="s">
        <v>20</v>
      </c>
      <c r="H468" t="s">
        <v>65</v>
      </c>
      <c r="I468">
        <v>2</v>
      </c>
      <c r="J468">
        <v>0</v>
      </c>
      <c r="K468">
        <v>571.87</v>
      </c>
      <c r="L468">
        <v>5.46</v>
      </c>
    </row>
    <row r="469" spans="1:12" x14ac:dyDescent="0.25">
      <c r="A469" t="s">
        <v>516</v>
      </c>
      <c r="B469" s="1">
        <v>45402</v>
      </c>
      <c r="C469" s="1">
        <v>45406</v>
      </c>
      <c r="D469" t="s">
        <v>47</v>
      </c>
      <c r="E469" t="s">
        <v>50</v>
      </c>
      <c r="F469" t="s">
        <v>25</v>
      </c>
      <c r="G469" t="s">
        <v>20</v>
      </c>
      <c r="H469" t="s">
        <v>27</v>
      </c>
      <c r="I469">
        <v>5</v>
      </c>
      <c r="J469">
        <v>0</v>
      </c>
      <c r="K469">
        <v>143.22</v>
      </c>
      <c r="L469">
        <v>4.05</v>
      </c>
    </row>
    <row r="470" spans="1:12" x14ac:dyDescent="0.25">
      <c r="A470" t="s">
        <v>517</v>
      </c>
      <c r="B470" s="1">
        <v>45941</v>
      </c>
      <c r="C470" s="1">
        <v>45942</v>
      </c>
      <c r="D470" t="s">
        <v>13</v>
      </c>
      <c r="E470" t="s">
        <v>19</v>
      </c>
      <c r="F470" t="s">
        <v>15</v>
      </c>
      <c r="G470" t="s">
        <v>26</v>
      </c>
      <c r="H470" t="s">
        <v>60</v>
      </c>
      <c r="I470">
        <v>1</v>
      </c>
      <c r="J470">
        <v>0.25</v>
      </c>
      <c r="K470">
        <v>101.58</v>
      </c>
      <c r="L470">
        <v>5.75</v>
      </c>
    </row>
    <row r="471" spans="1:12" x14ac:dyDescent="0.25">
      <c r="A471" t="s">
        <v>518</v>
      </c>
      <c r="B471" s="1">
        <v>45937</v>
      </c>
      <c r="C471" s="1">
        <v>45943</v>
      </c>
      <c r="D471" t="s">
        <v>32</v>
      </c>
      <c r="E471" t="s">
        <v>62</v>
      </c>
      <c r="F471" t="s">
        <v>15</v>
      </c>
      <c r="G471" t="s">
        <v>26</v>
      </c>
      <c r="H471" t="s">
        <v>87</v>
      </c>
      <c r="I471">
        <v>4</v>
      </c>
      <c r="J471">
        <v>0</v>
      </c>
      <c r="K471">
        <v>38.869999999999997</v>
      </c>
      <c r="L471">
        <v>6.3</v>
      </c>
    </row>
    <row r="472" spans="1:12" x14ac:dyDescent="0.25">
      <c r="A472" t="s">
        <v>519</v>
      </c>
      <c r="B472" s="1">
        <v>45819</v>
      </c>
      <c r="C472" s="1">
        <v>45825</v>
      </c>
      <c r="D472" t="s">
        <v>13</v>
      </c>
      <c r="E472" t="s">
        <v>19</v>
      </c>
      <c r="F472" t="s">
        <v>25</v>
      </c>
      <c r="G472" t="s">
        <v>16</v>
      </c>
      <c r="H472" t="s">
        <v>51</v>
      </c>
      <c r="I472">
        <v>4</v>
      </c>
      <c r="J472">
        <v>0</v>
      </c>
      <c r="K472">
        <v>58.91</v>
      </c>
      <c r="L472">
        <v>3.78</v>
      </c>
    </row>
    <row r="473" spans="1:12" x14ac:dyDescent="0.25">
      <c r="A473" t="s">
        <v>520</v>
      </c>
      <c r="B473" s="1">
        <v>45760</v>
      </c>
      <c r="C473" s="1">
        <v>45764</v>
      </c>
      <c r="D473" t="s">
        <v>13</v>
      </c>
      <c r="E473" t="s">
        <v>14</v>
      </c>
      <c r="F473" t="s">
        <v>29</v>
      </c>
      <c r="G473" t="s">
        <v>20</v>
      </c>
      <c r="H473" t="s">
        <v>41</v>
      </c>
      <c r="I473">
        <v>3</v>
      </c>
      <c r="J473">
        <v>0.2</v>
      </c>
      <c r="K473">
        <v>14.68</v>
      </c>
      <c r="L473">
        <v>5.85</v>
      </c>
    </row>
    <row r="474" spans="1:12" x14ac:dyDescent="0.25">
      <c r="A474" t="s">
        <v>521</v>
      </c>
      <c r="B474" s="1">
        <v>45512</v>
      </c>
      <c r="C474" s="1">
        <v>45517</v>
      </c>
      <c r="D474" t="s">
        <v>13</v>
      </c>
      <c r="E474" t="s">
        <v>36</v>
      </c>
      <c r="F474" t="s">
        <v>25</v>
      </c>
      <c r="G474" t="s">
        <v>26</v>
      </c>
      <c r="H474" t="s">
        <v>53</v>
      </c>
      <c r="I474">
        <v>2</v>
      </c>
      <c r="J474">
        <v>0</v>
      </c>
      <c r="K474">
        <v>102.52</v>
      </c>
      <c r="L474">
        <v>7</v>
      </c>
    </row>
    <row r="475" spans="1:12" x14ac:dyDescent="0.25">
      <c r="A475" t="s">
        <v>522</v>
      </c>
      <c r="B475" s="1">
        <v>45892</v>
      </c>
      <c r="C475" s="1">
        <v>45897</v>
      </c>
      <c r="D475" t="s">
        <v>32</v>
      </c>
      <c r="E475" t="s">
        <v>45</v>
      </c>
      <c r="F475" t="s">
        <v>15</v>
      </c>
      <c r="G475" t="s">
        <v>20</v>
      </c>
      <c r="H475" t="s">
        <v>63</v>
      </c>
      <c r="I475">
        <v>9</v>
      </c>
      <c r="J475">
        <v>0</v>
      </c>
      <c r="K475">
        <v>104.37</v>
      </c>
      <c r="L475">
        <v>5.13</v>
      </c>
    </row>
    <row r="476" spans="1:12" x14ac:dyDescent="0.25">
      <c r="A476" t="s">
        <v>523</v>
      </c>
      <c r="B476" s="1">
        <v>45489</v>
      </c>
      <c r="C476" s="1">
        <v>45494</v>
      </c>
      <c r="D476" t="s">
        <v>47</v>
      </c>
      <c r="E476" t="s">
        <v>48</v>
      </c>
      <c r="F476" t="s">
        <v>15</v>
      </c>
      <c r="G476" t="s">
        <v>16</v>
      </c>
      <c r="H476" t="s">
        <v>63</v>
      </c>
      <c r="I476">
        <v>13</v>
      </c>
      <c r="J476">
        <v>0.2</v>
      </c>
      <c r="K476">
        <v>110.79</v>
      </c>
      <c r="L476">
        <v>6.21</v>
      </c>
    </row>
    <row r="477" spans="1:12" x14ac:dyDescent="0.25">
      <c r="A477" t="s">
        <v>524</v>
      </c>
      <c r="B477" s="1">
        <v>45669</v>
      </c>
      <c r="C477" s="1">
        <v>45672</v>
      </c>
      <c r="D477" t="s">
        <v>13</v>
      </c>
      <c r="E477" t="s">
        <v>14</v>
      </c>
      <c r="F477" t="s">
        <v>29</v>
      </c>
      <c r="G477" t="s">
        <v>26</v>
      </c>
      <c r="H477" t="s">
        <v>87</v>
      </c>
      <c r="I477">
        <v>7</v>
      </c>
      <c r="J477">
        <v>0</v>
      </c>
      <c r="K477">
        <v>53.66</v>
      </c>
      <c r="L477">
        <v>4.59</v>
      </c>
    </row>
    <row r="478" spans="1:12" x14ac:dyDescent="0.25">
      <c r="A478" t="s">
        <v>525</v>
      </c>
      <c r="B478" s="1">
        <v>45371</v>
      </c>
      <c r="C478" s="1">
        <v>45376</v>
      </c>
      <c r="D478" t="s">
        <v>13</v>
      </c>
      <c r="E478" t="s">
        <v>36</v>
      </c>
      <c r="F478" t="s">
        <v>29</v>
      </c>
      <c r="G478" t="s">
        <v>26</v>
      </c>
      <c r="H478" t="s">
        <v>17</v>
      </c>
      <c r="I478">
        <v>4</v>
      </c>
      <c r="J478">
        <v>0.2</v>
      </c>
      <c r="K478">
        <v>377.16</v>
      </c>
      <c r="L478">
        <v>9.5</v>
      </c>
    </row>
    <row r="479" spans="1:12" x14ac:dyDescent="0.25">
      <c r="A479" t="s">
        <v>526</v>
      </c>
      <c r="B479" s="1">
        <v>45537</v>
      </c>
      <c r="C479" s="1">
        <v>45539</v>
      </c>
      <c r="D479" t="s">
        <v>13</v>
      </c>
      <c r="E479" t="s">
        <v>14</v>
      </c>
      <c r="F479" t="s">
        <v>25</v>
      </c>
      <c r="G479" t="s">
        <v>16</v>
      </c>
      <c r="H479" t="s">
        <v>37</v>
      </c>
      <c r="I479">
        <v>3</v>
      </c>
      <c r="J479">
        <v>0</v>
      </c>
      <c r="K479">
        <v>335.71</v>
      </c>
      <c r="L479">
        <v>6.84</v>
      </c>
    </row>
    <row r="480" spans="1:12" x14ac:dyDescent="0.25">
      <c r="A480" t="s">
        <v>527</v>
      </c>
      <c r="B480" s="1">
        <v>45314</v>
      </c>
      <c r="C480" s="1">
        <v>45319</v>
      </c>
      <c r="D480" t="s">
        <v>47</v>
      </c>
      <c r="E480" t="s">
        <v>48</v>
      </c>
      <c r="F480" t="s">
        <v>29</v>
      </c>
      <c r="G480" t="s">
        <v>20</v>
      </c>
      <c r="H480" t="s">
        <v>37</v>
      </c>
      <c r="I480">
        <v>4</v>
      </c>
      <c r="J480">
        <v>0</v>
      </c>
      <c r="K480">
        <v>401.53</v>
      </c>
      <c r="L480">
        <v>8.2200000000000006</v>
      </c>
    </row>
    <row r="481" spans="1:12" x14ac:dyDescent="0.25">
      <c r="A481" t="s">
        <v>528</v>
      </c>
      <c r="B481" s="1">
        <v>45482</v>
      </c>
      <c r="C481" s="1">
        <v>45484</v>
      </c>
      <c r="D481" t="s">
        <v>32</v>
      </c>
      <c r="E481" t="s">
        <v>33</v>
      </c>
      <c r="F481" t="s">
        <v>25</v>
      </c>
      <c r="G481" t="s">
        <v>26</v>
      </c>
      <c r="H481" t="s">
        <v>53</v>
      </c>
      <c r="I481">
        <v>1</v>
      </c>
      <c r="J481">
        <v>0.2</v>
      </c>
      <c r="K481">
        <v>40.92</v>
      </c>
      <c r="L481">
        <v>3.45</v>
      </c>
    </row>
    <row r="482" spans="1:12" x14ac:dyDescent="0.25">
      <c r="A482" t="s">
        <v>529</v>
      </c>
      <c r="B482" s="1">
        <v>45362</v>
      </c>
      <c r="C482" s="1">
        <v>45367</v>
      </c>
      <c r="D482" t="s">
        <v>13</v>
      </c>
      <c r="E482" t="s">
        <v>14</v>
      </c>
      <c r="F482" t="s">
        <v>25</v>
      </c>
      <c r="G482" t="s">
        <v>16</v>
      </c>
      <c r="H482" t="s">
        <v>39</v>
      </c>
      <c r="I482">
        <v>3</v>
      </c>
      <c r="J482">
        <v>0</v>
      </c>
      <c r="K482">
        <v>535.75</v>
      </c>
      <c r="L482">
        <v>4.95</v>
      </c>
    </row>
    <row r="483" spans="1:12" x14ac:dyDescent="0.25">
      <c r="A483" t="s">
        <v>530</v>
      </c>
      <c r="B483" s="1">
        <v>45801</v>
      </c>
      <c r="C483" s="1">
        <v>45807</v>
      </c>
      <c r="D483" t="s">
        <v>13</v>
      </c>
      <c r="E483" t="s">
        <v>14</v>
      </c>
      <c r="F483" t="s">
        <v>29</v>
      </c>
      <c r="G483" t="s">
        <v>26</v>
      </c>
      <c r="H483" t="s">
        <v>17</v>
      </c>
      <c r="I483">
        <v>1</v>
      </c>
      <c r="J483">
        <v>0</v>
      </c>
      <c r="K483">
        <v>133.06</v>
      </c>
      <c r="L483">
        <v>5.75</v>
      </c>
    </row>
    <row r="484" spans="1:12" x14ac:dyDescent="0.25">
      <c r="A484" t="s">
        <v>531</v>
      </c>
      <c r="B484" s="1">
        <v>45687</v>
      </c>
      <c r="C484" s="1">
        <v>45689</v>
      </c>
      <c r="D484" t="s">
        <v>47</v>
      </c>
      <c r="E484" t="s">
        <v>48</v>
      </c>
      <c r="F484" t="s">
        <v>29</v>
      </c>
      <c r="G484" t="s">
        <v>26</v>
      </c>
      <c r="H484" t="s">
        <v>27</v>
      </c>
      <c r="I484">
        <v>11</v>
      </c>
      <c r="J484">
        <v>0.25</v>
      </c>
      <c r="K484">
        <v>196.8</v>
      </c>
      <c r="L484">
        <v>9.4499999999999993</v>
      </c>
    </row>
    <row r="485" spans="1:12" x14ac:dyDescent="0.25">
      <c r="A485" t="s">
        <v>532</v>
      </c>
      <c r="B485" s="1">
        <v>45770</v>
      </c>
      <c r="C485" s="1">
        <v>45774</v>
      </c>
      <c r="D485" t="s">
        <v>23</v>
      </c>
      <c r="E485" t="s">
        <v>59</v>
      </c>
      <c r="F485" t="s">
        <v>15</v>
      </c>
      <c r="G485" t="s">
        <v>20</v>
      </c>
      <c r="H485" t="s">
        <v>37</v>
      </c>
      <c r="I485">
        <v>4</v>
      </c>
      <c r="J485">
        <v>0.1</v>
      </c>
      <c r="K485">
        <v>358.88</v>
      </c>
      <c r="L485">
        <v>13.7</v>
      </c>
    </row>
    <row r="486" spans="1:12" x14ac:dyDescent="0.25">
      <c r="A486" t="s">
        <v>533</v>
      </c>
      <c r="B486" s="1">
        <v>45558</v>
      </c>
      <c r="C486" s="1">
        <v>45563</v>
      </c>
      <c r="D486" t="s">
        <v>32</v>
      </c>
      <c r="E486" t="s">
        <v>62</v>
      </c>
      <c r="F486" t="s">
        <v>25</v>
      </c>
      <c r="G486" t="s">
        <v>26</v>
      </c>
      <c r="H486" t="s">
        <v>53</v>
      </c>
      <c r="I486">
        <v>4</v>
      </c>
      <c r="J486">
        <v>0</v>
      </c>
      <c r="K486">
        <v>231.63</v>
      </c>
      <c r="L486">
        <v>9.5</v>
      </c>
    </row>
    <row r="487" spans="1:12" x14ac:dyDescent="0.25">
      <c r="A487" t="s">
        <v>534</v>
      </c>
      <c r="B487" s="1">
        <v>45802</v>
      </c>
      <c r="C487" s="1">
        <v>45805</v>
      </c>
      <c r="D487" t="s">
        <v>13</v>
      </c>
      <c r="E487" t="s">
        <v>14</v>
      </c>
      <c r="F487" t="s">
        <v>29</v>
      </c>
      <c r="G487" t="s">
        <v>16</v>
      </c>
      <c r="H487" t="s">
        <v>39</v>
      </c>
      <c r="I487">
        <v>4</v>
      </c>
      <c r="J487">
        <v>0</v>
      </c>
      <c r="K487">
        <v>785.48</v>
      </c>
      <c r="L487">
        <v>9.5</v>
      </c>
    </row>
    <row r="488" spans="1:12" x14ac:dyDescent="0.25">
      <c r="A488" t="s">
        <v>535</v>
      </c>
      <c r="B488" s="1">
        <v>45580</v>
      </c>
      <c r="C488" s="1">
        <v>45582</v>
      </c>
      <c r="D488" t="s">
        <v>13</v>
      </c>
      <c r="E488" t="s">
        <v>36</v>
      </c>
      <c r="F488" t="s">
        <v>15</v>
      </c>
      <c r="G488" t="s">
        <v>26</v>
      </c>
      <c r="H488" t="s">
        <v>63</v>
      </c>
      <c r="I488">
        <v>6</v>
      </c>
      <c r="J488">
        <v>0</v>
      </c>
      <c r="K488">
        <v>88.2</v>
      </c>
      <c r="L488">
        <v>4.32</v>
      </c>
    </row>
    <row r="489" spans="1:12" x14ac:dyDescent="0.25">
      <c r="A489" t="s">
        <v>536</v>
      </c>
      <c r="B489" s="1">
        <v>45559</v>
      </c>
      <c r="C489" s="1">
        <v>45561</v>
      </c>
      <c r="D489" t="s">
        <v>13</v>
      </c>
      <c r="E489" t="s">
        <v>14</v>
      </c>
      <c r="F489" t="s">
        <v>15</v>
      </c>
      <c r="G489" t="s">
        <v>20</v>
      </c>
      <c r="H489" t="s">
        <v>27</v>
      </c>
      <c r="I489">
        <v>9</v>
      </c>
      <c r="J489">
        <v>0</v>
      </c>
      <c r="K489">
        <v>273.07</v>
      </c>
      <c r="L489">
        <v>5.13</v>
      </c>
    </row>
    <row r="490" spans="1:12" x14ac:dyDescent="0.25">
      <c r="A490" t="s">
        <v>537</v>
      </c>
      <c r="B490" s="1">
        <v>45618</v>
      </c>
      <c r="C490" s="1">
        <v>45620</v>
      </c>
      <c r="D490" t="s">
        <v>47</v>
      </c>
      <c r="E490" t="s">
        <v>48</v>
      </c>
      <c r="F490" t="s">
        <v>25</v>
      </c>
      <c r="G490" t="s">
        <v>26</v>
      </c>
      <c r="H490" t="s">
        <v>65</v>
      </c>
      <c r="I490">
        <v>1</v>
      </c>
      <c r="J490">
        <v>0</v>
      </c>
      <c r="K490">
        <v>398.41</v>
      </c>
      <c r="L490">
        <v>6.8</v>
      </c>
    </row>
    <row r="491" spans="1:12" x14ac:dyDescent="0.25">
      <c r="A491" t="s">
        <v>538</v>
      </c>
      <c r="B491" s="1">
        <v>45558</v>
      </c>
      <c r="C491" s="1">
        <v>45562</v>
      </c>
      <c r="D491" t="s">
        <v>32</v>
      </c>
      <c r="E491" t="s">
        <v>45</v>
      </c>
      <c r="F491" t="s">
        <v>25</v>
      </c>
      <c r="G491" t="s">
        <v>16</v>
      </c>
      <c r="H491" t="s">
        <v>87</v>
      </c>
      <c r="I491">
        <v>11</v>
      </c>
      <c r="J491">
        <v>0</v>
      </c>
      <c r="K491">
        <v>94.51</v>
      </c>
      <c r="L491">
        <v>5.67</v>
      </c>
    </row>
    <row r="492" spans="1:12" x14ac:dyDescent="0.25">
      <c r="A492" t="s">
        <v>539</v>
      </c>
      <c r="B492" s="1">
        <v>45687</v>
      </c>
      <c r="C492" s="1">
        <v>45691</v>
      </c>
      <c r="D492" t="s">
        <v>47</v>
      </c>
      <c r="E492" t="s">
        <v>71</v>
      </c>
      <c r="F492" t="s">
        <v>25</v>
      </c>
      <c r="G492" t="s">
        <v>20</v>
      </c>
      <c r="H492" t="s">
        <v>39</v>
      </c>
      <c r="I492">
        <v>1</v>
      </c>
      <c r="J492">
        <v>0.1</v>
      </c>
      <c r="K492">
        <v>143.76</v>
      </c>
      <c r="L492">
        <v>5.75</v>
      </c>
    </row>
    <row r="493" spans="1:12" x14ac:dyDescent="0.25">
      <c r="A493" t="s">
        <v>540</v>
      </c>
      <c r="B493" s="1">
        <v>45328</v>
      </c>
      <c r="C493" s="1">
        <v>45334</v>
      </c>
      <c r="D493" t="s">
        <v>32</v>
      </c>
      <c r="E493" t="s">
        <v>62</v>
      </c>
      <c r="F493" t="s">
        <v>15</v>
      </c>
      <c r="G493" t="s">
        <v>26</v>
      </c>
      <c r="H493" t="s">
        <v>41</v>
      </c>
      <c r="I493">
        <v>5</v>
      </c>
      <c r="J493">
        <v>0</v>
      </c>
      <c r="K493">
        <v>28.04</v>
      </c>
      <c r="L493">
        <v>4.05</v>
      </c>
    </row>
    <row r="494" spans="1:12" x14ac:dyDescent="0.25">
      <c r="A494" t="s">
        <v>541</v>
      </c>
      <c r="B494" s="1">
        <v>46015</v>
      </c>
      <c r="C494" s="1">
        <v>46018</v>
      </c>
      <c r="D494" t="s">
        <v>13</v>
      </c>
      <c r="E494" t="s">
        <v>36</v>
      </c>
      <c r="F494" t="s">
        <v>29</v>
      </c>
      <c r="G494" t="s">
        <v>16</v>
      </c>
      <c r="H494" t="s">
        <v>51</v>
      </c>
      <c r="I494">
        <v>11</v>
      </c>
      <c r="J494">
        <v>0</v>
      </c>
      <c r="K494">
        <v>225.78</v>
      </c>
      <c r="L494">
        <v>9.4499999999999993</v>
      </c>
    </row>
    <row r="495" spans="1:12" x14ac:dyDescent="0.25">
      <c r="A495" t="s">
        <v>542</v>
      </c>
      <c r="B495" s="1">
        <v>45671</v>
      </c>
      <c r="C495" s="1">
        <v>45674</v>
      </c>
      <c r="D495" t="s">
        <v>23</v>
      </c>
      <c r="E495" t="s">
        <v>24</v>
      </c>
      <c r="F495" t="s">
        <v>29</v>
      </c>
      <c r="G495" t="s">
        <v>16</v>
      </c>
      <c r="H495" t="s">
        <v>21</v>
      </c>
      <c r="I495">
        <v>2</v>
      </c>
      <c r="J495">
        <v>0.25</v>
      </c>
      <c r="K495">
        <v>141.44999999999999</v>
      </c>
      <c r="L495">
        <v>9.1</v>
      </c>
    </row>
    <row r="496" spans="1:12" x14ac:dyDescent="0.25">
      <c r="A496" t="s">
        <v>543</v>
      </c>
      <c r="B496" s="1">
        <v>45467</v>
      </c>
      <c r="C496" s="1">
        <v>45470</v>
      </c>
      <c r="D496" t="s">
        <v>32</v>
      </c>
      <c r="E496" t="s">
        <v>33</v>
      </c>
      <c r="F496" t="s">
        <v>29</v>
      </c>
      <c r="G496" t="s">
        <v>26</v>
      </c>
      <c r="H496" t="s">
        <v>30</v>
      </c>
      <c r="I496">
        <v>12</v>
      </c>
      <c r="J496">
        <v>0</v>
      </c>
      <c r="K496">
        <v>72.010000000000005</v>
      </c>
      <c r="L496">
        <v>9.9</v>
      </c>
    </row>
    <row r="497" spans="1:12" x14ac:dyDescent="0.25">
      <c r="A497" t="s">
        <v>544</v>
      </c>
      <c r="B497" s="1">
        <v>45932</v>
      </c>
      <c r="C497" s="1">
        <v>45934</v>
      </c>
      <c r="D497" t="s">
        <v>23</v>
      </c>
      <c r="E497" t="s">
        <v>59</v>
      </c>
      <c r="F497" t="s">
        <v>29</v>
      </c>
      <c r="G497" t="s">
        <v>20</v>
      </c>
      <c r="H497" t="s">
        <v>41</v>
      </c>
      <c r="I497">
        <v>7</v>
      </c>
      <c r="J497">
        <v>0</v>
      </c>
      <c r="K497">
        <v>51.38</v>
      </c>
      <c r="L497">
        <v>7.65</v>
      </c>
    </row>
    <row r="498" spans="1:12" x14ac:dyDescent="0.25">
      <c r="A498" t="s">
        <v>545</v>
      </c>
      <c r="B498" s="1">
        <v>45961</v>
      </c>
      <c r="C498" s="1">
        <v>45965</v>
      </c>
      <c r="D498" t="s">
        <v>47</v>
      </c>
      <c r="E498" t="s">
        <v>48</v>
      </c>
      <c r="F498" t="s">
        <v>29</v>
      </c>
      <c r="G498" t="s">
        <v>20</v>
      </c>
      <c r="H498" t="s">
        <v>30</v>
      </c>
      <c r="I498">
        <v>14</v>
      </c>
      <c r="J498">
        <v>0.1</v>
      </c>
      <c r="K498">
        <v>91.54</v>
      </c>
      <c r="L498">
        <v>6.48</v>
      </c>
    </row>
    <row r="499" spans="1:12" x14ac:dyDescent="0.25">
      <c r="A499" t="s">
        <v>546</v>
      </c>
      <c r="B499" s="1">
        <v>45532</v>
      </c>
      <c r="C499" s="1">
        <v>45534</v>
      </c>
      <c r="D499" t="s">
        <v>32</v>
      </c>
      <c r="E499" t="s">
        <v>62</v>
      </c>
      <c r="F499" t="s">
        <v>29</v>
      </c>
      <c r="G499" t="s">
        <v>16</v>
      </c>
      <c r="H499" t="s">
        <v>30</v>
      </c>
      <c r="I499">
        <v>4</v>
      </c>
      <c r="J499">
        <v>0</v>
      </c>
      <c r="K499">
        <v>22.88</v>
      </c>
      <c r="L499">
        <v>3.78</v>
      </c>
    </row>
    <row r="500" spans="1:12" x14ac:dyDescent="0.25">
      <c r="A500" t="s">
        <v>547</v>
      </c>
      <c r="B500" s="1">
        <v>45946</v>
      </c>
      <c r="C500" s="1">
        <v>45951</v>
      </c>
      <c r="D500" t="s">
        <v>13</v>
      </c>
      <c r="E500" t="s">
        <v>36</v>
      </c>
      <c r="F500" t="s">
        <v>15</v>
      </c>
      <c r="G500" t="s">
        <v>20</v>
      </c>
      <c r="H500" t="s">
        <v>41</v>
      </c>
      <c r="I500">
        <v>4</v>
      </c>
      <c r="J500">
        <v>0.2</v>
      </c>
      <c r="K500">
        <v>22.15</v>
      </c>
      <c r="L500">
        <v>6.3</v>
      </c>
    </row>
    <row r="501" spans="1:12" x14ac:dyDescent="0.25">
      <c r="A501" t="s">
        <v>548</v>
      </c>
      <c r="B501" s="1">
        <v>45509</v>
      </c>
      <c r="C501" s="1">
        <v>45513</v>
      </c>
      <c r="D501" t="s">
        <v>23</v>
      </c>
      <c r="E501" t="s">
        <v>24</v>
      </c>
      <c r="F501" t="s">
        <v>25</v>
      </c>
      <c r="G501" t="s">
        <v>20</v>
      </c>
      <c r="H501" t="s">
        <v>37</v>
      </c>
      <c r="I501">
        <v>2</v>
      </c>
      <c r="J501">
        <v>0</v>
      </c>
      <c r="K501">
        <v>207.29</v>
      </c>
      <c r="L501">
        <v>9.1</v>
      </c>
    </row>
    <row r="502" spans="1:12" x14ac:dyDescent="0.25">
      <c r="A502" t="s">
        <v>549</v>
      </c>
      <c r="B502" s="1">
        <v>45844</v>
      </c>
      <c r="C502" s="1">
        <v>45848</v>
      </c>
      <c r="D502" t="s">
        <v>13</v>
      </c>
      <c r="E502" t="s">
        <v>14</v>
      </c>
      <c r="F502" t="s">
        <v>25</v>
      </c>
      <c r="G502" t="s">
        <v>20</v>
      </c>
      <c r="H502" t="s">
        <v>87</v>
      </c>
      <c r="I502">
        <v>3</v>
      </c>
      <c r="J502">
        <v>0</v>
      </c>
      <c r="K502">
        <v>22.42</v>
      </c>
      <c r="L502">
        <v>3.51</v>
      </c>
    </row>
    <row r="503" spans="1:12" x14ac:dyDescent="0.25">
      <c r="A503" t="s">
        <v>550</v>
      </c>
      <c r="B503" s="1">
        <v>45400</v>
      </c>
      <c r="C503" s="1">
        <v>45404</v>
      </c>
      <c r="D503" t="s">
        <v>13</v>
      </c>
      <c r="E503" t="s">
        <v>36</v>
      </c>
      <c r="F503" t="s">
        <v>25</v>
      </c>
      <c r="G503" t="s">
        <v>20</v>
      </c>
      <c r="H503" t="s">
        <v>37</v>
      </c>
      <c r="I503">
        <v>2</v>
      </c>
      <c r="J503">
        <v>0.1</v>
      </c>
      <c r="K503">
        <v>194.74</v>
      </c>
      <c r="L503">
        <v>5.46</v>
      </c>
    </row>
    <row r="504" spans="1:12" x14ac:dyDescent="0.25">
      <c r="A504" t="s">
        <v>551</v>
      </c>
      <c r="B504" s="1">
        <v>45583</v>
      </c>
      <c r="C504" s="1">
        <v>45586</v>
      </c>
      <c r="D504" t="s">
        <v>32</v>
      </c>
      <c r="E504" t="s">
        <v>33</v>
      </c>
      <c r="F504" t="s">
        <v>25</v>
      </c>
      <c r="G504" t="s">
        <v>26</v>
      </c>
      <c r="H504" t="s">
        <v>65</v>
      </c>
      <c r="I504">
        <v>2</v>
      </c>
      <c r="J504">
        <v>0.25</v>
      </c>
      <c r="K504">
        <v>481.01</v>
      </c>
      <c r="L504">
        <v>9.1</v>
      </c>
    </row>
    <row r="505" spans="1:12" x14ac:dyDescent="0.25">
      <c r="A505" t="s">
        <v>552</v>
      </c>
      <c r="B505" s="1">
        <v>45299</v>
      </c>
      <c r="C505" s="1">
        <v>45301</v>
      </c>
      <c r="D505" t="s">
        <v>13</v>
      </c>
      <c r="E505" t="s">
        <v>14</v>
      </c>
      <c r="F505" t="s">
        <v>15</v>
      </c>
      <c r="G505" t="s">
        <v>20</v>
      </c>
      <c r="H505" t="s">
        <v>21</v>
      </c>
      <c r="I505">
        <v>4</v>
      </c>
      <c r="J505">
        <v>0</v>
      </c>
      <c r="K505">
        <v>401.5</v>
      </c>
      <c r="L505">
        <v>13.7</v>
      </c>
    </row>
    <row r="506" spans="1:12" x14ac:dyDescent="0.25">
      <c r="A506" t="s">
        <v>553</v>
      </c>
      <c r="B506" s="1">
        <v>45479</v>
      </c>
      <c r="C506" s="1">
        <v>45484</v>
      </c>
      <c r="D506" t="s">
        <v>23</v>
      </c>
      <c r="E506" t="s">
        <v>59</v>
      </c>
      <c r="F506" t="s">
        <v>29</v>
      </c>
      <c r="G506" t="s">
        <v>16</v>
      </c>
      <c r="H506" t="s">
        <v>17</v>
      </c>
      <c r="I506">
        <v>2</v>
      </c>
      <c r="J506">
        <v>0</v>
      </c>
      <c r="K506">
        <v>228.43</v>
      </c>
      <c r="L506">
        <v>7</v>
      </c>
    </row>
    <row r="507" spans="1:12" x14ac:dyDescent="0.25">
      <c r="A507" t="s">
        <v>554</v>
      </c>
      <c r="B507" s="1">
        <v>45901</v>
      </c>
      <c r="C507" s="1">
        <v>45903</v>
      </c>
      <c r="D507" t="s">
        <v>13</v>
      </c>
      <c r="E507" t="s">
        <v>36</v>
      </c>
      <c r="F507" t="s">
        <v>15</v>
      </c>
      <c r="G507" t="s">
        <v>26</v>
      </c>
      <c r="H507" t="s">
        <v>53</v>
      </c>
      <c r="I507">
        <v>4</v>
      </c>
      <c r="J507">
        <v>0.05</v>
      </c>
      <c r="K507">
        <v>231.51</v>
      </c>
      <c r="L507">
        <v>9.5</v>
      </c>
    </row>
    <row r="508" spans="1:12" x14ac:dyDescent="0.25">
      <c r="A508" t="s">
        <v>555</v>
      </c>
      <c r="B508" s="1">
        <v>45830</v>
      </c>
      <c r="C508" s="1">
        <v>45834</v>
      </c>
      <c r="D508" t="s">
        <v>13</v>
      </c>
      <c r="E508" t="s">
        <v>36</v>
      </c>
      <c r="F508" t="s">
        <v>25</v>
      </c>
      <c r="G508" t="s">
        <v>26</v>
      </c>
      <c r="H508" t="s">
        <v>51</v>
      </c>
      <c r="I508">
        <v>9</v>
      </c>
      <c r="J508">
        <v>0</v>
      </c>
      <c r="K508">
        <v>143.12</v>
      </c>
      <c r="L508">
        <v>5.13</v>
      </c>
    </row>
    <row r="509" spans="1:12" x14ac:dyDescent="0.25">
      <c r="A509" t="s">
        <v>556</v>
      </c>
      <c r="B509" s="1">
        <v>45514</v>
      </c>
      <c r="C509" s="1">
        <v>45520</v>
      </c>
      <c r="D509" t="s">
        <v>13</v>
      </c>
      <c r="E509" t="s">
        <v>14</v>
      </c>
      <c r="F509" t="s">
        <v>29</v>
      </c>
      <c r="G509" t="s">
        <v>20</v>
      </c>
      <c r="H509" t="s">
        <v>60</v>
      </c>
      <c r="I509">
        <v>1</v>
      </c>
      <c r="J509">
        <v>0</v>
      </c>
      <c r="K509">
        <v>101.83</v>
      </c>
      <c r="L509">
        <v>5.75</v>
      </c>
    </row>
    <row r="510" spans="1:12" x14ac:dyDescent="0.25">
      <c r="A510" t="s">
        <v>557</v>
      </c>
      <c r="B510" s="1">
        <v>45533</v>
      </c>
      <c r="C510" s="1">
        <v>45537</v>
      </c>
      <c r="D510" t="s">
        <v>13</v>
      </c>
      <c r="E510" t="s">
        <v>36</v>
      </c>
      <c r="F510" t="s">
        <v>29</v>
      </c>
      <c r="G510" t="s">
        <v>16</v>
      </c>
      <c r="H510" t="s">
        <v>41</v>
      </c>
      <c r="I510">
        <v>13</v>
      </c>
      <c r="J510">
        <v>0</v>
      </c>
      <c r="K510">
        <v>71.489999999999995</v>
      </c>
      <c r="L510">
        <v>6.21</v>
      </c>
    </row>
    <row r="511" spans="1:12" x14ac:dyDescent="0.25">
      <c r="A511" t="s">
        <v>558</v>
      </c>
      <c r="B511" s="1">
        <v>45909</v>
      </c>
      <c r="C511" s="1">
        <v>45911</v>
      </c>
      <c r="D511" t="s">
        <v>13</v>
      </c>
      <c r="E511" t="s">
        <v>36</v>
      </c>
      <c r="F511" t="s">
        <v>29</v>
      </c>
      <c r="G511" t="s">
        <v>20</v>
      </c>
      <c r="H511" t="s">
        <v>27</v>
      </c>
      <c r="I511">
        <v>5</v>
      </c>
      <c r="J511">
        <v>0.1</v>
      </c>
      <c r="K511">
        <v>137.25</v>
      </c>
      <c r="L511">
        <v>4.05</v>
      </c>
    </row>
    <row r="512" spans="1:12" x14ac:dyDescent="0.25">
      <c r="A512" t="s">
        <v>559</v>
      </c>
      <c r="B512" s="1">
        <v>45550</v>
      </c>
      <c r="C512" s="1">
        <v>45555</v>
      </c>
      <c r="D512" t="s">
        <v>47</v>
      </c>
      <c r="E512" t="s">
        <v>50</v>
      </c>
      <c r="F512" t="s">
        <v>29</v>
      </c>
      <c r="G512" t="s">
        <v>16</v>
      </c>
      <c r="H512" t="s">
        <v>21</v>
      </c>
      <c r="I512">
        <v>2</v>
      </c>
      <c r="J512">
        <v>0</v>
      </c>
      <c r="K512">
        <v>255.77</v>
      </c>
      <c r="L512">
        <v>5.46</v>
      </c>
    </row>
    <row r="513" spans="1:12" x14ac:dyDescent="0.25">
      <c r="A513" t="s">
        <v>560</v>
      </c>
      <c r="B513" s="1">
        <v>45822</v>
      </c>
      <c r="C513" s="1">
        <v>45825</v>
      </c>
      <c r="D513" t="s">
        <v>13</v>
      </c>
      <c r="E513" t="s">
        <v>19</v>
      </c>
      <c r="F513" t="s">
        <v>25</v>
      </c>
      <c r="G513" t="s">
        <v>16</v>
      </c>
      <c r="H513" t="s">
        <v>65</v>
      </c>
      <c r="I513">
        <v>3</v>
      </c>
      <c r="J513">
        <v>0.05</v>
      </c>
      <c r="K513">
        <v>891.52</v>
      </c>
      <c r="L513">
        <v>6.84</v>
      </c>
    </row>
    <row r="514" spans="1:12" x14ac:dyDescent="0.25">
      <c r="A514" t="s">
        <v>561</v>
      </c>
      <c r="B514" s="1">
        <v>45823</v>
      </c>
      <c r="C514" s="1">
        <v>45828</v>
      </c>
      <c r="D514" t="s">
        <v>23</v>
      </c>
      <c r="E514" t="s">
        <v>24</v>
      </c>
      <c r="F514" t="s">
        <v>15</v>
      </c>
      <c r="G514" t="s">
        <v>26</v>
      </c>
      <c r="H514" t="s">
        <v>41</v>
      </c>
      <c r="I514">
        <v>5</v>
      </c>
      <c r="J514">
        <v>0</v>
      </c>
      <c r="K514">
        <v>33.049999999999997</v>
      </c>
      <c r="L514">
        <v>4.05</v>
      </c>
    </row>
    <row r="515" spans="1:12" x14ac:dyDescent="0.25">
      <c r="A515" t="s">
        <v>562</v>
      </c>
      <c r="B515" s="1">
        <v>45521</v>
      </c>
      <c r="C515" s="1">
        <v>45524</v>
      </c>
      <c r="D515" t="s">
        <v>23</v>
      </c>
      <c r="E515" t="s">
        <v>59</v>
      </c>
      <c r="F515" t="s">
        <v>25</v>
      </c>
      <c r="G515" t="s">
        <v>26</v>
      </c>
      <c r="H515" t="s">
        <v>21</v>
      </c>
      <c r="I515">
        <v>3</v>
      </c>
      <c r="J515">
        <v>0</v>
      </c>
      <c r="K515">
        <v>317.01</v>
      </c>
      <c r="L515">
        <v>6.84</v>
      </c>
    </row>
    <row r="516" spans="1:12" x14ac:dyDescent="0.25">
      <c r="A516" t="s">
        <v>563</v>
      </c>
      <c r="B516" s="1">
        <v>45971</v>
      </c>
      <c r="C516" s="1">
        <v>45974</v>
      </c>
      <c r="D516" t="s">
        <v>13</v>
      </c>
      <c r="E516" t="s">
        <v>36</v>
      </c>
      <c r="F516" t="s">
        <v>25</v>
      </c>
      <c r="G516" t="s">
        <v>16</v>
      </c>
      <c r="H516" t="s">
        <v>51</v>
      </c>
      <c r="I516">
        <v>5</v>
      </c>
      <c r="J516">
        <v>0.05</v>
      </c>
      <c r="K516">
        <v>90.39</v>
      </c>
      <c r="L516">
        <v>4.05</v>
      </c>
    </row>
    <row r="517" spans="1:12" x14ac:dyDescent="0.25">
      <c r="A517" t="s">
        <v>564</v>
      </c>
      <c r="B517" s="1">
        <v>45407</v>
      </c>
      <c r="C517" s="1">
        <v>45408</v>
      </c>
      <c r="D517" t="s">
        <v>23</v>
      </c>
      <c r="E517" t="s">
        <v>24</v>
      </c>
      <c r="F517" t="s">
        <v>29</v>
      </c>
      <c r="G517" t="s">
        <v>20</v>
      </c>
      <c r="H517" t="s">
        <v>27</v>
      </c>
      <c r="I517">
        <v>10</v>
      </c>
      <c r="J517">
        <v>0</v>
      </c>
      <c r="K517">
        <v>266.38</v>
      </c>
      <c r="L517">
        <v>5.4</v>
      </c>
    </row>
    <row r="518" spans="1:12" x14ac:dyDescent="0.25">
      <c r="A518" t="s">
        <v>565</v>
      </c>
      <c r="B518" s="1">
        <v>45947</v>
      </c>
      <c r="C518" s="1">
        <v>45948</v>
      </c>
      <c r="D518" t="s">
        <v>23</v>
      </c>
      <c r="E518" t="s">
        <v>59</v>
      </c>
      <c r="F518" t="s">
        <v>29</v>
      </c>
      <c r="G518" t="s">
        <v>26</v>
      </c>
      <c r="H518" t="s">
        <v>39</v>
      </c>
      <c r="I518">
        <v>2</v>
      </c>
      <c r="J518">
        <v>0.2</v>
      </c>
      <c r="K518">
        <v>362.29</v>
      </c>
      <c r="L518">
        <v>4.2</v>
      </c>
    </row>
    <row r="519" spans="1:12" x14ac:dyDescent="0.25">
      <c r="A519" t="s">
        <v>566</v>
      </c>
      <c r="B519" s="1">
        <v>45471</v>
      </c>
      <c r="C519" s="1">
        <v>45477</v>
      </c>
      <c r="D519" t="s">
        <v>13</v>
      </c>
      <c r="E519" t="s">
        <v>36</v>
      </c>
      <c r="F519" t="s">
        <v>25</v>
      </c>
      <c r="G519" t="s">
        <v>16</v>
      </c>
      <c r="H519" t="s">
        <v>53</v>
      </c>
      <c r="I519">
        <v>4</v>
      </c>
      <c r="J519">
        <v>0.2</v>
      </c>
      <c r="K519">
        <v>181.42</v>
      </c>
      <c r="L519">
        <v>9.5</v>
      </c>
    </row>
    <row r="520" spans="1:12" x14ac:dyDescent="0.25">
      <c r="A520" t="s">
        <v>567</v>
      </c>
      <c r="B520" s="1">
        <v>45440</v>
      </c>
      <c r="C520" s="1">
        <v>45443</v>
      </c>
      <c r="D520" t="s">
        <v>47</v>
      </c>
      <c r="E520" t="s">
        <v>50</v>
      </c>
      <c r="F520" t="s">
        <v>15</v>
      </c>
      <c r="G520" t="s">
        <v>26</v>
      </c>
      <c r="H520" t="s">
        <v>34</v>
      </c>
      <c r="I520">
        <v>4</v>
      </c>
      <c r="J520">
        <v>0</v>
      </c>
      <c r="K520">
        <v>875.8</v>
      </c>
      <c r="L520">
        <v>13.7</v>
      </c>
    </row>
    <row r="521" spans="1:12" x14ac:dyDescent="0.25">
      <c r="A521" t="s">
        <v>568</v>
      </c>
      <c r="B521" s="1">
        <v>45466</v>
      </c>
      <c r="C521" s="1">
        <v>45468</v>
      </c>
      <c r="D521" t="s">
        <v>23</v>
      </c>
      <c r="E521" t="s">
        <v>59</v>
      </c>
      <c r="F521" t="s">
        <v>25</v>
      </c>
      <c r="G521" t="s">
        <v>20</v>
      </c>
      <c r="H521" t="s">
        <v>87</v>
      </c>
      <c r="I521">
        <v>12</v>
      </c>
      <c r="J521">
        <v>0</v>
      </c>
      <c r="K521">
        <v>97.58</v>
      </c>
      <c r="L521">
        <v>5.94</v>
      </c>
    </row>
    <row r="522" spans="1:12" x14ac:dyDescent="0.25">
      <c r="A522" t="s">
        <v>569</v>
      </c>
      <c r="B522" s="1">
        <v>45984</v>
      </c>
      <c r="C522" s="1">
        <v>45990</v>
      </c>
      <c r="D522" t="s">
        <v>32</v>
      </c>
      <c r="E522" t="s">
        <v>62</v>
      </c>
      <c r="F522" t="s">
        <v>29</v>
      </c>
      <c r="G522" t="s">
        <v>26</v>
      </c>
      <c r="H522" t="s">
        <v>27</v>
      </c>
      <c r="I522">
        <v>11</v>
      </c>
      <c r="J522">
        <v>0</v>
      </c>
      <c r="K522">
        <v>408.47</v>
      </c>
      <c r="L522">
        <v>5.67</v>
      </c>
    </row>
    <row r="523" spans="1:12" x14ac:dyDescent="0.25">
      <c r="A523" t="s">
        <v>570</v>
      </c>
      <c r="B523" s="1">
        <v>45871</v>
      </c>
      <c r="C523" s="1">
        <v>45874</v>
      </c>
      <c r="D523" t="s">
        <v>32</v>
      </c>
      <c r="E523" t="s">
        <v>33</v>
      </c>
      <c r="F523" t="s">
        <v>15</v>
      </c>
      <c r="G523" t="s">
        <v>16</v>
      </c>
      <c r="H523" t="s">
        <v>30</v>
      </c>
      <c r="I523">
        <v>8</v>
      </c>
      <c r="J523">
        <v>0.1</v>
      </c>
      <c r="K523">
        <v>41.71</v>
      </c>
      <c r="L523">
        <v>4.8600000000000003</v>
      </c>
    </row>
    <row r="524" spans="1:12" x14ac:dyDescent="0.25">
      <c r="A524" t="s">
        <v>571</v>
      </c>
      <c r="B524" s="1">
        <v>45331</v>
      </c>
      <c r="C524" s="1">
        <v>45333</v>
      </c>
      <c r="D524" t="s">
        <v>32</v>
      </c>
      <c r="E524" t="s">
        <v>45</v>
      </c>
      <c r="F524" t="s">
        <v>15</v>
      </c>
      <c r="G524" t="s">
        <v>16</v>
      </c>
      <c r="H524" t="s">
        <v>30</v>
      </c>
      <c r="I524">
        <v>7</v>
      </c>
      <c r="J524">
        <v>0</v>
      </c>
      <c r="K524">
        <v>36.56</v>
      </c>
      <c r="L524">
        <v>7.65</v>
      </c>
    </row>
    <row r="525" spans="1:12" x14ac:dyDescent="0.25">
      <c r="A525" t="s">
        <v>572</v>
      </c>
      <c r="B525" s="1">
        <v>45935</v>
      </c>
      <c r="C525" s="1">
        <v>45938</v>
      </c>
      <c r="D525" t="s">
        <v>23</v>
      </c>
      <c r="E525" t="s">
        <v>59</v>
      </c>
      <c r="F525" t="s">
        <v>15</v>
      </c>
      <c r="G525" t="s">
        <v>16</v>
      </c>
      <c r="H525" t="s">
        <v>65</v>
      </c>
      <c r="I525">
        <v>1</v>
      </c>
      <c r="J525">
        <v>0.25</v>
      </c>
      <c r="K525">
        <v>254.77</v>
      </c>
      <c r="L525">
        <v>6.8</v>
      </c>
    </row>
    <row r="526" spans="1:12" x14ac:dyDescent="0.25">
      <c r="A526" t="s">
        <v>573</v>
      </c>
      <c r="B526" s="1">
        <v>45941</v>
      </c>
      <c r="C526" s="1">
        <v>45944</v>
      </c>
      <c r="D526" t="s">
        <v>13</v>
      </c>
      <c r="E526" t="s">
        <v>36</v>
      </c>
      <c r="F526" t="s">
        <v>15</v>
      </c>
      <c r="G526" t="s">
        <v>26</v>
      </c>
      <c r="H526" t="s">
        <v>63</v>
      </c>
      <c r="I526">
        <v>7</v>
      </c>
      <c r="J526">
        <v>0</v>
      </c>
      <c r="K526">
        <v>93.6</v>
      </c>
      <c r="L526">
        <v>7.65</v>
      </c>
    </row>
    <row r="527" spans="1:12" x14ac:dyDescent="0.25">
      <c r="A527" t="s">
        <v>574</v>
      </c>
      <c r="B527" s="1">
        <v>45613</v>
      </c>
      <c r="C527" s="1">
        <v>45616</v>
      </c>
      <c r="D527" t="s">
        <v>23</v>
      </c>
      <c r="E527" t="s">
        <v>59</v>
      </c>
      <c r="F527" t="s">
        <v>15</v>
      </c>
      <c r="G527" t="s">
        <v>20</v>
      </c>
      <c r="H527" t="s">
        <v>68</v>
      </c>
      <c r="I527">
        <v>4</v>
      </c>
      <c r="J527">
        <v>0.05</v>
      </c>
      <c r="K527">
        <v>275.58999999999997</v>
      </c>
      <c r="L527">
        <v>5.7</v>
      </c>
    </row>
    <row r="528" spans="1:12" x14ac:dyDescent="0.25">
      <c r="A528" t="s">
        <v>575</v>
      </c>
      <c r="B528" s="1">
        <v>45764</v>
      </c>
      <c r="C528" s="1">
        <v>45770</v>
      </c>
      <c r="D528" t="s">
        <v>13</v>
      </c>
      <c r="E528" t="s">
        <v>19</v>
      </c>
      <c r="F528" t="s">
        <v>29</v>
      </c>
      <c r="G528" t="s">
        <v>20</v>
      </c>
      <c r="H528" t="s">
        <v>68</v>
      </c>
      <c r="I528">
        <v>1</v>
      </c>
      <c r="J528">
        <v>0</v>
      </c>
      <c r="K528">
        <v>52.5</v>
      </c>
      <c r="L528">
        <v>5.75</v>
      </c>
    </row>
    <row r="529" spans="1:12" x14ac:dyDescent="0.25">
      <c r="A529" t="s">
        <v>576</v>
      </c>
      <c r="B529" s="1">
        <v>45429</v>
      </c>
      <c r="C529" s="1">
        <v>45434</v>
      </c>
      <c r="D529" t="s">
        <v>13</v>
      </c>
      <c r="E529" t="s">
        <v>36</v>
      </c>
      <c r="F529" t="s">
        <v>15</v>
      </c>
      <c r="G529" t="s">
        <v>20</v>
      </c>
      <c r="H529" t="s">
        <v>17</v>
      </c>
      <c r="I529">
        <v>1</v>
      </c>
      <c r="J529">
        <v>0.1</v>
      </c>
      <c r="K529">
        <v>109.71</v>
      </c>
      <c r="L529">
        <v>5.75</v>
      </c>
    </row>
    <row r="530" spans="1:12" x14ac:dyDescent="0.25">
      <c r="A530" t="s">
        <v>577</v>
      </c>
      <c r="B530" s="1">
        <v>45894</v>
      </c>
      <c r="C530" s="1">
        <v>45896</v>
      </c>
      <c r="D530" t="s">
        <v>23</v>
      </c>
      <c r="E530" t="s">
        <v>43</v>
      </c>
      <c r="F530" t="s">
        <v>29</v>
      </c>
      <c r="G530" t="s">
        <v>16</v>
      </c>
      <c r="H530" t="s">
        <v>65</v>
      </c>
      <c r="I530">
        <v>3</v>
      </c>
      <c r="J530">
        <v>0</v>
      </c>
      <c r="K530">
        <v>803.39</v>
      </c>
      <c r="L530">
        <v>6.84</v>
      </c>
    </row>
    <row r="531" spans="1:12" x14ac:dyDescent="0.25">
      <c r="A531" t="s">
        <v>578</v>
      </c>
      <c r="B531" s="1">
        <v>45296</v>
      </c>
      <c r="C531" s="1">
        <v>45297</v>
      </c>
      <c r="D531" t="s">
        <v>47</v>
      </c>
      <c r="E531" t="s">
        <v>71</v>
      </c>
      <c r="F531" t="s">
        <v>29</v>
      </c>
      <c r="G531" t="s">
        <v>26</v>
      </c>
      <c r="H531" t="s">
        <v>60</v>
      </c>
      <c r="I531">
        <v>4</v>
      </c>
      <c r="J531">
        <v>0.15</v>
      </c>
      <c r="K531">
        <v>344.94</v>
      </c>
      <c r="L531">
        <v>9.5</v>
      </c>
    </row>
    <row r="532" spans="1:12" x14ac:dyDescent="0.25">
      <c r="A532" t="s">
        <v>579</v>
      </c>
      <c r="B532" s="1">
        <v>45713</v>
      </c>
      <c r="C532" s="1">
        <v>45718</v>
      </c>
      <c r="D532" t="s">
        <v>47</v>
      </c>
      <c r="E532" t="s">
        <v>48</v>
      </c>
      <c r="F532" t="s">
        <v>25</v>
      </c>
      <c r="G532" t="s">
        <v>16</v>
      </c>
      <c r="H532" t="s">
        <v>21</v>
      </c>
      <c r="I532">
        <v>4</v>
      </c>
      <c r="J532">
        <v>0</v>
      </c>
      <c r="K532">
        <v>405.52</v>
      </c>
      <c r="L532">
        <v>13.7</v>
      </c>
    </row>
    <row r="533" spans="1:12" x14ac:dyDescent="0.25">
      <c r="A533" t="s">
        <v>580</v>
      </c>
      <c r="B533" s="1">
        <v>45411</v>
      </c>
      <c r="C533" s="1">
        <v>45414</v>
      </c>
      <c r="D533" t="s">
        <v>47</v>
      </c>
      <c r="E533" t="s">
        <v>71</v>
      </c>
      <c r="F533" t="s">
        <v>25</v>
      </c>
      <c r="G533" t="s">
        <v>20</v>
      </c>
      <c r="H533" t="s">
        <v>60</v>
      </c>
      <c r="I533">
        <v>4</v>
      </c>
      <c r="J533">
        <v>0.05</v>
      </c>
      <c r="K533">
        <v>432.06</v>
      </c>
      <c r="L533">
        <v>9.5</v>
      </c>
    </row>
    <row r="534" spans="1:12" x14ac:dyDescent="0.25">
      <c r="A534" t="s">
        <v>581</v>
      </c>
      <c r="B534" s="1">
        <v>45965</v>
      </c>
      <c r="C534" s="1">
        <v>45967</v>
      </c>
      <c r="D534" t="s">
        <v>32</v>
      </c>
      <c r="E534" t="s">
        <v>62</v>
      </c>
      <c r="F534" t="s">
        <v>25</v>
      </c>
      <c r="G534" t="s">
        <v>20</v>
      </c>
      <c r="H534" t="s">
        <v>34</v>
      </c>
      <c r="I534">
        <v>3</v>
      </c>
      <c r="J534">
        <v>0</v>
      </c>
      <c r="K534">
        <v>841.1</v>
      </c>
      <c r="L534">
        <v>11.4</v>
      </c>
    </row>
    <row r="535" spans="1:12" x14ac:dyDescent="0.25">
      <c r="A535" t="s">
        <v>582</v>
      </c>
      <c r="B535" s="1">
        <v>45327</v>
      </c>
      <c r="C535" s="1">
        <v>45330</v>
      </c>
      <c r="D535" t="s">
        <v>13</v>
      </c>
      <c r="E535" t="s">
        <v>14</v>
      </c>
      <c r="F535" t="s">
        <v>29</v>
      </c>
      <c r="G535" t="s">
        <v>16</v>
      </c>
      <c r="H535" t="s">
        <v>34</v>
      </c>
      <c r="I535">
        <v>4</v>
      </c>
      <c r="J535">
        <v>0</v>
      </c>
      <c r="K535">
        <v>760.27</v>
      </c>
      <c r="L535">
        <v>13.7</v>
      </c>
    </row>
    <row r="536" spans="1:12" x14ac:dyDescent="0.25">
      <c r="A536" t="s">
        <v>583</v>
      </c>
      <c r="B536" s="1">
        <v>46018</v>
      </c>
      <c r="C536" s="1">
        <v>46021</v>
      </c>
      <c r="D536" t="s">
        <v>32</v>
      </c>
      <c r="E536" t="s">
        <v>62</v>
      </c>
      <c r="F536" t="s">
        <v>25</v>
      </c>
      <c r="G536" t="s">
        <v>26</v>
      </c>
      <c r="H536" t="s">
        <v>27</v>
      </c>
      <c r="I536">
        <v>3</v>
      </c>
      <c r="J536">
        <v>0</v>
      </c>
      <c r="K536">
        <v>123.57</v>
      </c>
      <c r="L536">
        <v>5.85</v>
      </c>
    </row>
    <row r="537" spans="1:12" x14ac:dyDescent="0.25">
      <c r="A537" t="s">
        <v>584</v>
      </c>
      <c r="B537" s="1">
        <v>45618</v>
      </c>
      <c r="C537" s="1">
        <v>45620</v>
      </c>
      <c r="D537" t="s">
        <v>47</v>
      </c>
      <c r="E537" t="s">
        <v>48</v>
      </c>
      <c r="F537" t="s">
        <v>25</v>
      </c>
      <c r="G537" t="s">
        <v>16</v>
      </c>
      <c r="H537" t="s">
        <v>87</v>
      </c>
      <c r="I537">
        <v>6</v>
      </c>
      <c r="J537">
        <v>0</v>
      </c>
      <c r="K537">
        <v>66.45</v>
      </c>
      <c r="L537">
        <v>4.32</v>
      </c>
    </row>
    <row r="538" spans="1:12" x14ac:dyDescent="0.25">
      <c r="A538" t="s">
        <v>585</v>
      </c>
      <c r="B538" s="1">
        <v>45833</v>
      </c>
      <c r="C538" s="1">
        <v>45838</v>
      </c>
      <c r="D538" t="s">
        <v>13</v>
      </c>
      <c r="E538" t="s">
        <v>14</v>
      </c>
      <c r="F538" t="s">
        <v>25</v>
      </c>
      <c r="G538" t="s">
        <v>20</v>
      </c>
      <c r="H538" t="s">
        <v>60</v>
      </c>
      <c r="I538">
        <v>2</v>
      </c>
      <c r="J538">
        <v>0</v>
      </c>
      <c r="K538">
        <v>228.88</v>
      </c>
      <c r="L538">
        <v>7</v>
      </c>
    </row>
    <row r="539" spans="1:12" x14ac:dyDescent="0.25">
      <c r="A539" t="s">
        <v>586</v>
      </c>
      <c r="B539" s="1">
        <v>45452</v>
      </c>
      <c r="C539" s="1">
        <v>45458</v>
      </c>
      <c r="D539" t="s">
        <v>32</v>
      </c>
      <c r="E539" t="s">
        <v>33</v>
      </c>
      <c r="F539" t="s">
        <v>25</v>
      </c>
      <c r="G539" t="s">
        <v>16</v>
      </c>
      <c r="H539" t="s">
        <v>30</v>
      </c>
      <c r="I539">
        <v>25</v>
      </c>
      <c r="J539">
        <v>0</v>
      </c>
      <c r="K539">
        <v>148.09</v>
      </c>
      <c r="L539">
        <v>9.4499999999999993</v>
      </c>
    </row>
    <row r="540" spans="1:12" x14ac:dyDescent="0.25">
      <c r="A540" t="s">
        <v>587</v>
      </c>
      <c r="B540" s="1">
        <v>45804</v>
      </c>
      <c r="C540" s="1">
        <v>45810</v>
      </c>
      <c r="D540" t="s">
        <v>13</v>
      </c>
      <c r="E540" t="s">
        <v>36</v>
      </c>
      <c r="F540" t="s">
        <v>15</v>
      </c>
      <c r="G540" t="s">
        <v>20</v>
      </c>
      <c r="H540" t="s">
        <v>34</v>
      </c>
      <c r="I540">
        <v>1</v>
      </c>
      <c r="J540">
        <v>0.05</v>
      </c>
      <c r="K540">
        <v>189.82</v>
      </c>
      <c r="L540">
        <v>4.08</v>
      </c>
    </row>
    <row r="541" spans="1:12" x14ac:dyDescent="0.25">
      <c r="A541" t="s">
        <v>588</v>
      </c>
      <c r="B541" s="1">
        <v>45495</v>
      </c>
      <c r="C541" s="1">
        <v>45498</v>
      </c>
      <c r="D541" t="s">
        <v>32</v>
      </c>
      <c r="E541" t="s">
        <v>33</v>
      </c>
      <c r="F541" t="s">
        <v>15</v>
      </c>
      <c r="G541" t="s">
        <v>20</v>
      </c>
      <c r="H541" t="s">
        <v>27</v>
      </c>
      <c r="I541">
        <v>12</v>
      </c>
      <c r="J541">
        <v>0</v>
      </c>
      <c r="K541">
        <v>302.02999999999997</v>
      </c>
      <c r="L541">
        <v>5.94</v>
      </c>
    </row>
    <row r="542" spans="1:12" x14ac:dyDescent="0.25">
      <c r="A542" t="s">
        <v>589</v>
      </c>
      <c r="B542" s="1">
        <v>45814</v>
      </c>
      <c r="C542" s="1">
        <v>45816</v>
      </c>
      <c r="D542" t="s">
        <v>47</v>
      </c>
      <c r="E542" t="s">
        <v>71</v>
      </c>
      <c r="F542" t="s">
        <v>29</v>
      </c>
      <c r="G542" t="s">
        <v>20</v>
      </c>
      <c r="H542" t="s">
        <v>60</v>
      </c>
      <c r="I542">
        <v>1</v>
      </c>
      <c r="J542">
        <v>0.2</v>
      </c>
      <c r="K542">
        <v>88.53</v>
      </c>
      <c r="L542">
        <v>5.75</v>
      </c>
    </row>
    <row r="543" spans="1:12" x14ac:dyDescent="0.25">
      <c r="A543" t="s">
        <v>590</v>
      </c>
      <c r="B543" s="1">
        <v>45338</v>
      </c>
      <c r="C543" s="1">
        <v>45340</v>
      </c>
      <c r="D543" t="s">
        <v>47</v>
      </c>
      <c r="E543" t="s">
        <v>71</v>
      </c>
      <c r="F543" t="s">
        <v>15</v>
      </c>
      <c r="G543" t="s">
        <v>26</v>
      </c>
      <c r="H543" t="s">
        <v>21</v>
      </c>
      <c r="I543">
        <v>3</v>
      </c>
      <c r="J543">
        <v>0</v>
      </c>
      <c r="K543">
        <v>309.01</v>
      </c>
      <c r="L543">
        <v>11.4</v>
      </c>
    </row>
    <row r="544" spans="1:12" x14ac:dyDescent="0.25">
      <c r="A544" t="s">
        <v>591</v>
      </c>
      <c r="B544" s="1">
        <v>46005</v>
      </c>
      <c r="C544" s="1">
        <v>46011</v>
      </c>
      <c r="D544" t="s">
        <v>32</v>
      </c>
      <c r="E544" t="s">
        <v>62</v>
      </c>
      <c r="F544" t="s">
        <v>15</v>
      </c>
      <c r="G544" t="s">
        <v>20</v>
      </c>
      <c r="H544" t="s">
        <v>27</v>
      </c>
      <c r="I544">
        <v>13</v>
      </c>
      <c r="J544">
        <v>0</v>
      </c>
      <c r="K544">
        <v>524.66999999999996</v>
      </c>
      <c r="L544">
        <v>10.35</v>
      </c>
    </row>
    <row r="545" spans="1:12" x14ac:dyDescent="0.25">
      <c r="A545" t="s">
        <v>592</v>
      </c>
      <c r="B545" s="1">
        <v>45874</v>
      </c>
      <c r="C545" s="1">
        <v>45875</v>
      </c>
      <c r="D545" t="s">
        <v>32</v>
      </c>
      <c r="E545" t="s">
        <v>33</v>
      </c>
      <c r="F545" t="s">
        <v>25</v>
      </c>
      <c r="G545" t="s">
        <v>16</v>
      </c>
      <c r="H545" t="s">
        <v>65</v>
      </c>
      <c r="I545">
        <v>2</v>
      </c>
      <c r="J545">
        <v>0.2</v>
      </c>
      <c r="K545">
        <v>435.09</v>
      </c>
      <c r="L545">
        <v>5.46</v>
      </c>
    </row>
    <row r="546" spans="1:12" x14ac:dyDescent="0.25">
      <c r="A546" t="s">
        <v>593</v>
      </c>
      <c r="B546" s="1">
        <v>45765</v>
      </c>
      <c r="C546" s="1">
        <v>45770</v>
      </c>
      <c r="D546" t="s">
        <v>13</v>
      </c>
      <c r="E546" t="s">
        <v>36</v>
      </c>
      <c r="F546" t="s">
        <v>25</v>
      </c>
      <c r="G546" t="s">
        <v>20</v>
      </c>
      <c r="H546" t="s">
        <v>21</v>
      </c>
      <c r="I546">
        <v>1</v>
      </c>
      <c r="J546">
        <v>0</v>
      </c>
      <c r="K546">
        <v>105.73</v>
      </c>
      <c r="L546">
        <v>6.8</v>
      </c>
    </row>
    <row r="547" spans="1:12" x14ac:dyDescent="0.25">
      <c r="A547" t="s">
        <v>594</v>
      </c>
      <c r="B547" s="1">
        <v>45330</v>
      </c>
      <c r="C547" s="1">
        <v>45335</v>
      </c>
      <c r="D547" t="s">
        <v>47</v>
      </c>
      <c r="E547" t="s">
        <v>71</v>
      </c>
      <c r="F547" t="s">
        <v>29</v>
      </c>
      <c r="G547" t="s">
        <v>16</v>
      </c>
      <c r="H547" t="s">
        <v>39</v>
      </c>
      <c r="I547">
        <v>7</v>
      </c>
      <c r="J547">
        <v>0</v>
      </c>
      <c r="K547">
        <v>1258.05</v>
      </c>
      <c r="L547">
        <v>7.95</v>
      </c>
    </row>
    <row r="548" spans="1:12" x14ac:dyDescent="0.25">
      <c r="A548" t="s">
        <v>595</v>
      </c>
      <c r="B548" s="1">
        <v>45324</v>
      </c>
      <c r="C548" s="1">
        <v>45329</v>
      </c>
      <c r="D548" t="s">
        <v>13</v>
      </c>
      <c r="E548" t="s">
        <v>19</v>
      </c>
      <c r="F548" t="s">
        <v>29</v>
      </c>
      <c r="G548" t="s">
        <v>26</v>
      </c>
      <c r="H548" t="s">
        <v>27</v>
      </c>
      <c r="I548">
        <v>8</v>
      </c>
      <c r="J548">
        <v>0</v>
      </c>
      <c r="K548">
        <v>206.57</v>
      </c>
      <c r="L548">
        <v>4.8600000000000003</v>
      </c>
    </row>
    <row r="549" spans="1:12" x14ac:dyDescent="0.25">
      <c r="A549" t="s">
        <v>596</v>
      </c>
      <c r="B549" s="1">
        <v>45725</v>
      </c>
      <c r="C549" s="1">
        <v>45729</v>
      </c>
      <c r="D549" t="s">
        <v>47</v>
      </c>
      <c r="E549" t="s">
        <v>48</v>
      </c>
      <c r="F549" t="s">
        <v>29</v>
      </c>
      <c r="G549" t="s">
        <v>26</v>
      </c>
      <c r="H549" t="s">
        <v>21</v>
      </c>
      <c r="I549">
        <v>2</v>
      </c>
      <c r="J549">
        <v>0</v>
      </c>
      <c r="K549">
        <v>215.61</v>
      </c>
      <c r="L549">
        <v>5.46</v>
      </c>
    </row>
    <row r="550" spans="1:12" x14ac:dyDescent="0.25">
      <c r="A550" t="s">
        <v>597</v>
      </c>
      <c r="B550" s="1">
        <v>45902</v>
      </c>
      <c r="C550" s="1">
        <v>45908</v>
      </c>
      <c r="D550" t="s">
        <v>23</v>
      </c>
      <c r="E550" t="s">
        <v>59</v>
      </c>
      <c r="F550" t="s">
        <v>29</v>
      </c>
      <c r="G550" t="s">
        <v>20</v>
      </c>
      <c r="H550" t="s">
        <v>17</v>
      </c>
      <c r="I550">
        <v>3</v>
      </c>
      <c r="J550">
        <v>0</v>
      </c>
      <c r="K550">
        <v>416.96</v>
      </c>
      <c r="L550">
        <v>4.95</v>
      </c>
    </row>
    <row r="551" spans="1:12" x14ac:dyDescent="0.25">
      <c r="A551" t="s">
        <v>598</v>
      </c>
      <c r="B551" s="1">
        <v>45660</v>
      </c>
      <c r="C551" s="1">
        <v>45661</v>
      </c>
      <c r="D551" t="s">
        <v>32</v>
      </c>
      <c r="E551" t="s">
        <v>45</v>
      </c>
      <c r="F551" t="s">
        <v>29</v>
      </c>
      <c r="G551" t="s">
        <v>16</v>
      </c>
      <c r="H551" t="s">
        <v>87</v>
      </c>
      <c r="I551">
        <v>3</v>
      </c>
      <c r="J551">
        <v>0</v>
      </c>
      <c r="K551">
        <v>21.32</v>
      </c>
      <c r="L551">
        <v>3.51</v>
      </c>
    </row>
    <row r="552" spans="1:12" x14ac:dyDescent="0.25">
      <c r="A552" t="s">
        <v>599</v>
      </c>
      <c r="B552" s="1">
        <v>45331</v>
      </c>
      <c r="C552" s="1">
        <v>45334</v>
      </c>
      <c r="D552" t="s">
        <v>32</v>
      </c>
      <c r="E552" t="s">
        <v>62</v>
      </c>
      <c r="F552" t="s">
        <v>15</v>
      </c>
      <c r="G552" t="s">
        <v>26</v>
      </c>
      <c r="H552" t="s">
        <v>34</v>
      </c>
      <c r="I552">
        <v>1</v>
      </c>
      <c r="J552">
        <v>0.1</v>
      </c>
      <c r="K552">
        <v>174.78</v>
      </c>
      <c r="L552">
        <v>6.8</v>
      </c>
    </row>
    <row r="553" spans="1:12" x14ac:dyDescent="0.25">
      <c r="A553" t="s">
        <v>600</v>
      </c>
      <c r="B553" s="1">
        <v>45501</v>
      </c>
      <c r="C553" s="1">
        <v>45502</v>
      </c>
      <c r="D553" t="s">
        <v>23</v>
      </c>
      <c r="E553" t="s">
        <v>59</v>
      </c>
      <c r="F553" t="s">
        <v>15</v>
      </c>
      <c r="G553" t="s">
        <v>26</v>
      </c>
      <c r="H553" t="s">
        <v>63</v>
      </c>
      <c r="I553">
        <v>9</v>
      </c>
      <c r="J553">
        <v>0</v>
      </c>
      <c r="K553">
        <v>97.93</v>
      </c>
      <c r="L553">
        <v>5.13</v>
      </c>
    </row>
    <row r="554" spans="1:12" x14ac:dyDescent="0.25">
      <c r="A554" t="s">
        <v>601</v>
      </c>
      <c r="B554" s="1">
        <v>45516</v>
      </c>
      <c r="C554" s="1">
        <v>45517</v>
      </c>
      <c r="D554" t="s">
        <v>32</v>
      </c>
      <c r="E554" t="s">
        <v>45</v>
      </c>
      <c r="F554" t="s">
        <v>29</v>
      </c>
      <c r="G554" t="s">
        <v>16</v>
      </c>
      <c r="H554" t="s">
        <v>53</v>
      </c>
      <c r="I554">
        <v>4</v>
      </c>
      <c r="J554">
        <v>0.05</v>
      </c>
      <c r="K554">
        <v>205.91</v>
      </c>
      <c r="L554">
        <v>5.7</v>
      </c>
    </row>
    <row r="555" spans="1:12" x14ac:dyDescent="0.25">
      <c r="A555" t="s">
        <v>602</v>
      </c>
      <c r="B555" s="1">
        <v>45420</v>
      </c>
      <c r="C555" s="1">
        <v>45422</v>
      </c>
      <c r="D555" t="s">
        <v>13</v>
      </c>
      <c r="E555" t="s">
        <v>19</v>
      </c>
      <c r="F555" t="s">
        <v>25</v>
      </c>
      <c r="G555" t="s">
        <v>20</v>
      </c>
      <c r="H555" t="s">
        <v>34</v>
      </c>
      <c r="I555">
        <v>2</v>
      </c>
      <c r="J555">
        <v>0.2</v>
      </c>
      <c r="K555">
        <v>319.62</v>
      </c>
      <c r="L555">
        <v>5.46</v>
      </c>
    </row>
    <row r="556" spans="1:12" x14ac:dyDescent="0.25">
      <c r="A556" t="s">
        <v>603</v>
      </c>
      <c r="B556" s="1">
        <v>45787</v>
      </c>
      <c r="C556" s="1">
        <v>45788</v>
      </c>
      <c r="D556" t="s">
        <v>32</v>
      </c>
      <c r="E556" t="s">
        <v>33</v>
      </c>
      <c r="F556" t="s">
        <v>29</v>
      </c>
      <c r="G556" t="s">
        <v>26</v>
      </c>
      <c r="H556" t="s">
        <v>51</v>
      </c>
      <c r="I556">
        <v>10</v>
      </c>
      <c r="J556">
        <v>0</v>
      </c>
      <c r="K556">
        <v>154.19</v>
      </c>
      <c r="L556">
        <v>9</v>
      </c>
    </row>
    <row r="557" spans="1:12" x14ac:dyDescent="0.25">
      <c r="A557" t="s">
        <v>604</v>
      </c>
      <c r="B557" s="1">
        <v>45893</v>
      </c>
      <c r="C557" s="1">
        <v>45894</v>
      </c>
      <c r="D557" t="s">
        <v>23</v>
      </c>
      <c r="E557" t="s">
        <v>43</v>
      </c>
      <c r="F557" t="s">
        <v>15</v>
      </c>
      <c r="G557" t="s">
        <v>26</v>
      </c>
      <c r="H557" t="s">
        <v>39</v>
      </c>
      <c r="I557">
        <v>4</v>
      </c>
      <c r="J557">
        <v>0</v>
      </c>
      <c r="K557">
        <v>771.96</v>
      </c>
      <c r="L557">
        <v>9.5</v>
      </c>
    </row>
    <row r="558" spans="1:12" x14ac:dyDescent="0.25">
      <c r="A558" t="s">
        <v>605</v>
      </c>
      <c r="B558" s="1">
        <v>45625</v>
      </c>
      <c r="C558" s="1">
        <v>45630</v>
      </c>
      <c r="D558" t="s">
        <v>32</v>
      </c>
      <c r="E558" t="s">
        <v>45</v>
      </c>
      <c r="F558" t="s">
        <v>25</v>
      </c>
      <c r="G558" t="s">
        <v>26</v>
      </c>
      <c r="H558" t="s">
        <v>21</v>
      </c>
      <c r="I558">
        <v>1</v>
      </c>
      <c r="J558">
        <v>0</v>
      </c>
      <c r="K558">
        <v>146.26</v>
      </c>
      <c r="L558">
        <v>4.08</v>
      </c>
    </row>
    <row r="559" spans="1:12" x14ac:dyDescent="0.25">
      <c r="A559" t="s">
        <v>606</v>
      </c>
      <c r="B559" s="1">
        <v>45995</v>
      </c>
      <c r="C559" s="1">
        <v>45997</v>
      </c>
      <c r="D559" t="s">
        <v>32</v>
      </c>
      <c r="E559" t="s">
        <v>62</v>
      </c>
      <c r="F559" t="s">
        <v>29</v>
      </c>
      <c r="G559" t="s">
        <v>26</v>
      </c>
      <c r="H559" t="s">
        <v>27</v>
      </c>
      <c r="I559">
        <v>7</v>
      </c>
      <c r="J559">
        <v>0.1</v>
      </c>
      <c r="K559">
        <v>248.1</v>
      </c>
      <c r="L559">
        <v>4.59</v>
      </c>
    </row>
    <row r="560" spans="1:12" x14ac:dyDescent="0.25">
      <c r="A560" t="s">
        <v>607</v>
      </c>
      <c r="B560" s="1">
        <v>45755</v>
      </c>
      <c r="C560" s="1">
        <v>45756</v>
      </c>
      <c r="D560" t="s">
        <v>23</v>
      </c>
      <c r="E560" t="s">
        <v>24</v>
      </c>
      <c r="F560" t="s">
        <v>15</v>
      </c>
      <c r="G560" t="s">
        <v>26</v>
      </c>
      <c r="H560" t="s">
        <v>63</v>
      </c>
      <c r="I560">
        <v>11</v>
      </c>
      <c r="J560">
        <v>0</v>
      </c>
      <c r="K560">
        <v>129.01</v>
      </c>
      <c r="L560">
        <v>5.67</v>
      </c>
    </row>
    <row r="561" spans="1:12" x14ac:dyDescent="0.25">
      <c r="A561" t="s">
        <v>608</v>
      </c>
      <c r="B561" s="1">
        <v>45819</v>
      </c>
      <c r="C561" s="1">
        <v>45824</v>
      </c>
      <c r="D561" t="s">
        <v>32</v>
      </c>
      <c r="E561" t="s">
        <v>45</v>
      </c>
      <c r="F561" t="s">
        <v>25</v>
      </c>
      <c r="G561" t="s">
        <v>26</v>
      </c>
      <c r="H561" t="s">
        <v>87</v>
      </c>
      <c r="I561">
        <v>6</v>
      </c>
      <c r="J561">
        <v>0</v>
      </c>
      <c r="K561">
        <v>50.85</v>
      </c>
      <c r="L561">
        <v>4.32</v>
      </c>
    </row>
    <row r="562" spans="1:12" x14ac:dyDescent="0.25">
      <c r="A562" t="s">
        <v>609</v>
      </c>
      <c r="B562" s="1">
        <v>45705</v>
      </c>
      <c r="C562" s="1">
        <v>45708</v>
      </c>
      <c r="D562" t="s">
        <v>32</v>
      </c>
      <c r="E562" t="s">
        <v>33</v>
      </c>
      <c r="F562" t="s">
        <v>25</v>
      </c>
      <c r="G562" t="s">
        <v>26</v>
      </c>
      <c r="H562" t="s">
        <v>68</v>
      </c>
      <c r="I562">
        <v>7</v>
      </c>
      <c r="J562">
        <v>0.05</v>
      </c>
      <c r="K562">
        <v>290.55</v>
      </c>
      <c r="L562">
        <v>7.95</v>
      </c>
    </row>
    <row r="563" spans="1:12" x14ac:dyDescent="0.25">
      <c r="A563" t="s">
        <v>610</v>
      </c>
      <c r="B563" s="1">
        <v>45452</v>
      </c>
      <c r="C563" s="1">
        <v>45456</v>
      </c>
      <c r="D563" t="s">
        <v>47</v>
      </c>
      <c r="E563" t="s">
        <v>48</v>
      </c>
      <c r="F563" t="s">
        <v>25</v>
      </c>
      <c r="G563" t="s">
        <v>26</v>
      </c>
      <c r="H563" t="s">
        <v>65</v>
      </c>
      <c r="I563">
        <v>4</v>
      </c>
      <c r="J563">
        <v>0.15</v>
      </c>
      <c r="K563">
        <v>976.8</v>
      </c>
      <c r="L563">
        <v>13.7</v>
      </c>
    </row>
    <row r="564" spans="1:12" x14ac:dyDescent="0.25">
      <c r="A564" t="s">
        <v>611</v>
      </c>
      <c r="B564" s="1">
        <v>45961</v>
      </c>
      <c r="C564" s="1">
        <v>45962</v>
      </c>
      <c r="D564" t="s">
        <v>13</v>
      </c>
      <c r="E564" t="s">
        <v>19</v>
      </c>
      <c r="F564" t="s">
        <v>15</v>
      </c>
      <c r="G564" t="s">
        <v>26</v>
      </c>
      <c r="H564" t="s">
        <v>17</v>
      </c>
      <c r="I564">
        <v>5</v>
      </c>
      <c r="J564">
        <v>0</v>
      </c>
      <c r="K564">
        <v>727.7</v>
      </c>
      <c r="L564">
        <v>10.75</v>
      </c>
    </row>
    <row r="565" spans="1:12" x14ac:dyDescent="0.25">
      <c r="A565" t="s">
        <v>612</v>
      </c>
      <c r="B565" s="1">
        <v>45732</v>
      </c>
      <c r="C565" s="1">
        <v>45737</v>
      </c>
      <c r="D565" t="s">
        <v>47</v>
      </c>
      <c r="E565" t="s">
        <v>50</v>
      </c>
      <c r="F565" t="s">
        <v>29</v>
      </c>
      <c r="G565" t="s">
        <v>16</v>
      </c>
      <c r="H565" t="s">
        <v>17</v>
      </c>
      <c r="I565">
        <v>2</v>
      </c>
      <c r="J565">
        <v>0</v>
      </c>
      <c r="K565">
        <v>230.59</v>
      </c>
      <c r="L565">
        <v>4.2</v>
      </c>
    </row>
    <row r="566" spans="1:12" x14ac:dyDescent="0.25">
      <c r="A566" t="s">
        <v>613</v>
      </c>
      <c r="B566" s="1">
        <v>45993</v>
      </c>
      <c r="C566" s="1">
        <v>45997</v>
      </c>
      <c r="D566" t="s">
        <v>47</v>
      </c>
      <c r="E566" t="s">
        <v>48</v>
      </c>
      <c r="F566" t="s">
        <v>29</v>
      </c>
      <c r="G566" t="s">
        <v>20</v>
      </c>
      <c r="H566" t="s">
        <v>51</v>
      </c>
      <c r="I566">
        <v>13</v>
      </c>
      <c r="J566">
        <v>0</v>
      </c>
      <c r="K566">
        <v>272.36</v>
      </c>
      <c r="L566">
        <v>6.21</v>
      </c>
    </row>
    <row r="567" spans="1:12" x14ac:dyDescent="0.25">
      <c r="A567" t="s">
        <v>614</v>
      </c>
      <c r="B567" s="1">
        <v>45857</v>
      </c>
      <c r="C567" s="1">
        <v>45860</v>
      </c>
      <c r="D567" t="s">
        <v>32</v>
      </c>
      <c r="E567" t="s">
        <v>33</v>
      </c>
      <c r="F567" t="s">
        <v>29</v>
      </c>
      <c r="G567" t="s">
        <v>20</v>
      </c>
      <c r="H567" t="s">
        <v>30</v>
      </c>
      <c r="I567">
        <v>5</v>
      </c>
      <c r="J567">
        <v>0</v>
      </c>
      <c r="K567">
        <v>26.64</v>
      </c>
      <c r="L567">
        <v>6.75</v>
      </c>
    </row>
    <row r="568" spans="1:12" x14ac:dyDescent="0.25">
      <c r="A568" t="s">
        <v>615</v>
      </c>
      <c r="B568" s="1">
        <v>45587</v>
      </c>
      <c r="C568" s="1">
        <v>45593</v>
      </c>
      <c r="D568" t="s">
        <v>32</v>
      </c>
      <c r="E568" t="s">
        <v>45</v>
      </c>
      <c r="F568" t="s">
        <v>25</v>
      </c>
      <c r="G568" t="s">
        <v>20</v>
      </c>
      <c r="H568" t="s">
        <v>27</v>
      </c>
      <c r="I568">
        <v>8</v>
      </c>
      <c r="J568">
        <v>0</v>
      </c>
      <c r="K568">
        <v>269</v>
      </c>
      <c r="L568">
        <v>8.1</v>
      </c>
    </row>
    <row r="569" spans="1:12" x14ac:dyDescent="0.25">
      <c r="A569" t="s">
        <v>616</v>
      </c>
      <c r="B569" s="1">
        <v>45517</v>
      </c>
      <c r="C569" s="1">
        <v>45520</v>
      </c>
      <c r="D569" t="s">
        <v>13</v>
      </c>
      <c r="E569" t="s">
        <v>19</v>
      </c>
      <c r="F569" t="s">
        <v>15</v>
      </c>
      <c r="G569" t="s">
        <v>26</v>
      </c>
      <c r="H569" t="s">
        <v>39</v>
      </c>
      <c r="I569">
        <v>1</v>
      </c>
      <c r="J569">
        <v>0.15</v>
      </c>
      <c r="K569">
        <v>158.19</v>
      </c>
      <c r="L569">
        <v>3.45</v>
      </c>
    </row>
    <row r="570" spans="1:12" x14ac:dyDescent="0.25">
      <c r="A570" t="s">
        <v>617</v>
      </c>
      <c r="B570" s="1">
        <v>45831</v>
      </c>
      <c r="C570" s="1">
        <v>45834</v>
      </c>
      <c r="D570" t="s">
        <v>13</v>
      </c>
      <c r="E570" t="s">
        <v>36</v>
      </c>
      <c r="F570" t="s">
        <v>29</v>
      </c>
      <c r="G570" t="s">
        <v>26</v>
      </c>
      <c r="H570" t="s">
        <v>63</v>
      </c>
      <c r="I570">
        <v>10</v>
      </c>
      <c r="J570">
        <v>0.25</v>
      </c>
      <c r="K570">
        <v>100.11</v>
      </c>
      <c r="L570">
        <v>9</v>
      </c>
    </row>
    <row r="571" spans="1:12" x14ac:dyDescent="0.25">
      <c r="A571" t="s">
        <v>618</v>
      </c>
      <c r="B571" s="1">
        <v>45500</v>
      </c>
      <c r="C571" s="1">
        <v>45506</v>
      </c>
      <c r="D571" t="s">
        <v>23</v>
      </c>
      <c r="E571" t="s">
        <v>24</v>
      </c>
      <c r="F571" t="s">
        <v>29</v>
      </c>
      <c r="G571" t="s">
        <v>20</v>
      </c>
      <c r="H571" t="s">
        <v>34</v>
      </c>
      <c r="I571">
        <v>1</v>
      </c>
      <c r="J571">
        <v>0.15</v>
      </c>
      <c r="K571">
        <v>158.94</v>
      </c>
      <c r="L571">
        <v>4.08</v>
      </c>
    </row>
    <row r="572" spans="1:12" x14ac:dyDescent="0.25">
      <c r="A572" t="s">
        <v>619</v>
      </c>
      <c r="B572" s="1">
        <v>45804</v>
      </c>
      <c r="C572" s="1">
        <v>45806</v>
      </c>
      <c r="D572" t="s">
        <v>13</v>
      </c>
      <c r="E572" t="s">
        <v>36</v>
      </c>
      <c r="F572" t="s">
        <v>25</v>
      </c>
      <c r="G572" t="s">
        <v>20</v>
      </c>
      <c r="H572" t="s">
        <v>63</v>
      </c>
      <c r="I572">
        <v>14</v>
      </c>
      <c r="J572">
        <v>0.15</v>
      </c>
      <c r="K572">
        <v>151.26</v>
      </c>
      <c r="L572">
        <v>10.8</v>
      </c>
    </row>
    <row r="573" spans="1:12" x14ac:dyDescent="0.25">
      <c r="A573" t="s">
        <v>620</v>
      </c>
      <c r="B573" s="1">
        <v>46009</v>
      </c>
      <c r="C573" s="1">
        <v>46010</v>
      </c>
      <c r="D573" t="s">
        <v>32</v>
      </c>
      <c r="E573" t="s">
        <v>45</v>
      </c>
      <c r="F573" t="s">
        <v>15</v>
      </c>
      <c r="G573" t="s">
        <v>26</v>
      </c>
      <c r="H573" t="s">
        <v>34</v>
      </c>
      <c r="I573">
        <v>2</v>
      </c>
      <c r="J573">
        <v>0</v>
      </c>
      <c r="K573">
        <v>580.1</v>
      </c>
      <c r="L573">
        <v>5.46</v>
      </c>
    </row>
    <row r="574" spans="1:12" x14ac:dyDescent="0.25">
      <c r="A574" t="s">
        <v>621</v>
      </c>
      <c r="B574" s="1">
        <v>45328</v>
      </c>
      <c r="C574" s="1">
        <v>45331</v>
      </c>
      <c r="D574" t="s">
        <v>47</v>
      </c>
      <c r="E574" t="s">
        <v>48</v>
      </c>
      <c r="F574" t="s">
        <v>25</v>
      </c>
      <c r="G574" t="s">
        <v>26</v>
      </c>
      <c r="H574" t="s">
        <v>37</v>
      </c>
      <c r="I574">
        <v>1</v>
      </c>
      <c r="J574">
        <v>0</v>
      </c>
      <c r="K574">
        <v>95.14</v>
      </c>
      <c r="L574">
        <v>6.8</v>
      </c>
    </row>
    <row r="575" spans="1:12" x14ac:dyDescent="0.25">
      <c r="A575" t="s">
        <v>622</v>
      </c>
      <c r="B575" s="1">
        <v>46006</v>
      </c>
      <c r="C575" s="1">
        <v>46010</v>
      </c>
      <c r="D575" t="s">
        <v>13</v>
      </c>
      <c r="E575" t="s">
        <v>36</v>
      </c>
      <c r="F575" t="s">
        <v>15</v>
      </c>
      <c r="G575" t="s">
        <v>16</v>
      </c>
      <c r="H575" t="s">
        <v>68</v>
      </c>
      <c r="I575">
        <v>2</v>
      </c>
      <c r="J575">
        <v>0</v>
      </c>
      <c r="K575">
        <v>154.46</v>
      </c>
      <c r="L575">
        <v>7</v>
      </c>
    </row>
    <row r="576" spans="1:12" x14ac:dyDescent="0.25">
      <c r="A576" t="s">
        <v>623</v>
      </c>
      <c r="B576" s="1">
        <v>45550</v>
      </c>
      <c r="C576" s="1">
        <v>45555</v>
      </c>
      <c r="D576" t="s">
        <v>13</v>
      </c>
      <c r="E576" t="s">
        <v>14</v>
      </c>
      <c r="F576" t="s">
        <v>25</v>
      </c>
      <c r="G576" t="s">
        <v>16</v>
      </c>
      <c r="H576" t="s">
        <v>53</v>
      </c>
      <c r="I576">
        <v>7</v>
      </c>
      <c r="J576">
        <v>0.25</v>
      </c>
      <c r="K576">
        <v>321.29000000000002</v>
      </c>
      <c r="L576">
        <v>7.95</v>
      </c>
    </row>
    <row r="577" spans="1:12" x14ac:dyDescent="0.25">
      <c r="A577" t="s">
        <v>624</v>
      </c>
      <c r="B577" s="1">
        <v>45602</v>
      </c>
      <c r="C577" s="1">
        <v>45607</v>
      </c>
      <c r="D577" t="s">
        <v>13</v>
      </c>
      <c r="E577" t="s">
        <v>14</v>
      </c>
      <c r="F577" t="s">
        <v>29</v>
      </c>
      <c r="G577" t="s">
        <v>20</v>
      </c>
      <c r="H577" t="s">
        <v>63</v>
      </c>
      <c r="I577">
        <v>13</v>
      </c>
      <c r="J577">
        <v>0.05</v>
      </c>
      <c r="K577">
        <v>191.19</v>
      </c>
      <c r="L577">
        <v>6.21</v>
      </c>
    </row>
    <row r="578" spans="1:12" x14ac:dyDescent="0.25">
      <c r="A578" t="s">
        <v>625</v>
      </c>
      <c r="B578" s="1">
        <v>45730</v>
      </c>
      <c r="C578" s="1">
        <v>45734</v>
      </c>
      <c r="D578" t="s">
        <v>32</v>
      </c>
      <c r="E578" t="s">
        <v>33</v>
      </c>
      <c r="F578" t="s">
        <v>29</v>
      </c>
      <c r="G578" t="s">
        <v>20</v>
      </c>
      <c r="H578" t="s">
        <v>41</v>
      </c>
      <c r="I578">
        <v>5</v>
      </c>
      <c r="J578">
        <v>0</v>
      </c>
      <c r="K578">
        <v>29.57</v>
      </c>
      <c r="L578">
        <v>6.75</v>
      </c>
    </row>
    <row r="579" spans="1:12" x14ac:dyDescent="0.25">
      <c r="A579" t="s">
        <v>626</v>
      </c>
      <c r="B579" s="1">
        <v>45922</v>
      </c>
      <c r="C579" s="1">
        <v>45926</v>
      </c>
      <c r="D579" t="s">
        <v>32</v>
      </c>
      <c r="E579" t="s">
        <v>45</v>
      </c>
      <c r="F579" t="s">
        <v>15</v>
      </c>
      <c r="G579" t="s">
        <v>16</v>
      </c>
      <c r="H579" t="s">
        <v>53</v>
      </c>
      <c r="I579">
        <v>3</v>
      </c>
      <c r="J579">
        <v>0</v>
      </c>
      <c r="K579">
        <v>183.09</v>
      </c>
      <c r="L579">
        <v>8.25</v>
      </c>
    </row>
    <row r="580" spans="1:12" x14ac:dyDescent="0.25">
      <c r="A580" t="s">
        <v>627</v>
      </c>
      <c r="B580" s="1">
        <v>45713</v>
      </c>
      <c r="C580" s="1">
        <v>45717</v>
      </c>
      <c r="D580" t="s">
        <v>13</v>
      </c>
      <c r="E580" t="s">
        <v>36</v>
      </c>
      <c r="F580" t="s">
        <v>25</v>
      </c>
      <c r="G580" t="s">
        <v>26</v>
      </c>
      <c r="H580" t="s">
        <v>87</v>
      </c>
      <c r="I580">
        <v>13</v>
      </c>
      <c r="J580">
        <v>0</v>
      </c>
      <c r="K580">
        <v>91.92</v>
      </c>
      <c r="L580">
        <v>6.21</v>
      </c>
    </row>
    <row r="581" spans="1:12" x14ac:dyDescent="0.25">
      <c r="A581" t="s">
        <v>628</v>
      </c>
      <c r="B581" s="1">
        <v>45711</v>
      </c>
      <c r="C581" s="1">
        <v>45714</v>
      </c>
      <c r="D581" t="s">
        <v>32</v>
      </c>
      <c r="E581" t="s">
        <v>45</v>
      </c>
      <c r="F581" t="s">
        <v>25</v>
      </c>
      <c r="G581" t="s">
        <v>26</v>
      </c>
      <c r="H581" t="s">
        <v>21</v>
      </c>
      <c r="I581">
        <v>3</v>
      </c>
      <c r="J581">
        <v>0</v>
      </c>
      <c r="K581">
        <v>317.26</v>
      </c>
      <c r="L581">
        <v>11.4</v>
      </c>
    </row>
    <row r="582" spans="1:12" x14ac:dyDescent="0.25">
      <c r="A582" t="s">
        <v>629</v>
      </c>
      <c r="B582" s="1">
        <v>45922</v>
      </c>
      <c r="C582" s="1">
        <v>45925</v>
      </c>
      <c r="D582" t="s">
        <v>47</v>
      </c>
      <c r="E582" t="s">
        <v>48</v>
      </c>
      <c r="F582" t="s">
        <v>15</v>
      </c>
      <c r="G582" t="s">
        <v>26</v>
      </c>
      <c r="H582" t="s">
        <v>37</v>
      </c>
      <c r="I582">
        <v>2</v>
      </c>
      <c r="J582">
        <v>0</v>
      </c>
      <c r="K582">
        <v>235.73</v>
      </c>
      <c r="L582">
        <v>5.46</v>
      </c>
    </row>
    <row r="583" spans="1:12" x14ac:dyDescent="0.25">
      <c r="A583" t="s">
        <v>630</v>
      </c>
      <c r="B583" s="1">
        <v>45839</v>
      </c>
      <c r="C583" s="1">
        <v>45845</v>
      </c>
      <c r="D583" t="s">
        <v>23</v>
      </c>
      <c r="E583" t="s">
        <v>43</v>
      </c>
      <c r="F583" t="s">
        <v>25</v>
      </c>
      <c r="G583" t="s">
        <v>16</v>
      </c>
      <c r="H583" t="s">
        <v>21</v>
      </c>
      <c r="I583">
        <v>2</v>
      </c>
      <c r="J583">
        <v>0.05</v>
      </c>
      <c r="K583">
        <v>202.46</v>
      </c>
      <c r="L583">
        <v>5.46</v>
      </c>
    </row>
    <row r="584" spans="1:12" x14ac:dyDescent="0.25">
      <c r="A584" t="s">
        <v>631</v>
      </c>
      <c r="B584" s="1">
        <v>45578</v>
      </c>
      <c r="C584" s="1">
        <v>45580</v>
      </c>
      <c r="D584" t="s">
        <v>23</v>
      </c>
      <c r="E584" t="s">
        <v>43</v>
      </c>
      <c r="F584" t="s">
        <v>15</v>
      </c>
      <c r="G584" t="s">
        <v>26</v>
      </c>
      <c r="H584" t="s">
        <v>68</v>
      </c>
      <c r="I584">
        <v>4</v>
      </c>
      <c r="J584">
        <v>0</v>
      </c>
      <c r="K584">
        <v>228.35</v>
      </c>
      <c r="L584">
        <v>9.5</v>
      </c>
    </row>
    <row r="585" spans="1:12" x14ac:dyDescent="0.25">
      <c r="A585" t="s">
        <v>632</v>
      </c>
      <c r="B585" s="1">
        <v>45718</v>
      </c>
      <c r="C585" s="1">
        <v>45722</v>
      </c>
      <c r="D585" t="s">
        <v>23</v>
      </c>
      <c r="E585" t="s">
        <v>24</v>
      </c>
      <c r="F585" t="s">
        <v>25</v>
      </c>
      <c r="G585" t="s">
        <v>16</v>
      </c>
      <c r="H585" t="s">
        <v>65</v>
      </c>
      <c r="I585">
        <v>3</v>
      </c>
      <c r="J585">
        <v>0</v>
      </c>
      <c r="K585">
        <v>808.55</v>
      </c>
      <c r="L585">
        <v>11.4</v>
      </c>
    </row>
    <row r="586" spans="1:12" x14ac:dyDescent="0.25">
      <c r="A586" t="s">
        <v>633</v>
      </c>
      <c r="B586" s="1">
        <v>45641</v>
      </c>
      <c r="C586" s="1">
        <v>45643</v>
      </c>
      <c r="D586" t="s">
        <v>13</v>
      </c>
      <c r="E586" t="s">
        <v>36</v>
      </c>
      <c r="F586" t="s">
        <v>29</v>
      </c>
      <c r="G586" t="s">
        <v>16</v>
      </c>
      <c r="H586" t="s">
        <v>60</v>
      </c>
      <c r="I586">
        <v>2</v>
      </c>
      <c r="J586">
        <v>0.15</v>
      </c>
      <c r="K586">
        <v>278.27999999999997</v>
      </c>
      <c r="L586">
        <v>4.2</v>
      </c>
    </row>
    <row r="587" spans="1:12" x14ac:dyDescent="0.25">
      <c r="A587" t="s">
        <v>634</v>
      </c>
      <c r="B587" s="1">
        <v>45619</v>
      </c>
      <c r="C587" s="1">
        <v>45622</v>
      </c>
      <c r="D587" t="s">
        <v>23</v>
      </c>
      <c r="E587" t="s">
        <v>59</v>
      </c>
      <c r="F587" t="s">
        <v>15</v>
      </c>
      <c r="G587" t="s">
        <v>20</v>
      </c>
      <c r="H587" t="s">
        <v>68</v>
      </c>
      <c r="I587">
        <v>3</v>
      </c>
      <c r="J587">
        <v>0.15</v>
      </c>
      <c r="K587">
        <v>186.25</v>
      </c>
      <c r="L587">
        <v>4.95</v>
      </c>
    </row>
    <row r="588" spans="1:12" x14ac:dyDescent="0.25">
      <c r="A588" t="s">
        <v>635</v>
      </c>
      <c r="B588" s="1">
        <v>45556</v>
      </c>
      <c r="C588" s="1">
        <v>45561</v>
      </c>
      <c r="D588" t="s">
        <v>32</v>
      </c>
      <c r="E588" t="s">
        <v>62</v>
      </c>
      <c r="F588" t="s">
        <v>29</v>
      </c>
      <c r="G588" t="s">
        <v>20</v>
      </c>
      <c r="H588" t="s">
        <v>21</v>
      </c>
      <c r="I588">
        <v>4</v>
      </c>
      <c r="J588">
        <v>0</v>
      </c>
      <c r="K588">
        <v>501.71</v>
      </c>
      <c r="L588">
        <v>8.2200000000000006</v>
      </c>
    </row>
    <row r="589" spans="1:12" x14ac:dyDescent="0.25">
      <c r="A589" t="s">
        <v>636</v>
      </c>
      <c r="B589" s="1">
        <v>45406</v>
      </c>
      <c r="C589" s="1">
        <v>45411</v>
      </c>
      <c r="D589" t="s">
        <v>47</v>
      </c>
      <c r="E589" t="s">
        <v>71</v>
      </c>
      <c r="F589" t="s">
        <v>25</v>
      </c>
      <c r="G589" t="s">
        <v>16</v>
      </c>
      <c r="H589" t="s">
        <v>63</v>
      </c>
      <c r="I589">
        <v>7</v>
      </c>
      <c r="J589">
        <v>0</v>
      </c>
      <c r="K589">
        <v>78.88</v>
      </c>
      <c r="L589">
        <v>7.65</v>
      </c>
    </row>
    <row r="590" spans="1:12" x14ac:dyDescent="0.25">
      <c r="A590" t="s">
        <v>637</v>
      </c>
      <c r="B590" s="1">
        <v>45584</v>
      </c>
      <c r="C590" s="1">
        <v>45586</v>
      </c>
      <c r="D590" t="s">
        <v>32</v>
      </c>
      <c r="E590" t="s">
        <v>45</v>
      </c>
      <c r="F590" t="s">
        <v>29</v>
      </c>
      <c r="G590" t="s">
        <v>16</v>
      </c>
      <c r="H590" t="s">
        <v>41</v>
      </c>
      <c r="I590">
        <v>6</v>
      </c>
      <c r="J590">
        <v>0.15</v>
      </c>
      <c r="K590">
        <v>35.78</v>
      </c>
      <c r="L590">
        <v>4.32</v>
      </c>
    </row>
    <row r="591" spans="1:12" x14ac:dyDescent="0.25">
      <c r="A591" t="s">
        <v>638</v>
      </c>
      <c r="B591" s="1">
        <v>45470</v>
      </c>
      <c r="C591" s="1">
        <v>45474</v>
      </c>
      <c r="D591" t="s">
        <v>13</v>
      </c>
      <c r="E591" t="s">
        <v>36</v>
      </c>
      <c r="F591" t="s">
        <v>29</v>
      </c>
      <c r="G591" t="s">
        <v>20</v>
      </c>
      <c r="H591" t="s">
        <v>27</v>
      </c>
      <c r="I591">
        <v>11</v>
      </c>
      <c r="J591">
        <v>0</v>
      </c>
      <c r="K591">
        <v>318.98</v>
      </c>
      <c r="L591">
        <v>5.67</v>
      </c>
    </row>
    <row r="592" spans="1:12" x14ac:dyDescent="0.25">
      <c r="A592" t="s">
        <v>639</v>
      </c>
      <c r="B592" s="1">
        <v>45790</v>
      </c>
      <c r="C592" s="1">
        <v>45794</v>
      </c>
      <c r="D592" t="s">
        <v>32</v>
      </c>
      <c r="E592" t="s">
        <v>62</v>
      </c>
      <c r="F592" t="s">
        <v>25</v>
      </c>
      <c r="G592" t="s">
        <v>20</v>
      </c>
      <c r="H592" t="s">
        <v>37</v>
      </c>
      <c r="I592">
        <v>2</v>
      </c>
      <c r="J592">
        <v>0</v>
      </c>
      <c r="K592">
        <v>221.15</v>
      </c>
      <c r="L592">
        <v>5.46</v>
      </c>
    </row>
    <row r="593" spans="1:12" x14ac:dyDescent="0.25">
      <c r="A593" t="s">
        <v>640</v>
      </c>
      <c r="B593" s="1">
        <v>45723</v>
      </c>
      <c r="C593" s="1">
        <v>45728</v>
      </c>
      <c r="D593" t="s">
        <v>13</v>
      </c>
      <c r="E593" t="s">
        <v>19</v>
      </c>
      <c r="F593" t="s">
        <v>15</v>
      </c>
      <c r="G593" t="s">
        <v>16</v>
      </c>
      <c r="H593" t="s">
        <v>21</v>
      </c>
      <c r="I593">
        <v>1</v>
      </c>
      <c r="J593">
        <v>0.25</v>
      </c>
      <c r="K593">
        <v>81.75</v>
      </c>
      <c r="L593">
        <v>6.8</v>
      </c>
    </row>
    <row r="594" spans="1:12" x14ac:dyDescent="0.25">
      <c r="A594" t="s">
        <v>641</v>
      </c>
      <c r="B594" s="1">
        <v>45836</v>
      </c>
      <c r="C594" s="1">
        <v>45841</v>
      </c>
      <c r="D594" t="s">
        <v>32</v>
      </c>
      <c r="E594" t="s">
        <v>45</v>
      </c>
      <c r="F594" t="s">
        <v>25</v>
      </c>
      <c r="G594" t="s">
        <v>26</v>
      </c>
      <c r="H594" t="s">
        <v>51</v>
      </c>
      <c r="I594">
        <v>6</v>
      </c>
      <c r="J594">
        <v>0</v>
      </c>
      <c r="K594">
        <v>96.54</v>
      </c>
      <c r="L594">
        <v>7.2</v>
      </c>
    </row>
    <row r="595" spans="1:12" x14ac:dyDescent="0.25">
      <c r="A595" t="s">
        <v>642</v>
      </c>
      <c r="B595" s="1">
        <v>45846</v>
      </c>
      <c r="C595" s="1">
        <v>45852</v>
      </c>
      <c r="D595" t="s">
        <v>47</v>
      </c>
      <c r="E595" t="s">
        <v>71</v>
      </c>
      <c r="F595" t="s">
        <v>29</v>
      </c>
      <c r="G595" t="s">
        <v>26</v>
      </c>
      <c r="H595" t="s">
        <v>63</v>
      </c>
      <c r="I595">
        <v>5</v>
      </c>
      <c r="J595">
        <v>0.25</v>
      </c>
      <c r="K595">
        <v>43.06</v>
      </c>
      <c r="L595">
        <v>6.75</v>
      </c>
    </row>
    <row r="596" spans="1:12" x14ac:dyDescent="0.25">
      <c r="A596" t="s">
        <v>643</v>
      </c>
      <c r="B596" s="1">
        <v>45518</v>
      </c>
      <c r="C596" s="1">
        <v>45521</v>
      </c>
      <c r="D596" t="s">
        <v>32</v>
      </c>
      <c r="E596" t="s">
        <v>45</v>
      </c>
      <c r="F596" t="s">
        <v>15</v>
      </c>
      <c r="G596" t="s">
        <v>16</v>
      </c>
      <c r="H596" t="s">
        <v>51</v>
      </c>
      <c r="I596">
        <v>7</v>
      </c>
      <c r="J596">
        <v>0</v>
      </c>
      <c r="K596">
        <v>95.21</v>
      </c>
      <c r="L596">
        <v>4.59</v>
      </c>
    </row>
    <row r="597" spans="1:12" x14ac:dyDescent="0.25">
      <c r="A597" t="s">
        <v>644</v>
      </c>
      <c r="B597" s="1">
        <v>45589</v>
      </c>
      <c r="C597" s="1">
        <v>45590</v>
      </c>
      <c r="D597" t="s">
        <v>32</v>
      </c>
      <c r="E597" t="s">
        <v>45</v>
      </c>
      <c r="F597" t="s">
        <v>25</v>
      </c>
      <c r="G597" t="s">
        <v>26</v>
      </c>
      <c r="H597" t="s">
        <v>41</v>
      </c>
      <c r="I597">
        <v>13</v>
      </c>
      <c r="J597">
        <v>0.2</v>
      </c>
      <c r="K597">
        <v>74.12</v>
      </c>
      <c r="L597">
        <v>6.21</v>
      </c>
    </row>
    <row r="598" spans="1:12" x14ac:dyDescent="0.25">
      <c r="A598" t="s">
        <v>645</v>
      </c>
      <c r="B598" s="1">
        <v>45644</v>
      </c>
      <c r="C598" s="1">
        <v>45645</v>
      </c>
      <c r="D598" t="s">
        <v>13</v>
      </c>
      <c r="E598" t="s">
        <v>36</v>
      </c>
      <c r="F598" t="s">
        <v>25</v>
      </c>
      <c r="G598" t="s">
        <v>26</v>
      </c>
      <c r="H598" t="s">
        <v>60</v>
      </c>
      <c r="I598">
        <v>1</v>
      </c>
      <c r="J598">
        <v>0.05</v>
      </c>
      <c r="K598">
        <v>147.86000000000001</v>
      </c>
      <c r="L598">
        <v>3.45</v>
      </c>
    </row>
    <row r="599" spans="1:12" x14ac:dyDescent="0.25">
      <c r="A599" t="s">
        <v>646</v>
      </c>
      <c r="B599" s="1">
        <v>45468</v>
      </c>
      <c r="C599" s="1">
        <v>45471</v>
      </c>
      <c r="D599" t="s">
        <v>13</v>
      </c>
      <c r="E599" t="s">
        <v>14</v>
      </c>
      <c r="F599" t="s">
        <v>29</v>
      </c>
      <c r="G599" t="s">
        <v>26</v>
      </c>
      <c r="H599" t="s">
        <v>39</v>
      </c>
      <c r="I599">
        <v>3</v>
      </c>
      <c r="J599">
        <v>0.2</v>
      </c>
      <c r="K599">
        <v>485.75</v>
      </c>
      <c r="L599">
        <v>8.25</v>
      </c>
    </row>
    <row r="600" spans="1:12" x14ac:dyDescent="0.25">
      <c r="A600" t="s">
        <v>647</v>
      </c>
      <c r="B600" s="1">
        <v>45417</v>
      </c>
      <c r="C600" s="1">
        <v>45418</v>
      </c>
      <c r="D600" t="s">
        <v>32</v>
      </c>
      <c r="E600" t="s">
        <v>62</v>
      </c>
      <c r="F600" t="s">
        <v>29</v>
      </c>
      <c r="G600" t="s">
        <v>26</v>
      </c>
      <c r="H600" t="s">
        <v>41</v>
      </c>
      <c r="I600">
        <v>7</v>
      </c>
      <c r="J600">
        <v>0.2</v>
      </c>
      <c r="K600">
        <v>34.020000000000003</v>
      </c>
      <c r="L600">
        <v>4.59</v>
      </c>
    </row>
    <row r="601" spans="1:12" x14ac:dyDescent="0.25">
      <c r="A601" t="s">
        <v>648</v>
      </c>
      <c r="B601" s="1">
        <v>45903</v>
      </c>
      <c r="C601" s="1">
        <v>45905</v>
      </c>
      <c r="D601" t="s">
        <v>23</v>
      </c>
      <c r="E601" t="s">
        <v>59</v>
      </c>
      <c r="F601" t="s">
        <v>15</v>
      </c>
      <c r="G601" t="s">
        <v>26</v>
      </c>
      <c r="H601" t="s">
        <v>53</v>
      </c>
      <c r="I601">
        <v>4</v>
      </c>
      <c r="J601">
        <v>0</v>
      </c>
      <c r="K601">
        <v>240.48</v>
      </c>
      <c r="L601">
        <v>5.7</v>
      </c>
    </row>
    <row r="602" spans="1:12" x14ac:dyDescent="0.25">
      <c r="A602" t="s">
        <v>649</v>
      </c>
      <c r="B602" s="1">
        <v>45781</v>
      </c>
      <c r="C602" s="1">
        <v>45784</v>
      </c>
      <c r="D602" t="s">
        <v>47</v>
      </c>
      <c r="E602" t="s">
        <v>48</v>
      </c>
      <c r="F602" t="s">
        <v>15</v>
      </c>
      <c r="G602" t="s">
        <v>26</v>
      </c>
      <c r="H602" t="s">
        <v>63</v>
      </c>
      <c r="I602">
        <v>7</v>
      </c>
      <c r="J602">
        <v>0.25</v>
      </c>
      <c r="K602">
        <v>61.58</v>
      </c>
      <c r="L602">
        <v>4.59</v>
      </c>
    </row>
    <row r="603" spans="1:12" x14ac:dyDescent="0.25">
      <c r="A603" t="s">
        <v>650</v>
      </c>
      <c r="B603" s="1">
        <v>45751</v>
      </c>
      <c r="C603" s="1">
        <v>45756</v>
      </c>
      <c r="D603" t="s">
        <v>23</v>
      </c>
      <c r="E603" t="s">
        <v>59</v>
      </c>
      <c r="F603" t="s">
        <v>25</v>
      </c>
      <c r="G603" t="s">
        <v>20</v>
      </c>
      <c r="H603" t="s">
        <v>53</v>
      </c>
      <c r="I603">
        <v>4</v>
      </c>
      <c r="J603">
        <v>0.1</v>
      </c>
      <c r="K603">
        <v>208.9</v>
      </c>
      <c r="L603">
        <v>9.5</v>
      </c>
    </row>
    <row r="604" spans="1:12" x14ac:dyDescent="0.25">
      <c r="A604" t="s">
        <v>651</v>
      </c>
      <c r="B604" s="1">
        <v>45911</v>
      </c>
      <c r="C604" s="1">
        <v>45916</v>
      </c>
      <c r="D604" t="s">
        <v>47</v>
      </c>
      <c r="E604" t="s">
        <v>71</v>
      </c>
      <c r="F604" t="s">
        <v>29</v>
      </c>
      <c r="G604" t="s">
        <v>26</v>
      </c>
      <c r="H604" t="s">
        <v>37</v>
      </c>
      <c r="I604">
        <v>2</v>
      </c>
      <c r="J604">
        <v>0</v>
      </c>
      <c r="K604">
        <v>235.3</v>
      </c>
      <c r="L604">
        <v>9.1</v>
      </c>
    </row>
    <row r="605" spans="1:12" x14ac:dyDescent="0.25">
      <c r="A605" t="s">
        <v>652</v>
      </c>
      <c r="B605" s="1">
        <v>45582</v>
      </c>
      <c r="C605" s="1">
        <v>45586</v>
      </c>
      <c r="D605" t="s">
        <v>23</v>
      </c>
      <c r="E605" t="s">
        <v>43</v>
      </c>
      <c r="F605" t="s">
        <v>25</v>
      </c>
      <c r="G605" t="s">
        <v>20</v>
      </c>
      <c r="H605" t="s">
        <v>17</v>
      </c>
      <c r="I605">
        <v>4</v>
      </c>
      <c r="J605">
        <v>0.1</v>
      </c>
      <c r="K605">
        <v>514.55999999999995</v>
      </c>
      <c r="L605">
        <v>5.7</v>
      </c>
    </row>
    <row r="606" spans="1:12" x14ac:dyDescent="0.25">
      <c r="A606" t="s">
        <v>653</v>
      </c>
      <c r="B606" s="1">
        <v>45988</v>
      </c>
      <c r="C606" s="1">
        <v>45994</v>
      </c>
      <c r="D606" t="s">
        <v>32</v>
      </c>
      <c r="E606" t="s">
        <v>62</v>
      </c>
      <c r="F606" t="s">
        <v>25</v>
      </c>
      <c r="G606" t="s">
        <v>16</v>
      </c>
      <c r="H606" t="s">
        <v>53</v>
      </c>
      <c r="I606">
        <v>1</v>
      </c>
      <c r="J606">
        <v>0</v>
      </c>
      <c r="K606">
        <v>74.41</v>
      </c>
      <c r="L606">
        <v>3.45</v>
      </c>
    </row>
    <row r="607" spans="1:12" x14ac:dyDescent="0.25">
      <c r="A607" t="s">
        <v>654</v>
      </c>
      <c r="B607" s="1">
        <v>45798</v>
      </c>
      <c r="C607" s="1">
        <v>45804</v>
      </c>
      <c r="D607" t="s">
        <v>23</v>
      </c>
      <c r="E607" t="s">
        <v>24</v>
      </c>
      <c r="F607" t="s">
        <v>25</v>
      </c>
      <c r="G607" t="s">
        <v>20</v>
      </c>
      <c r="H607" t="s">
        <v>39</v>
      </c>
      <c r="I607">
        <v>5</v>
      </c>
      <c r="J607">
        <v>0.25</v>
      </c>
      <c r="K607">
        <v>723.31</v>
      </c>
      <c r="L607">
        <v>6.45</v>
      </c>
    </row>
    <row r="608" spans="1:12" x14ac:dyDescent="0.25">
      <c r="A608" t="s">
        <v>655</v>
      </c>
      <c r="B608" s="1">
        <v>45992</v>
      </c>
      <c r="C608" s="1">
        <v>45995</v>
      </c>
      <c r="D608" t="s">
        <v>23</v>
      </c>
      <c r="E608" t="s">
        <v>24</v>
      </c>
      <c r="F608" t="s">
        <v>25</v>
      </c>
      <c r="G608" t="s">
        <v>20</v>
      </c>
      <c r="H608" t="s">
        <v>30</v>
      </c>
      <c r="I608">
        <v>6</v>
      </c>
      <c r="J608">
        <v>0.15</v>
      </c>
      <c r="K608">
        <v>42.49</v>
      </c>
      <c r="L608">
        <v>7.2</v>
      </c>
    </row>
    <row r="609" spans="1:12" x14ac:dyDescent="0.25">
      <c r="A609" t="s">
        <v>656</v>
      </c>
      <c r="B609" s="1">
        <v>45634</v>
      </c>
      <c r="C609" s="1">
        <v>45635</v>
      </c>
      <c r="D609" t="s">
        <v>32</v>
      </c>
      <c r="E609" t="s">
        <v>62</v>
      </c>
      <c r="F609" t="s">
        <v>25</v>
      </c>
      <c r="G609" t="s">
        <v>20</v>
      </c>
      <c r="H609" t="s">
        <v>87</v>
      </c>
      <c r="I609">
        <v>4</v>
      </c>
      <c r="J609">
        <v>0</v>
      </c>
      <c r="K609">
        <v>47.36</v>
      </c>
      <c r="L609">
        <v>3.78</v>
      </c>
    </row>
    <row r="610" spans="1:12" x14ac:dyDescent="0.25">
      <c r="A610" t="s">
        <v>657</v>
      </c>
      <c r="B610" s="1">
        <v>45680</v>
      </c>
      <c r="C610" s="1">
        <v>45685</v>
      </c>
      <c r="D610" t="s">
        <v>47</v>
      </c>
      <c r="E610" t="s">
        <v>50</v>
      </c>
      <c r="F610" t="s">
        <v>29</v>
      </c>
      <c r="G610" t="s">
        <v>26</v>
      </c>
      <c r="H610" t="s">
        <v>68</v>
      </c>
      <c r="I610">
        <v>2</v>
      </c>
      <c r="J610">
        <v>0</v>
      </c>
      <c r="K610">
        <v>87.13</v>
      </c>
      <c r="L610">
        <v>4.2</v>
      </c>
    </row>
    <row r="611" spans="1:12" x14ac:dyDescent="0.25">
      <c r="A611" t="s">
        <v>658</v>
      </c>
      <c r="B611" s="1">
        <v>45301</v>
      </c>
      <c r="C611" s="1">
        <v>45302</v>
      </c>
      <c r="D611" t="s">
        <v>32</v>
      </c>
      <c r="E611" t="s">
        <v>62</v>
      </c>
      <c r="F611" t="s">
        <v>15</v>
      </c>
      <c r="G611" t="s">
        <v>20</v>
      </c>
      <c r="H611" t="s">
        <v>63</v>
      </c>
      <c r="I611">
        <v>5</v>
      </c>
      <c r="J611">
        <v>0</v>
      </c>
      <c r="K611">
        <v>56.03</v>
      </c>
      <c r="L611">
        <v>4.05</v>
      </c>
    </row>
    <row r="612" spans="1:12" x14ac:dyDescent="0.25">
      <c r="A612" t="s">
        <v>659</v>
      </c>
      <c r="B612" s="1">
        <v>45942</v>
      </c>
      <c r="C612" s="1">
        <v>45944</v>
      </c>
      <c r="D612" t="s">
        <v>47</v>
      </c>
      <c r="E612" t="s">
        <v>50</v>
      </c>
      <c r="F612" t="s">
        <v>15</v>
      </c>
      <c r="G612" t="s">
        <v>20</v>
      </c>
      <c r="H612" t="s">
        <v>30</v>
      </c>
      <c r="I612">
        <v>14</v>
      </c>
      <c r="J612">
        <v>0</v>
      </c>
      <c r="K612">
        <v>100.06</v>
      </c>
      <c r="L612">
        <v>10.8</v>
      </c>
    </row>
    <row r="613" spans="1:12" x14ac:dyDescent="0.25">
      <c r="A613" t="s">
        <v>660</v>
      </c>
      <c r="B613" s="1">
        <v>45632</v>
      </c>
      <c r="C613" s="1">
        <v>45635</v>
      </c>
      <c r="D613" t="s">
        <v>23</v>
      </c>
      <c r="E613" t="s">
        <v>24</v>
      </c>
      <c r="F613" t="s">
        <v>25</v>
      </c>
      <c r="G613" t="s">
        <v>20</v>
      </c>
      <c r="H613" t="s">
        <v>17</v>
      </c>
      <c r="I613">
        <v>3</v>
      </c>
      <c r="J613">
        <v>0.25</v>
      </c>
      <c r="K613">
        <v>404.69</v>
      </c>
      <c r="L613">
        <v>8.25</v>
      </c>
    </row>
    <row r="614" spans="1:12" x14ac:dyDescent="0.25">
      <c r="A614" t="s">
        <v>661</v>
      </c>
      <c r="B614" s="1">
        <v>45576</v>
      </c>
      <c r="C614" s="1">
        <v>45577</v>
      </c>
      <c r="D614" t="s">
        <v>13</v>
      </c>
      <c r="E614" t="s">
        <v>14</v>
      </c>
      <c r="F614" t="s">
        <v>29</v>
      </c>
      <c r="G614" t="s">
        <v>20</v>
      </c>
      <c r="H614" t="s">
        <v>34</v>
      </c>
      <c r="I614">
        <v>7</v>
      </c>
      <c r="J614">
        <v>0</v>
      </c>
      <c r="K614">
        <v>1648.94</v>
      </c>
      <c r="L614">
        <v>12.36</v>
      </c>
    </row>
    <row r="615" spans="1:12" x14ac:dyDescent="0.25">
      <c r="A615" t="s">
        <v>662</v>
      </c>
      <c r="B615" s="1">
        <v>45322</v>
      </c>
      <c r="C615" s="1">
        <v>45326</v>
      </c>
      <c r="D615" t="s">
        <v>13</v>
      </c>
      <c r="E615" t="s">
        <v>19</v>
      </c>
      <c r="F615" t="s">
        <v>29</v>
      </c>
      <c r="G615" t="s">
        <v>16</v>
      </c>
      <c r="H615" t="s">
        <v>34</v>
      </c>
      <c r="I615">
        <v>2</v>
      </c>
      <c r="J615">
        <v>0.2</v>
      </c>
      <c r="K615">
        <v>297.14</v>
      </c>
      <c r="L615">
        <v>5.46</v>
      </c>
    </row>
    <row r="616" spans="1:12" x14ac:dyDescent="0.25">
      <c r="A616" t="s">
        <v>663</v>
      </c>
      <c r="B616" s="1">
        <v>45766</v>
      </c>
      <c r="C616" s="1">
        <v>45770</v>
      </c>
      <c r="D616" t="s">
        <v>47</v>
      </c>
      <c r="E616" t="s">
        <v>50</v>
      </c>
      <c r="F616" t="s">
        <v>25</v>
      </c>
      <c r="G616" t="s">
        <v>20</v>
      </c>
      <c r="H616" t="s">
        <v>68</v>
      </c>
      <c r="I616">
        <v>3</v>
      </c>
      <c r="J616">
        <v>0.15</v>
      </c>
      <c r="K616">
        <v>132.31</v>
      </c>
      <c r="L616">
        <v>4.95</v>
      </c>
    </row>
    <row r="617" spans="1:12" x14ac:dyDescent="0.25">
      <c r="A617" t="s">
        <v>664</v>
      </c>
      <c r="B617" s="1">
        <v>45669</v>
      </c>
      <c r="C617" s="1">
        <v>45675</v>
      </c>
      <c r="D617" t="s">
        <v>23</v>
      </c>
      <c r="E617" t="s">
        <v>43</v>
      </c>
      <c r="F617" t="s">
        <v>15</v>
      </c>
      <c r="G617" t="s">
        <v>26</v>
      </c>
      <c r="H617" t="s">
        <v>63</v>
      </c>
      <c r="I617">
        <v>3</v>
      </c>
      <c r="J617">
        <v>0.2</v>
      </c>
      <c r="K617">
        <v>25.32</v>
      </c>
      <c r="L617">
        <v>5.85</v>
      </c>
    </row>
    <row r="618" spans="1:12" x14ac:dyDescent="0.25">
      <c r="A618" t="s">
        <v>665</v>
      </c>
      <c r="B618" s="1">
        <v>45747</v>
      </c>
      <c r="C618" s="1">
        <v>45752</v>
      </c>
      <c r="D618" t="s">
        <v>23</v>
      </c>
      <c r="E618" t="s">
        <v>43</v>
      </c>
      <c r="F618" t="s">
        <v>29</v>
      </c>
      <c r="G618" t="s">
        <v>16</v>
      </c>
      <c r="H618" t="s">
        <v>39</v>
      </c>
      <c r="I618">
        <v>2</v>
      </c>
      <c r="J618">
        <v>0.1</v>
      </c>
      <c r="K618">
        <v>327.04000000000002</v>
      </c>
      <c r="L618">
        <v>7</v>
      </c>
    </row>
    <row r="619" spans="1:12" x14ac:dyDescent="0.25">
      <c r="A619" t="s">
        <v>666</v>
      </c>
      <c r="B619" s="1">
        <v>45669</v>
      </c>
      <c r="C619" s="1">
        <v>45672</v>
      </c>
      <c r="D619" t="s">
        <v>47</v>
      </c>
      <c r="E619" t="s">
        <v>48</v>
      </c>
      <c r="F619" t="s">
        <v>25</v>
      </c>
      <c r="G619" t="s">
        <v>16</v>
      </c>
      <c r="H619" t="s">
        <v>39</v>
      </c>
      <c r="I619">
        <v>2</v>
      </c>
      <c r="J619">
        <v>0.25</v>
      </c>
      <c r="K619">
        <v>256.58</v>
      </c>
      <c r="L619">
        <v>4.2</v>
      </c>
    </row>
    <row r="620" spans="1:12" x14ac:dyDescent="0.25">
      <c r="A620" t="s">
        <v>667</v>
      </c>
      <c r="B620" s="1">
        <v>45969</v>
      </c>
      <c r="C620" s="1">
        <v>45975</v>
      </c>
      <c r="D620" t="s">
        <v>13</v>
      </c>
      <c r="E620" t="s">
        <v>19</v>
      </c>
      <c r="F620" t="s">
        <v>25</v>
      </c>
      <c r="G620" t="s">
        <v>16</v>
      </c>
      <c r="H620" t="s">
        <v>65</v>
      </c>
      <c r="I620">
        <v>3</v>
      </c>
      <c r="J620">
        <v>0</v>
      </c>
      <c r="K620">
        <v>1221.1400000000001</v>
      </c>
      <c r="L620">
        <v>11.4</v>
      </c>
    </row>
    <row r="621" spans="1:12" x14ac:dyDescent="0.25">
      <c r="A621" t="s">
        <v>668</v>
      </c>
      <c r="B621" s="1">
        <v>45798</v>
      </c>
      <c r="C621" s="1">
        <v>45802</v>
      </c>
      <c r="D621" t="s">
        <v>13</v>
      </c>
      <c r="E621" t="s">
        <v>19</v>
      </c>
      <c r="F621" t="s">
        <v>29</v>
      </c>
      <c r="G621" t="s">
        <v>26</v>
      </c>
      <c r="H621" t="s">
        <v>37</v>
      </c>
      <c r="I621">
        <v>4</v>
      </c>
      <c r="J621">
        <v>0.2</v>
      </c>
      <c r="K621">
        <v>336.15</v>
      </c>
      <c r="L621">
        <v>8.2200000000000006</v>
      </c>
    </row>
    <row r="622" spans="1:12" x14ac:dyDescent="0.25">
      <c r="A622" t="s">
        <v>669</v>
      </c>
      <c r="B622" s="1">
        <v>45524</v>
      </c>
      <c r="C622" s="1">
        <v>45530</v>
      </c>
      <c r="D622" t="s">
        <v>47</v>
      </c>
      <c r="E622" t="s">
        <v>71</v>
      </c>
      <c r="F622" t="s">
        <v>29</v>
      </c>
      <c r="G622" t="s">
        <v>16</v>
      </c>
      <c r="H622" t="s">
        <v>63</v>
      </c>
      <c r="I622">
        <v>6</v>
      </c>
      <c r="J622">
        <v>0.25</v>
      </c>
      <c r="K622">
        <v>53.12</v>
      </c>
      <c r="L622">
        <v>4.32</v>
      </c>
    </row>
    <row r="623" spans="1:12" x14ac:dyDescent="0.25">
      <c r="A623" t="s">
        <v>670</v>
      </c>
      <c r="B623" s="1">
        <v>45727</v>
      </c>
      <c r="C623" s="1">
        <v>45732</v>
      </c>
      <c r="D623" t="s">
        <v>47</v>
      </c>
      <c r="E623" t="s">
        <v>50</v>
      </c>
      <c r="F623" t="s">
        <v>25</v>
      </c>
      <c r="G623" t="s">
        <v>16</v>
      </c>
      <c r="H623" t="s">
        <v>41</v>
      </c>
      <c r="I623">
        <v>6</v>
      </c>
      <c r="J623">
        <v>0.05</v>
      </c>
      <c r="K623">
        <v>31.61</v>
      </c>
      <c r="L623">
        <v>4.32</v>
      </c>
    </row>
    <row r="624" spans="1:12" x14ac:dyDescent="0.25">
      <c r="A624" t="s">
        <v>671</v>
      </c>
      <c r="B624" s="1">
        <v>45979</v>
      </c>
      <c r="C624" s="1">
        <v>45982</v>
      </c>
      <c r="D624" t="s">
        <v>47</v>
      </c>
      <c r="E624" t="s">
        <v>50</v>
      </c>
      <c r="F624" t="s">
        <v>29</v>
      </c>
      <c r="G624" t="s">
        <v>20</v>
      </c>
      <c r="H624" t="s">
        <v>39</v>
      </c>
      <c r="I624">
        <v>2</v>
      </c>
      <c r="J624">
        <v>0.25</v>
      </c>
      <c r="K624">
        <v>397.72</v>
      </c>
      <c r="L624">
        <v>7</v>
      </c>
    </row>
    <row r="625" spans="1:12" x14ac:dyDescent="0.25">
      <c r="A625" t="s">
        <v>672</v>
      </c>
      <c r="B625" s="1">
        <v>45891</v>
      </c>
      <c r="C625" s="1">
        <v>45894</v>
      </c>
      <c r="D625" t="s">
        <v>32</v>
      </c>
      <c r="E625" t="s">
        <v>62</v>
      </c>
      <c r="F625" t="s">
        <v>29</v>
      </c>
      <c r="G625" t="s">
        <v>16</v>
      </c>
      <c r="H625" t="s">
        <v>51</v>
      </c>
      <c r="I625">
        <v>7</v>
      </c>
      <c r="J625">
        <v>0</v>
      </c>
      <c r="K625">
        <v>92.67</v>
      </c>
      <c r="L625">
        <v>7.65</v>
      </c>
    </row>
    <row r="626" spans="1:12" x14ac:dyDescent="0.25">
      <c r="A626" t="s">
        <v>673</v>
      </c>
      <c r="B626" s="1">
        <v>45478</v>
      </c>
      <c r="C626" s="1">
        <v>45482</v>
      </c>
      <c r="D626" t="s">
        <v>47</v>
      </c>
      <c r="E626" t="s">
        <v>71</v>
      </c>
      <c r="F626" t="s">
        <v>15</v>
      </c>
      <c r="G626" t="s">
        <v>16</v>
      </c>
      <c r="H626" t="s">
        <v>60</v>
      </c>
      <c r="I626">
        <v>4</v>
      </c>
      <c r="J626">
        <v>0.1</v>
      </c>
      <c r="K626">
        <v>368.52</v>
      </c>
      <c r="L626">
        <v>9.5</v>
      </c>
    </row>
    <row r="627" spans="1:12" x14ac:dyDescent="0.25">
      <c r="A627" t="s">
        <v>674</v>
      </c>
      <c r="B627" s="1">
        <v>45495</v>
      </c>
      <c r="C627" s="1">
        <v>45497</v>
      </c>
      <c r="D627" t="s">
        <v>32</v>
      </c>
      <c r="E627" t="s">
        <v>62</v>
      </c>
      <c r="F627" t="s">
        <v>29</v>
      </c>
      <c r="G627" t="s">
        <v>26</v>
      </c>
      <c r="H627" t="s">
        <v>63</v>
      </c>
      <c r="I627">
        <v>3</v>
      </c>
      <c r="J627">
        <v>0</v>
      </c>
      <c r="K627">
        <v>32.21</v>
      </c>
      <c r="L627">
        <v>5.85</v>
      </c>
    </row>
    <row r="628" spans="1:12" x14ac:dyDescent="0.25">
      <c r="A628" t="s">
        <v>675</v>
      </c>
      <c r="B628" s="1">
        <v>45533</v>
      </c>
      <c r="C628" s="1">
        <v>45538</v>
      </c>
      <c r="D628" t="s">
        <v>23</v>
      </c>
      <c r="E628" t="s">
        <v>24</v>
      </c>
      <c r="F628" t="s">
        <v>15</v>
      </c>
      <c r="G628" t="s">
        <v>20</v>
      </c>
      <c r="H628" t="s">
        <v>27</v>
      </c>
      <c r="I628">
        <v>14</v>
      </c>
      <c r="J628">
        <v>0.1</v>
      </c>
      <c r="K628">
        <v>324.54000000000002</v>
      </c>
      <c r="L628">
        <v>10.8</v>
      </c>
    </row>
    <row r="629" spans="1:12" x14ac:dyDescent="0.25">
      <c r="A629" t="s">
        <v>676</v>
      </c>
      <c r="B629" s="1">
        <v>45912</v>
      </c>
      <c r="C629" s="1">
        <v>45915</v>
      </c>
      <c r="D629" t="s">
        <v>47</v>
      </c>
      <c r="E629" t="s">
        <v>50</v>
      </c>
      <c r="F629" t="s">
        <v>25</v>
      </c>
      <c r="G629" t="s">
        <v>16</v>
      </c>
      <c r="H629" t="s">
        <v>39</v>
      </c>
      <c r="I629">
        <v>1</v>
      </c>
      <c r="J629">
        <v>0</v>
      </c>
      <c r="K629">
        <v>206.56</v>
      </c>
      <c r="L629">
        <v>3.45</v>
      </c>
    </row>
    <row r="630" spans="1:12" x14ac:dyDescent="0.25">
      <c r="A630" t="s">
        <v>677</v>
      </c>
      <c r="B630" s="1">
        <v>45954</v>
      </c>
      <c r="C630" s="1">
        <v>45955</v>
      </c>
      <c r="D630" t="s">
        <v>47</v>
      </c>
      <c r="E630" t="s">
        <v>71</v>
      </c>
      <c r="F630" t="s">
        <v>15</v>
      </c>
      <c r="G630" t="s">
        <v>16</v>
      </c>
      <c r="H630" t="s">
        <v>68</v>
      </c>
      <c r="I630">
        <v>4</v>
      </c>
      <c r="J630">
        <v>0</v>
      </c>
      <c r="K630">
        <v>243.15</v>
      </c>
      <c r="L630">
        <v>5.7</v>
      </c>
    </row>
    <row r="631" spans="1:12" x14ac:dyDescent="0.25">
      <c r="A631" t="s">
        <v>678</v>
      </c>
      <c r="B631" s="1">
        <v>45515</v>
      </c>
      <c r="C631" s="1">
        <v>45521</v>
      </c>
      <c r="D631" t="s">
        <v>23</v>
      </c>
      <c r="E631" t="s">
        <v>59</v>
      </c>
      <c r="F631" t="s">
        <v>25</v>
      </c>
      <c r="G631" t="s">
        <v>16</v>
      </c>
      <c r="H631" t="s">
        <v>63</v>
      </c>
      <c r="I631">
        <v>8</v>
      </c>
      <c r="J631">
        <v>0.05</v>
      </c>
      <c r="K631">
        <v>93.06</v>
      </c>
      <c r="L631">
        <v>4.8600000000000003</v>
      </c>
    </row>
    <row r="632" spans="1:12" x14ac:dyDescent="0.25">
      <c r="A632" t="s">
        <v>679</v>
      </c>
      <c r="B632" s="1">
        <v>45318</v>
      </c>
      <c r="C632" s="1">
        <v>45322</v>
      </c>
      <c r="D632" t="s">
        <v>23</v>
      </c>
      <c r="E632" t="s">
        <v>24</v>
      </c>
      <c r="F632" t="s">
        <v>25</v>
      </c>
      <c r="G632" t="s">
        <v>20</v>
      </c>
      <c r="H632" t="s">
        <v>60</v>
      </c>
      <c r="I632">
        <v>1</v>
      </c>
      <c r="J632">
        <v>0</v>
      </c>
      <c r="K632">
        <v>96.96</v>
      </c>
      <c r="L632">
        <v>5.75</v>
      </c>
    </row>
    <row r="633" spans="1:12" x14ac:dyDescent="0.25">
      <c r="A633" t="s">
        <v>680</v>
      </c>
      <c r="B633" s="1">
        <v>45355</v>
      </c>
      <c r="C633" s="1">
        <v>45356</v>
      </c>
      <c r="D633" t="s">
        <v>47</v>
      </c>
      <c r="E633" t="s">
        <v>71</v>
      </c>
      <c r="F633" t="s">
        <v>15</v>
      </c>
      <c r="G633" t="s">
        <v>20</v>
      </c>
      <c r="H633" t="s">
        <v>51</v>
      </c>
      <c r="I633">
        <v>6</v>
      </c>
      <c r="J633">
        <v>0</v>
      </c>
      <c r="K633">
        <v>84.93</v>
      </c>
      <c r="L633">
        <v>7.2</v>
      </c>
    </row>
    <row r="634" spans="1:12" x14ac:dyDescent="0.25">
      <c r="A634" t="s">
        <v>681</v>
      </c>
      <c r="B634" s="1">
        <v>45888</v>
      </c>
      <c r="C634" s="1">
        <v>45890</v>
      </c>
      <c r="D634" t="s">
        <v>47</v>
      </c>
      <c r="E634" t="s">
        <v>50</v>
      </c>
      <c r="F634" t="s">
        <v>25</v>
      </c>
      <c r="G634" t="s">
        <v>26</v>
      </c>
      <c r="H634" t="s">
        <v>68</v>
      </c>
      <c r="I634">
        <v>1</v>
      </c>
      <c r="J634">
        <v>0</v>
      </c>
      <c r="K634">
        <v>51.08</v>
      </c>
      <c r="L634">
        <v>3.45</v>
      </c>
    </row>
    <row r="635" spans="1:12" x14ac:dyDescent="0.25">
      <c r="A635" t="s">
        <v>682</v>
      </c>
      <c r="B635" s="1">
        <v>45601</v>
      </c>
      <c r="C635" s="1">
        <v>45602</v>
      </c>
      <c r="D635" t="s">
        <v>13</v>
      </c>
      <c r="E635" t="s">
        <v>36</v>
      </c>
      <c r="F635" t="s">
        <v>15</v>
      </c>
      <c r="G635" t="s">
        <v>26</v>
      </c>
      <c r="H635" t="s">
        <v>39</v>
      </c>
      <c r="I635">
        <v>2</v>
      </c>
      <c r="J635">
        <v>0.15</v>
      </c>
      <c r="K635">
        <v>443.73</v>
      </c>
      <c r="L635">
        <v>7</v>
      </c>
    </row>
    <row r="636" spans="1:12" x14ac:dyDescent="0.25">
      <c r="A636" t="s">
        <v>683</v>
      </c>
      <c r="B636" s="1">
        <v>45637</v>
      </c>
      <c r="C636" s="1">
        <v>45638</v>
      </c>
      <c r="D636" t="s">
        <v>23</v>
      </c>
      <c r="E636" t="s">
        <v>59</v>
      </c>
      <c r="F636" t="s">
        <v>25</v>
      </c>
      <c r="G636" t="s">
        <v>26</v>
      </c>
      <c r="H636" t="s">
        <v>27</v>
      </c>
      <c r="I636">
        <v>3</v>
      </c>
      <c r="J636">
        <v>0</v>
      </c>
      <c r="K636">
        <v>114.06</v>
      </c>
      <c r="L636">
        <v>5.85</v>
      </c>
    </row>
    <row r="637" spans="1:12" x14ac:dyDescent="0.25">
      <c r="A637" t="s">
        <v>684</v>
      </c>
      <c r="B637" s="1">
        <v>45466</v>
      </c>
      <c r="C637" s="1">
        <v>45471</v>
      </c>
      <c r="D637" t="s">
        <v>13</v>
      </c>
      <c r="E637" t="s">
        <v>36</v>
      </c>
      <c r="F637" t="s">
        <v>25</v>
      </c>
      <c r="G637" t="s">
        <v>20</v>
      </c>
      <c r="H637" t="s">
        <v>37</v>
      </c>
      <c r="I637">
        <v>7</v>
      </c>
      <c r="J637">
        <v>0</v>
      </c>
      <c r="K637">
        <v>829.96</v>
      </c>
      <c r="L637">
        <v>12.36</v>
      </c>
    </row>
    <row r="638" spans="1:12" x14ac:dyDescent="0.25">
      <c r="A638" t="s">
        <v>685</v>
      </c>
      <c r="B638" s="1">
        <v>45465</v>
      </c>
      <c r="C638" s="1">
        <v>45471</v>
      </c>
      <c r="D638" t="s">
        <v>47</v>
      </c>
      <c r="E638" t="s">
        <v>50</v>
      </c>
      <c r="F638" t="s">
        <v>25</v>
      </c>
      <c r="G638" t="s">
        <v>20</v>
      </c>
      <c r="H638" t="s">
        <v>51</v>
      </c>
      <c r="I638">
        <v>5</v>
      </c>
      <c r="J638">
        <v>0.2</v>
      </c>
      <c r="K638">
        <v>62.81</v>
      </c>
      <c r="L638">
        <v>4.05</v>
      </c>
    </row>
    <row r="639" spans="1:12" x14ac:dyDescent="0.25">
      <c r="A639" t="s">
        <v>686</v>
      </c>
      <c r="B639" s="1">
        <v>45672</v>
      </c>
      <c r="C639" s="1">
        <v>45673</v>
      </c>
      <c r="D639" t="s">
        <v>47</v>
      </c>
      <c r="E639" t="s">
        <v>71</v>
      </c>
      <c r="F639" t="s">
        <v>29</v>
      </c>
      <c r="G639" t="s">
        <v>20</v>
      </c>
      <c r="H639" t="s">
        <v>87</v>
      </c>
      <c r="I639">
        <v>12</v>
      </c>
      <c r="J639">
        <v>0</v>
      </c>
      <c r="K639">
        <v>83.82</v>
      </c>
      <c r="L639">
        <v>5.94</v>
      </c>
    </row>
    <row r="640" spans="1:12" x14ac:dyDescent="0.25">
      <c r="A640" t="s">
        <v>687</v>
      </c>
      <c r="B640" s="1">
        <v>45841</v>
      </c>
      <c r="C640" s="1">
        <v>45847</v>
      </c>
      <c r="D640" t="s">
        <v>47</v>
      </c>
      <c r="E640" t="s">
        <v>71</v>
      </c>
      <c r="F640" t="s">
        <v>29</v>
      </c>
      <c r="G640" t="s">
        <v>16</v>
      </c>
      <c r="H640" t="s">
        <v>27</v>
      </c>
      <c r="I640">
        <v>6</v>
      </c>
      <c r="J640">
        <v>0</v>
      </c>
      <c r="K640">
        <v>149</v>
      </c>
      <c r="L640">
        <v>7.2</v>
      </c>
    </row>
    <row r="641" spans="1:12" x14ac:dyDescent="0.25">
      <c r="A641" t="s">
        <v>688</v>
      </c>
      <c r="B641" s="1">
        <v>45532</v>
      </c>
      <c r="C641" s="1">
        <v>45534</v>
      </c>
      <c r="D641" t="s">
        <v>23</v>
      </c>
      <c r="E641" t="s">
        <v>59</v>
      </c>
      <c r="F641" t="s">
        <v>15</v>
      </c>
      <c r="G641" t="s">
        <v>20</v>
      </c>
      <c r="H641" t="s">
        <v>27</v>
      </c>
      <c r="I641">
        <v>3</v>
      </c>
      <c r="J641">
        <v>0.15</v>
      </c>
      <c r="K641">
        <v>64.900000000000006</v>
      </c>
      <c r="L641">
        <v>5.85</v>
      </c>
    </row>
    <row r="642" spans="1:12" x14ac:dyDescent="0.25">
      <c r="A642" t="s">
        <v>689</v>
      </c>
      <c r="B642" s="1">
        <v>45694</v>
      </c>
      <c r="C642" s="1">
        <v>45699</v>
      </c>
      <c r="D642" t="s">
        <v>23</v>
      </c>
      <c r="E642" t="s">
        <v>24</v>
      </c>
      <c r="F642" t="s">
        <v>25</v>
      </c>
      <c r="G642" t="s">
        <v>26</v>
      </c>
      <c r="H642" t="s">
        <v>65</v>
      </c>
      <c r="I642">
        <v>1</v>
      </c>
      <c r="J642">
        <v>0.1</v>
      </c>
      <c r="K642">
        <v>229.93</v>
      </c>
      <c r="L642">
        <v>6.8</v>
      </c>
    </row>
    <row r="643" spans="1:12" x14ac:dyDescent="0.25">
      <c r="A643" t="s">
        <v>690</v>
      </c>
      <c r="B643" s="1">
        <v>45711</v>
      </c>
      <c r="C643" s="1">
        <v>45716</v>
      </c>
      <c r="D643" t="s">
        <v>47</v>
      </c>
      <c r="E643" t="s">
        <v>48</v>
      </c>
      <c r="F643" t="s">
        <v>25</v>
      </c>
      <c r="G643" t="s">
        <v>26</v>
      </c>
      <c r="H643" t="s">
        <v>51</v>
      </c>
      <c r="I643">
        <v>8</v>
      </c>
      <c r="J643">
        <v>0</v>
      </c>
      <c r="K643">
        <v>109.95</v>
      </c>
      <c r="L643">
        <v>4.8600000000000003</v>
      </c>
    </row>
    <row r="644" spans="1:12" x14ac:dyDescent="0.25">
      <c r="A644" t="s">
        <v>691</v>
      </c>
      <c r="B644" s="1">
        <v>45948</v>
      </c>
      <c r="C644" s="1">
        <v>45952</v>
      </c>
      <c r="D644" t="s">
        <v>47</v>
      </c>
      <c r="E644" t="s">
        <v>71</v>
      </c>
      <c r="F644" t="s">
        <v>29</v>
      </c>
      <c r="G644" t="s">
        <v>26</v>
      </c>
      <c r="H644" t="s">
        <v>65</v>
      </c>
      <c r="I644">
        <v>4</v>
      </c>
      <c r="J644">
        <v>0</v>
      </c>
      <c r="K644">
        <v>1312.22</v>
      </c>
      <c r="L644">
        <v>8.2200000000000006</v>
      </c>
    </row>
    <row r="645" spans="1:12" x14ac:dyDescent="0.25">
      <c r="A645" t="s">
        <v>692</v>
      </c>
      <c r="B645" s="1">
        <v>45533</v>
      </c>
      <c r="C645" s="1">
        <v>45535</v>
      </c>
      <c r="D645" t="s">
        <v>47</v>
      </c>
      <c r="E645" t="s">
        <v>48</v>
      </c>
      <c r="F645" t="s">
        <v>15</v>
      </c>
      <c r="G645" t="s">
        <v>26</v>
      </c>
      <c r="H645" t="s">
        <v>65</v>
      </c>
      <c r="I645">
        <v>7</v>
      </c>
      <c r="J645">
        <v>0</v>
      </c>
      <c r="K645">
        <v>1980.24</v>
      </c>
      <c r="L645">
        <v>20.6</v>
      </c>
    </row>
    <row r="646" spans="1:12" x14ac:dyDescent="0.25">
      <c r="A646" t="s">
        <v>693</v>
      </c>
      <c r="B646" s="1">
        <v>45648</v>
      </c>
      <c r="C646" s="1">
        <v>45649</v>
      </c>
      <c r="D646" t="s">
        <v>47</v>
      </c>
      <c r="E646" t="s">
        <v>71</v>
      </c>
      <c r="F646" t="s">
        <v>25</v>
      </c>
      <c r="G646" t="s">
        <v>26</v>
      </c>
      <c r="H646" t="s">
        <v>39</v>
      </c>
      <c r="I646">
        <v>3</v>
      </c>
      <c r="J646">
        <v>0.15</v>
      </c>
      <c r="K646">
        <v>721.78</v>
      </c>
      <c r="L646">
        <v>8.25</v>
      </c>
    </row>
    <row r="647" spans="1:12" x14ac:dyDescent="0.25">
      <c r="A647" t="s">
        <v>694</v>
      </c>
      <c r="B647" s="1">
        <v>45516</v>
      </c>
      <c r="C647" s="1">
        <v>45519</v>
      </c>
      <c r="D647" t="s">
        <v>23</v>
      </c>
      <c r="E647" t="s">
        <v>43</v>
      </c>
      <c r="F647" t="s">
        <v>15</v>
      </c>
      <c r="G647" t="s">
        <v>26</v>
      </c>
      <c r="H647" t="s">
        <v>53</v>
      </c>
      <c r="I647">
        <v>3</v>
      </c>
      <c r="J647">
        <v>0.25</v>
      </c>
      <c r="K647">
        <v>127.94</v>
      </c>
      <c r="L647">
        <v>8.25</v>
      </c>
    </row>
    <row r="648" spans="1:12" x14ac:dyDescent="0.25">
      <c r="A648" t="s">
        <v>695</v>
      </c>
      <c r="B648" s="1">
        <v>45898</v>
      </c>
      <c r="C648" s="1">
        <v>45901</v>
      </c>
      <c r="D648" t="s">
        <v>47</v>
      </c>
      <c r="E648" t="s">
        <v>50</v>
      </c>
      <c r="F648" t="s">
        <v>25</v>
      </c>
      <c r="G648" t="s">
        <v>16</v>
      </c>
      <c r="H648" t="s">
        <v>87</v>
      </c>
      <c r="I648">
        <v>13</v>
      </c>
      <c r="J648">
        <v>0</v>
      </c>
      <c r="K648">
        <v>104.09</v>
      </c>
      <c r="L648">
        <v>6.21</v>
      </c>
    </row>
    <row r="649" spans="1:12" x14ac:dyDescent="0.25">
      <c r="A649" t="s">
        <v>696</v>
      </c>
      <c r="B649" s="1">
        <v>45705</v>
      </c>
      <c r="C649" s="1">
        <v>45711</v>
      </c>
      <c r="D649" t="s">
        <v>13</v>
      </c>
      <c r="E649" t="s">
        <v>19</v>
      </c>
      <c r="F649" t="s">
        <v>29</v>
      </c>
      <c r="G649" t="s">
        <v>26</v>
      </c>
      <c r="H649" t="s">
        <v>53</v>
      </c>
      <c r="I649">
        <v>5</v>
      </c>
      <c r="J649">
        <v>0</v>
      </c>
      <c r="K649">
        <v>256.26</v>
      </c>
      <c r="L649">
        <v>6.45</v>
      </c>
    </row>
    <row r="650" spans="1:12" x14ac:dyDescent="0.25">
      <c r="A650" t="s">
        <v>697</v>
      </c>
      <c r="B650" s="1">
        <v>45920</v>
      </c>
      <c r="C650" s="1">
        <v>45923</v>
      </c>
      <c r="D650" t="s">
        <v>32</v>
      </c>
      <c r="E650" t="s">
        <v>33</v>
      </c>
      <c r="F650" t="s">
        <v>25</v>
      </c>
      <c r="G650" t="s">
        <v>16</v>
      </c>
      <c r="H650" t="s">
        <v>30</v>
      </c>
      <c r="I650">
        <v>4</v>
      </c>
      <c r="J650">
        <v>0.25</v>
      </c>
      <c r="K650">
        <v>20.010000000000002</v>
      </c>
      <c r="L650">
        <v>3.78</v>
      </c>
    </row>
    <row r="651" spans="1:12" x14ac:dyDescent="0.25">
      <c r="A651" t="s">
        <v>698</v>
      </c>
      <c r="B651" s="1">
        <v>45504</v>
      </c>
      <c r="C651" s="1">
        <v>45505</v>
      </c>
      <c r="D651" t="s">
        <v>23</v>
      </c>
      <c r="E651" t="s">
        <v>24</v>
      </c>
      <c r="F651" t="s">
        <v>25</v>
      </c>
      <c r="G651" t="s">
        <v>26</v>
      </c>
      <c r="H651" t="s">
        <v>17</v>
      </c>
      <c r="I651">
        <v>4</v>
      </c>
      <c r="J651">
        <v>0</v>
      </c>
      <c r="K651">
        <v>459</v>
      </c>
      <c r="L651">
        <v>5.7</v>
      </c>
    </row>
    <row r="652" spans="1:12" x14ac:dyDescent="0.25">
      <c r="A652" t="s">
        <v>699</v>
      </c>
      <c r="B652" s="1">
        <v>46015</v>
      </c>
      <c r="C652" s="1">
        <v>46019</v>
      </c>
      <c r="D652" t="s">
        <v>47</v>
      </c>
      <c r="E652" t="s">
        <v>48</v>
      </c>
      <c r="F652" t="s">
        <v>29</v>
      </c>
      <c r="G652" t="s">
        <v>20</v>
      </c>
      <c r="H652" t="s">
        <v>63</v>
      </c>
      <c r="I652">
        <v>7</v>
      </c>
      <c r="J652">
        <v>0.2</v>
      </c>
      <c r="K652">
        <v>92.21</v>
      </c>
      <c r="L652">
        <v>7.65</v>
      </c>
    </row>
    <row r="653" spans="1:12" x14ac:dyDescent="0.25">
      <c r="A653" t="s">
        <v>700</v>
      </c>
      <c r="B653" s="1">
        <v>45882</v>
      </c>
      <c r="C653" s="1">
        <v>45883</v>
      </c>
      <c r="D653" t="s">
        <v>32</v>
      </c>
      <c r="E653" t="s">
        <v>62</v>
      </c>
      <c r="F653" t="s">
        <v>15</v>
      </c>
      <c r="G653" t="s">
        <v>20</v>
      </c>
      <c r="H653" t="s">
        <v>39</v>
      </c>
      <c r="I653">
        <v>1</v>
      </c>
      <c r="J653">
        <v>0.05</v>
      </c>
      <c r="K653">
        <v>180.19</v>
      </c>
      <c r="L653">
        <v>3.45</v>
      </c>
    </row>
    <row r="654" spans="1:12" x14ac:dyDescent="0.25">
      <c r="A654" t="s">
        <v>701</v>
      </c>
      <c r="B654" s="1">
        <v>45838</v>
      </c>
      <c r="C654" s="1">
        <v>45839</v>
      </c>
      <c r="D654" t="s">
        <v>23</v>
      </c>
      <c r="E654" t="s">
        <v>43</v>
      </c>
      <c r="F654" t="s">
        <v>29</v>
      </c>
      <c r="G654" t="s">
        <v>26</v>
      </c>
      <c r="H654" t="s">
        <v>51</v>
      </c>
      <c r="I654">
        <v>8</v>
      </c>
      <c r="J654">
        <v>0.1</v>
      </c>
      <c r="K654">
        <v>108.55</v>
      </c>
      <c r="L654">
        <v>8.1</v>
      </c>
    </row>
    <row r="655" spans="1:12" x14ac:dyDescent="0.25">
      <c r="A655" t="s">
        <v>702</v>
      </c>
      <c r="B655" s="1">
        <v>45606</v>
      </c>
      <c r="C655" s="1">
        <v>45607</v>
      </c>
      <c r="D655" t="s">
        <v>32</v>
      </c>
      <c r="E655" t="s">
        <v>62</v>
      </c>
      <c r="F655" t="s">
        <v>25</v>
      </c>
      <c r="G655" t="s">
        <v>16</v>
      </c>
      <c r="H655" t="s">
        <v>30</v>
      </c>
      <c r="I655">
        <v>9</v>
      </c>
      <c r="J655">
        <v>0.15</v>
      </c>
      <c r="K655">
        <v>59.91</v>
      </c>
      <c r="L655">
        <v>5.13</v>
      </c>
    </row>
    <row r="656" spans="1:12" x14ac:dyDescent="0.25">
      <c r="A656" t="s">
        <v>703</v>
      </c>
      <c r="B656" s="1">
        <v>45835</v>
      </c>
      <c r="C656" s="1">
        <v>45837</v>
      </c>
      <c r="D656" t="s">
        <v>23</v>
      </c>
      <c r="E656" t="s">
        <v>43</v>
      </c>
      <c r="F656" t="s">
        <v>25</v>
      </c>
      <c r="G656" t="s">
        <v>20</v>
      </c>
      <c r="H656" t="s">
        <v>60</v>
      </c>
      <c r="I656">
        <v>2</v>
      </c>
      <c r="J656">
        <v>0.05</v>
      </c>
      <c r="K656">
        <v>209.09</v>
      </c>
      <c r="L656">
        <v>7</v>
      </c>
    </row>
    <row r="657" spans="1:12" x14ac:dyDescent="0.25">
      <c r="A657" t="s">
        <v>704</v>
      </c>
      <c r="B657" s="1">
        <v>45349</v>
      </c>
      <c r="C657" s="1">
        <v>45353</v>
      </c>
      <c r="D657" t="s">
        <v>47</v>
      </c>
      <c r="E657" t="s">
        <v>50</v>
      </c>
      <c r="F657" t="s">
        <v>29</v>
      </c>
      <c r="G657" t="s">
        <v>26</v>
      </c>
      <c r="H657" t="s">
        <v>17</v>
      </c>
      <c r="I657">
        <v>4</v>
      </c>
      <c r="J657">
        <v>0</v>
      </c>
      <c r="K657">
        <v>461.89</v>
      </c>
      <c r="L657">
        <v>9.5</v>
      </c>
    </row>
    <row r="658" spans="1:12" x14ac:dyDescent="0.25">
      <c r="A658" t="s">
        <v>705</v>
      </c>
      <c r="B658" s="1">
        <v>45451</v>
      </c>
      <c r="C658" s="1">
        <v>45457</v>
      </c>
      <c r="D658" t="s">
        <v>32</v>
      </c>
      <c r="E658" t="s">
        <v>45</v>
      </c>
      <c r="F658" t="s">
        <v>25</v>
      </c>
      <c r="G658" t="s">
        <v>26</v>
      </c>
      <c r="H658" t="s">
        <v>37</v>
      </c>
      <c r="I658">
        <v>2</v>
      </c>
      <c r="J658">
        <v>0.15</v>
      </c>
      <c r="K658">
        <v>200.62</v>
      </c>
      <c r="L658">
        <v>9.1</v>
      </c>
    </row>
    <row r="659" spans="1:12" x14ac:dyDescent="0.25">
      <c r="A659" t="s">
        <v>706</v>
      </c>
      <c r="B659" s="1">
        <v>45357</v>
      </c>
      <c r="C659" s="1">
        <v>45358</v>
      </c>
      <c r="D659" t="s">
        <v>47</v>
      </c>
      <c r="E659" t="s">
        <v>48</v>
      </c>
      <c r="F659" t="s">
        <v>29</v>
      </c>
      <c r="G659" t="s">
        <v>26</v>
      </c>
      <c r="H659" t="s">
        <v>87</v>
      </c>
      <c r="I659">
        <v>8</v>
      </c>
      <c r="J659">
        <v>0.2</v>
      </c>
      <c r="K659">
        <v>51.33</v>
      </c>
      <c r="L659">
        <v>4.8600000000000003</v>
      </c>
    </row>
    <row r="660" spans="1:12" x14ac:dyDescent="0.25">
      <c r="A660" t="s">
        <v>707</v>
      </c>
      <c r="B660" s="1">
        <v>45463</v>
      </c>
      <c r="C660" s="1">
        <v>45464</v>
      </c>
      <c r="D660" t="s">
        <v>47</v>
      </c>
      <c r="E660" t="s">
        <v>48</v>
      </c>
      <c r="F660" t="s">
        <v>29</v>
      </c>
      <c r="G660" t="s">
        <v>20</v>
      </c>
      <c r="H660" t="s">
        <v>37</v>
      </c>
      <c r="I660">
        <v>4</v>
      </c>
      <c r="J660">
        <v>0.2</v>
      </c>
      <c r="K660">
        <v>355.81</v>
      </c>
      <c r="L660">
        <v>13.7</v>
      </c>
    </row>
    <row r="661" spans="1:12" x14ac:dyDescent="0.25">
      <c r="A661" t="s">
        <v>708</v>
      </c>
      <c r="B661" s="1">
        <v>45524</v>
      </c>
      <c r="C661" s="1">
        <v>45527</v>
      </c>
      <c r="D661" t="s">
        <v>23</v>
      </c>
      <c r="E661" t="s">
        <v>43</v>
      </c>
      <c r="F661" t="s">
        <v>25</v>
      </c>
      <c r="G661" t="s">
        <v>26</v>
      </c>
      <c r="H661" t="s">
        <v>51</v>
      </c>
      <c r="I661">
        <v>18</v>
      </c>
      <c r="J661">
        <v>0</v>
      </c>
      <c r="K661">
        <v>243.78</v>
      </c>
      <c r="L661">
        <v>12.6</v>
      </c>
    </row>
    <row r="662" spans="1:12" x14ac:dyDescent="0.25">
      <c r="A662" t="s">
        <v>709</v>
      </c>
      <c r="B662" s="1">
        <v>46000</v>
      </c>
      <c r="C662" s="1">
        <v>46005</v>
      </c>
      <c r="D662" t="s">
        <v>47</v>
      </c>
      <c r="E662" t="s">
        <v>71</v>
      </c>
      <c r="F662" t="s">
        <v>25</v>
      </c>
      <c r="G662" t="s">
        <v>26</v>
      </c>
      <c r="H662" t="s">
        <v>65</v>
      </c>
      <c r="I662">
        <v>4</v>
      </c>
      <c r="J662">
        <v>0.2</v>
      </c>
      <c r="K662">
        <v>1296.3599999999999</v>
      </c>
      <c r="L662">
        <v>13.7</v>
      </c>
    </row>
    <row r="663" spans="1:12" x14ac:dyDescent="0.25">
      <c r="A663" t="s">
        <v>710</v>
      </c>
      <c r="B663" s="1">
        <v>45812</v>
      </c>
      <c r="C663" s="1">
        <v>45818</v>
      </c>
      <c r="D663" t="s">
        <v>32</v>
      </c>
      <c r="E663" t="s">
        <v>62</v>
      </c>
      <c r="F663" t="s">
        <v>29</v>
      </c>
      <c r="G663" t="s">
        <v>16</v>
      </c>
      <c r="H663" t="s">
        <v>63</v>
      </c>
      <c r="I663">
        <v>5</v>
      </c>
      <c r="J663">
        <v>0</v>
      </c>
      <c r="K663">
        <v>64.290000000000006</v>
      </c>
      <c r="L663">
        <v>4.05</v>
      </c>
    </row>
    <row r="664" spans="1:12" x14ac:dyDescent="0.25">
      <c r="A664" t="s">
        <v>711</v>
      </c>
      <c r="B664" s="1">
        <v>45724</v>
      </c>
      <c r="C664" s="1">
        <v>45725</v>
      </c>
      <c r="D664" t="s">
        <v>23</v>
      </c>
      <c r="E664" t="s">
        <v>59</v>
      </c>
      <c r="F664" t="s">
        <v>29</v>
      </c>
      <c r="G664" t="s">
        <v>20</v>
      </c>
      <c r="H664" t="s">
        <v>34</v>
      </c>
      <c r="I664">
        <v>4</v>
      </c>
      <c r="J664">
        <v>0</v>
      </c>
      <c r="K664">
        <v>746.09</v>
      </c>
      <c r="L664">
        <v>8.2200000000000006</v>
      </c>
    </row>
    <row r="665" spans="1:12" x14ac:dyDescent="0.25">
      <c r="A665" t="s">
        <v>712</v>
      </c>
      <c r="B665" s="1">
        <v>45387</v>
      </c>
      <c r="C665" s="1">
        <v>45389</v>
      </c>
      <c r="D665" t="s">
        <v>23</v>
      </c>
      <c r="E665" t="s">
        <v>24</v>
      </c>
      <c r="F665" t="s">
        <v>29</v>
      </c>
      <c r="G665" t="s">
        <v>16</v>
      </c>
      <c r="H665" t="s">
        <v>41</v>
      </c>
      <c r="I665">
        <v>9</v>
      </c>
      <c r="J665">
        <v>0.1</v>
      </c>
      <c r="K665">
        <v>49.82</v>
      </c>
      <c r="L665">
        <v>8.5500000000000007</v>
      </c>
    </row>
    <row r="666" spans="1:12" x14ac:dyDescent="0.25">
      <c r="A666" t="s">
        <v>713</v>
      </c>
      <c r="B666" s="1">
        <v>45812</v>
      </c>
      <c r="C666" s="1">
        <v>45813</v>
      </c>
      <c r="D666" t="s">
        <v>32</v>
      </c>
      <c r="E666" t="s">
        <v>45</v>
      </c>
      <c r="F666" t="s">
        <v>25</v>
      </c>
      <c r="G666" t="s">
        <v>16</v>
      </c>
      <c r="H666" t="s">
        <v>53</v>
      </c>
      <c r="I666">
        <v>2</v>
      </c>
      <c r="J666">
        <v>0</v>
      </c>
      <c r="K666">
        <v>114.15</v>
      </c>
      <c r="L666">
        <v>7</v>
      </c>
    </row>
    <row r="667" spans="1:12" x14ac:dyDescent="0.25">
      <c r="A667" t="s">
        <v>714</v>
      </c>
      <c r="B667" s="1">
        <v>45872</v>
      </c>
      <c r="C667" s="1">
        <v>45873</v>
      </c>
      <c r="D667" t="s">
        <v>23</v>
      </c>
      <c r="E667" t="s">
        <v>43</v>
      </c>
      <c r="F667" t="s">
        <v>29</v>
      </c>
      <c r="G667" t="s">
        <v>20</v>
      </c>
      <c r="H667" t="s">
        <v>37</v>
      </c>
      <c r="I667">
        <v>4</v>
      </c>
      <c r="J667">
        <v>0</v>
      </c>
      <c r="K667">
        <v>416.92</v>
      </c>
      <c r="L667">
        <v>8.2200000000000006</v>
      </c>
    </row>
    <row r="668" spans="1:12" x14ac:dyDescent="0.25">
      <c r="A668" t="s">
        <v>715</v>
      </c>
      <c r="B668" s="1">
        <v>45574</v>
      </c>
      <c r="C668" s="1">
        <v>45579</v>
      </c>
      <c r="D668" t="s">
        <v>32</v>
      </c>
      <c r="E668" t="s">
        <v>33</v>
      </c>
      <c r="F668" t="s">
        <v>29</v>
      </c>
      <c r="G668" t="s">
        <v>20</v>
      </c>
      <c r="H668" t="s">
        <v>63</v>
      </c>
      <c r="I668">
        <v>13</v>
      </c>
      <c r="J668">
        <v>0</v>
      </c>
      <c r="K668">
        <v>174.63</v>
      </c>
      <c r="L668">
        <v>6.21</v>
      </c>
    </row>
    <row r="669" spans="1:12" x14ac:dyDescent="0.25">
      <c r="A669" t="s">
        <v>716</v>
      </c>
      <c r="B669" s="1">
        <v>45775</v>
      </c>
      <c r="C669" s="1">
        <v>45778</v>
      </c>
      <c r="D669" t="s">
        <v>47</v>
      </c>
      <c r="E669" t="s">
        <v>50</v>
      </c>
      <c r="F669" t="s">
        <v>15</v>
      </c>
      <c r="G669" t="s">
        <v>16</v>
      </c>
      <c r="H669" t="s">
        <v>53</v>
      </c>
      <c r="I669">
        <v>4</v>
      </c>
      <c r="J669">
        <v>0.15</v>
      </c>
      <c r="K669">
        <v>198.35</v>
      </c>
      <c r="L669">
        <v>5.7</v>
      </c>
    </row>
    <row r="670" spans="1:12" x14ac:dyDescent="0.25">
      <c r="A670" t="s">
        <v>717</v>
      </c>
      <c r="B670" s="1">
        <v>45407</v>
      </c>
      <c r="C670" s="1">
        <v>45410</v>
      </c>
      <c r="D670" t="s">
        <v>47</v>
      </c>
      <c r="E670" t="s">
        <v>50</v>
      </c>
      <c r="F670" t="s">
        <v>29</v>
      </c>
      <c r="G670" t="s">
        <v>26</v>
      </c>
      <c r="H670" t="s">
        <v>51</v>
      </c>
      <c r="I670">
        <v>10</v>
      </c>
      <c r="J670">
        <v>0</v>
      </c>
      <c r="K670">
        <v>136.6</v>
      </c>
      <c r="L670">
        <v>5.4</v>
      </c>
    </row>
    <row r="671" spans="1:12" x14ac:dyDescent="0.25">
      <c r="A671" t="s">
        <v>718</v>
      </c>
      <c r="B671" s="1">
        <v>45644</v>
      </c>
      <c r="C671" s="1">
        <v>45647</v>
      </c>
      <c r="D671" t="s">
        <v>13</v>
      </c>
      <c r="E671" t="s">
        <v>36</v>
      </c>
      <c r="F671" t="s">
        <v>15</v>
      </c>
      <c r="G671" t="s">
        <v>20</v>
      </c>
      <c r="H671" t="s">
        <v>30</v>
      </c>
      <c r="I671">
        <v>10</v>
      </c>
      <c r="J671">
        <v>0.05</v>
      </c>
      <c r="K671">
        <v>79.930000000000007</v>
      </c>
      <c r="L671">
        <v>9</v>
      </c>
    </row>
    <row r="672" spans="1:12" x14ac:dyDescent="0.25">
      <c r="A672" t="s">
        <v>719</v>
      </c>
      <c r="B672" s="1">
        <v>45416</v>
      </c>
      <c r="C672" s="1">
        <v>45419</v>
      </c>
      <c r="D672" t="s">
        <v>23</v>
      </c>
      <c r="E672" t="s">
        <v>59</v>
      </c>
      <c r="F672" t="s">
        <v>29</v>
      </c>
      <c r="G672" t="s">
        <v>16</v>
      </c>
      <c r="H672" t="s">
        <v>53</v>
      </c>
      <c r="I672">
        <v>4</v>
      </c>
      <c r="J672">
        <v>0.2</v>
      </c>
      <c r="K672">
        <v>186.24</v>
      </c>
      <c r="L672">
        <v>5.7</v>
      </c>
    </row>
    <row r="673" spans="1:12" x14ac:dyDescent="0.25">
      <c r="A673" t="s">
        <v>720</v>
      </c>
      <c r="B673" s="1">
        <v>45866</v>
      </c>
      <c r="C673" s="1">
        <v>45871</v>
      </c>
      <c r="D673" t="s">
        <v>47</v>
      </c>
      <c r="E673" t="s">
        <v>48</v>
      </c>
      <c r="F673" t="s">
        <v>25</v>
      </c>
      <c r="G673" t="s">
        <v>26</v>
      </c>
      <c r="H673" t="s">
        <v>51</v>
      </c>
      <c r="I673">
        <v>8</v>
      </c>
      <c r="J673">
        <v>0.05</v>
      </c>
      <c r="K673">
        <v>104.04</v>
      </c>
      <c r="L673">
        <v>8.1</v>
      </c>
    </row>
    <row r="674" spans="1:12" x14ac:dyDescent="0.25">
      <c r="A674" t="s">
        <v>721</v>
      </c>
      <c r="B674" s="1">
        <v>45329</v>
      </c>
      <c r="C674" s="1">
        <v>45334</v>
      </c>
      <c r="D674" t="s">
        <v>47</v>
      </c>
      <c r="E674" t="s">
        <v>50</v>
      </c>
      <c r="F674" t="s">
        <v>15</v>
      </c>
      <c r="G674" t="s">
        <v>26</v>
      </c>
      <c r="H674" t="s">
        <v>68</v>
      </c>
      <c r="I674">
        <v>3</v>
      </c>
      <c r="J674">
        <v>0.05</v>
      </c>
      <c r="K674">
        <v>138.27000000000001</v>
      </c>
      <c r="L674">
        <v>4.95</v>
      </c>
    </row>
    <row r="675" spans="1:12" x14ac:dyDescent="0.25">
      <c r="A675" t="s">
        <v>722</v>
      </c>
      <c r="B675" s="1">
        <v>45971</v>
      </c>
      <c r="C675" s="1">
        <v>45976</v>
      </c>
      <c r="D675" t="s">
        <v>23</v>
      </c>
      <c r="E675" t="s">
        <v>43</v>
      </c>
      <c r="F675" t="s">
        <v>29</v>
      </c>
      <c r="G675" t="s">
        <v>16</v>
      </c>
      <c r="H675" t="s">
        <v>17</v>
      </c>
      <c r="I675">
        <v>4</v>
      </c>
      <c r="J675">
        <v>0</v>
      </c>
      <c r="K675">
        <v>713.61</v>
      </c>
      <c r="L675">
        <v>5.7</v>
      </c>
    </row>
    <row r="676" spans="1:12" x14ac:dyDescent="0.25">
      <c r="A676" t="s">
        <v>723</v>
      </c>
      <c r="B676" s="1">
        <v>45530</v>
      </c>
      <c r="C676" s="1">
        <v>45536</v>
      </c>
      <c r="D676" t="s">
        <v>32</v>
      </c>
      <c r="E676" t="s">
        <v>62</v>
      </c>
      <c r="F676" t="s">
        <v>25</v>
      </c>
      <c r="G676" t="s">
        <v>20</v>
      </c>
      <c r="H676" t="s">
        <v>21</v>
      </c>
      <c r="I676">
        <v>3</v>
      </c>
      <c r="J676">
        <v>0</v>
      </c>
      <c r="K676">
        <v>304.38</v>
      </c>
      <c r="L676">
        <v>11.4</v>
      </c>
    </row>
    <row r="677" spans="1:12" x14ac:dyDescent="0.25">
      <c r="A677" t="s">
        <v>724</v>
      </c>
      <c r="B677" s="1">
        <v>45789</v>
      </c>
      <c r="C677" s="1">
        <v>45792</v>
      </c>
      <c r="D677" t="s">
        <v>23</v>
      </c>
      <c r="E677" t="s">
        <v>59</v>
      </c>
      <c r="F677" t="s">
        <v>25</v>
      </c>
      <c r="G677" t="s">
        <v>26</v>
      </c>
      <c r="H677" t="s">
        <v>87</v>
      </c>
      <c r="I677">
        <v>10</v>
      </c>
      <c r="J677">
        <v>0</v>
      </c>
      <c r="K677">
        <v>83.64</v>
      </c>
      <c r="L677">
        <v>9</v>
      </c>
    </row>
    <row r="678" spans="1:12" x14ac:dyDescent="0.25">
      <c r="A678" t="s">
        <v>725</v>
      </c>
      <c r="B678" s="1">
        <v>45877</v>
      </c>
      <c r="C678" s="1">
        <v>45878</v>
      </c>
      <c r="D678" t="s">
        <v>13</v>
      </c>
      <c r="E678" t="s">
        <v>36</v>
      </c>
      <c r="F678" t="s">
        <v>15</v>
      </c>
      <c r="G678" t="s">
        <v>26</v>
      </c>
      <c r="H678" t="s">
        <v>30</v>
      </c>
      <c r="I678">
        <v>13</v>
      </c>
      <c r="J678">
        <v>0</v>
      </c>
      <c r="K678">
        <v>73.14</v>
      </c>
      <c r="L678">
        <v>10.35</v>
      </c>
    </row>
    <row r="679" spans="1:12" x14ac:dyDescent="0.25">
      <c r="A679" t="s">
        <v>726</v>
      </c>
      <c r="B679" s="1">
        <v>45786</v>
      </c>
      <c r="C679" s="1">
        <v>45788</v>
      </c>
      <c r="D679" t="s">
        <v>47</v>
      </c>
      <c r="E679" t="s">
        <v>50</v>
      </c>
      <c r="F679" t="s">
        <v>15</v>
      </c>
      <c r="G679" t="s">
        <v>26</v>
      </c>
      <c r="H679" t="s">
        <v>37</v>
      </c>
      <c r="I679">
        <v>1</v>
      </c>
      <c r="J679">
        <v>0</v>
      </c>
      <c r="K679">
        <v>110.1</v>
      </c>
      <c r="L679">
        <v>6.8</v>
      </c>
    </row>
    <row r="680" spans="1:12" x14ac:dyDescent="0.25">
      <c r="A680" t="s">
        <v>727</v>
      </c>
      <c r="B680" s="1">
        <v>45892</v>
      </c>
      <c r="C680" s="1">
        <v>45893</v>
      </c>
      <c r="D680" t="s">
        <v>23</v>
      </c>
      <c r="E680" t="s">
        <v>24</v>
      </c>
      <c r="F680" t="s">
        <v>15</v>
      </c>
      <c r="G680" t="s">
        <v>20</v>
      </c>
      <c r="H680" t="s">
        <v>51</v>
      </c>
      <c r="I680">
        <v>5</v>
      </c>
      <c r="J680">
        <v>0.1</v>
      </c>
      <c r="K680">
        <v>66.67</v>
      </c>
      <c r="L680">
        <v>4.05</v>
      </c>
    </row>
    <row r="681" spans="1:12" x14ac:dyDescent="0.25">
      <c r="A681" t="s">
        <v>728</v>
      </c>
      <c r="B681" s="1">
        <v>45758</v>
      </c>
      <c r="C681" s="1">
        <v>45762</v>
      </c>
      <c r="D681" t="s">
        <v>47</v>
      </c>
      <c r="E681" t="s">
        <v>71</v>
      </c>
      <c r="F681" t="s">
        <v>25</v>
      </c>
      <c r="G681" t="s">
        <v>16</v>
      </c>
      <c r="H681" t="s">
        <v>53</v>
      </c>
      <c r="I681">
        <v>1</v>
      </c>
      <c r="J681">
        <v>0.05</v>
      </c>
      <c r="K681">
        <v>52.62</v>
      </c>
      <c r="L681">
        <v>3.45</v>
      </c>
    </row>
    <row r="682" spans="1:12" x14ac:dyDescent="0.25">
      <c r="A682" t="s">
        <v>729</v>
      </c>
      <c r="B682" s="1">
        <v>45879</v>
      </c>
      <c r="C682" s="1">
        <v>45881</v>
      </c>
      <c r="D682" t="s">
        <v>13</v>
      </c>
      <c r="E682" t="s">
        <v>14</v>
      </c>
      <c r="F682" t="s">
        <v>25</v>
      </c>
      <c r="G682" t="s">
        <v>26</v>
      </c>
      <c r="H682" t="s">
        <v>37</v>
      </c>
      <c r="I682">
        <v>4</v>
      </c>
      <c r="J682">
        <v>0</v>
      </c>
      <c r="K682">
        <v>398.85</v>
      </c>
      <c r="L682">
        <v>13.7</v>
      </c>
    </row>
    <row r="683" spans="1:12" x14ac:dyDescent="0.25">
      <c r="A683" t="s">
        <v>730</v>
      </c>
      <c r="B683" s="1">
        <v>45406</v>
      </c>
      <c r="C683" s="1">
        <v>45407</v>
      </c>
      <c r="D683" t="s">
        <v>13</v>
      </c>
      <c r="E683" t="s">
        <v>14</v>
      </c>
      <c r="F683" t="s">
        <v>29</v>
      </c>
      <c r="G683" t="s">
        <v>26</v>
      </c>
      <c r="H683" t="s">
        <v>27</v>
      </c>
      <c r="I683">
        <v>4</v>
      </c>
      <c r="J683">
        <v>0.15</v>
      </c>
      <c r="K683">
        <v>90.35</v>
      </c>
      <c r="L683">
        <v>3.78</v>
      </c>
    </row>
    <row r="684" spans="1:12" x14ac:dyDescent="0.25">
      <c r="A684" t="s">
        <v>731</v>
      </c>
      <c r="B684" s="1">
        <v>45494</v>
      </c>
      <c r="C684" s="1">
        <v>45496</v>
      </c>
      <c r="D684" t="s">
        <v>13</v>
      </c>
      <c r="E684" t="s">
        <v>36</v>
      </c>
      <c r="F684" t="s">
        <v>29</v>
      </c>
      <c r="G684" t="s">
        <v>20</v>
      </c>
      <c r="H684" t="s">
        <v>51</v>
      </c>
      <c r="I684">
        <v>13</v>
      </c>
      <c r="J684">
        <v>0</v>
      </c>
      <c r="K684">
        <v>173.31</v>
      </c>
      <c r="L684">
        <v>6.21</v>
      </c>
    </row>
    <row r="685" spans="1:12" x14ac:dyDescent="0.25">
      <c r="A685" t="s">
        <v>732</v>
      </c>
      <c r="B685" s="1">
        <v>45854</v>
      </c>
      <c r="C685" s="1">
        <v>45856</v>
      </c>
      <c r="D685" t="s">
        <v>23</v>
      </c>
      <c r="E685" t="s">
        <v>24</v>
      </c>
      <c r="F685" t="s">
        <v>25</v>
      </c>
      <c r="G685" t="s">
        <v>20</v>
      </c>
      <c r="H685" t="s">
        <v>30</v>
      </c>
      <c r="I685">
        <v>13</v>
      </c>
      <c r="J685">
        <v>0</v>
      </c>
      <c r="K685">
        <v>70.489999999999995</v>
      </c>
      <c r="L685">
        <v>6.21</v>
      </c>
    </row>
    <row r="686" spans="1:12" x14ac:dyDescent="0.25">
      <c r="A686" t="s">
        <v>733</v>
      </c>
      <c r="B686" s="1">
        <v>45618</v>
      </c>
      <c r="C686" s="1">
        <v>45621</v>
      </c>
      <c r="D686" t="s">
        <v>32</v>
      </c>
      <c r="E686" t="s">
        <v>62</v>
      </c>
      <c r="F686" t="s">
        <v>29</v>
      </c>
      <c r="G686" t="s">
        <v>20</v>
      </c>
      <c r="H686" t="s">
        <v>37</v>
      </c>
      <c r="I686">
        <v>2</v>
      </c>
      <c r="J686">
        <v>0</v>
      </c>
      <c r="K686">
        <v>292.83999999999997</v>
      </c>
      <c r="L686">
        <v>5.46</v>
      </c>
    </row>
    <row r="687" spans="1:12" x14ac:dyDescent="0.25">
      <c r="A687" t="s">
        <v>734</v>
      </c>
      <c r="B687" s="1">
        <v>45356</v>
      </c>
      <c r="C687" s="1">
        <v>45361</v>
      </c>
      <c r="D687" t="s">
        <v>47</v>
      </c>
      <c r="E687" t="s">
        <v>50</v>
      </c>
      <c r="F687" t="s">
        <v>15</v>
      </c>
      <c r="G687" t="s">
        <v>20</v>
      </c>
      <c r="H687" t="s">
        <v>17</v>
      </c>
      <c r="I687">
        <v>4</v>
      </c>
      <c r="J687">
        <v>0.1</v>
      </c>
      <c r="K687">
        <v>424.33</v>
      </c>
      <c r="L687">
        <v>5.7</v>
      </c>
    </row>
    <row r="688" spans="1:12" x14ac:dyDescent="0.25">
      <c r="A688" t="s">
        <v>735</v>
      </c>
      <c r="B688" s="1">
        <v>45875</v>
      </c>
      <c r="C688" s="1">
        <v>45881</v>
      </c>
      <c r="D688" t="s">
        <v>13</v>
      </c>
      <c r="E688" t="s">
        <v>19</v>
      </c>
      <c r="F688" t="s">
        <v>29</v>
      </c>
      <c r="G688" t="s">
        <v>16</v>
      </c>
      <c r="H688" t="s">
        <v>39</v>
      </c>
      <c r="I688">
        <v>2</v>
      </c>
      <c r="J688">
        <v>0.15</v>
      </c>
      <c r="K688">
        <v>295.94</v>
      </c>
      <c r="L688">
        <v>4.2</v>
      </c>
    </row>
    <row r="689" spans="1:12" x14ac:dyDescent="0.25">
      <c r="A689" t="s">
        <v>736</v>
      </c>
      <c r="B689" s="1">
        <v>45328</v>
      </c>
      <c r="C689" s="1">
        <v>45334</v>
      </c>
      <c r="D689" t="s">
        <v>47</v>
      </c>
      <c r="E689" t="s">
        <v>48</v>
      </c>
      <c r="F689" t="s">
        <v>29</v>
      </c>
      <c r="G689" t="s">
        <v>20</v>
      </c>
      <c r="H689" t="s">
        <v>17</v>
      </c>
      <c r="I689">
        <v>4</v>
      </c>
      <c r="J689">
        <v>0.15</v>
      </c>
      <c r="K689">
        <v>403.87</v>
      </c>
      <c r="L689">
        <v>9.5</v>
      </c>
    </row>
    <row r="690" spans="1:12" x14ac:dyDescent="0.25">
      <c r="A690" t="s">
        <v>737</v>
      </c>
      <c r="B690" s="1">
        <v>45433</v>
      </c>
      <c r="C690" s="1">
        <v>45438</v>
      </c>
      <c r="D690" t="s">
        <v>32</v>
      </c>
      <c r="E690" t="s">
        <v>62</v>
      </c>
      <c r="F690" t="s">
        <v>15</v>
      </c>
      <c r="G690" t="s">
        <v>20</v>
      </c>
      <c r="H690" t="s">
        <v>41</v>
      </c>
      <c r="I690">
        <v>10</v>
      </c>
      <c r="J690">
        <v>0</v>
      </c>
      <c r="K690">
        <v>61.08</v>
      </c>
      <c r="L690">
        <v>9</v>
      </c>
    </row>
    <row r="691" spans="1:12" x14ac:dyDescent="0.25">
      <c r="A691" t="s">
        <v>738</v>
      </c>
      <c r="B691" s="1">
        <v>45548</v>
      </c>
      <c r="C691" s="1">
        <v>45549</v>
      </c>
      <c r="D691" t="s">
        <v>23</v>
      </c>
      <c r="E691" t="s">
        <v>59</v>
      </c>
      <c r="F691" t="s">
        <v>15</v>
      </c>
      <c r="G691" t="s">
        <v>26</v>
      </c>
      <c r="H691" t="s">
        <v>17</v>
      </c>
      <c r="I691">
        <v>1</v>
      </c>
      <c r="J691">
        <v>0.1</v>
      </c>
      <c r="K691">
        <v>118.67</v>
      </c>
      <c r="L691">
        <v>3.45</v>
      </c>
    </row>
    <row r="692" spans="1:12" x14ac:dyDescent="0.25">
      <c r="A692" t="s">
        <v>739</v>
      </c>
      <c r="B692" s="1">
        <v>45567</v>
      </c>
      <c r="C692" s="1">
        <v>45568</v>
      </c>
      <c r="D692" t="s">
        <v>47</v>
      </c>
      <c r="E692" t="s">
        <v>50</v>
      </c>
      <c r="F692" t="s">
        <v>29</v>
      </c>
      <c r="G692" t="s">
        <v>26</v>
      </c>
      <c r="H692" t="s">
        <v>87</v>
      </c>
      <c r="I692">
        <v>14</v>
      </c>
      <c r="J692">
        <v>0</v>
      </c>
      <c r="K692">
        <v>133.18</v>
      </c>
      <c r="L692">
        <v>6.48</v>
      </c>
    </row>
    <row r="693" spans="1:12" x14ac:dyDescent="0.25">
      <c r="A693" t="s">
        <v>740</v>
      </c>
      <c r="B693" s="1">
        <v>45403</v>
      </c>
      <c r="C693" s="1">
        <v>45404</v>
      </c>
      <c r="D693" t="s">
        <v>32</v>
      </c>
      <c r="E693" t="s">
        <v>45</v>
      </c>
      <c r="F693" t="s">
        <v>15</v>
      </c>
      <c r="G693" t="s">
        <v>26</v>
      </c>
      <c r="H693" t="s">
        <v>68</v>
      </c>
      <c r="I693">
        <v>3</v>
      </c>
      <c r="J693">
        <v>0.05</v>
      </c>
      <c r="K693">
        <v>137.59</v>
      </c>
      <c r="L693">
        <v>8.25</v>
      </c>
    </row>
    <row r="694" spans="1:12" x14ac:dyDescent="0.25">
      <c r="A694" t="s">
        <v>741</v>
      </c>
      <c r="B694" s="1">
        <v>45740</v>
      </c>
      <c r="C694" s="1">
        <v>45743</v>
      </c>
      <c r="D694" t="s">
        <v>23</v>
      </c>
      <c r="E694" t="s">
        <v>59</v>
      </c>
      <c r="F694" t="s">
        <v>29</v>
      </c>
      <c r="G694" t="s">
        <v>16</v>
      </c>
      <c r="H694" t="s">
        <v>87</v>
      </c>
      <c r="I694">
        <v>10</v>
      </c>
      <c r="J694">
        <v>0</v>
      </c>
      <c r="K694">
        <v>74.48</v>
      </c>
      <c r="L694">
        <v>5.4</v>
      </c>
    </row>
    <row r="695" spans="1:12" x14ac:dyDescent="0.25">
      <c r="A695" t="s">
        <v>742</v>
      </c>
      <c r="B695" s="1">
        <v>45758</v>
      </c>
      <c r="C695" s="1">
        <v>45763</v>
      </c>
      <c r="D695" t="s">
        <v>13</v>
      </c>
      <c r="E695" t="s">
        <v>14</v>
      </c>
      <c r="F695" t="s">
        <v>25</v>
      </c>
      <c r="G695" t="s">
        <v>20</v>
      </c>
      <c r="H695" t="s">
        <v>65</v>
      </c>
      <c r="I695">
        <v>1</v>
      </c>
      <c r="J695">
        <v>0</v>
      </c>
      <c r="K695">
        <v>288.8</v>
      </c>
      <c r="L695">
        <v>6.8</v>
      </c>
    </row>
    <row r="696" spans="1:12" x14ac:dyDescent="0.25">
      <c r="A696" t="s">
        <v>743</v>
      </c>
      <c r="B696" s="1">
        <v>45423</v>
      </c>
      <c r="C696" s="1">
        <v>45424</v>
      </c>
      <c r="D696" t="s">
        <v>47</v>
      </c>
      <c r="E696" t="s">
        <v>48</v>
      </c>
      <c r="F696" t="s">
        <v>29</v>
      </c>
      <c r="G696" t="s">
        <v>20</v>
      </c>
      <c r="H696" t="s">
        <v>65</v>
      </c>
      <c r="I696">
        <v>1</v>
      </c>
      <c r="J696">
        <v>0.05</v>
      </c>
      <c r="K696">
        <v>261.89999999999998</v>
      </c>
      <c r="L696">
        <v>4.08</v>
      </c>
    </row>
    <row r="697" spans="1:12" x14ac:dyDescent="0.25">
      <c r="A697" t="s">
        <v>744</v>
      </c>
      <c r="B697" s="1">
        <v>45601</v>
      </c>
      <c r="C697" s="1">
        <v>45602</v>
      </c>
      <c r="D697" t="s">
        <v>23</v>
      </c>
      <c r="E697" t="s">
        <v>43</v>
      </c>
      <c r="F697" t="s">
        <v>25</v>
      </c>
      <c r="G697" t="s">
        <v>20</v>
      </c>
      <c r="H697" t="s">
        <v>63</v>
      </c>
      <c r="I697">
        <v>3</v>
      </c>
      <c r="J697">
        <v>0.15</v>
      </c>
      <c r="K697">
        <v>40.33</v>
      </c>
      <c r="L697">
        <v>3.51</v>
      </c>
    </row>
    <row r="698" spans="1:12" x14ac:dyDescent="0.25">
      <c r="A698" t="s">
        <v>745</v>
      </c>
      <c r="B698" s="1">
        <v>45874</v>
      </c>
      <c r="C698" s="1">
        <v>45875</v>
      </c>
      <c r="D698" t="s">
        <v>47</v>
      </c>
      <c r="E698" t="s">
        <v>71</v>
      </c>
      <c r="F698" t="s">
        <v>29</v>
      </c>
      <c r="G698" t="s">
        <v>26</v>
      </c>
      <c r="H698" t="s">
        <v>41</v>
      </c>
      <c r="I698">
        <v>9</v>
      </c>
      <c r="J698">
        <v>0</v>
      </c>
      <c r="K698">
        <v>50.11</v>
      </c>
      <c r="L698">
        <v>5.13</v>
      </c>
    </row>
    <row r="699" spans="1:12" x14ac:dyDescent="0.25">
      <c r="A699" t="s">
        <v>746</v>
      </c>
      <c r="B699" s="1">
        <v>45413</v>
      </c>
      <c r="C699" s="1">
        <v>45417</v>
      </c>
      <c r="D699" t="s">
        <v>32</v>
      </c>
      <c r="E699" t="s">
        <v>45</v>
      </c>
      <c r="F699" t="s">
        <v>29</v>
      </c>
      <c r="G699" t="s">
        <v>16</v>
      </c>
      <c r="H699" t="s">
        <v>53</v>
      </c>
      <c r="I699">
        <v>2</v>
      </c>
      <c r="J699">
        <v>0</v>
      </c>
      <c r="K699">
        <v>116.58</v>
      </c>
      <c r="L699">
        <v>4.2</v>
      </c>
    </row>
    <row r="700" spans="1:12" x14ac:dyDescent="0.25">
      <c r="A700" t="s">
        <v>747</v>
      </c>
      <c r="B700" s="1">
        <v>45663</v>
      </c>
      <c r="C700" s="1">
        <v>45665</v>
      </c>
      <c r="D700" t="s">
        <v>23</v>
      </c>
      <c r="E700" t="s">
        <v>43</v>
      </c>
      <c r="F700" t="s">
        <v>25</v>
      </c>
      <c r="G700" t="s">
        <v>26</v>
      </c>
      <c r="H700" t="s">
        <v>17</v>
      </c>
      <c r="I700">
        <v>1</v>
      </c>
      <c r="J700">
        <v>0</v>
      </c>
      <c r="K700">
        <v>113.77</v>
      </c>
      <c r="L700">
        <v>3.45</v>
      </c>
    </row>
    <row r="701" spans="1:12" x14ac:dyDescent="0.25">
      <c r="A701" t="s">
        <v>748</v>
      </c>
      <c r="B701" s="1">
        <v>45743</v>
      </c>
      <c r="C701" s="1">
        <v>45745</v>
      </c>
      <c r="D701" t="s">
        <v>47</v>
      </c>
      <c r="E701" t="s">
        <v>50</v>
      </c>
      <c r="F701" t="s">
        <v>29</v>
      </c>
      <c r="G701" t="s">
        <v>20</v>
      </c>
      <c r="H701" t="s">
        <v>53</v>
      </c>
      <c r="I701">
        <v>3</v>
      </c>
      <c r="J701">
        <v>0</v>
      </c>
      <c r="K701">
        <v>165.84</v>
      </c>
      <c r="L701">
        <v>8.25</v>
      </c>
    </row>
    <row r="702" spans="1:12" x14ac:dyDescent="0.25">
      <c r="A702" t="s">
        <v>749</v>
      </c>
      <c r="B702" s="1">
        <v>45518</v>
      </c>
      <c r="C702" s="1">
        <v>45519</v>
      </c>
      <c r="D702" t="s">
        <v>32</v>
      </c>
      <c r="E702" t="s">
        <v>62</v>
      </c>
      <c r="F702" t="s">
        <v>25</v>
      </c>
      <c r="G702" t="s">
        <v>26</v>
      </c>
      <c r="H702" t="s">
        <v>68</v>
      </c>
      <c r="I702">
        <v>4</v>
      </c>
      <c r="J702">
        <v>0.15</v>
      </c>
      <c r="K702">
        <v>164.85</v>
      </c>
      <c r="L702">
        <v>9.5</v>
      </c>
    </row>
    <row r="703" spans="1:12" x14ac:dyDescent="0.25">
      <c r="A703" t="s">
        <v>750</v>
      </c>
      <c r="B703" s="1">
        <v>45341</v>
      </c>
      <c r="C703" s="1">
        <v>45345</v>
      </c>
      <c r="D703" t="s">
        <v>47</v>
      </c>
      <c r="E703" t="s">
        <v>50</v>
      </c>
      <c r="F703" t="s">
        <v>15</v>
      </c>
      <c r="G703" t="s">
        <v>20</v>
      </c>
      <c r="H703" t="s">
        <v>30</v>
      </c>
      <c r="I703">
        <v>8</v>
      </c>
      <c r="J703">
        <v>0.1</v>
      </c>
      <c r="K703">
        <v>39.81</v>
      </c>
      <c r="L703">
        <v>4.8600000000000003</v>
      </c>
    </row>
    <row r="704" spans="1:12" x14ac:dyDescent="0.25">
      <c r="A704" t="s">
        <v>751</v>
      </c>
      <c r="B704" s="1">
        <v>46016</v>
      </c>
      <c r="C704" s="1">
        <v>46021</v>
      </c>
      <c r="D704" t="s">
        <v>32</v>
      </c>
      <c r="E704" t="s">
        <v>45</v>
      </c>
      <c r="F704" t="s">
        <v>29</v>
      </c>
      <c r="G704" t="s">
        <v>20</v>
      </c>
      <c r="H704" t="s">
        <v>21</v>
      </c>
      <c r="I704">
        <v>4</v>
      </c>
      <c r="J704">
        <v>0</v>
      </c>
      <c r="K704">
        <v>619.28</v>
      </c>
      <c r="L704">
        <v>13.7</v>
      </c>
    </row>
    <row r="705" spans="1:12" x14ac:dyDescent="0.25">
      <c r="A705" t="s">
        <v>752</v>
      </c>
      <c r="B705" s="1">
        <v>45727</v>
      </c>
      <c r="C705" s="1">
        <v>45728</v>
      </c>
      <c r="D705" t="s">
        <v>23</v>
      </c>
      <c r="E705" t="s">
        <v>59</v>
      </c>
      <c r="F705" t="s">
        <v>29</v>
      </c>
      <c r="G705" t="s">
        <v>26</v>
      </c>
      <c r="H705" t="s">
        <v>37</v>
      </c>
      <c r="I705">
        <v>3</v>
      </c>
      <c r="J705">
        <v>0</v>
      </c>
      <c r="K705">
        <v>310.10000000000002</v>
      </c>
      <c r="L705">
        <v>11.4</v>
      </c>
    </row>
    <row r="706" spans="1:12" x14ac:dyDescent="0.25">
      <c r="A706" t="s">
        <v>753</v>
      </c>
      <c r="B706" s="1">
        <v>45429</v>
      </c>
      <c r="C706" s="1">
        <v>45431</v>
      </c>
      <c r="D706" t="s">
        <v>23</v>
      </c>
      <c r="E706" t="s">
        <v>43</v>
      </c>
      <c r="F706" t="s">
        <v>15</v>
      </c>
      <c r="G706" t="s">
        <v>16</v>
      </c>
      <c r="H706" t="s">
        <v>87</v>
      </c>
      <c r="I706">
        <v>10</v>
      </c>
      <c r="J706">
        <v>0.2</v>
      </c>
      <c r="K706">
        <v>70.819999999999993</v>
      </c>
      <c r="L706">
        <v>9</v>
      </c>
    </row>
    <row r="707" spans="1:12" x14ac:dyDescent="0.25">
      <c r="A707" t="s">
        <v>754</v>
      </c>
      <c r="B707" s="1">
        <v>45828</v>
      </c>
      <c r="C707" s="1">
        <v>45834</v>
      </c>
      <c r="D707" t="s">
        <v>32</v>
      </c>
      <c r="E707" t="s">
        <v>45</v>
      </c>
      <c r="F707" t="s">
        <v>29</v>
      </c>
      <c r="G707" t="s">
        <v>20</v>
      </c>
      <c r="H707" t="s">
        <v>30</v>
      </c>
      <c r="I707">
        <v>14</v>
      </c>
      <c r="J707">
        <v>0.25</v>
      </c>
      <c r="K707">
        <v>67.489999999999995</v>
      </c>
      <c r="L707">
        <v>10.8</v>
      </c>
    </row>
    <row r="708" spans="1:12" x14ac:dyDescent="0.25">
      <c r="A708" t="s">
        <v>755</v>
      </c>
      <c r="B708" s="1">
        <v>45812</v>
      </c>
      <c r="C708" s="1">
        <v>45816</v>
      </c>
      <c r="D708" t="s">
        <v>23</v>
      </c>
      <c r="E708" t="s">
        <v>43</v>
      </c>
      <c r="F708" t="s">
        <v>25</v>
      </c>
      <c r="G708" t="s">
        <v>26</v>
      </c>
      <c r="H708" t="s">
        <v>27</v>
      </c>
      <c r="I708">
        <v>8</v>
      </c>
      <c r="J708">
        <v>0</v>
      </c>
      <c r="K708">
        <v>238.04</v>
      </c>
      <c r="L708">
        <v>8.1</v>
      </c>
    </row>
    <row r="709" spans="1:12" x14ac:dyDescent="0.25">
      <c r="A709" t="s">
        <v>756</v>
      </c>
      <c r="B709" s="1">
        <v>45665</v>
      </c>
      <c r="C709" s="1">
        <v>45669</v>
      </c>
      <c r="D709" t="s">
        <v>47</v>
      </c>
      <c r="E709" t="s">
        <v>48</v>
      </c>
      <c r="F709" t="s">
        <v>25</v>
      </c>
      <c r="G709" t="s">
        <v>20</v>
      </c>
      <c r="H709" t="s">
        <v>39</v>
      </c>
      <c r="I709">
        <v>1</v>
      </c>
      <c r="J709">
        <v>0</v>
      </c>
      <c r="K709">
        <v>163.78</v>
      </c>
      <c r="L709">
        <v>5.75</v>
      </c>
    </row>
    <row r="710" spans="1:12" x14ac:dyDescent="0.25">
      <c r="A710" t="s">
        <v>757</v>
      </c>
      <c r="B710" s="1">
        <v>45453</v>
      </c>
      <c r="C710" s="1">
        <v>45456</v>
      </c>
      <c r="D710" t="s">
        <v>47</v>
      </c>
      <c r="E710" t="s">
        <v>48</v>
      </c>
      <c r="F710" t="s">
        <v>25</v>
      </c>
      <c r="G710" t="s">
        <v>16</v>
      </c>
      <c r="H710" t="s">
        <v>60</v>
      </c>
      <c r="I710">
        <v>2</v>
      </c>
      <c r="J710">
        <v>0</v>
      </c>
      <c r="K710">
        <v>246.98</v>
      </c>
      <c r="L710">
        <v>4.2</v>
      </c>
    </row>
    <row r="711" spans="1:12" x14ac:dyDescent="0.25">
      <c r="A711" t="s">
        <v>758</v>
      </c>
      <c r="B711" s="1">
        <v>45987</v>
      </c>
      <c r="C711" s="1">
        <v>45990</v>
      </c>
      <c r="D711" t="s">
        <v>13</v>
      </c>
      <c r="E711" t="s">
        <v>36</v>
      </c>
      <c r="F711" t="s">
        <v>25</v>
      </c>
      <c r="G711" t="s">
        <v>16</v>
      </c>
      <c r="H711" t="s">
        <v>34</v>
      </c>
      <c r="I711">
        <v>1</v>
      </c>
      <c r="J711">
        <v>0</v>
      </c>
      <c r="K711">
        <v>284.32</v>
      </c>
      <c r="L711">
        <v>6.8</v>
      </c>
    </row>
    <row r="712" spans="1:12" x14ac:dyDescent="0.25">
      <c r="A712" t="s">
        <v>759</v>
      </c>
      <c r="B712" s="1">
        <v>45894</v>
      </c>
      <c r="C712" s="1">
        <v>45900</v>
      </c>
      <c r="D712" t="s">
        <v>32</v>
      </c>
      <c r="E712" t="s">
        <v>45</v>
      </c>
      <c r="F712" t="s">
        <v>25</v>
      </c>
      <c r="G712" t="s">
        <v>26</v>
      </c>
      <c r="H712" t="s">
        <v>17</v>
      </c>
      <c r="I712">
        <v>3</v>
      </c>
      <c r="J712">
        <v>0</v>
      </c>
      <c r="K712">
        <v>355.75</v>
      </c>
      <c r="L712">
        <v>8.25</v>
      </c>
    </row>
    <row r="713" spans="1:12" x14ac:dyDescent="0.25">
      <c r="A713" t="s">
        <v>760</v>
      </c>
      <c r="B713" s="1">
        <v>45539</v>
      </c>
      <c r="C713" s="1">
        <v>45542</v>
      </c>
      <c r="D713" t="s">
        <v>47</v>
      </c>
      <c r="E713" t="s">
        <v>50</v>
      </c>
      <c r="F713" t="s">
        <v>29</v>
      </c>
      <c r="G713" t="s">
        <v>20</v>
      </c>
      <c r="H713" t="s">
        <v>30</v>
      </c>
      <c r="I713">
        <v>9</v>
      </c>
      <c r="J713">
        <v>0</v>
      </c>
      <c r="K713">
        <v>58.37</v>
      </c>
      <c r="L713">
        <v>5.13</v>
      </c>
    </row>
    <row r="714" spans="1:12" x14ac:dyDescent="0.25">
      <c r="A714" t="s">
        <v>761</v>
      </c>
      <c r="B714" s="1">
        <v>45347</v>
      </c>
      <c r="C714" s="1">
        <v>45349</v>
      </c>
      <c r="D714" t="s">
        <v>32</v>
      </c>
      <c r="E714" t="s">
        <v>45</v>
      </c>
      <c r="F714" t="s">
        <v>15</v>
      </c>
      <c r="G714" t="s">
        <v>16</v>
      </c>
      <c r="H714" t="s">
        <v>21</v>
      </c>
      <c r="I714">
        <v>3</v>
      </c>
      <c r="J714">
        <v>0</v>
      </c>
      <c r="K714">
        <v>322.5</v>
      </c>
      <c r="L714">
        <v>6.84</v>
      </c>
    </row>
    <row r="715" spans="1:12" x14ac:dyDescent="0.25">
      <c r="A715" t="s">
        <v>762</v>
      </c>
      <c r="B715" s="1">
        <v>45658</v>
      </c>
      <c r="C715" s="1">
        <v>45661</v>
      </c>
      <c r="D715" t="s">
        <v>47</v>
      </c>
      <c r="E715" t="s">
        <v>48</v>
      </c>
      <c r="F715" t="s">
        <v>25</v>
      </c>
      <c r="G715" t="s">
        <v>26</v>
      </c>
      <c r="H715" t="s">
        <v>37</v>
      </c>
      <c r="I715">
        <v>3</v>
      </c>
      <c r="J715">
        <v>0</v>
      </c>
      <c r="K715">
        <v>273.39</v>
      </c>
      <c r="L715">
        <v>11.4</v>
      </c>
    </row>
    <row r="716" spans="1:12" x14ac:dyDescent="0.25">
      <c r="A716" t="s">
        <v>763</v>
      </c>
      <c r="B716" s="1">
        <v>45663</v>
      </c>
      <c r="C716" s="1">
        <v>45664</v>
      </c>
      <c r="D716" t="s">
        <v>23</v>
      </c>
      <c r="E716" t="s">
        <v>59</v>
      </c>
      <c r="F716" t="s">
        <v>29</v>
      </c>
      <c r="G716" t="s">
        <v>26</v>
      </c>
      <c r="H716" t="s">
        <v>51</v>
      </c>
      <c r="I716">
        <v>8</v>
      </c>
      <c r="J716">
        <v>0.15</v>
      </c>
      <c r="K716">
        <v>83.92</v>
      </c>
      <c r="L716">
        <v>4.8600000000000003</v>
      </c>
    </row>
    <row r="717" spans="1:12" x14ac:dyDescent="0.25">
      <c r="A717" t="s">
        <v>764</v>
      </c>
      <c r="B717" s="1">
        <v>45348</v>
      </c>
      <c r="C717" s="1">
        <v>45351</v>
      </c>
      <c r="D717" t="s">
        <v>47</v>
      </c>
      <c r="E717" t="s">
        <v>48</v>
      </c>
      <c r="F717" t="s">
        <v>15</v>
      </c>
      <c r="G717" t="s">
        <v>20</v>
      </c>
      <c r="H717" t="s">
        <v>17</v>
      </c>
      <c r="I717">
        <v>3</v>
      </c>
      <c r="J717">
        <v>0.05</v>
      </c>
      <c r="K717">
        <v>314.85000000000002</v>
      </c>
      <c r="L717">
        <v>8.25</v>
      </c>
    </row>
    <row r="718" spans="1:12" x14ac:dyDescent="0.25">
      <c r="A718" t="s">
        <v>765</v>
      </c>
      <c r="B718" s="1">
        <v>46010</v>
      </c>
      <c r="C718" s="1">
        <v>46012</v>
      </c>
      <c r="D718" t="s">
        <v>13</v>
      </c>
      <c r="E718" t="s">
        <v>14</v>
      </c>
      <c r="F718" t="s">
        <v>29</v>
      </c>
      <c r="G718" t="s">
        <v>26</v>
      </c>
      <c r="H718" t="s">
        <v>60</v>
      </c>
      <c r="I718">
        <v>2</v>
      </c>
      <c r="J718">
        <v>0</v>
      </c>
      <c r="K718">
        <v>332.31</v>
      </c>
      <c r="L718">
        <v>7</v>
      </c>
    </row>
    <row r="719" spans="1:12" x14ac:dyDescent="0.25">
      <c r="A719" t="s">
        <v>766</v>
      </c>
      <c r="B719" s="1">
        <v>45677</v>
      </c>
      <c r="C719" s="1">
        <v>45679</v>
      </c>
      <c r="D719" t="s">
        <v>23</v>
      </c>
      <c r="E719" t="s">
        <v>43</v>
      </c>
      <c r="F719" t="s">
        <v>29</v>
      </c>
      <c r="G719" t="s">
        <v>26</v>
      </c>
      <c r="H719" t="s">
        <v>37</v>
      </c>
      <c r="I719">
        <v>4</v>
      </c>
      <c r="J719">
        <v>0</v>
      </c>
      <c r="K719">
        <v>382.36</v>
      </c>
      <c r="L719">
        <v>13.7</v>
      </c>
    </row>
    <row r="720" spans="1:12" x14ac:dyDescent="0.25">
      <c r="A720" t="s">
        <v>767</v>
      </c>
      <c r="B720" s="1">
        <v>45865</v>
      </c>
      <c r="C720" s="1">
        <v>45866</v>
      </c>
      <c r="D720" t="s">
        <v>32</v>
      </c>
      <c r="E720" t="s">
        <v>62</v>
      </c>
      <c r="F720" t="s">
        <v>29</v>
      </c>
      <c r="G720" t="s">
        <v>16</v>
      </c>
      <c r="H720" t="s">
        <v>53</v>
      </c>
      <c r="I720">
        <v>1</v>
      </c>
      <c r="J720">
        <v>0</v>
      </c>
      <c r="K720">
        <v>51.32</v>
      </c>
      <c r="L720">
        <v>3.45</v>
      </c>
    </row>
    <row r="721" spans="1:12" x14ac:dyDescent="0.25">
      <c r="A721" t="s">
        <v>768</v>
      </c>
      <c r="B721" s="1">
        <v>45416</v>
      </c>
      <c r="C721" s="1">
        <v>45418</v>
      </c>
      <c r="D721" t="s">
        <v>32</v>
      </c>
      <c r="E721" t="s">
        <v>62</v>
      </c>
      <c r="F721" t="s">
        <v>25</v>
      </c>
      <c r="G721" t="s">
        <v>26</v>
      </c>
      <c r="H721" t="s">
        <v>68</v>
      </c>
      <c r="I721">
        <v>2</v>
      </c>
      <c r="J721">
        <v>0</v>
      </c>
      <c r="K721">
        <v>103.07</v>
      </c>
      <c r="L721">
        <v>7</v>
      </c>
    </row>
    <row r="722" spans="1:12" x14ac:dyDescent="0.25">
      <c r="A722" t="s">
        <v>769</v>
      </c>
      <c r="B722" s="1">
        <v>45670</v>
      </c>
      <c r="C722" s="1">
        <v>45671</v>
      </c>
      <c r="D722" t="s">
        <v>32</v>
      </c>
      <c r="E722" t="s">
        <v>62</v>
      </c>
      <c r="F722" t="s">
        <v>29</v>
      </c>
      <c r="G722" t="s">
        <v>20</v>
      </c>
      <c r="H722" t="s">
        <v>41</v>
      </c>
      <c r="I722">
        <v>13</v>
      </c>
      <c r="J722">
        <v>0</v>
      </c>
      <c r="K722">
        <v>67.05</v>
      </c>
      <c r="L722">
        <v>10.35</v>
      </c>
    </row>
    <row r="723" spans="1:12" x14ac:dyDescent="0.25">
      <c r="A723" t="s">
        <v>770</v>
      </c>
      <c r="B723" s="1">
        <v>45786</v>
      </c>
      <c r="C723" s="1">
        <v>45788</v>
      </c>
      <c r="D723" t="s">
        <v>32</v>
      </c>
      <c r="E723" t="s">
        <v>45</v>
      </c>
      <c r="F723" t="s">
        <v>29</v>
      </c>
      <c r="G723" t="s">
        <v>20</v>
      </c>
      <c r="H723" t="s">
        <v>41</v>
      </c>
      <c r="I723">
        <v>8</v>
      </c>
      <c r="J723">
        <v>0</v>
      </c>
      <c r="K723">
        <v>49.8</v>
      </c>
      <c r="L723">
        <v>4.8600000000000003</v>
      </c>
    </row>
    <row r="724" spans="1:12" x14ac:dyDescent="0.25">
      <c r="A724" t="s">
        <v>771</v>
      </c>
      <c r="B724" s="1">
        <v>45933</v>
      </c>
      <c r="C724" s="1">
        <v>45939</v>
      </c>
      <c r="D724" t="s">
        <v>32</v>
      </c>
      <c r="E724" t="s">
        <v>62</v>
      </c>
      <c r="F724" t="s">
        <v>15</v>
      </c>
      <c r="G724" t="s">
        <v>20</v>
      </c>
      <c r="H724" t="s">
        <v>17</v>
      </c>
      <c r="I724">
        <v>4</v>
      </c>
      <c r="J724">
        <v>0</v>
      </c>
      <c r="K724">
        <v>561.29999999999995</v>
      </c>
      <c r="L724">
        <v>5.7</v>
      </c>
    </row>
    <row r="725" spans="1:12" x14ac:dyDescent="0.25">
      <c r="A725" t="s">
        <v>772</v>
      </c>
      <c r="B725" s="1">
        <v>45887</v>
      </c>
      <c r="C725" s="1">
        <v>45891</v>
      </c>
      <c r="D725" t="s">
        <v>23</v>
      </c>
      <c r="E725" t="s">
        <v>43</v>
      </c>
      <c r="F725" t="s">
        <v>25</v>
      </c>
      <c r="G725" t="s">
        <v>20</v>
      </c>
      <c r="H725" t="s">
        <v>60</v>
      </c>
      <c r="I725">
        <v>5</v>
      </c>
      <c r="J725">
        <v>0.15</v>
      </c>
      <c r="K725">
        <v>435.24</v>
      </c>
      <c r="L725">
        <v>6.45</v>
      </c>
    </row>
    <row r="726" spans="1:12" x14ac:dyDescent="0.25">
      <c r="A726" t="s">
        <v>773</v>
      </c>
      <c r="B726" s="1">
        <v>45800</v>
      </c>
      <c r="C726" s="1">
        <v>45805</v>
      </c>
      <c r="D726" t="s">
        <v>32</v>
      </c>
      <c r="E726" t="s">
        <v>45</v>
      </c>
      <c r="F726" t="s">
        <v>29</v>
      </c>
      <c r="G726" t="s">
        <v>20</v>
      </c>
      <c r="H726" t="s">
        <v>53</v>
      </c>
      <c r="I726">
        <v>4</v>
      </c>
      <c r="J726">
        <v>0.05</v>
      </c>
      <c r="K726">
        <v>226.78</v>
      </c>
      <c r="L726">
        <v>9.5</v>
      </c>
    </row>
    <row r="727" spans="1:12" x14ac:dyDescent="0.25">
      <c r="A727" t="s">
        <v>774</v>
      </c>
      <c r="B727" s="1">
        <v>45415</v>
      </c>
      <c r="C727" s="1">
        <v>45416</v>
      </c>
      <c r="D727" t="s">
        <v>47</v>
      </c>
      <c r="E727" t="s">
        <v>50</v>
      </c>
      <c r="F727" t="s">
        <v>25</v>
      </c>
      <c r="G727" t="s">
        <v>16</v>
      </c>
      <c r="H727" t="s">
        <v>17</v>
      </c>
      <c r="I727">
        <v>3</v>
      </c>
      <c r="J727">
        <v>0</v>
      </c>
      <c r="K727">
        <v>383.24</v>
      </c>
      <c r="L727">
        <v>4.95</v>
      </c>
    </row>
    <row r="728" spans="1:12" x14ac:dyDescent="0.25">
      <c r="A728" t="s">
        <v>775</v>
      </c>
      <c r="B728" s="1">
        <v>45493</v>
      </c>
      <c r="C728" s="1">
        <v>45498</v>
      </c>
      <c r="D728" t="s">
        <v>23</v>
      </c>
      <c r="E728" t="s">
        <v>59</v>
      </c>
      <c r="F728" t="s">
        <v>25</v>
      </c>
      <c r="G728" t="s">
        <v>20</v>
      </c>
      <c r="H728" t="s">
        <v>53</v>
      </c>
      <c r="I728">
        <v>4</v>
      </c>
      <c r="J728">
        <v>0</v>
      </c>
      <c r="K728">
        <v>217.46</v>
      </c>
      <c r="L728">
        <v>5.7</v>
      </c>
    </row>
    <row r="729" spans="1:12" x14ac:dyDescent="0.25">
      <c r="A729" t="s">
        <v>776</v>
      </c>
      <c r="B729" s="1">
        <v>45753</v>
      </c>
      <c r="C729" s="1">
        <v>45758</v>
      </c>
      <c r="D729" t="s">
        <v>32</v>
      </c>
      <c r="E729" t="s">
        <v>45</v>
      </c>
      <c r="F729" t="s">
        <v>15</v>
      </c>
      <c r="G729" t="s">
        <v>20</v>
      </c>
      <c r="H729" t="s">
        <v>63</v>
      </c>
      <c r="I729">
        <v>14</v>
      </c>
      <c r="J729">
        <v>0.1</v>
      </c>
      <c r="K729">
        <v>158.44999999999999</v>
      </c>
      <c r="L729">
        <v>10.8</v>
      </c>
    </row>
    <row r="730" spans="1:12" x14ac:dyDescent="0.25">
      <c r="A730" t="s">
        <v>777</v>
      </c>
      <c r="B730" s="1">
        <v>45908</v>
      </c>
      <c r="C730" s="1">
        <v>45914</v>
      </c>
      <c r="D730" t="s">
        <v>23</v>
      </c>
      <c r="E730" t="s">
        <v>59</v>
      </c>
      <c r="F730" t="s">
        <v>29</v>
      </c>
      <c r="G730" t="s">
        <v>20</v>
      </c>
      <c r="H730" t="s">
        <v>37</v>
      </c>
      <c r="I730">
        <v>2</v>
      </c>
      <c r="J730">
        <v>0</v>
      </c>
      <c r="K730">
        <v>244.9</v>
      </c>
      <c r="L730">
        <v>5.46</v>
      </c>
    </row>
    <row r="731" spans="1:12" x14ac:dyDescent="0.25">
      <c r="A731" t="s">
        <v>778</v>
      </c>
      <c r="B731" s="1">
        <v>45863</v>
      </c>
      <c r="C731" s="1">
        <v>45864</v>
      </c>
      <c r="D731" t="s">
        <v>47</v>
      </c>
      <c r="E731" t="s">
        <v>50</v>
      </c>
      <c r="F731" t="s">
        <v>15</v>
      </c>
      <c r="G731" t="s">
        <v>26</v>
      </c>
      <c r="H731" t="s">
        <v>63</v>
      </c>
      <c r="I731">
        <v>13</v>
      </c>
      <c r="J731">
        <v>0.1</v>
      </c>
      <c r="K731">
        <v>138</v>
      </c>
      <c r="L731">
        <v>10.35</v>
      </c>
    </row>
    <row r="732" spans="1:12" x14ac:dyDescent="0.25">
      <c r="A732" t="s">
        <v>779</v>
      </c>
      <c r="B732" s="1">
        <v>45523</v>
      </c>
      <c r="C732" s="1">
        <v>45524</v>
      </c>
      <c r="D732" t="s">
        <v>47</v>
      </c>
      <c r="E732" t="s">
        <v>71</v>
      </c>
      <c r="F732" t="s">
        <v>15</v>
      </c>
      <c r="G732" t="s">
        <v>16</v>
      </c>
      <c r="H732" t="s">
        <v>68</v>
      </c>
      <c r="I732">
        <v>4</v>
      </c>
      <c r="J732">
        <v>0</v>
      </c>
      <c r="K732">
        <v>189.13</v>
      </c>
      <c r="L732">
        <v>5.7</v>
      </c>
    </row>
    <row r="733" spans="1:12" x14ac:dyDescent="0.25">
      <c r="A733" t="s">
        <v>780</v>
      </c>
      <c r="B733" s="1">
        <v>45975</v>
      </c>
      <c r="C733" s="1">
        <v>45980</v>
      </c>
      <c r="D733" t="s">
        <v>23</v>
      </c>
      <c r="E733" t="s">
        <v>59</v>
      </c>
      <c r="F733" t="s">
        <v>25</v>
      </c>
      <c r="G733" t="s">
        <v>26</v>
      </c>
      <c r="H733" t="s">
        <v>37</v>
      </c>
      <c r="I733">
        <v>4</v>
      </c>
      <c r="J733">
        <v>0.05</v>
      </c>
      <c r="K733">
        <v>571.58000000000004</v>
      </c>
      <c r="L733">
        <v>8.2200000000000006</v>
      </c>
    </row>
    <row r="734" spans="1:12" x14ac:dyDescent="0.25">
      <c r="A734" t="s">
        <v>781</v>
      </c>
      <c r="B734" s="1">
        <v>45713</v>
      </c>
      <c r="C734" s="1">
        <v>45714</v>
      </c>
      <c r="D734" t="s">
        <v>13</v>
      </c>
      <c r="E734" t="s">
        <v>36</v>
      </c>
      <c r="F734" t="s">
        <v>29</v>
      </c>
      <c r="G734" t="s">
        <v>20</v>
      </c>
      <c r="H734" t="s">
        <v>30</v>
      </c>
      <c r="I734">
        <v>10</v>
      </c>
      <c r="J734">
        <v>0</v>
      </c>
      <c r="K734">
        <v>53.37</v>
      </c>
      <c r="L734">
        <v>5.4</v>
      </c>
    </row>
    <row r="735" spans="1:12" x14ac:dyDescent="0.25">
      <c r="A735" t="s">
        <v>782</v>
      </c>
      <c r="B735" s="1">
        <v>45377</v>
      </c>
      <c r="C735" s="1">
        <v>45378</v>
      </c>
      <c r="D735" t="s">
        <v>23</v>
      </c>
      <c r="E735" t="s">
        <v>59</v>
      </c>
      <c r="F735" t="s">
        <v>25</v>
      </c>
      <c r="G735" t="s">
        <v>20</v>
      </c>
      <c r="H735" t="s">
        <v>87</v>
      </c>
      <c r="I735">
        <v>10</v>
      </c>
      <c r="J735">
        <v>0</v>
      </c>
      <c r="K735">
        <v>76.78</v>
      </c>
      <c r="L735">
        <v>9</v>
      </c>
    </row>
    <row r="736" spans="1:12" x14ac:dyDescent="0.25">
      <c r="A736" t="s">
        <v>783</v>
      </c>
      <c r="B736" s="1">
        <v>45621</v>
      </c>
      <c r="C736" s="1">
        <v>45623</v>
      </c>
      <c r="D736" t="s">
        <v>32</v>
      </c>
      <c r="E736" t="s">
        <v>62</v>
      </c>
      <c r="F736" t="s">
        <v>25</v>
      </c>
      <c r="G736" t="s">
        <v>16</v>
      </c>
      <c r="H736" t="s">
        <v>51</v>
      </c>
      <c r="I736">
        <v>7</v>
      </c>
      <c r="J736">
        <v>0.05</v>
      </c>
      <c r="K736">
        <v>135.1</v>
      </c>
      <c r="L736">
        <v>7.65</v>
      </c>
    </row>
    <row r="737" spans="1:12" x14ac:dyDescent="0.25">
      <c r="A737" t="s">
        <v>784</v>
      </c>
      <c r="B737" s="1">
        <v>45823</v>
      </c>
      <c r="C737" s="1">
        <v>45825</v>
      </c>
      <c r="D737" t="s">
        <v>13</v>
      </c>
      <c r="E737" t="s">
        <v>36</v>
      </c>
      <c r="F737" t="s">
        <v>29</v>
      </c>
      <c r="G737" t="s">
        <v>16</v>
      </c>
      <c r="H737" t="s">
        <v>53</v>
      </c>
      <c r="I737">
        <v>4</v>
      </c>
      <c r="J737">
        <v>0.25</v>
      </c>
      <c r="K737">
        <v>177.16</v>
      </c>
      <c r="L737">
        <v>5.7</v>
      </c>
    </row>
    <row r="738" spans="1:12" x14ac:dyDescent="0.25">
      <c r="A738" t="s">
        <v>785</v>
      </c>
      <c r="B738" s="1">
        <v>45355</v>
      </c>
      <c r="C738" s="1">
        <v>45361</v>
      </c>
      <c r="D738" t="s">
        <v>32</v>
      </c>
      <c r="E738" t="s">
        <v>33</v>
      </c>
      <c r="F738" t="s">
        <v>25</v>
      </c>
      <c r="G738" t="s">
        <v>20</v>
      </c>
      <c r="H738" t="s">
        <v>21</v>
      </c>
      <c r="I738">
        <v>2</v>
      </c>
      <c r="J738">
        <v>0</v>
      </c>
      <c r="K738">
        <v>219.06</v>
      </c>
      <c r="L738">
        <v>5.46</v>
      </c>
    </row>
    <row r="739" spans="1:12" x14ac:dyDescent="0.25">
      <c r="A739" t="s">
        <v>786</v>
      </c>
      <c r="B739" s="1">
        <v>45833</v>
      </c>
      <c r="C739" s="1">
        <v>45835</v>
      </c>
      <c r="D739" t="s">
        <v>32</v>
      </c>
      <c r="E739" t="s">
        <v>62</v>
      </c>
      <c r="F739" t="s">
        <v>29</v>
      </c>
      <c r="G739" t="s">
        <v>26</v>
      </c>
      <c r="H739" t="s">
        <v>87</v>
      </c>
      <c r="I739">
        <v>3</v>
      </c>
      <c r="J739">
        <v>0</v>
      </c>
      <c r="K739">
        <v>26.49</v>
      </c>
      <c r="L739">
        <v>3.51</v>
      </c>
    </row>
    <row r="740" spans="1:12" x14ac:dyDescent="0.25">
      <c r="A740" t="s">
        <v>787</v>
      </c>
      <c r="B740" s="1">
        <v>45609</v>
      </c>
      <c r="C740" s="1">
        <v>45615</v>
      </c>
      <c r="D740" t="s">
        <v>23</v>
      </c>
      <c r="E740" t="s">
        <v>24</v>
      </c>
      <c r="F740" t="s">
        <v>29</v>
      </c>
      <c r="G740" t="s">
        <v>26</v>
      </c>
      <c r="H740" t="s">
        <v>68</v>
      </c>
      <c r="I740">
        <v>4</v>
      </c>
      <c r="J740">
        <v>0</v>
      </c>
      <c r="K740">
        <v>283.85000000000002</v>
      </c>
      <c r="L740">
        <v>5.7</v>
      </c>
    </row>
    <row r="741" spans="1:12" x14ac:dyDescent="0.25">
      <c r="A741" t="s">
        <v>788</v>
      </c>
      <c r="B741" s="1">
        <v>45707</v>
      </c>
      <c r="C741" s="1">
        <v>45708</v>
      </c>
      <c r="D741" t="s">
        <v>13</v>
      </c>
      <c r="E741" t="s">
        <v>14</v>
      </c>
      <c r="F741" t="s">
        <v>15</v>
      </c>
      <c r="G741" t="s">
        <v>20</v>
      </c>
      <c r="H741" t="s">
        <v>68</v>
      </c>
      <c r="I741">
        <v>2</v>
      </c>
      <c r="J741">
        <v>0.25</v>
      </c>
      <c r="K741">
        <v>72.62</v>
      </c>
      <c r="L741">
        <v>7</v>
      </c>
    </row>
    <row r="742" spans="1:12" x14ac:dyDescent="0.25">
      <c r="A742" t="s">
        <v>789</v>
      </c>
      <c r="B742" s="1">
        <v>45491</v>
      </c>
      <c r="C742" s="1">
        <v>45494</v>
      </c>
      <c r="D742" t="s">
        <v>47</v>
      </c>
      <c r="E742" t="s">
        <v>48</v>
      </c>
      <c r="F742" t="s">
        <v>25</v>
      </c>
      <c r="G742" t="s">
        <v>26</v>
      </c>
      <c r="H742" t="s">
        <v>41</v>
      </c>
      <c r="I742">
        <v>4</v>
      </c>
      <c r="J742">
        <v>0</v>
      </c>
      <c r="K742">
        <v>22.76</v>
      </c>
      <c r="L742">
        <v>3.78</v>
      </c>
    </row>
    <row r="743" spans="1:12" x14ac:dyDescent="0.25">
      <c r="A743" t="s">
        <v>790</v>
      </c>
      <c r="B743" s="1">
        <v>45823</v>
      </c>
      <c r="C743" s="1">
        <v>45824</v>
      </c>
      <c r="D743" t="s">
        <v>23</v>
      </c>
      <c r="E743" t="s">
        <v>43</v>
      </c>
      <c r="F743" t="s">
        <v>29</v>
      </c>
      <c r="G743" t="s">
        <v>26</v>
      </c>
      <c r="H743" t="s">
        <v>21</v>
      </c>
      <c r="I743">
        <v>4</v>
      </c>
      <c r="J743">
        <v>0</v>
      </c>
      <c r="K743">
        <v>459.71</v>
      </c>
      <c r="L743">
        <v>8.2200000000000006</v>
      </c>
    </row>
    <row r="744" spans="1:12" x14ac:dyDescent="0.25">
      <c r="A744" t="s">
        <v>791</v>
      </c>
      <c r="B744" s="1">
        <v>45998</v>
      </c>
      <c r="C744" s="1">
        <v>46004</v>
      </c>
      <c r="D744" t="s">
        <v>47</v>
      </c>
      <c r="E744" t="s">
        <v>48</v>
      </c>
      <c r="F744" t="s">
        <v>29</v>
      </c>
      <c r="G744" t="s">
        <v>20</v>
      </c>
      <c r="H744" t="s">
        <v>51</v>
      </c>
      <c r="I744">
        <v>4</v>
      </c>
      <c r="J744">
        <v>0</v>
      </c>
      <c r="K744">
        <v>80.010000000000005</v>
      </c>
      <c r="L744">
        <v>3.78</v>
      </c>
    </row>
    <row r="745" spans="1:12" x14ac:dyDescent="0.25">
      <c r="A745" t="s">
        <v>792</v>
      </c>
      <c r="B745" s="1">
        <v>45646</v>
      </c>
      <c r="C745" s="1">
        <v>45649</v>
      </c>
      <c r="D745" t="s">
        <v>32</v>
      </c>
      <c r="E745" t="s">
        <v>33</v>
      </c>
      <c r="F745" t="s">
        <v>15</v>
      </c>
      <c r="G745" t="s">
        <v>26</v>
      </c>
      <c r="H745" t="s">
        <v>17</v>
      </c>
      <c r="I745">
        <v>1</v>
      </c>
      <c r="J745">
        <v>0.25</v>
      </c>
      <c r="K745">
        <v>140.85</v>
      </c>
      <c r="L745">
        <v>5.75</v>
      </c>
    </row>
    <row r="746" spans="1:12" x14ac:dyDescent="0.25">
      <c r="A746" t="s">
        <v>793</v>
      </c>
      <c r="B746" s="1">
        <v>45571</v>
      </c>
      <c r="C746" s="1">
        <v>45574</v>
      </c>
      <c r="D746" t="s">
        <v>32</v>
      </c>
      <c r="E746" t="s">
        <v>62</v>
      </c>
      <c r="F746" t="s">
        <v>15</v>
      </c>
      <c r="G746" t="s">
        <v>20</v>
      </c>
      <c r="H746" t="s">
        <v>30</v>
      </c>
      <c r="I746">
        <v>20</v>
      </c>
      <c r="J746">
        <v>0.15</v>
      </c>
      <c r="K746">
        <v>112.86</v>
      </c>
      <c r="L746">
        <v>8.1</v>
      </c>
    </row>
    <row r="747" spans="1:12" x14ac:dyDescent="0.25">
      <c r="A747" t="s">
        <v>794</v>
      </c>
      <c r="B747" s="1">
        <v>45870</v>
      </c>
      <c r="C747" s="1">
        <v>45874</v>
      </c>
      <c r="D747" t="s">
        <v>47</v>
      </c>
      <c r="E747" t="s">
        <v>71</v>
      </c>
      <c r="F747" t="s">
        <v>15</v>
      </c>
      <c r="G747" t="s">
        <v>20</v>
      </c>
      <c r="H747" t="s">
        <v>30</v>
      </c>
      <c r="I747">
        <v>14</v>
      </c>
      <c r="J747">
        <v>0.05</v>
      </c>
      <c r="K747">
        <v>72.040000000000006</v>
      </c>
      <c r="L747">
        <v>6.48</v>
      </c>
    </row>
    <row r="748" spans="1:12" x14ac:dyDescent="0.25">
      <c r="A748" t="s">
        <v>795</v>
      </c>
      <c r="B748" s="1">
        <v>45919</v>
      </c>
      <c r="C748" s="1">
        <v>45925</v>
      </c>
      <c r="D748" t="s">
        <v>32</v>
      </c>
      <c r="E748" t="s">
        <v>62</v>
      </c>
      <c r="F748" t="s">
        <v>29</v>
      </c>
      <c r="G748" t="s">
        <v>26</v>
      </c>
      <c r="H748" t="s">
        <v>53</v>
      </c>
      <c r="I748">
        <v>3</v>
      </c>
      <c r="J748">
        <v>0</v>
      </c>
      <c r="K748">
        <v>190.62</v>
      </c>
      <c r="L748">
        <v>4.95</v>
      </c>
    </row>
    <row r="749" spans="1:12" x14ac:dyDescent="0.25">
      <c r="A749" t="s">
        <v>796</v>
      </c>
      <c r="B749" s="1">
        <v>45394</v>
      </c>
      <c r="C749" s="1">
        <v>45399</v>
      </c>
      <c r="D749" t="s">
        <v>47</v>
      </c>
      <c r="E749" t="s">
        <v>71</v>
      </c>
      <c r="F749" t="s">
        <v>25</v>
      </c>
      <c r="G749" t="s">
        <v>20</v>
      </c>
      <c r="H749" t="s">
        <v>17</v>
      </c>
      <c r="I749">
        <v>1</v>
      </c>
      <c r="J749">
        <v>0.2</v>
      </c>
      <c r="K749">
        <v>99.98</v>
      </c>
      <c r="L749">
        <v>3.45</v>
      </c>
    </row>
    <row r="750" spans="1:12" x14ac:dyDescent="0.25">
      <c r="A750" t="s">
        <v>797</v>
      </c>
      <c r="B750" s="1">
        <v>45582</v>
      </c>
      <c r="C750" s="1">
        <v>45583</v>
      </c>
      <c r="D750" t="s">
        <v>32</v>
      </c>
      <c r="E750" t="s">
        <v>62</v>
      </c>
      <c r="F750" t="s">
        <v>29</v>
      </c>
      <c r="G750" t="s">
        <v>20</v>
      </c>
      <c r="H750" t="s">
        <v>51</v>
      </c>
      <c r="I750">
        <v>4</v>
      </c>
      <c r="J750">
        <v>0.15</v>
      </c>
      <c r="K750">
        <v>57.79</v>
      </c>
      <c r="L750">
        <v>3.78</v>
      </c>
    </row>
    <row r="751" spans="1:12" x14ac:dyDescent="0.25">
      <c r="A751" t="s">
        <v>798</v>
      </c>
      <c r="B751" s="1">
        <v>45909</v>
      </c>
      <c r="C751" s="1">
        <v>45911</v>
      </c>
      <c r="D751" t="s">
        <v>47</v>
      </c>
      <c r="E751" t="s">
        <v>50</v>
      </c>
      <c r="F751" t="s">
        <v>25</v>
      </c>
      <c r="G751" t="s">
        <v>20</v>
      </c>
      <c r="H751" t="s">
        <v>30</v>
      </c>
      <c r="I751">
        <v>5</v>
      </c>
      <c r="J751">
        <v>0</v>
      </c>
      <c r="K751">
        <v>32.26</v>
      </c>
      <c r="L751">
        <v>4.05</v>
      </c>
    </row>
    <row r="752" spans="1:12" x14ac:dyDescent="0.25">
      <c r="A752" t="s">
        <v>799</v>
      </c>
      <c r="B752" s="1">
        <v>45997</v>
      </c>
      <c r="C752" s="1">
        <v>46002</v>
      </c>
      <c r="D752" t="s">
        <v>13</v>
      </c>
      <c r="E752" t="s">
        <v>14</v>
      </c>
      <c r="F752" t="s">
        <v>15</v>
      </c>
      <c r="G752" t="s">
        <v>20</v>
      </c>
      <c r="H752" t="s">
        <v>53</v>
      </c>
      <c r="I752">
        <v>3</v>
      </c>
      <c r="J752">
        <v>0</v>
      </c>
      <c r="K752">
        <v>230.32</v>
      </c>
      <c r="L752">
        <v>8.25</v>
      </c>
    </row>
    <row r="753" spans="1:12" x14ac:dyDescent="0.25">
      <c r="A753" t="s">
        <v>800</v>
      </c>
      <c r="B753" s="1">
        <v>45614</v>
      </c>
      <c r="C753" s="1">
        <v>45616</v>
      </c>
      <c r="D753" t="s">
        <v>13</v>
      </c>
      <c r="E753" t="s">
        <v>36</v>
      </c>
      <c r="F753" t="s">
        <v>25</v>
      </c>
      <c r="G753" t="s">
        <v>26</v>
      </c>
      <c r="H753" t="s">
        <v>30</v>
      </c>
      <c r="I753">
        <v>25</v>
      </c>
      <c r="J753">
        <v>0</v>
      </c>
      <c r="K753">
        <v>200.11</v>
      </c>
      <c r="L753">
        <v>9.4499999999999993</v>
      </c>
    </row>
    <row r="754" spans="1:12" x14ac:dyDescent="0.25">
      <c r="A754" t="s">
        <v>801</v>
      </c>
      <c r="B754" s="1">
        <v>45699</v>
      </c>
      <c r="C754" s="1">
        <v>45701</v>
      </c>
      <c r="D754" t="s">
        <v>23</v>
      </c>
      <c r="E754" t="s">
        <v>24</v>
      </c>
      <c r="F754" t="s">
        <v>25</v>
      </c>
      <c r="G754" t="s">
        <v>20</v>
      </c>
      <c r="H754" t="s">
        <v>63</v>
      </c>
      <c r="I754">
        <v>14</v>
      </c>
      <c r="J754">
        <v>0</v>
      </c>
      <c r="K754">
        <v>155.04</v>
      </c>
      <c r="L754">
        <v>6.48</v>
      </c>
    </row>
    <row r="755" spans="1:12" x14ac:dyDescent="0.25">
      <c r="A755" t="s">
        <v>802</v>
      </c>
      <c r="B755" s="1">
        <v>45609</v>
      </c>
      <c r="C755" s="1">
        <v>45613</v>
      </c>
      <c r="D755" t="s">
        <v>32</v>
      </c>
      <c r="E755" t="s">
        <v>62</v>
      </c>
      <c r="F755" t="s">
        <v>25</v>
      </c>
      <c r="G755" t="s">
        <v>16</v>
      </c>
      <c r="H755" t="s">
        <v>17</v>
      </c>
      <c r="I755">
        <v>1</v>
      </c>
      <c r="J755">
        <v>0.2</v>
      </c>
      <c r="K755">
        <v>132.72</v>
      </c>
      <c r="L755">
        <v>5.75</v>
      </c>
    </row>
    <row r="756" spans="1:12" x14ac:dyDescent="0.25">
      <c r="A756" t="s">
        <v>803</v>
      </c>
      <c r="B756" s="1">
        <v>45486</v>
      </c>
      <c r="C756" s="1">
        <v>45489</v>
      </c>
      <c r="D756" t="s">
        <v>23</v>
      </c>
      <c r="E756" t="s">
        <v>24</v>
      </c>
      <c r="F756" t="s">
        <v>15</v>
      </c>
      <c r="G756" t="s">
        <v>20</v>
      </c>
      <c r="H756" t="s">
        <v>53</v>
      </c>
      <c r="I756">
        <v>3</v>
      </c>
      <c r="J756">
        <v>0</v>
      </c>
      <c r="K756">
        <v>150.75</v>
      </c>
      <c r="L756">
        <v>8.25</v>
      </c>
    </row>
    <row r="757" spans="1:12" x14ac:dyDescent="0.25">
      <c r="A757" t="s">
        <v>804</v>
      </c>
      <c r="B757" s="1">
        <v>45416</v>
      </c>
      <c r="C757" s="1">
        <v>45421</v>
      </c>
      <c r="D757" t="s">
        <v>13</v>
      </c>
      <c r="E757" t="s">
        <v>19</v>
      </c>
      <c r="F757" t="s">
        <v>25</v>
      </c>
      <c r="G757" t="s">
        <v>16</v>
      </c>
      <c r="H757" t="s">
        <v>68</v>
      </c>
      <c r="I757">
        <v>2</v>
      </c>
      <c r="J757">
        <v>0</v>
      </c>
      <c r="K757">
        <v>99.2</v>
      </c>
      <c r="L757">
        <v>4.2</v>
      </c>
    </row>
    <row r="758" spans="1:12" x14ac:dyDescent="0.25">
      <c r="A758" t="s">
        <v>805</v>
      </c>
      <c r="B758" s="1">
        <v>45736</v>
      </c>
      <c r="C758" s="1">
        <v>45740</v>
      </c>
      <c r="D758" t="s">
        <v>23</v>
      </c>
      <c r="E758" t="s">
        <v>24</v>
      </c>
      <c r="F758" t="s">
        <v>15</v>
      </c>
      <c r="G758" t="s">
        <v>16</v>
      </c>
      <c r="H758" t="s">
        <v>68</v>
      </c>
      <c r="I758">
        <v>4</v>
      </c>
      <c r="J758">
        <v>0.2</v>
      </c>
      <c r="K758">
        <v>151.16</v>
      </c>
      <c r="L758">
        <v>5.7</v>
      </c>
    </row>
    <row r="759" spans="1:12" x14ac:dyDescent="0.25">
      <c r="A759" t="s">
        <v>806</v>
      </c>
      <c r="B759" s="1">
        <v>45700</v>
      </c>
      <c r="C759" s="1">
        <v>45705</v>
      </c>
      <c r="D759" t="s">
        <v>23</v>
      </c>
      <c r="E759" t="s">
        <v>24</v>
      </c>
      <c r="F759" t="s">
        <v>25</v>
      </c>
      <c r="G759" t="s">
        <v>20</v>
      </c>
      <c r="H759" t="s">
        <v>39</v>
      </c>
      <c r="I759">
        <v>1</v>
      </c>
      <c r="J759">
        <v>0</v>
      </c>
      <c r="K759">
        <v>167.94</v>
      </c>
      <c r="L759">
        <v>5.75</v>
      </c>
    </row>
    <row r="760" spans="1:12" x14ac:dyDescent="0.25">
      <c r="A760" t="s">
        <v>807</v>
      </c>
      <c r="B760" s="1">
        <v>45943</v>
      </c>
      <c r="C760" s="1">
        <v>45948</v>
      </c>
      <c r="D760" t="s">
        <v>32</v>
      </c>
      <c r="E760" t="s">
        <v>45</v>
      </c>
      <c r="F760" t="s">
        <v>15</v>
      </c>
      <c r="G760" t="s">
        <v>16</v>
      </c>
      <c r="H760" t="s">
        <v>21</v>
      </c>
      <c r="I760">
        <v>4</v>
      </c>
      <c r="J760">
        <v>0</v>
      </c>
      <c r="K760">
        <v>519.29999999999995</v>
      </c>
      <c r="L760">
        <v>13.7</v>
      </c>
    </row>
    <row r="761" spans="1:12" x14ac:dyDescent="0.25">
      <c r="A761" t="s">
        <v>808</v>
      </c>
      <c r="B761" s="1">
        <v>46003</v>
      </c>
      <c r="C761" s="1">
        <v>46005</v>
      </c>
      <c r="D761" t="s">
        <v>13</v>
      </c>
      <c r="E761" t="s">
        <v>36</v>
      </c>
      <c r="F761" t="s">
        <v>29</v>
      </c>
      <c r="G761" t="s">
        <v>16</v>
      </c>
      <c r="H761" t="s">
        <v>51</v>
      </c>
      <c r="I761">
        <v>13</v>
      </c>
      <c r="J761">
        <v>0.2</v>
      </c>
      <c r="K761">
        <v>221.86</v>
      </c>
      <c r="L761">
        <v>10.35</v>
      </c>
    </row>
    <row r="762" spans="1:12" x14ac:dyDescent="0.25">
      <c r="A762" t="s">
        <v>809</v>
      </c>
      <c r="B762" s="1">
        <v>45934</v>
      </c>
      <c r="C762" s="1">
        <v>45935</v>
      </c>
      <c r="D762" t="s">
        <v>47</v>
      </c>
      <c r="E762" t="s">
        <v>48</v>
      </c>
      <c r="F762" t="s">
        <v>25</v>
      </c>
      <c r="G762" t="s">
        <v>26</v>
      </c>
      <c r="H762" t="s">
        <v>27</v>
      </c>
      <c r="I762">
        <v>5</v>
      </c>
      <c r="J762">
        <v>0.25</v>
      </c>
      <c r="K762">
        <v>123.93</v>
      </c>
      <c r="L762">
        <v>6.75</v>
      </c>
    </row>
    <row r="763" spans="1:12" x14ac:dyDescent="0.25">
      <c r="A763" t="s">
        <v>810</v>
      </c>
      <c r="B763" s="1">
        <v>45590</v>
      </c>
      <c r="C763" s="1">
        <v>45591</v>
      </c>
      <c r="D763" t="s">
        <v>23</v>
      </c>
      <c r="E763" t="s">
        <v>43</v>
      </c>
      <c r="F763" t="s">
        <v>15</v>
      </c>
      <c r="G763" t="s">
        <v>26</v>
      </c>
      <c r="H763" t="s">
        <v>60</v>
      </c>
      <c r="I763">
        <v>3</v>
      </c>
      <c r="J763">
        <v>0</v>
      </c>
      <c r="K763">
        <v>400.14</v>
      </c>
      <c r="L763">
        <v>8.25</v>
      </c>
    </row>
    <row r="764" spans="1:12" x14ac:dyDescent="0.25">
      <c r="A764" t="s">
        <v>811</v>
      </c>
      <c r="B764" s="1">
        <v>45705</v>
      </c>
      <c r="C764" s="1">
        <v>45711</v>
      </c>
      <c r="D764" t="s">
        <v>32</v>
      </c>
      <c r="E764" t="s">
        <v>62</v>
      </c>
      <c r="F764" t="s">
        <v>25</v>
      </c>
      <c r="G764" t="s">
        <v>16</v>
      </c>
      <c r="H764" t="s">
        <v>39</v>
      </c>
      <c r="I764">
        <v>2</v>
      </c>
      <c r="J764">
        <v>0</v>
      </c>
      <c r="K764">
        <v>336.97</v>
      </c>
      <c r="L764">
        <v>4.2</v>
      </c>
    </row>
    <row r="765" spans="1:12" x14ac:dyDescent="0.25">
      <c r="A765" t="s">
        <v>812</v>
      </c>
      <c r="B765" s="1">
        <v>45506</v>
      </c>
      <c r="C765" s="1">
        <v>45511</v>
      </c>
      <c r="D765" t="s">
        <v>13</v>
      </c>
      <c r="E765" t="s">
        <v>19</v>
      </c>
      <c r="F765" t="s">
        <v>15</v>
      </c>
      <c r="G765" t="s">
        <v>20</v>
      </c>
      <c r="H765" t="s">
        <v>87</v>
      </c>
      <c r="I765">
        <v>10</v>
      </c>
      <c r="J765">
        <v>0.1</v>
      </c>
      <c r="K765">
        <v>74.55</v>
      </c>
      <c r="L765">
        <v>9</v>
      </c>
    </row>
    <row r="766" spans="1:12" x14ac:dyDescent="0.25">
      <c r="A766" t="s">
        <v>813</v>
      </c>
      <c r="B766" s="1">
        <v>45495</v>
      </c>
      <c r="C766" s="1">
        <v>45498</v>
      </c>
      <c r="D766" t="s">
        <v>23</v>
      </c>
      <c r="E766" t="s">
        <v>24</v>
      </c>
      <c r="F766" t="s">
        <v>25</v>
      </c>
      <c r="G766" t="s">
        <v>16</v>
      </c>
      <c r="H766" t="s">
        <v>51</v>
      </c>
      <c r="I766">
        <v>5</v>
      </c>
      <c r="J766">
        <v>0</v>
      </c>
      <c r="K766">
        <v>71.790000000000006</v>
      </c>
      <c r="L766">
        <v>6.75</v>
      </c>
    </row>
    <row r="767" spans="1:12" x14ac:dyDescent="0.25">
      <c r="A767" t="s">
        <v>814</v>
      </c>
      <c r="B767" s="1">
        <v>45910</v>
      </c>
      <c r="C767" s="1">
        <v>45916</v>
      </c>
      <c r="D767" t="s">
        <v>23</v>
      </c>
      <c r="E767" t="s">
        <v>43</v>
      </c>
      <c r="F767" t="s">
        <v>15</v>
      </c>
      <c r="G767" t="s">
        <v>26</v>
      </c>
      <c r="H767" t="s">
        <v>63</v>
      </c>
      <c r="I767">
        <v>9</v>
      </c>
      <c r="J767">
        <v>0</v>
      </c>
      <c r="K767">
        <v>118.35</v>
      </c>
      <c r="L767">
        <v>8.5500000000000007</v>
      </c>
    </row>
    <row r="768" spans="1:12" x14ac:dyDescent="0.25">
      <c r="A768" t="s">
        <v>815</v>
      </c>
      <c r="B768" s="1">
        <v>45546</v>
      </c>
      <c r="C768" s="1">
        <v>45551</v>
      </c>
      <c r="D768" t="s">
        <v>23</v>
      </c>
      <c r="E768" t="s">
        <v>43</v>
      </c>
      <c r="F768" t="s">
        <v>25</v>
      </c>
      <c r="G768" t="s">
        <v>26</v>
      </c>
      <c r="H768" t="s">
        <v>60</v>
      </c>
      <c r="I768">
        <v>2</v>
      </c>
      <c r="J768">
        <v>0.1</v>
      </c>
      <c r="K768">
        <v>211.31</v>
      </c>
      <c r="L768">
        <v>7</v>
      </c>
    </row>
    <row r="769" spans="1:12" x14ac:dyDescent="0.25">
      <c r="A769" t="s">
        <v>816</v>
      </c>
      <c r="B769" s="1">
        <v>45583</v>
      </c>
      <c r="C769" s="1">
        <v>45587</v>
      </c>
      <c r="D769" t="s">
        <v>47</v>
      </c>
      <c r="E769" t="s">
        <v>48</v>
      </c>
      <c r="F769" t="s">
        <v>15</v>
      </c>
      <c r="G769" t="s">
        <v>20</v>
      </c>
      <c r="H769" t="s">
        <v>21</v>
      </c>
      <c r="I769">
        <v>3</v>
      </c>
      <c r="J769">
        <v>0</v>
      </c>
      <c r="K769">
        <v>377.34</v>
      </c>
      <c r="L769">
        <v>11.4</v>
      </c>
    </row>
    <row r="770" spans="1:12" x14ac:dyDescent="0.25">
      <c r="A770" t="s">
        <v>817</v>
      </c>
      <c r="B770" s="1">
        <v>45491</v>
      </c>
      <c r="C770" s="1">
        <v>45492</v>
      </c>
      <c r="D770" t="s">
        <v>32</v>
      </c>
      <c r="E770" t="s">
        <v>33</v>
      </c>
      <c r="F770" t="s">
        <v>29</v>
      </c>
      <c r="G770" t="s">
        <v>16</v>
      </c>
      <c r="H770" t="s">
        <v>34</v>
      </c>
      <c r="I770">
        <v>2</v>
      </c>
      <c r="J770">
        <v>0.05</v>
      </c>
      <c r="K770">
        <v>352.95</v>
      </c>
      <c r="L770">
        <v>5.46</v>
      </c>
    </row>
    <row r="771" spans="1:12" x14ac:dyDescent="0.25">
      <c r="A771" t="s">
        <v>818</v>
      </c>
      <c r="B771" s="1">
        <v>45386</v>
      </c>
      <c r="C771" s="1">
        <v>45392</v>
      </c>
      <c r="D771" t="s">
        <v>13</v>
      </c>
      <c r="E771" t="s">
        <v>36</v>
      </c>
      <c r="F771" t="s">
        <v>15</v>
      </c>
      <c r="G771" t="s">
        <v>26</v>
      </c>
      <c r="H771" t="s">
        <v>51</v>
      </c>
      <c r="I771">
        <v>6</v>
      </c>
      <c r="J771">
        <v>0</v>
      </c>
      <c r="K771">
        <v>86.34</v>
      </c>
      <c r="L771">
        <v>4.32</v>
      </c>
    </row>
    <row r="772" spans="1:12" x14ac:dyDescent="0.25">
      <c r="A772" t="s">
        <v>819</v>
      </c>
      <c r="B772" s="1">
        <v>45831</v>
      </c>
      <c r="C772" s="1">
        <v>45834</v>
      </c>
      <c r="D772" t="s">
        <v>13</v>
      </c>
      <c r="E772" t="s">
        <v>19</v>
      </c>
      <c r="F772" t="s">
        <v>29</v>
      </c>
      <c r="G772" t="s">
        <v>26</v>
      </c>
      <c r="H772" t="s">
        <v>41</v>
      </c>
      <c r="I772">
        <v>12</v>
      </c>
      <c r="J772">
        <v>0.05</v>
      </c>
      <c r="K772">
        <v>69.81</v>
      </c>
      <c r="L772">
        <v>9.9</v>
      </c>
    </row>
    <row r="773" spans="1:12" x14ac:dyDescent="0.25">
      <c r="A773" t="s">
        <v>820</v>
      </c>
      <c r="B773" s="1">
        <v>45372</v>
      </c>
      <c r="C773" s="1">
        <v>45375</v>
      </c>
      <c r="D773" t="s">
        <v>32</v>
      </c>
      <c r="E773" t="s">
        <v>62</v>
      </c>
      <c r="F773" t="s">
        <v>25</v>
      </c>
      <c r="G773" t="s">
        <v>16</v>
      </c>
      <c r="H773" t="s">
        <v>87</v>
      </c>
      <c r="I773">
        <v>3</v>
      </c>
      <c r="J773">
        <v>0</v>
      </c>
      <c r="K773">
        <v>24.12</v>
      </c>
      <c r="L773">
        <v>5.85</v>
      </c>
    </row>
    <row r="774" spans="1:12" x14ac:dyDescent="0.25">
      <c r="A774" t="s">
        <v>821</v>
      </c>
      <c r="B774" s="1">
        <v>45533</v>
      </c>
      <c r="C774" s="1">
        <v>45536</v>
      </c>
      <c r="D774" t="s">
        <v>13</v>
      </c>
      <c r="E774" t="s">
        <v>19</v>
      </c>
      <c r="F774" t="s">
        <v>25</v>
      </c>
      <c r="G774" t="s">
        <v>20</v>
      </c>
      <c r="H774" t="s">
        <v>37</v>
      </c>
      <c r="I774">
        <v>2</v>
      </c>
      <c r="J774">
        <v>0.2</v>
      </c>
      <c r="K774">
        <v>173.36</v>
      </c>
      <c r="L774">
        <v>9.1</v>
      </c>
    </row>
    <row r="775" spans="1:12" x14ac:dyDescent="0.25">
      <c r="A775" t="s">
        <v>822</v>
      </c>
      <c r="B775" s="1">
        <v>45461</v>
      </c>
      <c r="C775" s="1">
        <v>45464</v>
      </c>
      <c r="D775" t="s">
        <v>23</v>
      </c>
      <c r="E775" t="s">
        <v>43</v>
      </c>
      <c r="F775" t="s">
        <v>15</v>
      </c>
      <c r="G775" t="s">
        <v>26</v>
      </c>
      <c r="H775" t="s">
        <v>65</v>
      </c>
      <c r="I775">
        <v>4</v>
      </c>
      <c r="J775">
        <v>0</v>
      </c>
      <c r="K775">
        <v>1207.95</v>
      </c>
      <c r="L775">
        <v>8.2200000000000006</v>
      </c>
    </row>
    <row r="776" spans="1:12" x14ac:dyDescent="0.25">
      <c r="A776" t="s">
        <v>823</v>
      </c>
      <c r="B776" s="1">
        <v>45882</v>
      </c>
      <c r="C776" s="1">
        <v>45888</v>
      </c>
      <c r="D776" t="s">
        <v>13</v>
      </c>
      <c r="E776" t="s">
        <v>36</v>
      </c>
      <c r="F776" t="s">
        <v>29</v>
      </c>
      <c r="G776" t="s">
        <v>16</v>
      </c>
      <c r="H776" t="s">
        <v>68</v>
      </c>
      <c r="I776">
        <v>2</v>
      </c>
      <c r="J776">
        <v>0</v>
      </c>
      <c r="K776">
        <v>103.35</v>
      </c>
      <c r="L776">
        <v>7</v>
      </c>
    </row>
    <row r="777" spans="1:12" x14ac:dyDescent="0.25">
      <c r="A777" t="s">
        <v>824</v>
      </c>
      <c r="B777" s="1">
        <v>45323</v>
      </c>
      <c r="C777" s="1">
        <v>45327</v>
      </c>
      <c r="D777" t="s">
        <v>23</v>
      </c>
      <c r="E777" t="s">
        <v>43</v>
      </c>
      <c r="F777" t="s">
        <v>15</v>
      </c>
      <c r="G777" t="s">
        <v>16</v>
      </c>
      <c r="H777" t="s">
        <v>27</v>
      </c>
      <c r="I777">
        <v>13</v>
      </c>
      <c r="J777">
        <v>0</v>
      </c>
      <c r="K777">
        <v>337.99</v>
      </c>
      <c r="L777">
        <v>6.21</v>
      </c>
    </row>
    <row r="778" spans="1:12" x14ac:dyDescent="0.25">
      <c r="A778" t="s">
        <v>825</v>
      </c>
      <c r="B778" s="1">
        <v>45654</v>
      </c>
      <c r="C778" s="1">
        <v>45660</v>
      </c>
      <c r="D778" t="s">
        <v>32</v>
      </c>
      <c r="E778" t="s">
        <v>45</v>
      </c>
      <c r="F778" t="s">
        <v>15</v>
      </c>
      <c r="G778" t="s">
        <v>20</v>
      </c>
      <c r="H778" t="s">
        <v>65</v>
      </c>
      <c r="I778">
        <v>1</v>
      </c>
      <c r="J778">
        <v>0.05</v>
      </c>
      <c r="K778">
        <v>376.71</v>
      </c>
      <c r="L778">
        <v>6.8</v>
      </c>
    </row>
    <row r="779" spans="1:12" x14ac:dyDescent="0.25">
      <c r="A779" t="s">
        <v>826</v>
      </c>
      <c r="B779" s="1">
        <v>45732</v>
      </c>
      <c r="C779" s="1">
        <v>45735</v>
      </c>
      <c r="D779" t="s">
        <v>13</v>
      </c>
      <c r="E779" t="s">
        <v>36</v>
      </c>
      <c r="F779" t="s">
        <v>29</v>
      </c>
      <c r="G779" t="s">
        <v>16</v>
      </c>
      <c r="H779" t="s">
        <v>17</v>
      </c>
      <c r="I779">
        <v>2</v>
      </c>
      <c r="J779">
        <v>0</v>
      </c>
      <c r="K779">
        <v>247.56</v>
      </c>
      <c r="L779">
        <v>7</v>
      </c>
    </row>
    <row r="780" spans="1:12" x14ac:dyDescent="0.25">
      <c r="A780" t="s">
        <v>827</v>
      </c>
      <c r="B780" s="1">
        <v>45554</v>
      </c>
      <c r="C780" s="1">
        <v>45555</v>
      </c>
      <c r="D780" t="s">
        <v>32</v>
      </c>
      <c r="E780" t="s">
        <v>33</v>
      </c>
      <c r="F780" t="s">
        <v>25</v>
      </c>
      <c r="G780" t="s">
        <v>20</v>
      </c>
      <c r="H780" t="s">
        <v>27</v>
      </c>
      <c r="I780">
        <v>13</v>
      </c>
      <c r="J780">
        <v>0</v>
      </c>
      <c r="K780">
        <v>387.08</v>
      </c>
      <c r="L780">
        <v>6.21</v>
      </c>
    </row>
    <row r="781" spans="1:12" x14ac:dyDescent="0.25">
      <c r="A781" t="s">
        <v>828</v>
      </c>
      <c r="B781" s="1">
        <v>45544</v>
      </c>
      <c r="C781" s="1">
        <v>45548</v>
      </c>
      <c r="D781" t="s">
        <v>23</v>
      </c>
      <c r="E781" t="s">
        <v>24</v>
      </c>
      <c r="F781" t="s">
        <v>25</v>
      </c>
      <c r="G781" t="s">
        <v>16</v>
      </c>
      <c r="H781" t="s">
        <v>39</v>
      </c>
      <c r="I781">
        <v>1</v>
      </c>
      <c r="J781">
        <v>0.25</v>
      </c>
      <c r="K781">
        <v>163.61000000000001</v>
      </c>
      <c r="L781">
        <v>5.75</v>
      </c>
    </row>
    <row r="782" spans="1:12" x14ac:dyDescent="0.25">
      <c r="A782" t="s">
        <v>829</v>
      </c>
      <c r="B782" s="1">
        <v>45778</v>
      </c>
      <c r="C782" s="1">
        <v>45780</v>
      </c>
      <c r="D782" t="s">
        <v>47</v>
      </c>
      <c r="E782" t="s">
        <v>71</v>
      </c>
      <c r="F782" t="s">
        <v>29</v>
      </c>
      <c r="G782" t="s">
        <v>26</v>
      </c>
      <c r="H782" t="s">
        <v>17</v>
      </c>
      <c r="I782">
        <v>2</v>
      </c>
      <c r="J782">
        <v>0</v>
      </c>
      <c r="K782">
        <v>250.13</v>
      </c>
      <c r="L782">
        <v>4.2</v>
      </c>
    </row>
    <row r="783" spans="1:12" x14ac:dyDescent="0.25">
      <c r="A783" t="s">
        <v>830</v>
      </c>
      <c r="B783" s="1">
        <v>46009</v>
      </c>
      <c r="C783" s="1">
        <v>46015</v>
      </c>
      <c r="D783" t="s">
        <v>13</v>
      </c>
      <c r="E783" t="s">
        <v>14</v>
      </c>
      <c r="F783" t="s">
        <v>25</v>
      </c>
      <c r="G783" t="s">
        <v>26</v>
      </c>
      <c r="H783" t="s">
        <v>27</v>
      </c>
      <c r="I783">
        <v>14</v>
      </c>
      <c r="J783">
        <v>0.15</v>
      </c>
      <c r="K783">
        <v>484.61</v>
      </c>
      <c r="L783">
        <v>6.48</v>
      </c>
    </row>
    <row r="784" spans="1:12" x14ac:dyDescent="0.25">
      <c r="A784" t="s">
        <v>831</v>
      </c>
      <c r="B784" s="1">
        <v>45925</v>
      </c>
      <c r="C784" s="1">
        <v>45931</v>
      </c>
      <c r="D784" t="s">
        <v>23</v>
      </c>
      <c r="E784" t="s">
        <v>24</v>
      </c>
      <c r="F784" t="s">
        <v>25</v>
      </c>
      <c r="G784" t="s">
        <v>20</v>
      </c>
      <c r="H784" t="s">
        <v>21</v>
      </c>
      <c r="I784">
        <v>1</v>
      </c>
      <c r="J784">
        <v>0.1</v>
      </c>
      <c r="K784">
        <v>109.64</v>
      </c>
      <c r="L784">
        <v>4.08</v>
      </c>
    </row>
    <row r="785" spans="1:12" x14ac:dyDescent="0.25">
      <c r="A785" t="s">
        <v>832</v>
      </c>
      <c r="B785" s="1">
        <v>45657</v>
      </c>
      <c r="C785" s="1">
        <v>45658</v>
      </c>
      <c r="D785" t="s">
        <v>47</v>
      </c>
      <c r="E785" t="s">
        <v>71</v>
      </c>
      <c r="F785" t="s">
        <v>25</v>
      </c>
      <c r="G785" t="s">
        <v>26</v>
      </c>
      <c r="H785" t="s">
        <v>17</v>
      </c>
      <c r="I785">
        <v>1</v>
      </c>
      <c r="J785">
        <v>0</v>
      </c>
      <c r="K785">
        <v>168.87</v>
      </c>
      <c r="L785">
        <v>5.75</v>
      </c>
    </row>
    <row r="786" spans="1:12" x14ac:dyDescent="0.25">
      <c r="A786" t="s">
        <v>833</v>
      </c>
      <c r="B786" s="1">
        <v>45716</v>
      </c>
      <c r="C786" s="1">
        <v>45717</v>
      </c>
      <c r="D786" t="s">
        <v>47</v>
      </c>
      <c r="E786" t="s">
        <v>48</v>
      </c>
      <c r="F786" t="s">
        <v>25</v>
      </c>
      <c r="G786" t="s">
        <v>20</v>
      </c>
      <c r="H786" t="s">
        <v>34</v>
      </c>
      <c r="I786">
        <v>3</v>
      </c>
      <c r="J786">
        <v>0</v>
      </c>
      <c r="K786">
        <v>544.79999999999995</v>
      </c>
      <c r="L786">
        <v>11.4</v>
      </c>
    </row>
    <row r="787" spans="1:12" x14ac:dyDescent="0.25">
      <c r="A787" t="s">
        <v>834</v>
      </c>
      <c r="B787" s="1">
        <v>45708</v>
      </c>
      <c r="C787" s="1">
        <v>45710</v>
      </c>
      <c r="D787" t="s">
        <v>13</v>
      </c>
      <c r="E787" t="s">
        <v>14</v>
      </c>
      <c r="F787" t="s">
        <v>25</v>
      </c>
      <c r="G787" t="s">
        <v>20</v>
      </c>
      <c r="H787" t="s">
        <v>68</v>
      </c>
      <c r="I787">
        <v>4</v>
      </c>
      <c r="J787">
        <v>0.1</v>
      </c>
      <c r="K787">
        <v>158.87</v>
      </c>
      <c r="L787">
        <v>9.5</v>
      </c>
    </row>
    <row r="788" spans="1:12" x14ac:dyDescent="0.25">
      <c r="A788" t="s">
        <v>835</v>
      </c>
      <c r="B788" s="1">
        <v>45454</v>
      </c>
      <c r="C788" s="1">
        <v>45459</v>
      </c>
      <c r="D788" t="s">
        <v>32</v>
      </c>
      <c r="E788" t="s">
        <v>45</v>
      </c>
      <c r="F788" t="s">
        <v>25</v>
      </c>
      <c r="G788" t="s">
        <v>20</v>
      </c>
      <c r="H788" t="s">
        <v>53</v>
      </c>
      <c r="I788">
        <v>3</v>
      </c>
      <c r="J788">
        <v>0</v>
      </c>
      <c r="K788">
        <v>182.01</v>
      </c>
      <c r="L788">
        <v>4.95</v>
      </c>
    </row>
    <row r="789" spans="1:12" x14ac:dyDescent="0.25">
      <c r="A789" t="s">
        <v>836</v>
      </c>
      <c r="B789" s="1">
        <v>45609</v>
      </c>
      <c r="C789" s="1">
        <v>45613</v>
      </c>
      <c r="D789" t="s">
        <v>13</v>
      </c>
      <c r="E789" t="s">
        <v>36</v>
      </c>
      <c r="F789" t="s">
        <v>29</v>
      </c>
      <c r="G789" t="s">
        <v>20</v>
      </c>
      <c r="H789" t="s">
        <v>21</v>
      </c>
      <c r="I789">
        <v>3</v>
      </c>
      <c r="J789">
        <v>0</v>
      </c>
      <c r="K789">
        <v>469.74</v>
      </c>
      <c r="L789">
        <v>6.84</v>
      </c>
    </row>
    <row r="790" spans="1:12" x14ac:dyDescent="0.25">
      <c r="A790" t="s">
        <v>837</v>
      </c>
      <c r="B790" s="1">
        <v>45753</v>
      </c>
      <c r="C790" s="1">
        <v>45755</v>
      </c>
      <c r="D790" t="s">
        <v>32</v>
      </c>
      <c r="E790" t="s">
        <v>45</v>
      </c>
      <c r="F790" t="s">
        <v>29</v>
      </c>
      <c r="G790" t="s">
        <v>26</v>
      </c>
      <c r="H790" t="s">
        <v>17</v>
      </c>
      <c r="I790">
        <v>1</v>
      </c>
      <c r="J790">
        <v>0</v>
      </c>
      <c r="K790">
        <v>126.42</v>
      </c>
      <c r="L790">
        <v>5.75</v>
      </c>
    </row>
    <row r="791" spans="1:12" x14ac:dyDescent="0.25">
      <c r="A791" t="s">
        <v>838</v>
      </c>
      <c r="B791" s="1">
        <v>45735</v>
      </c>
      <c r="C791" s="1">
        <v>45738</v>
      </c>
      <c r="D791" t="s">
        <v>32</v>
      </c>
      <c r="E791" t="s">
        <v>45</v>
      </c>
      <c r="F791" t="s">
        <v>29</v>
      </c>
      <c r="G791" t="s">
        <v>26</v>
      </c>
      <c r="H791" t="s">
        <v>53</v>
      </c>
      <c r="I791">
        <v>2</v>
      </c>
      <c r="J791">
        <v>0.25</v>
      </c>
      <c r="K791">
        <v>78.98</v>
      </c>
      <c r="L791">
        <v>7</v>
      </c>
    </row>
    <row r="792" spans="1:12" x14ac:dyDescent="0.25">
      <c r="A792" t="s">
        <v>839</v>
      </c>
      <c r="B792" s="1">
        <v>45975</v>
      </c>
      <c r="C792" s="1">
        <v>45976</v>
      </c>
      <c r="D792" t="s">
        <v>13</v>
      </c>
      <c r="E792" t="s">
        <v>14</v>
      </c>
      <c r="F792" t="s">
        <v>15</v>
      </c>
      <c r="G792" t="s">
        <v>26</v>
      </c>
      <c r="H792" t="s">
        <v>87</v>
      </c>
      <c r="I792">
        <v>14</v>
      </c>
      <c r="J792">
        <v>0.2</v>
      </c>
      <c r="K792">
        <v>119.67</v>
      </c>
      <c r="L792">
        <v>10.8</v>
      </c>
    </row>
    <row r="793" spans="1:12" x14ac:dyDescent="0.25">
      <c r="A793" t="s">
        <v>840</v>
      </c>
      <c r="B793" s="1">
        <v>45821</v>
      </c>
      <c r="C793" s="1">
        <v>45826</v>
      </c>
      <c r="D793" t="s">
        <v>23</v>
      </c>
      <c r="E793" t="s">
        <v>59</v>
      </c>
      <c r="F793" t="s">
        <v>25</v>
      </c>
      <c r="G793" t="s">
        <v>16</v>
      </c>
      <c r="H793" t="s">
        <v>41</v>
      </c>
      <c r="I793">
        <v>7</v>
      </c>
      <c r="J793">
        <v>0.1</v>
      </c>
      <c r="K793">
        <v>39.01</v>
      </c>
      <c r="L793">
        <v>4.59</v>
      </c>
    </row>
    <row r="794" spans="1:12" x14ac:dyDescent="0.25">
      <c r="A794" t="s">
        <v>841</v>
      </c>
      <c r="B794" s="1">
        <v>45528</v>
      </c>
      <c r="C794" s="1">
        <v>45534</v>
      </c>
      <c r="D794" t="s">
        <v>32</v>
      </c>
      <c r="E794" t="s">
        <v>33</v>
      </c>
      <c r="F794" t="s">
        <v>29</v>
      </c>
      <c r="G794" t="s">
        <v>16</v>
      </c>
      <c r="H794" t="s">
        <v>87</v>
      </c>
      <c r="I794">
        <v>5</v>
      </c>
      <c r="J794">
        <v>0</v>
      </c>
      <c r="K794">
        <v>39.35</v>
      </c>
      <c r="L794">
        <v>6.75</v>
      </c>
    </row>
    <row r="795" spans="1:12" x14ac:dyDescent="0.25">
      <c r="A795" t="s">
        <v>842</v>
      </c>
      <c r="B795" s="1">
        <v>45579</v>
      </c>
      <c r="C795" s="1">
        <v>45585</v>
      </c>
      <c r="D795" t="s">
        <v>47</v>
      </c>
      <c r="E795" t="s">
        <v>48</v>
      </c>
      <c r="F795" t="s">
        <v>25</v>
      </c>
      <c r="G795" t="s">
        <v>20</v>
      </c>
      <c r="H795" t="s">
        <v>65</v>
      </c>
      <c r="I795">
        <v>2</v>
      </c>
      <c r="J795">
        <v>0.25</v>
      </c>
      <c r="K795">
        <v>506.82</v>
      </c>
      <c r="L795">
        <v>5.46</v>
      </c>
    </row>
    <row r="796" spans="1:12" x14ac:dyDescent="0.25">
      <c r="A796" t="s">
        <v>843</v>
      </c>
      <c r="B796" s="1">
        <v>45756</v>
      </c>
      <c r="C796" s="1">
        <v>45758</v>
      </c>
      <c r="D796" t="s">
        <v>23</v>
      </c>
      <c r="E796" t="s">
        <v>43</v>
      </c>
      <c r="F796" t="s">
        <v>15</v>
      </c>
      <c r="G796" t="s">
        <v>16</v>
      </c>
      <c r="H796" t="s">
        <v>34</v>
      </c>
      <c r="I796">
        <v>2</v>
      </c>
      <c r="J796">
        <v>0</v>
      </c>
      <c r="K796">
        <v>409.41</v>
      </c>
      <c r="L796">
        <v>9.1</v>
      </c>
    </row>
    <row r="797" spans="1:12" x14ac:dyDescent="0.25">
      <c r="A797" t="s">
        <v>844</v>
      </c>
      <c r="B797" s="1">
        <v>45329</v>
      </c>
      <c r="C797" s="1">
        <v>45331</v>
      </c>
      <c r="D797" t="s">
        <v>23</v>
      </c>
      <c r="E797" t="s">
        <v>24</v>
      </c>
      <c r="F797" t="s">
        <v>15</v>
      </c>
      <c r="G797" t="s">
        <v>26</v>
      </c>
      <c r="H797" t="s">
        <v>63</v>
      </c>
      <c r="I797">
        <v>11</v>
      </c>
      <c r="J797">
        <v>0</v>
      </c>
      <c r="K797">
        <v>117</v>
      </c>
      <c r="L797">
        <v>5.67</v>
      </c>
    </row>
    <row r="798" spans="1:12" x14ac:dyDescent="0.25">
      <c r="A798" t="s">
        <v>845</v>
      </c>
      <c r="B798" s="1">
        <v>45339</v>
      </c>
      <c r="C798" s="1">
        <v>45344</v>
      </c>
      <c r="D798" t="s">
        <v>32</v>
      </c>
      <c r="E798" t="s">
        <v>62</v>
      </c>
      <c r="F798" t="s">
        <v>25</v>
      </c>
      <c r="G798" t="s">
        <v>16</v>
      </c>
      <c r="H798" t="s">
        <v>34</v>
      </c>
      <c r="I798">
        <v>3</v>
      </c>
      <c r="J798">
        <v>0</v>
      </c>
      <c r="K798">
        <v>560.16999999999996</v>
      </c>
      <c r="L798">
        <v>6.84</v>
      </c>
    </row>
    <row r="799" spans="1:12" x14ac:dyDescent="0.25">
      <c r="A799" t="s">
        <v>846</v>
      </c>
      <c r="B799" s="1">
        <v>45928</v>
      </c>
      <c r="C799" s="1">
        <v>45930</v>
      </c>
      <c r="D799" t="s">
        <v>47</v>
      </c>
      <c r="E799" t="s">
        <v>48</v>
      </c>
      <c r="F799" t="s">
        <v>25</v>
      </c>
      <c r="G799" t="s">
        <v>20</v>
      </c>
      <c r="H799" t="s">
        <v>41</v>
      </c>
      <c r="I799">
        <v>11</v>
      </c>
      <c r="J799">
        <v>0.2</v>
      </c>
      <c r="K799">
        <v>59.73</v>
      </c>
      <c r="L799">
        <v>5.67</v>
      </c>
    </row>
    <row r="800" spans="1:12" x14ac:dyDescent="0.25">
      <c r="A800" t="s">
        <v>847</v>
      </c>
      <c r="B800" s="1">
        <v>45372</v>
      </c>
      <c r="C800" s="1">
        <v>45378</v>
      </c>
      <c r="D800" t="s">
        <v>23</v>
      </c>
      <c r="E800" t="s">
        <v>43</v>
      </c>
      <c r="F800" t="s">
        <v>15</v>
      </c>
      <c r="G800" t="s">
        <v>20</v>
      </c>
      <c r="H800" t="s">
        <v>41</v>
      </c>
      <c r="I800">
        <v>7</v>
      </c>
      <c r="J800">
        <v>0</v>
      </c>
      <c r="K800">
        <v>41.02</v>
      </c>
      <c r="L800">
        <v>7.65</v>
      </c>
    </row>
    <row r="801" spans="1:12" x14ac:dyDescent="0.25">
      <c r="A801" t="s">
        <v>848</v>
      </c>
      <c r="B801" s="1">
        <v>45777</v>
      </c>
      <c r="C801" s="1">
        <v>45778</v>
      </c>
      <c r="D801" t="s">
        <v>47</v>
      </c>
      <c r="E801" t="s">
        <v>71</v>
      </c>
      <c r="F801" t="s">
        <v>29</v>
      </c>
      <c r="G801" t="s">
        <v>26</v>
      </c>
      <c r="H801" t="s">
        <v>60</v>
      </c>
      <c r="I801">
        <v>4</v>
      </c>
      <c r="J801">
        <v>0</v>
      </c>
      <c r="K801">
        <v>462.5</v>
      </c>
      <c r="L801">
        <v>5.7</v>
      </c>
    </row>
    <row r="802" spans="1:12" x14ac:dyDescent="0.25">
      <c r="A802" t="s">
        <v>849</v>
      </c>
      <c r="B802" s="1">
        <v>45467</v>
      </c>
      <c r="C802" s="1">
        <v>45472</v>
      </c>
      <c r="D802" t="s">
        <v>23</v>
      </c>
      <c r="E802" t="s">
        <v>59</v>
      </c>
      <c r="F802" t="s">
        <v>29</v>
      </c>
      <c r="G802" t="s">
        <v>16</v>
      </c>
      <c r="H802" t="s">
        <v>39</v>
      </c>
      <c r="I802">
        <v>1</v>
      </c>
      <c r="J802">
        <v>0</v>
      </c>
      <c r="K802">
        <v>199.77</v>
      </c>
      <c r="L802">
        <v>3.45</v>
      </c>
    </row>
    <row r="803" spans="1:12" x14ac:dyDescent="0.25">
      <c r="A803" t="s">
        <v>850</v>
      </c>
      <c r="B803" s="1">
        <v>45387</v>
      </c>
      <c r="C803" s="1">
        <v>45389</v>
      </c>
      <c r="D803" t="s">
        <v>47</v>
      </c>
      <c r="E803" t="s">
        <v>48</v>
      </c>
      <c r="F803" t="s">
        <v>15</v>
      </c>
      <c r="G803" t="s">
        <v>26</v>
      </c>
      <c r="H803" t="s">
        <v>34</v>
      </c>
      <c r="I803">
        <v>2</v>
      </c>
      <c r="J803">
        <v>0.1</v>
      </c>
      <c r="K803">
        <v>352.02</v>
      </c>
      <c r="L803">
        <v>5.46</v>
      </c>
    </row>
    <row r="804" spans="1:12" x14ac:dyDescent="0.25">
      <c r="A804" t="s">
        <v>851</v>
      </c>
      <c r="B804" s="1">
        <v>45461</v>
      </c>
      <c r="C804" s="1">
        <v>45464</v>
      </c>
      <c r="D804" t="s">
        <v>47</v>
      </c>
      <c r="E804" t="s">
        <v>71</v>
      </c>
      <c r="F804" t="s">
        <v>15</v>
      </c>
      <c r="G804" t="s">
        <v>16</v>
      </c>
      <c r="H804" t="s">
        <v>27</v>
      </c>
      <c r="I804">
        <v>9</v>
      </c>
      <c r="J804">
        <v>0</v>
      </c>
      <c r="K804">
        <v>254.55</v>
      </c>
      <c r="L804">
        <v>5.13</v>
      </c>
    </row>
    <row r="805" spans="1:12" x14ac:dyDescent="0.25">
      <c r="A805" t="s">
        <v>852</v>
      </c>
      <c r="B805" s="1">
        <v>45836</v>
      </c>
      <c r="C805" s="1">
        <v>45837</v>
      </c>
      <c r="D805" t="s">
        <v>47</v>
      </c>
      <c r="E805" t="s">
        <v>71</v>
      </c>
      <c r="F805" t="s">
        <v>25</v>
      </c>
      <c r="G805" t="s">
        <v>16</v>
      </c>
      <c r="H805" t="s">
        <v>17</v>
      </c>
      <c r="I805">
        <v>2</v>
      </c>
      <c r="J805">
        <v>0.15</v>
      </c>
      <c r="K805">
        <v>230.9</v>
      </c>
      <c r="L805">
        <v>4.2</v>
      </c>
    </row>
    <row r="806" spans="1:12" x14ac:dyDescent="0.25">
      <c r="A806" t="s">
        <v>853</v>
      </c>
      <c r="B806" s="1">
        <v>45416</v>
      </c>
      <c r="C806" s="1">
        <v>45421</v>
      </c>
      <c r="D806" t="s">
        <v>47</v>
      </c>
      <c r="E806" t="s">
        <v>71</v>
      </c>
      <c r="F806" t="s">
        <v>25</v>
      </c>
      <c r="G806" t="s">
        <v>20</v>
      </c>
      <c r="H806" t="s">
        <v>87</v>
      </c>
      <c r="I806">
        <v>13</v>
      </c>
      <c r="J806">
        <v>0</v>
      </c>
      <c r="K806">
        <v>112.24</v>
      </c>
      <c r="L806">
        <v>6.21</v>
      </c>
    </row>
    <row r="807" spans="1:12" x14ac:dyDescent="0.25">
      <c r="A807" t="s">
        <v>854</v>
      </c>
      <c r="B807" s="1">
        <v>45884</v>
      </c>
      <c r="C807" s="1">
        <v>45889</v>
      </c>
      <c r="D807" t="s">
        <v>23</v>
      </c>
      <c r="E807" t="s">
        <v>59</v>
      </c>
      <c r="F807" t="s">
        <v>15</v>
      </c>
      <c r="G807" t="s">
        <v>20</v>
      </c>
      <c r="H807" t="s">
        <v>60</v>
      </c>
      <c r="I807">
        <v>1</v>
      </c>
      <c r="J807">
        <v>0.1</v>
      </c>
      <c r="K807">
        <v>91.53</v>
      </c>
      <c r="L807">
        <v>5.75</v>
      </c>
    </row>
    <row r="808" spans="1:12" x14ac:dyDescent="0.25">
      <c r="A808" t="s">
        <v>855</v>
      </c>
      <c r="B808" s="1">
        <v>45464</v>
      </c>
      <c r="C808" s="1">
        <v>45469</v>
      </c>
      <c r="D808" t="s">
        <v>23</v>
      </c>
      <c r="E808" t="s">
        <v>59</v>
      </c>
      <c r="F808" t="s">
        <v>15</v>
      </c>
      <c r="G808" t="s">
        <v>26</v>
      </c>
      <c r="H808" t="s">
        <v>21</v>
      </c>
      <c r="I808">
        <v>2</v>
      </c>
      <c r="J808">
        <v>0.1</v>
      </c>
      <c r="K808">
        <v>221.23</v>
      </c>
      <c r="L808">
        <v>9.1</v>
      </c>
    </row>
    <row r="809" spans="1:12" x14ac:dyDescent="0.25">
      <c r="A809" t="s">
        <v>856</v>
      </c>
      <c r="B809" s="1">
        <v>45966</v>
      </c>
      <c r="C809" s="1">
        <v>45969</v>
      </c>
      <c r="D809" t="s">
        <v>32</v>
      </c>
      <c r="E809" t="s">
        <v>62</v>
      </c>
      <c r="F809" t="s">
        <v>29</v>
      </c>
      <c r="G809" t="s">
        <v>26</v>
      </c>
      <c r="H809" t="s">
        <v>68</v>
      </c>
      <c r="I809">
        <v>5</v>
      </c>
      <c r="J809">
        <v>0.25</v>
      </c>
      <c r="K809">
        <v>263.39999999999998</v>
      </c>
      <c r="L809">
        <v>6.45</v>
      </c>
    </row>
    <row r="810" spans="1:12" x14ac:dyDescent="0.25">
      <c r="A810" t="s">
        <v>857</v>
      </c>
      <c r="B810" s="1">
        <v>45908</v>
      </c>
      <c r="C810" s="1">
        <v>45914</v>
      </c>
      <c r="D810" t="s">
        <v>47</v>
      </c>
      <c r="E810" t="s">
        <v>50</v>
      </c>
      <c r="F810" t="s">
        <v>25</v>
      </c>
      <c r="G810" t="s">
        <v>16</v>
      </c>
      <c r="H810" t="s">
        <v>34</v>
      </c>
      <c r="I810">
        <v>1</v>
      </c>
      <c r="J810">
        <v>0.25</v>
      </c>
      <c r="K810">
        <v>159.36000000000001</v>
      </c>
      <c r="L810">
        <v>4.08</v>
      </c>
    </row>
    <row r="811" spans="1:12" x14ac:dyDescent="0.25">
      <c r="A811" t="s">
        <v>858</v>
      </c>
      <c r="B811" s="1">
        <v>45978</v>
      </c>
      <c r="C811" s="1">
        <v>45982</v>
      </c>
      <c r="D811" t="s">
        <v>23</v>
      </c>
      <c r="E811" t="s">
        <v>59</v>
      </c>
      <c r="F811" t="s">
        <v>15</v>
      </c>
      <c r="G811" t="s">
        <v>26</v>
      </c>
      <c r="H811" t="s">
        <v>65</v>
      </c>
      <c r="I811">
        <v>2</v>
      </c>
      <c r="J811">
        <v>0.05</v>
      </c>
      <c r="K811">
        <v>771.48</v>
      </c>
      <c r="L811">
        <v>9.1</v>
      </c>
    </row>
    <row r="812" spans="1:12" x14ac:dyDescent="0.25">
      <c r="A812" t="s">
        <v>859</v>
      </c>
      <c r="B812" s="1">
        <v>45295</v>
      </c>
      <c r="C812" s="1">
        <v>45298</v>
      </c>
      <c r="D812" t="s">
        <v>13</v>
      </c>
      <c r="E812" t="s">
        <v>19</v>
      </c>
      <c r="F812" t="s">
        <v>29</v>
      </c>
      <c r="G812" t="s">
        <v>16</v>
      </c>
      <c r="H812" t="s">
        <v>27</v>
      </c>
      <c r="I812">
        <v>9</v>
      </c>
      <c r="J812">
        <v>0</v>
      </c>
      <c r="K812">
        <v>214.54</v>
      </c>
      <c r="L812">
        <v>8.5500000000000007</v>
      </c>
    </row>
    <row r="813" spans="1:12" x14ac:dyDescent="0.25">
      <c r="A813" t="s">
        <v>860</v>
      </c>
      <c r="B813" s="1">
        <v>45319</v>
      </c>
      <c r="C813" s="1">
        <v>45323</v>
      </c>
      <c r="D813" t="s">
        <v>23</v>
      </c>
      <c r="E813" t="s">
        <v>59</v>
      </c>
      <c r="F813" t="s">
        <v>15</v>
      </c>
      <c r="G813" t="s">
        <v>26</v>
      </c>
      <c r="H813" t="s">
        <v>37</v>
      </c>
      <c r="I813">
        <v>3</v>
      </c>
      <c r="J813">
        <v>0</v>
      </c>
      <c r="K813">
        <v>284.43</v>
      </c>
      <c r="L813">
        <v>6.84</v>
      </c>
    </row>
    <row r="814" spans="1:12" x14ac:dyDescent="0.25">
      <c r="A814" t="s">
        <v>861</v>
      </c>
      <c r="B814" s="1">
        <v>45926</v>
      </c>
      <c r="C814" s="1">
        <v>45930</v>
      </c>
      <c r="D814" t="s">
        <v>32</v>
      </c>
      <c r="E814" t="s">
        <v>33</v>
      </c>
      <c r="F814" t="s">
        <v>15</v>
      </c>
      <c r="G814" t="s">
        <v>26</v>
      </c>
      <c r="H814" t="s">
        <v>63</v>
      </c>
      <c r="I814">
        <v>13</v>
      </c>
      <c r="J814">
        <v>0.15</v>
      </c>
      <c r="K814">
        <v>141.59</v>
      </c>
      <c r="L814">
        <v>10.35</v>
      </c>
    </row>
    <row r="815" spans="1:12" x14ac:dyDescent="0.25">
      <c r="A815" t="s">
        <v>862</v>
      </c>
      <c r="B815" s="1">
        <v>45917</v>
      </c>
      <c r="C815" s="1">
        <v>45921</v>
      </c>
      <c r="D815" t="s">
        <v>13</v>
      </c>
      <c r="E815" t="s">
        <v>19</v>
      </c>
      <c r="F815" t="s">
        <v>25</v>
      </c>
      <c r="G815" t="s">
        <v>16</v>
      </c>
      <c r="H815" t="s">
        <v>63</v>
      </c>
      <c r="I815">
        <v>12</v>
      </c>
      <c r="J815">
        <v>0.1</v>
      </c>
      <c r="K815">
        <v>134.38999999999999</v>
      </c>
      <c r="L815">
        <v>5.94</v>
      </c>
    </row>
    <row r="816" spans="1:12" x14ac:dyDescent="0.25">
      <c r="A816" t="s">
        <v>863</v>
      </c>
      <c r="B816" s="1">
        <v>45733</v>
      </c>
      <c r="C816" s="1">
        <v>45737</v>
      </c>
      <c r="D816" t="s">
        <v>23</v>
      </c>
      <c r="E816" t="s">
        <v>24</v>
      </c>
      <c r="F816" t="s">
        <v>29</v>
      </c>
      <c r="G816" t="s">
        <v>20</v>
      </c>
      <c r="H816" t="s">
        <v>68</v>
      </c>
      <c r="I816">
        <v>2</v>
      </c>
      <c r="J816">
        <v>0.2</v>
      </c>
      <c r="K816">
        <v>79.459999999999994</v>
      </c>
      <c r="L816">
        <v>7</v>
      </c>
    </row>
    <row r="817" spans="1:12" x14ac:dyDescent="0.25">
      <c r="A817" t="s">
        <v>864</v>
      </c>
      <c r="B817" s="1">
        <v>45389</v>
      </c>
      <c r="C817" s="1">
        <v>45390</v>
      </c>
      <c r="D817" t="s">
        <v>13</v>
      </c>
      <c r="E817" t="s">
        <v>19</v>
      </c>
      <c r="F817" t="s">
        <v>25</v>
      </c>
      <c r="G817" t="s">
        <v>20</v>
      </c>
      <c r="H817" t="s">
        <v>65</v>
      </c>
      <c r="I817">
        <v>4</v>
      </c>
      <c r="J817">
        <v>0.15</v>
      </c>
      <c r="K817">
        <v>965.54</v>
      </c>
      <c r="L817">
        <v>8.2200000000000006</v>
      </c>
    </row>
    <row r="818" spans="1:12" x14ac:dyDescent="0.25">
      <c r="A818" t="s">
        <v>865</v>
      </c>
      <c r="B818" s="1">
        <v>45591</v>
      </c>
      <c r="C818" s="1">
        <v>45592</v>
      </c>
      <c r="D818" t="s">
        <v>13</v>
      </c>
      <c r="E818" t="s">
        <v>36</v>
      </c>
      <c r="F818" t="s">
        <v>15</v>
      </c>
      <c r="G818" t="s">
        <v>20</v>
      </c>
      <c r="H818" t="s">
        <v>63</v>
      </c>
      <c r="I818">
        <v>3</v>
      </c>
      <c r="J818">
        <v>0</v>
      </c>
      <c r="K818">
        <v>44.23</v>
      </c>
      <c r="L818">
        <v>5.85</v>
      </c>
    </row>
    <row r="819" spans="1:12" x14ac:dyDescent="0.25">
      <c r="A819" t="s">
        <v>866</v>
      </c>
      <c r="B819" s="1">
        <v>45931</v>
      </c>
      <c r="C819" s="1">
        <v>45933</v>
      </c>
      <c r="D819" t="s">
        <v>32</v>
      </c>
      <c r="E819" t="s">
        <v>62</v>
      </c>
      <c r="F819" t="s">
        <v>29</v>
      </c>
      <c r="G819" t="s">
        <v>26</v>
      </c>
      <c r="H819" t="s">
        <v>63</v>
      </c>
      <c r="I819">
        <v>25</v>
      </c>
      <c r="J819">
        <v>0</v>
      </c>
      <c r="K819">
        <v>341.81</v>
      </c>
      <c r="L819">
        <v>9.4499999999999993</v>
      </c>
    </row>
    <row r="820" spans="1:12" x14ac:dyDescent="0.25">
      <c r="A820" t="s">
        <v>867</v>
      </c>
      <c r="B820" s="1">
        <v>45859</v>
      </c>
      <c r="C820" s="1">
        <v>45861</v>
      </c>
      <c r="D820" t="s">
        <v>32</v>
      </c>
      <c r="E820" t="s">
        <v>33</v>
      </c>
      <c r="F820" t="s">
        <v>25</v>
      </c>
      <c r="G820" t="s">
        <v>20</v>
      </c>
      <c r="H820" t="s">
        <v>41</v>
      </c>
      <c r="I820">
        <v>7</v>
      </c>
      <c r="J820">
        <v>0</v>
      </c>
      <c r="K820">
        <v>37.33</v>
      </c>
      <c r="L820">
        <v>4.59</v>
      </c>
    </row>
    <row r="821" spans="1:12" x14ac:dyDescent="0.25">
      <c r="A821" t="s">
        <v>868</v>
      </c>
      <c r="B821" s="1">
        <v>45646</v>
      </c>
      <c r="C821" s="1">
        <v>45647</v>
      </c>
      <c r="D821" t="s">
        <v>23</v>
      </c>
      <c r="E821" t="s">
        <v>59</v>
      </c>
      <c r="F821" t="s">
        <v>25</v>
      </c>
      <c r="G821" t="s">
        <v>26</v>
      </c>
      <c r="H821" t="s">
        <v>39</v>
      </c>
      <c r="I821">
        <v>3</v>
      </c>
      <c r="J821">
        <v>0</v>
      </c>
      <c r="K821">
        <v>867.86</v>
      </c>
      <c r="L821">
        <v>4.95</v>
      </c>
    </row>
    <row r="822" spans="1:12" x14ac:dyDescent="0.25">
      <c r="A822" t="s">
        <v>869</v>
      </c>
      <c r="B822" s="1">
        <v>45296</v>
      </c>
      <c r="C822" s="1">
        <v>45301</v>
      </c>
      <c r="D822" t="s">
        <v>47</v>
      </c>
      <c r="E822" t="s">
        <v>71</v>
      </c>
      <c r="F822" t="s">
        <v>25</v>
      </c>
      <c r="G822" t="s">
        <v>16</v>
      </c>
      <c r="H822" t="s">
        <v>39</v>
      </c>
      <c r="I822">
        <v>1</v>
      </c>
      <c r="J822">
        <v>0</v>
      </c>
      <c r="K822">
        <v>163.80000000000001</v>
      </c>
      <c r="L822">
        <v>3.45</v>
      </c>
    </row>
    <row r="823" spans="1:12" x14ac:dyDescent="0.25">
      <c r="A823" t="s">
        <v>870</v>
      </c>
      <c r="B823" s="1">
        <v>45863</v>
      </c>
      <c r="C823" s="1">
        <v>45865</v>
      </c>
      <c r="D823" t="s">
        <v>23</v>
      </c>
      <c r="E823" t="s">
        <v>59</v>
      </c>
      <c r="F823" t="s">
        <v>25</v>
      </c>
      <c r="G823" t="s">
        <v>26</v>
      </c>
      <c r="H823" t="s">
        <v>51</v>
      </c>
      <c r="I823">
        <v>4</v>
      </c>
      <c r="J823">
        <v>0.15</v>
      </c>
      <c r="K823">
        <v>45.44</v>
      </c>
      <c r="L823">
        <v>6.3</v>
      </c>
    </row>
    <row r="824" spans="1:12" x14ac:dyDescent="0.25">
      <c r="A824" t="s">
        <v>871</v>
      </c>
      <c r="B824" s="1">
        <v>45730</v>
      </c>
      <c r="C824" s="1">
        <v>45735</v>
      </c>
      <c r="D824" t="s">
        <v>23</v>
      </c>
      <c r="E824" t="s">
        <v>43</v>
      </c>
      <c r="F824" t="s">
        <v>25</v>
      </c>
      <c r="G824" t="s">
        <v>26</v>
      </c>
      <c r="H824" t="s">
        <v>60</v>
      </c>
      <c r="I824">
        <v>4</v>
      </c>
      <c r="J824">
        <v>0.2</v>
      </c>
      <c r="K824">
        <v>336.21</v>
      </c>
      <c r="L824">
        <v>9.5</v>
      </c>
    </row>
    <row r="825" spans="1:12" x14ac:dyDescent="0.25">
      <c r="A825" t="s">
        <v>872</v>
      </c>
      <c r="B825" s="1">
        <v>45596</v>
      </c>
      <c r="C825" s="1">
        <v>45597</v>
      </c>
      <c r="D825" t="s">
        <v>13</v>
      </c>
      <c r="E825" t="s">
        <v>14</v>
      </c>
      <c r="F825" t="s">
        <v>29</v>
      </c>
      <c r="G825" t="s">
        <v>16</v>
      </c>
      <c r="H825" t="s">
        <v>53</v>
      </c>
      <c r="I825">
        <v>4</v>
      </c>
      <c r="J825">
        <v>0</v>
      </c>
      <c r="K825">
        <v>261.81</v>
      </c>
      <c r="L825">
        <v>9.5</v>
      </c>
    </row>
    <row r="826" spans="1:12" x14ac:dyDescent="0.25">
      <c r="A826" t="s">
        <v>873</v>
      </c>
      <c r="B826" s="1">
        <v>45689</v>
      </c>
      <c r="C826" s="1">
        <v>45694</v>
      </c>
      <c r="D826" t="s">
        <v>47</v>
      </c>
      <c r="E826" t="s">
        <v>71</v>
      </c>
      <c r="F826" t="s">
        <v>15</v>
      </c>
      <c r="G826" t="s">
        <v>26</v>
      </c>
      <c r="H826" t="s">
        <v>63</v>
      </c>
      <c r="I826">
        <v>9</v>
      </c>
      <c r="J826">
        <v>0</v>
      </c>
      <c r="K826">
        <v>103.75</v>
      </c>
      <c r="L826">
        <v>5.13</v>
      </c>
    </row>
    <row r="827" spans="1:12" x14ac:dyDescent="0.25">
      <c r="A827" t="s">
        <v>874</v>
      </c>
      <c r="B827" s="1">
        <v>45521</v>
      </c>
      <c r="C827" s="1">
        <v>45522</v>
      </c>
      <c r="D827" t="s">
        <v>32</v>
      </c>
      <c r="E827" t="s">
        <v>33</v>
      </c>
      <c r="F827" t="s">
        <v>15</v>
      </c>
      <c r="G827" t="s">
        <v>20</v>
      </c>
      <c r="H827" t="s">
        <v>53</v>
      </c>
      <c r="I827">
        <v>2</v>
      </c>
      <c r="J827">
        <v>0</v>
      </c>
      <c r="K827">
        <v>105.71</v>
      </c>
      <c r="L827">
        <v>7</v>
      </c>
    </row>
    <row r="828" spans="1:12" x14ac:dyDescent="0.25">
      <c r="A828" t="s">
        <v>875</v>
      </c>
      <c r="B828" s="1">
        <v>45559</v>
      </c>
      <c r="C828" s="1">
        <v>45562</v>
      </c>
      <c r="D828" t="s">
        <v>47</v>
      </c>
      <c r="E828" t="s">
        <v>48</v>
      </c>
      <c r="F828" t="s">
        <v>15</v>
      </c>
      <c r="G828" t="s">
        <v>16</v>
      </c>
      <c r="H828" t="s">
        <v>53</v>
      </c>
      <c r="I828">
        <v>7</v>
      </c>
      <c r="J828">
        <v>0</v>
      </c>
      <c r="K828">
        <v>410.66</v>
      </c>
      <c r="L828">
        <v>7.95</v>
      </c>
    </row>
    <row r="829" spans="1:12" x14ac:dyDescent="0.25">
      <c r="A829" t="s">
        <v>876</v>
      </c>
      <c r="B829" s="1">
        <v>45958</v>
      </c>
      <c r="C829" s="1">
        <v>45962</v>
      </c>
      <c r="D829" t="s">
        <v>47</v>
      </c>
      <c r="E829" t="s">
        <v>50</v>
      </c>
      <c r="F829" t="s">
        <v>25</v>
      </c>
      <c r="G829" t="s">
        <v>16</v>
      </c>
      <c r="H829" t="s">
        <v>65</v>
      </c>
      <c r="I829">
        <v>7</v>
      </c>
      <c r="J829">
        <v>0</v>
      </c>
      <c r="K829">
        <v>2278.6</v>
      </c>
      <c r="L829">
        <v>12.36</v>
      </c>
    </row>
    <row r="830" spans="1:12" x14ac:dyDescent="0.25">
      <c r="A830" t="s">
        <v>877</v>
      </c>
      <c r="B830" s="1">
        <v>45923</v>
      </c>
      <c r="C830" s="1">
        <v>45925</v>
      </c>
      <c r="D830" t="s">
        <v>47</v>
      </c>
      <c r="E830" t="s">
        <v>50</v>
      </c>
      <c r="F830" t="s">
        <v>15</v>
      </c>
      <c r="G830" t="s">
        <v>20</v>
      </c>
      <c r="H830" t="s">
        <v>51</v>
      </c>
      <c r="I830">
        <v>3</v>
      </c>
      <c r="J830">
        <v>0</v>
      </c>
      <c r="K830">
        <v>45.44</v>
      </c>
      <c r="L830">
        <v>3.51</v>
      </c>
    </row>
    <row r="831" spans="1:12" x14ac:dyDescent="0.25">
      <c r="A831" t="s">
        <v>878</v>
      </c>
      <c r="B831" s="1">
        <v>45326</v>
      </c>
      <c r="C831" s="1">
        <v>45331</v>
      </c>
      <c r="D831" t="s">
        <v>23</v>
      </c>
      <c r="E831" t="s">
        <v>59</v>
      </c>
      <c r="F831" t="s">
        <v>29</v>
      </c>
      <c r="G831" t="s">
        <v>16</v>
      </c>
      <c r="H831" t="s">
        <v>68</v>
      </c>
      <c r="I831">
        <v>4</v>
      </c>
      <c r="J831">
        <v>0.15</v>
      </c>
      <c r="K831">
        <v>151.18</v>
      </c>
      <c r="L831">
        <v>9.5</v>
      </c>
    </row>
    <row r="832" spans="1:12" x14ac:dyDescent="0.25">
      <c r="A832" t="s">
        <v>879</v>
      </c>
      <c r="B832" s="1">
        <v>45533</v>
      </c>
      <c r="C832" s="1">
        <v>45536</v>
      </c>
      <c r="D832" t="s">
        <v>23</v>
      </c>
      <c r="E832" t="s">
        <v>59</v>
      </c>
      <c r="F832" t="s">
        <v>15</v>
      </c>
      <c r="G832" t="s">
        <v>20</v>
      </c>
      <c r="H832" t="s">
        <v>51</v>
      </c>
      <c r="I832">
        <v>4</v>
      </c>
      <c r="J832">
        <v>0</v>
      </c>
      <c r="K832">
        <v>54.59</v>
      </c>
      <c r="L832">
        <v>6.3</v>
      </c>
    </row>
    <row r="833" spans="1:12" x14ac:dyDescent="0.25">
      <c r="A833" t="s">
        <v>880</v>
      </c>
      <c r="B833" s="1">
        <v>45659</v>
      </c>
      <c r="C833" s="1">
        <v>45665</v>
      </c>
      <c r="D833" t="s">
        <v>32</v>
      </c>
      <c r="E833" t="s">
        <v>62</v>
      </c>
      <c r="F833" t="s">
        <v>15</v>
      </c>
      <c r="G833" t="s">
        <v>26</v>
      </c>
      <c r="H833" t="s">
        <v>27</v>
      </c>
      <c r="I833">
        <v>8</v>
      </c>
      <c r="J833">
        <v>0</v>
      </c>
      <c r="K833">
        <v>193.43</v>
      </c>
      <c r="L833">
        <v>8.1</v>
      </c>
    </row>
    <row r="834" spans="1:12" x14ac:dyDescent="0.25">
      <c r="A834" t="s">
        <v>881</v>
      </c>
      <c r="B834" s="1">
        <v>45491</v>
      </c>
      <c r="C834" s="1">
        <v>45493</v>
      </c>
      <c r="D834" t="s">
        <v>23</v>
      </c>
      <c r="E834" t="s">
        <v>59</v>
      </c>
      <c r="F834" t="s">
        <v>25</v>
      </c>
      <c r="G834" t="s">
        <v>26</v>
      </c>
      <c r="H834" t="s">
        <v>68</v>
      </c>
      <c r="I834">
        <v>1</v>
      </c>
      <c r="J834">
        <v>0.2</v>
      </c>
      <c r="K834">
        <v>36.24</v>
      </c>
      <c r="L834">
        <v>3.45</v>
      </c>
    </row>
    <row r="835" spans="1:12" x14ac:dyDescent="0.25">
      <c r="A835" t="s">
        <v>882</v>
      </c>
      <c r="B835" s="1">
        <v>45692</v>
      </c>
      <c r="C835" s="1">
        <v>45695</v>
      </c>
      <c r="D835" t="s">
        <v>23</v>
      </c>
      <c r="E835" t="s">
        <v>59</v>
      </c>
      <c r="F835" t="s">
        <v>15</v>
      </c>
      <c r="G835" t="s">
        <v>20</v>
      </c>
      <c r="H835" t="s">
        <v>30</v>
      </c>
      <c r="I835">
        <v>16</v>
      </c>
      <c r="J835">
        <v>0</v>
      </c>
      <c r="K835">
        <v>90.53</v>
      </c>
      <c r="L835">
        <v>11.7</v>
      </c>
    </row>
    <row r="836" spans="1:12" x14ac:dyDescent="0.25">
      <c r="A836" t="s">
        <v>883</v>
      </c>
      <c r="B836" s="1">
        <v>45616</v>
      </c>
      <c r="C836" s="1">
        <v>45618</v>
      </c>
      <c r="D836" t="s">
        <v>32</v>
      </c>
      <c r="E836" t="s">
        <v>62</v>
      </c>
      <c r="F836" t="s">
        <v>25</v>
      </c>
      <c r="G836" t="s">
        <v>20</v>
      </c>
      <c r="H836" t="s">
        <v>60</v>
      </c>
      <c r="I836">
        <v>4</v>
      </c>
      <c r="J836">
        <v>0.15</v>
      </c>
      <c r="K836">
        <v>533.4</v>
      </c>
      <c r="L836">
        <v>9.5</v>
      </c>
    </row>
    <row r="837" spans="1:12" x14ac:dyDescent="0.25">
      <c r="A837" t="s">
        <v>884</v>
      </c>
      <c r="B837" s="1">
        <v>45881</v>
      </c>
      <c r="C837" s="1">
        <v>45882</v>
      </c>
      <c r="D837" t="s">
        <v>23</v>
      </c>
      <c r="E837" t="s">
        <v>43</v>
      </c>
      <c r="F837" t="s">
        <v>15</v>
      </c>
      <c r="G837" t="s">
        <v>20</v>
      </c>
      <c r="H837" t="s">
        <v>68</v>
      </c>
      <c r="I837">
        <v>7</v>
      </c>
      <c r="J837">
        <v>0.2</v>
      </c>
      <c r="K837">
        <v>271.35000000000002</v>
      </c>
      <c r="L837">
        <v>7.95</v>
      </c>
    </row>
    <row r="838" spans="1:12" x14ac:dyDescent="0.25">
      <c r="A838" t="s">
        <v>885</v>
      </c>
      <c r="B838" s="1">
        <v>45439</v>
      </c>
      <c r="C838" s="1">
        <v>45445</v>
      </c>
      <c r="D838" t="s">
        <v>47</v>
      </c>
      <c r="E838" t="s">
        <v>50</v>
      </c>
      <c r="F838" t="s">
        <v>25</v>
      </c>
      <c r="G838" t="s">
        <v>26</v>
      </c>
      <c r="H838" t="s">
        <v>39</v>
      </c>
      <c r="I838">
        <v>2</v>
      </c>
      <c r="J838">
        <v>0</v>
      </c>
      <c r="K838">
        <v>384.91</v>
      </c>
      <c r="L838">
        <v>4.2</v>
      </c>
    </row>
    <row r="839" spans="1:12" x14ac:dyDescent="0.25">
      <c r="A839" t="s">
        <v>886</v>
      </c>
      <c r="B839" s="1">
        <v>45591</v>
      </c>
      <c r="C839" s="1">
        <v>45597</v>
      </c>
      <c r="D839" t="s">
        <v>32</v>
      </c>
      <c r="E839" t="s">
        <v>33</v>
      </c>
      <c r="F839" t="s">
        <v>25</v>
      </c>
      <c r="G839" t="s">
        <v>16</v>
      </c>
      <c r="H839" t="s">
        <v>60</v>
      </c>
      <c r="I839">
        <v>3</v>
      </c>
      <c r="J839">
        <v>0</v>
      </c>
      <c r="K839">
        <v>405.34</v>
      </c>
      <c r="L839">
        <v>8.25</v>
      </c>
    </row>
    <row r="840" spans="1:12" x14ac:dyDescent="0.25">
      <c r="A840" t="s">
        <v>887</v>
      </c>
      <c r="B840" s="1">
        <v>45293</v>
      </c>
      <c r="C840" s="1">
        <v>45295</v>
      </c>
      <c r="D840" t="s">
        <v>23</v>
      </c>
      <c r="E840" t="s">
        <v>43</v>
      </c>
      <c r="F840" t="s">
        <v>29</v>
      </c>
      <c r="G840" t="s">
        <v>20</v>
      </c>
      <c r="H840" t="s">
        <v>63</v>
      </c>
      <c r="I840">
        <v>14</v>
      </c>
      <c r="J840">
        <v>0.05</v>
      </c>
      <c r="K840">
        <v>139.03</v>
      </c>
      <c r="L840">
        <v>6.48</v>
      </c>
    </row>
    <row r="841" spans="1:12" x14ac:dyDescent="0.25">
      <c r="A841" t="s">
        <v>888</v>
      </c>
      <c r="B841" s="1">
        <v>45700</v>
      </c>
      <c r="C841" s="1">
        <v>45701</v>
      </c>
      <c r="D841" t="s">
        <v>13</v>
      </c>
      <c r="E841" t="s">
        <v>19</v>
      </c>
      <c r="F841" t="s">
        <v>25</v>
      </c>
      <c r="G841" t="s">
        <v>26</v>
      </c>
      <c r="H841" t="s">
        <v>30</v>
      </c>
      <c r="I841">
        <v>5</v>
      </c>
      <c r="J841">
        <v>0.25</v>
      </c>
      <c r="K841">
        <v>21.46</v>
      </c>
      <c r="L841">
        <v>6.75</v>
      </c>
    </row>
    <row r="842" spans="1:12" x14ac:dyDescent="0.25">
      <c r="A842" t="s">
        <v>889</v>
      </c>
      <c r="B842" s="1">
        <v>45375</v>
      </c>
      <c r="C842" s="1">
        <v>45381</v>
      </c>
      <c r="D842" t="s">
        <v>47</v>
      </c>
      <c r="E842" t="s">
        <v>48</v>
      </c>
      <c r="F842" t="s">
        <v>29</v>
      </c>
      <c r="G842" t="s">
        <v>16</v>
      </c>
      <c r="H842" t="s">
        <v>65</v>
      </c>
      <c r="I842">
        <v>3</v>
      </c>
      <c r="J842">
        <v>0</v>
      </c>
      <c r="K842">
        <v>791.41</v>
      </c>
      <c r="L842">
        <v>11.4</v>
      </c>
    </row>
    <row r="843" spans="1:12" x14ac:dyDescent="0.25">
      <c r="A843" t="s">
        <v>890</v>
      </c>
      <c r="B843" s="1">
        <v>45447</v>
      </c>
      <c r="C843" s="1">
        <v>45452</v>
      </c>
      <c r="D843" t="s">
        <v>13</v>
      </c>
      <c r="E843" t="s">
        <v>36</v>
      </c>
      <c r="F843" t="s">
        <v>15</v>
      </c>
      <c r="G843" t="s">
        <v>26</v>
      </c>
      <c r="H843" t="s">
        <v>65</v>
      </c>
      <c r="I843">
        <v>1</v>
      </c>
      <c r="J843">
        <v>0.05</v>
      </c>
      <c r="K843">
        <v>292.39999999999998</v>
      </c>
      <c r="L843">
        <v>6.8</v>
      </c>
    </row>
    <row r="844" spans="1:12" x14ac:dyDescent="0.25">
      <c r="A844" t="s">
        <v>891</v>
      </c>
      <c r="B844" s="1">
        <v>45954</v>
      </c>
      <c r="C844" s="1">
        <v>45959</v>
      </c>
      <c r="D844" t="s">
        <v>23</v>
      </c>
      <c r="E844" t="s">
        <v>59</v>
      </c>
      <c r="F844" t="s">
        <v>15</v>
      </c>
      <c r="G844" t="s">
        <v>16</v>
      </c>
      <c r="H844" t="s">
        <v>30</v>
      </c>
      <c r="I844">
        <v>9</v>
      </c>
      <c r="J844">
        <v>0</v>
      </c>
      <c r="K844">
        <v>59.56</v>
      </c>
      <c r="L844">
        <v>5.13</v>
      </c>
    </row>
    <row r="845" spans="1:12" x14ac:dyDescent="0.25">
      <c r="A845" t="s">
        <v>892</v>
      </c>
      <c r="B845" s="1">
        <v>45839</v>
      </c>
      <c r="C845" s="1">
        <v>45841</v>
      </c>
      <c r="D845" t="s">
        <v>32</v>
      </c>
      <c r="E845" t="s">
        <v>33</v>
      </c>
      <c r="F845" t="s">
        <v>25</v>
      </c>
      <c r="G845" t="s">
        <v>16</v>
      </c>
      <c r="H845" t="s">
        <v>17</v>
      </c>
      <c r="I845">
        <v>4</v>
      </c>
      <c r="J845">
        <v>0</v>
      </c>
      <c r="K845">
        <v>460.28</v>
      </c>
      <c r="L845">
        <v>9.5</v>
      </c>
    </row>
    <row r="846" spans="1:12" x14ac:dyDescent="0.25">
      <c r="A846" t="s">
        <v>893</v>
      </c>
      <c r="B846" s="1">
        <v>45907</v>
      </c>
      <c r="C846" s="1">
        <v>45909</v>
      </c>
      <c r="D846" t="s">
        <v>47</v>
      </c>
      <c r="E846" t="s">
        <v>50</v>
      </c>
      <c r="F846" t="s">
        <v>25</v>
      </c>
      <c r="G846" t="s">
        <v>16</v>
      </c>
      <c r="H846" t="s">
        <v>34</v>
      </c>
      <c r="I846">
        <v>4</v>
      </c>
      <c r="J846">
        <v>0</v>
      </c>
      <c r="K846">
        <v>852.81</v>
      </c>
      <c r="L846">
        <v>8.2200000000000006</v>
      </c>
    </row>
    <row r="847" spans="1:12" x14ac:dyDescent="0.25">
      <c r="A847" t="s">
        <v>894</v>
      </c>
      <c r="B847" s="1">
        <v>45640</v>
      </c>
      <c r="C847" s="1">
        <v>45641</v>
      </c>
      <c r="D847" t="s">
        <v>23</v>
      </c>
      <c r="E847" t="s">
        <v>24</v>
      </c>
      <c r="F847" t="s">
        <v>29</v>
      </c>
      <c r="G847" t="s">
        <v>16</v>
      </c>
      <c r="H847" t="s">
        <v>68</v>
      </c>
      <c r="I847">
        <v>2</v>
      </c>
      <c r="J847">
        <v>0.1</v>
      </c>
      <c r="K847">
        <v>132.27000000000001</v>
      </c>
      <c r="L847">
        <v>4.2</v>
      </c>
    </row>
    <row r="848" spans="1:12" x14ac:dyDescent="0.25">
      <c r="A848" t="s">
        <v>895</v>
      </c>
      <c r="B848" s="1">
        <v>45989</v>
      </c>
      <c r="C848" s="1">
        <v>45990</v>
      </c>
      <c r="D848" t="s">
        <v>13</v>
      </c>
      <c r="E848" t="s">
        <v>19</v>
      </c>
      <c r="F848" t="s">
        <v>25</v>
      </c>
      <c r="G848" t="s">
        <v>16</v>
      </c>
      <c r="H848" t="s">
        <v>21</v>
      </c>
      <c r="I848">
        <v>1</v>
      </c>
      <c r="J848">
        <v>0.15</v>
      </c>
      <c r="K848">
        <v>127.68</v>
      </c>
      <c r="L848">
        <v>4.08</v>
      </c>
    </row>
    <row r="849" spans="1:12" x14ac:dyDescent="0.25">
      <c r="A849" t="s">
        <v>896</v>
      </c>
      <c r="B849" s="1">
        <v>45480</v>
      </c>
      <c r="C849" s="1">
        <v>45486</v>
      </c>
      <c r="D849" t="s">
        <v>47</v>
      </c>
      <c r="E849" t="s">
        <v>50</v>
      </c>
      <c r="F849" t="s">
        <v>25</v>
      </c>
      <c r="G849" t="s">
        <v>16</v>
      </c>
      <c r="H849" t="s">
        <v>37</v>
      </c>
      <c r="I849">
        <v>1</v>
      </c>
      <c r="J849">
        <v>0</v>
      </c>
      <c r="K849">
        <v>96.9</v>
      </c>
      <c r="L849">
        <v>4.08</v>
      </c>
    </row>
    <row r="850" spans="1:12" x14ac:dyDescent="0.25">
      <c r="A850" t="s">
        <v>897</v>
      </c>
      <c r="B850" s="1">
        <v>45390</v>
      </c>
      <c r="C850" s="1">
        <v>45391</v>
      </c>
      <c r="D850" t="s">
        <v>13</v>
      </c>
      <c r="E850" t="s">
        <v>36</v>
      </c>
      <c r="F850" t="s">
        <v>25</v>
      </c>
      <c r="G850" t="s">
        <v>20</v>
      </c>
      <c r="H850" t="s">
        <v>53</v>
      </c>
      <c r="I850">
        <v>3</v>
      </c>
      <c r="J850">
        <v>0.25</v>
      </c>
      <c r="K850">
        <v>118.16</v>
      </c>
      <c r="L850">
        <v>4.95</v>
      </c>
    </row>
    <row r="851" spans="1:12" x14ac:dyDescent="0.25">
      <c r="A851" t="s">
        <v>898</v>
      </c>
      <c r="B851" s="1">
        <v>45826</v>
      </c>
      <c r="C851" s="1">
        <v>45832</v>
      </c>
      <c r="D851" t="s">
        <v>47</v>
      </c>
      <c r="E851" t="s">
        <v>50</v>
      </c>
      <c r="F851" t="s">
        <v>25</v>
      </c>
      <c r="G851" t="s">
        <v>26</v>
      </c>
      <c r="H851" t="s">
        <v>27</v>
      </c>
      <c r="I851">
        <v>20</v>
      </c>
      <c r="J851">
        <v>0</v>
      </c>
      <c r="K851">
        <v>597.44000000000005</v>
      </c>
      <c r="L851">
        <v>13.5</v>
      </c>
    </row>
    <row r="852" spans="1:12" x14ac:dyDescent="0.25">
      <c r="A852" t="s">
        <v>899</v>
      </c>
      <c r="B852" s="1">
        <v>45522</v>
      </c>
      <c r="C852" s="1">
        <v>45526</v>
      </c>
      <c r="D852" t="s">
        <v>47</v>
      </c>
      <c r="E852" t="s">
        <v>71</v>
      </c>
      <c r="F852" t="s">
        <v>29</v>
      </c>
      <c r="G852" t="s">
        <v>20</v>
      </c>
      <c r="H852" t="s">
        <v>87</v>
      </c>
      <c r="I852">
        <v>5</v>
      </c>
      <c r="J852">
        <v>0.05</v>
      </c>
      <c r="K852">
        <v>37.700000000000003</v>
      </c>
      <c r="L852">
        <v>6.75</v>
      </c>
    </row>
    <row r="853" spans="1:12" x14ac:dyDescent="0.25">
      <c r="A853" t="s">
        <v>900</v>
      </c>
      <c r="B853" s="1">
        <v>45397</v>
      </c>
      <c r="C853" s="1">
        <v>45400</v>
      </c>
      <c r="D853" t="s">
        <v>13</v>
      </c>
      <c r="E853" t="s">
        <v>19</v>
      </c>
      <c r="F853" t="s">
        <v>15</v>
      </c>
      <c r="G853" t="s">
        <v>26</v>
      </c>
      <c r="H853" t="s">
        <v>87</v>
      </c>
      <c r="I853">
        <v>3</v>
      </c>
      <c r="J853">
        <v>0</v>
      </c>
      <c r="K853">
        <v>23.74</v>
      </c>
      <c r="L853">
        <v>3.51</v>
      </c>
    </row>
    <row r="854" spans="1:12" x14ac:dyDescent="0.25">
      <c r="A854" t="s">
        <v>901</v>
      </c>
      <c r="B854" s="1">
        <v>45891</v>
      </c>
      <c r="C854" s="1">
        <v>45893</v>
      </c>
      <c r="D854" t="s">
        <v>23</v>
      </c>
      <c r="E854" t="s">
        <v>43</v>
      </c>
      <c r="F854" t="s">
        <v>15</v>
      </c>
      <c r="G854" t="s">
        <v>20</v>
      </c>
      <c r="H854" t="s">
        <v>37</v>
      </c>
      <c r="I854">
        <v>4</v>
      </c>
      <c r="J854">
        <v>0.25</v>
      </c>
      <c r="K854">
        <v>298.95999999999998</v>
      </c>
      <c r="L854">
        <v>13.7</v>
      </c>
    </row>
    <row r="855" spans="1:12" x14ac:dyDescent="0.25">
      <c r="A855" t="s">
        <v>902</v>
      </c>
      <c r="B855" s="1">
        <v>45582</v>
      </c>
      <c r="C855" s="1">
        <v>45586</v>
      </c>
      <c r="D855" t="s">
        <v>23</v>
      </c>
      <c r="E855" t="s">
        <v>59</v>
      </c>
      <c r="F855" t="s">
        <v>15</v>
      </c>
      <c r="G855" t="s">
        <v>20</v>
      </c>
      <c r="H855" t="s">
        <v>34</v>
      </c>
      <c r="I855">
        <v>3</v>
      </c>
      <c r="J855">
        <v>0</v>
      </c>
      <c r="K855">
        <v>732.75</v>
      </c>
      <c r="L855">
        <v>6.84</v>
      </c>
    </row>
    <row r="856" spans="1:12" x14ac:dyDescent="0.25">
      <c r="A856" t="s">
        <v>903</v>
      </c>
      <c r="B856" s="1">
        <v>45778</v>
      </c>
      <c r="C856" s="1">
        <v>45784</v>
      </c>
      <c r="D856" t="s">
        <v>32</v>
      </c>
      <c r="E856" t="s">
        <v>62</v>
      </c>
      <c r="F856" t="s">
        <v>29</v>
      </c>
      <c r="G856" t="s">
        <v>20</v>
      </c>
      <c r="H856" t="s">
        <v>87</v>
      </c>
      <c r="I856">
        <v>8</v>
      </c>
      <c r="J856">
        <v>0</v>
      </c>
      <c r="K856">
        <v>68.44</v>
      </c>
      <c r="L856">
        <v>4.8600000000000003</v>
      </c>
    </row>
    <row r="857" spans="1:12" x14ac:dyDescent="0.25">
      <c r="A857" t="s">
        <v>904</v>
      </c>
      <c r="B857" s="1">
        <v>45590</v>
      </c>
      <c r="C857" s="1">
        <v>45592</v>
      </c>
      <c r="D857" t="s">
        <v>47</v>
      </c>
      <c r="E857" t="s">
        <v>48</v>
      </c>
      <c r="F857" t="s">
        <v>15</v>
      </c>
      <c r="G857" t="s">
        <v>26</v>
      </c>
      <c r="H857" t="s">
        <v>87</v>
      </c>
      <c r="I857">
        <v>8</v>
      </c>
      <c r="J857">
        <v>0.2</v>
      </c>
      <c r="K857">
        <v>64.069999999999993</v>
      </c>
      <c r="L857">
        <v>8.1</v>
      </c>
    </row>
    <row r="858" spans="1:12" x14ac:dyDescent="0.25">
      <c r="A858" t="s">
        <v>905</v>
      </c>
      <c r="B858" s="1">
        <v>45664</v>
      </c>
      <c r="C858" s="1">
        <v>45669</v>
      </c>
      <c r="D858" t="s">
        <v>32</v>
      </c>
      <c r="E858" t="s">
        <v>45</v>
      </c>
      <c r="F858" t="s">
        <v>15</v>
      </c>
      <c r="G858" t="s">
        <v>16</v>
      </c>
      <c r="H858" t="s">
        <v>27</v>
      </c>
      <c r="I858">
        <v>23</v>
      </c>
      <c r="J858">
        <v>0.05</v>
      </c>
      <c r="K858">
        <v>510.04</v>
      </c>
      <c r="L858">
        <v>8.91</v>
      </c>
    </row>
    <row r="859" spans="1:12" x14ac:dyDescent="0.25">
      <c r="A859" t="s">
        <v>906</v>
      </c>
      <c r="B859" s="1">
        <v>45863</v>
      </c>
      <c r="C859" s="1">
        <v>45865</v>
      </c>
      <c r="D859" t="s">
        <v>47</v>
      </c>
      <c r="E859" t="s">
        <v>48</v>
      </c>
      <c r="F859" t="s">
        <v>25</v>
      </c>
      <c r="G859" t="s">
        <v>16</v>
      </c>
      <c r="H859" t="s">
        <v>30</v>
      </c>
      <c r="I859">
        <v>3</v>
      </c>
      <c r="J859">
        <v>0.05</v>
      </c>
      <c r="K859">
        <v>15.03</v>
      </c>
      <c r="L859">
        <v>3.51</v>
      </c>
    </row>
    <row r="860" spans="1:12" x14ac:dyDescent="0.25">
      <c r="A860" t="s">
        <v>907</v>
      </c>
      <c r="B860" s="1">
        <v>45586</v>
      </c>
      <c r="C860" s="1">
        <v>45592</v>
      </c>
      <c r="D860" t="s">
        <v>13</v>
      </c>
      <c r="E860" t="s">
        <v>14</v>
      </c>
      <c r="F860" t="s">
        <v>25</v>
      </c>
      <c r="G860" t="s">
        <v>26</v>
      </c>
      <c r="H860" t="s">
        <v>63</v>
      </c>
      <c r="I860">
        <v>10</v>
      </c>
      <c r="J860">
        <v>0.05</v>
      </c>
      <c r="K860">
        <v>131</v>
      </c>
      <c r="L860">
        <v>9</v>
      </c>
    </row>
    <row r="861" spans="1:12" x14ac:dyDescent="0.25">
      <c r="A861" t="s">
        <v>908</v>
      </c>
      <c r="B861" s="1">
        <v>45531</v>
      </c>
      <c r="C861" s="1">
        <v>45533</v>
      </c>
      <c r="D861" t="s">
        <v>32</v>
      </c>
      <c r="E861" t="s">
        <v>45</v>
      </c>
      <c r="F861" t="s">
        <v>29</v>
      </c>
      <c r="G861" t="s">
        <v>16</v>
      </c>
      <c r="H861" t="s">
        <v>87</v>
      </c>
      <c r="I861">
        <v>9</v>
      </c>
      <c r="J861">
        <v>0.1</v>
      </c>
      <c r="K861">
        <v>66.010000000000005</v>
      </c>
      <c r="L861">
        <v>8.5500000000000007</v>
      </c>
    </row>
    <row r="862" spans="1:12" x14ac:dyDescent="0.25">
      <c r="A862" t="s">
        <v>909</v>
      </c>
      <c r="B862" s="1">
        <v>45712</v>
      </c>
      <c r="C862" s="1">
        <v>45714</v>
      </c>
      <c r="D862" t="s">
        <v>32</v>
      </c>
      <c r="E862" t="s">
        <v>33</v>
      </c>
      <c r="F862" t="s">
        <v>29</v>
      </c>
      <c r="G862" t="s">
        <v>16</v>
      </c>
      <c r="H862" t="s">
        <v>41</v>
      </c>
      <c r="I862">
        <v>7</v>
      </c>
      <c r="J862">
        <v>0.1</v>
      </c>
      <c r="K862">
        <v>33.29</v>
      </c>
      <c r="L862">
        <v>4.59</v>
      </c>
    </row>
    <row r="863" spans="1:12" x14ac:dyDescent="0.25">
      <c r="A863" t="s">
        <v>910</v>
      </c>
      <c r="B863" s="1">
        <v>45417</v>
      </c>
      <c r="C863" s="1">
        <v>45423</v>
      </c>
      <c r="D863" t="s">
        <v>13</v>
      </c>
      <c r="E863" t="s">
        <v>36</v>
      </c>
      <c r="F863" t="s">
        <v>25</v>
      </c>
      <c r="G863" t="s">
        <v>16</v>
      </c>
      <c r="H863" t="s">
        <v>41</v>
      </c>
      <c r="I863">
        <v>13</v>
      </c>
      <c r="J863">
        <v>0</v>
      </c>
      <c r="K863">
        <v>81.23</v>
      </c>
      <c r="L863">
        <v>6.21</v>
      </c>
    </row>
    <row r="864" spans="1:12" x14ac:dyDescent="0.25">
      <c r="A864" t="s">
        <v>911</v>
      </c>
      <c r="B864" s="1">
        <v>45664</v>
      </c>
      <c r="C864" s="1">
        <v>45670</v>
      </c>
      <c r="D864" t="s">
        <v>32</v>
      </c>
      <c r="E864" t="s">
        <v>45</v>
      </c>
      <c r="F864" t="s">
        <v>15</v>
      </c>
      <c r="G864" t="s">
        <v>26</v>
      </c>
      <c r="H864" t="s">
        <v>41</v>
      </c>
      <c r="I864">
        <v>7</v>
      </c>
      <c r="J864">
        <v>0</v>
      </c>
      <c r="K864">
        <v>38.29</v>
      </c>
      <c r="L864">
        <v>4.59</v>
      </c>
    </row>
    <row r="865" spans="1:12" x14ac:dyDescent="0.25">
      <c r="A865" t="s">
        <v>912</v>
      </c>
      <c r="B865" s="1">
        <v>45524</v>
      </c>
      <c r="C865" s="1">
        <v>45527</v>
      </c>
      <c r="D865" t="s">
        <v>23</v>
      </c>
      <c r="E865" t="s">
        <v>24</v>
      </c>
      <c r="F865" t="s">
        <v>29</v>
      </c>
      <c r="G865" t="s">
        <v>16</v>
      </c>
      <c r="H865" t="s">
        <v>41</v>
      </c>
      <c r="I865">
        <v>8</v>
      </c>
      <c r="J865">
        <v>0</v>
      </c>
      <c r="K865">
        <v>44.89</v>
      </c>
      <c r="L865">
        <v>8.1</v>
      </c>
    </row>
    <row r="866" spans="1:12" x14ac:dyDescent="0.25">
      <c r="A866" t="s">
        <v>913</v>
      </c>
      <c r="B866" s="1">
        <v>45751</v>
      </c>
      <c r="C866" s="1">
        <v>45756</v>
      </c>
      <c r="D866" t="s">
        <v>23</v>
      </c>
      <c r="E866" t="s">
        <v>59</v>
      </c>
      <c r="F866" t="s">
        <v>29</v>
      </c>
      <c r="G866" t="s">
        <v>26</v>
      </c>
      <c r="H866" t="s">
        <v>34</v>
      </c>
      <c r="I866">
        <v>2</v>
      </c>
      <c r="J866">
        <v>0</v>
      </c>
      <c r="K866">
        <v>405.6</v>
      </c>
      <c r="L866">
        <v>5.46</v>
      </c>
    </row>
    <row r="867" spans="1:12" x14ac:dyDescent="0.25">
      <c r="A867" t="s">
        <v>914</v>
      </c>
      <c r="B867" s="1">
        <v>45609</v>
      </c>
      <c r="C867" s="1">
        <v>45615</v>
      </c>
      <c r="D867" t="s">
        <v>13</v>
      </c>
      <c r="E867" t="s">
        <v>14</v>
      </c>
      <c r="F867" t="s">
        <v>15</v>
      </c>
      <c r="G867" t="s">
        <v>26</v>
      </c>
      <c r="H867" t="s">
        <v>68</v>
      </c>
      <c r="I867">
        <v>1</v>
      </c>
      <c r="J867">
        <v>0.2</v>
      </c>
      <c r="K867">
        <v>53.54</v>
      </c>
      <c r="L867">
        <v>3.45</v>
      </c>
    </row>
    <row r="868" spans="1:12" x14ac:dyDescent="0.25">
      <c r="A868" t="s">
        <v>915</v>
      </c>
      <c r="B868" s="1">
        <v>45435</v>
      </c>
      <c r="C868" s="1">
        <v>45436</v>
      </c>
      <c r="D868" t="s">
        <v>13</v>
      </c>
      <c r="E868" t="s">
        <v>36</v>
      </c>
      <c r="F868" t="s">
        <v>29</v>
      </c>
      <c r="G868" t="s">
        <v>26</v>
      </c>
      <c r="H868" t="s">
        <v>65</v>
      </c>
      <c r="I868">
        <v>2</v>
      </c>
      <c r="J868">
        <v>0</v>
      </c>
      <c r="K868">
        <v>584.29999999999995</v>
      </c>
      <c r="L868">
        <v>5.46</v>
      </c>
    </row>
    <row r="869" spans="1:12" x14ac:dyDescent="0.25">
      <c r="A869" t="s">
        <v>916</v>
      </c>
      <c r="B869" s="1">
        <v>45986</v>
      </c>
      <c r="C869" s="1">
        <v>45991</v>
      </c>
      <c r="D869" t="s">
        <v>23</v>
      </c>
      <c r="E869" t="s">
        <v>59</v>
      </c>
      <c r="F869" t="s">
        <v>25</v>
      </c>
      <c r="G869" t="s">
        <v>20</v>
      </c>
      <c r="H869" t="s">
        <v>21</v>
      </c>
      <c r="I869">
        <v>4</v>
      </c>
      <c r="J869">
        <v>0</v>
      </c>
      <c r="K869">
        <v>592.16999999999996</v>
      </c>
      <c r="L869">
        <v>8.2200000000000006</v>
      </c>
    </row>
    <row r="870" spans="1:12" x14ac:dyDescent="0.25">
      <c r="A870" t="s">
        <v>917</v>
      </c>
      <c r="B870" s="1">
        <v>45351</v>
      </c>
      <c r="C870" s="1">
        <v>45352</v>
      </c>
      <c r="D870" t="s">
        <v>32</v>
      </c>
      <c r="E870" t="s">
        <v>62</v>
      </c>
      <c r="F870" t="s">
        <v>29</v>
      </c>
      <c r="G870" t="s">
        <v>26</v>
      </c>
      <c r="H870" t="s">
        <v>87</v>
      </c>
      <c r="I870">
        <v>13</v>
      </c>
      <c r="J870">
        <v>0</v>
      </c>
      <c r="K870">
        <v>95.93</v>
      </c>
      <c r="L870">
        <v>6.21</v>
      </c>
    </row>
    <row r="871" spans="1:12" x14ac:dyDescent="0.25">
      <c r="A871" t="s">
        <v>918</v>
      </c>
      <c r="B871" s="1">
        <v>45470</v>
      </c>
      <c r="C871" s="1">
        <v>45473</v>
      </c>
      <c r="D871" t="s">
        <v>47</v>
      </c>
      <c r="E871" t="s">
        <v>71</v>
      </c>
      <c r="F871" t="s">
        <v>25</v>
      </c>
      <c r="G871" t="s">
        <v>26</v>
      </c>
      <c r="H871" t="s">
        <v>37</v>
      </c>
      <c r="I871">
        <v>2</v>
      </c>
      <c r="J871">
        <v>0</v>
      </c>
      <c r="K871">
        <v>224.17</v>
      </c>
      <c r="L871">
        <v>9.1</v>
      </c>
    </row>
    <row r="872" spans="1:12" x14ac:dyDescent="0.25">
      <c r="A872" t="s">
        <v>919</v>
      </c>
      <c r="B872" s="1">
        <v>45559</v>
      </c>
      <c r="C872" s="1">
        <v>45563</v>
      </c>
      <c r="D872" t="s">
        <v>13</v>
      </c>
      <c r="E872" t="s">
        <v>19</v>
      </c>
      <c r="F872" t="s">
        <v>25</v>
      </c>
      <c r="G872" t="s">
        <v>26</v>
      </c>
      <c r="H872" t="s">
        <v>65</v>
      </c>
      <c r="I872">
        <v>4</v>
      </c>
      <c r="J872">
        <v>0</v>
      </c>
      <c r="K872">
        <v>1285.58</v>
      </c>
      <c r="L872">
        <v>13.7</v>
      </c>
    </row>
    <row r="873" spans="1:12" x14ac:dyDescent="0.25">
      <c r="A873" t="s">
        <v>920</v>
      </c>
      <c r="B873" s="1">
        <v>45476</v>
      </c>
      <c r="C873" s="1">
        <v>45477</v>
      </c>
      <c r="D873" t="s">
        <v>47</v>
      </c>
      <c r="E873" t="s">
        <v>48</v>
      </c>
      <c r="F873" t="s">
        <v>29</v>
      </c>
      <c r="G873" t="s">
        <v>20</v>
      </c>
      <c r="H873" t="s">
        <v>30</v>
      </c>
      <c r="I873">
        <v>5</v>
      </c>
      <c r="J873">
        <v>0</v>
      </c>
      <c r="K873">
        <v>28.46</v>
      </c>
      <c r="L873">
        <v>4.05</v>
      </c>
    </row>
    <row r="874" spans="1:12" x14ac:dyDescent="0.25">
      <c r="A874" t="s">
        <v>921</v>
      </c>
      <c r="B874" s="1">
        <v>45823</v>
      </c>
      <c r="C874" s="1">
        <v>45826</v>
      </c>
      <c r="D874" t="s">
        <v>23</v>
      </c>
      <c r="E874" t="s">
        <v>59</v>
      </c>
      <c r="F874" t="s">
        <v>15</v>
      </c>
      <c r="G874" t="s">
        <v>16</v>
      </c>
      <c r="H874" t="s">
        <v>41</v>
      </c>
      <c r="I874">
        <v>11</v>
      </c>
      <c r="J874">
        <v>0.1</v>
      </c>
      <c r="K874">
        <v>62.45</v>
      </c>
      <c r="L874">
        <v>5.67</v>
      </c>
    </row>
    <row r="875" spans="1:12" x14ac:dyDescent="0.25">
      <c r="A875" t="s">
        <v>922</v>
      </c>
      <c r="B875" s="1">
        <v>45568</v>
      </c>
      <c r="C875" s="1">
        <v>45569</v>
      </c>
      <c r="D875" t="s">
        <v>47</v>
      </c>
      <c r="E875" t="s">
        <v>48</v>
      </c>
      <c r="F875" t="s">
        <v>29</v>
      </c>
      <c r="G875" t="s">
        <v>16</v>
      </c>
      <c r="H875" t="s">
        <v>34</v>
      </c>
      <c r="I875">
        <v>2</v>
      </c>
      <c r="J875">
        <v>0.25</v>
      </c>
      <c r="K875">
        <v>342.52</v>
      </c>
      <c r="L875">
        <v>9.1</v>
      </c>
    </row>
    <row r="876" spans="1:12" x14ac:dyDescent="0.25">
      <c r="A876" t="s">
        <v>923</v>
      </c>
      <c r="B876" s="1">
        <v>45774</v>
      </c>
      <c r="C876" s="1">
        <v>45778</v>
      </c>
      <c r="D876" t="s">
        <v>23</v>
      </c>
      <c r="E876" t="s">
        <v>43</v>
      </c>
      <c r="F876" t="s">
        <v>25</v>
      </c>
      <c r="G876" t="s">
        <v>20</v>
      </c>
      <c r="H876" t="s">
        <v>51</v>
      </c>
      <c r="I876">
        <v>4</v>
      </c>
      <c r="J876">
        <v>0</v>
      </c>
      <c r="K876">
        <v>56.31</v>
      </c>
      <c r="L876">
        <v>6.3</v>
      </c>
    </row>
    <row r="877" spans="1:12" x14ac:dyDescent="0.25">
      <c r="A877" t="s">
        <v>924</v>
      </c>
      <c r="B877" s="1">
        <v>45297</v>
      </c>
      <c r="C877" s="1">
        <v>45298</v>
      </c>
      <c r="D877" t="s">
        <v>47</v>
      </c>
      <c r="E877" t="s">
        <v>71</v>
      </c>
      <c r="F877" t="s">
        <v>29</v>
      </c>
      <c r="G877" t="s">
        <v>16</v>
      </c>
      <c r="H877" t="s">
        <v>60</v>
      </c>
      <c r="I877">
        <v>4</v>
      </c>
      <c r="J877">
        <v>0</v>
      </c>
      <c r="K877">
        <v>412.87</v>
      </c>
      <c r="L877">
        <v>9.5</v>
      </c>
    </row>
    <row r="878" spans="1:12" x14ac:dyDescent="0.25">
      <c r="A878" t="s">
        <v>925</v>
      </c>
      <c r="B878" s="1">
        <v>45586</v>
      </c>
      <c r="C878" s="1">
        <v>45587</v>
      </c>
      <c r="D878" t="s">
        <v>13</v>
      </c>
      <c r="E878" t="s">
        <v>36</v>
      </c>
      <c r="F878" t="s">
        <v>15</v>
      </c>
      <c r="G878" t="s">
        <v>20</v>
      </c>
      <c r="H878" t="s">
        <v>60</v>
      </c>
      <c r="I878">
        <v>4</v>
      </c>
      <c r="J878">
        <v>0</v>
      </c>
      <c r="K878">
        <v>534.05999999999995</v>
      </c>
      <c r="L878">
        <v>5.7</v>
      </c>
    </row>
    <row r="879" spans="1:12" x14ac:dyDescent="0.25">
      <c r="A879" t="s">
        <v>926</v>
      </c>
      <c r="B879" s="1">
        <v>45643</v>
      </c>
      <c r="C879" s="1">
        <v>45649</v>
      </c>
      <c r="D879" t="s">
        <v>47</v>
      </c>
      <c r="E879" t="s">
        <v>50</v>
      </c>
      <c r="F879" t="s">
        <v>25</v>
      </c>
      <c r="G879" t="s">
        <v>26</v>
      </c>
      <c r="H879" t="s">
        <v>37</v>
      </c>
      <c r="I879">
        <v>4</v>
      </c>
      <c r="J879">
        <v>0.2</v>
      </c>
      <c r="K879">
        <v>467.04</v>
      </c>
      <c r="L879">
        <v>8.2200000000000006</v>
      </c>
    </row>
    <row r="880" spans="1:12" x14ac:dyDescent="0.25">
      <c r="A880" t="s">
        <v>927</v>
      </c>
      <c r="B880" s="1">
        <v>45513</v>
      </c>
      <c r="C880" s="1">
        <v>45516</v>
      </c>
      <c r="D880" t="s">
        <v>13</v>
      </c>
      <c r="E880" t="s">
        <v>14</v>
      </c>
      <c r="F880" t="s">
        <v>25</v>
      </c>
      <c r="G880" t="s">
        <v>16</v>
      </c>
      <c r="H880" t="s">
        <v>65</v>
      </c>
      <c r="I880">
        <v>3</v>
      </c>
      <c r="J880">
        <v>0.05</v>
      </c>
      <c r="K880">
        <v>771.08</v>
      </c>
      <c r="L880">
        <v>11.4</v>
      </c>
    </row>
    <row r="881" spans="1:12" x14ac:dyDescent="0.25">
      <c r="A881" t="s">
        <v>928</v>
      </c>
      <c r="B881" s="1">
        <v>45887</v>
      </c>
      <c r="C881" s="1">
        <v>45892</v>
      </c>
      <c r="D881" t="s">
        <v>23</v>
      </c>
      <c r="E881" t="s">
        <v>59</v>
      </c>
      <c r="F881" t="s">
        <v>29</v>
      </c>
      <c r="G881" t="s">
        <v>20</v>
      </c>
      <c r="H881" t="s">
        <v>53</v>
      </c>
      <c r="I881">
        <v>5</v>
      </c>
      <c r="J881">
        <v>0</v>
      </c>
      <c r="K881">
        <v>278.72000000000003</v>
      </c>
      <c r="L881">
        <v>6.45</v>
      </c>
    </row>
    <row r="882" spans="1:12" x14ac:dyDescent="0.25">
      <c r="A882" t="s">
        <v>929</v>
      </c>
      <c r="B882" s="1">
        <v>45586</v>
      </c>
      <c r="C882" s="1">
        <v>45588</v>
      </c>
      <c r="D882" t="s">
        <v>47</v>
      </c>
      <c r="E882" t="s">
        <v>50</v>
      </c>
      <c r="F882" t="s">
        <v>29</v>
      </c>
      <c r="G882" t="s">
        <v>26</v>
      </c>
      <c r="H882" t="s">
        <v>63</v>
      </c>
      <c r="I882">
        <v>11</v>
      </c>
      <c r="J882">
        <v>0.05</v>
      </c>
      <c r="K882">
        <v>146.04</v>
      </c>
      <c r="L882">
        <v>9.4499999999999993</v>
      </c>
    </row>
    <row r="883" spans="1:12" x14ac:dyDescent="0.25">
      <c r="A883" t="s">
        <v>930</v>
      </c>
      <c r="B883" s="1">
        <v>45864</v>
      </c>
      <c r="C883" s="1">
        <v>45865</v>
      </c>
      <c r="D883" t="s">
        <v>13</v>
      </c>
      <c r="E883" t="s">
        <v>14</v>
      </c>
      <c r="F883" t="s">
        <v>25</v>
      </c>
      <c r="G883" t="s">
        <v>20</v>
      </c>
      <c r="H883" t="s">
        <v>30</v>
      </c>
      <c r="I883">
        <v>7</v>
      </c>
      <c r="J883">
        <v>0</v>
      </c>
      <c r="K883">
        <v>39.83</v>
      </c>
      <c r="L883">
        <v>4.59</v>
      </c>
    </row>
    <row r="884" spans="1:12" x14ac:dyDescent="0.25">
      <c r="A884" t="s">
        <v>931</v>
      </c>
      <c r="B884" s="1">
        <v>45506</v>
      </c>
      <c r="C884" s="1">
        <v>45510</v>
      </c>
      <c r="D884" t="s">
        <v>32</v>
      </c>
      <c r="E884" t="s">
        <v>33</v>
      </c>
      <c r="F884" t="s">
        <v>15</v>
      </c>
      <c r="G884" t="s">
        <v>26</v>
      </c>
      <c r="H884" t="s">
        <v>30</v>
      </c>
      <c r="I884">
        <v>11</v>
      </c>
      <c r="J884">
        <v>0.2</v>
      </c>
      <c r="K884">
        <v>50.77</v>
      </c>
      <c r="L884">
        <v>9.4499999999999993</v>
      </c>
    </row>
    <row r="885" spans="1:12" x14ac:dyDescent="0.25">
      <c r="A885" t="s">
        <v>932</v>
      </c>
      <c r="B885" s="1">
        <v>45881</v>
      </c>
      <c r="C885" s="1">
        <v>45886</v>
      </c>
      <c r="D885" t="s">
        <v>23</v>
      </c>
      <c r="E885" t="s">
        <v>24</v>
      </c>
      <c r="F885" t="s">
        <v>25</v>
      </c>
      <c r="G885" t="s">
        <v>26</v>
      </c>
      <c r="H885" t="s">
        <v>87</v>
      </c>
      <c r="I885">
        <v>5</v>
      </c>
      <c r="J885">
        <v>0</v>
      </c>
      <c r="K885">
        <v>37.659999999999997</v>
      </c>
      <c r="L885">
        <v>6.75</v>
      </c>
    </row>
    <row r="886" spans="1:12" x14ac:dyDescent="0.25">
      <c r="A886" t="s">
        <v>933</v>
      </c>
      <c r="B886" s="1">
        <v>46008</v>
      </c>
      <c r="C886" s="1">
        <v>46013</v>
      </c>
      <c r="D886" t="s">
        <v>32</v>
      </c>
      <c r="E886" t="s">
        <v>62</v>
      </c>
      <c r="F886" t="s">
        <v>29</v>
      </c>
      <c r="G886" t="s">
        <v>20</v>
      </c>
      <c r="H886" t="s">
        <v>39</v>
      </c>
      <c r="I886">
        <v>2</v>
      </c>
      <c r="J886">
        <v>0</v>
      </c>
      <c r="K886">
        <v>541.87</v>
      </c>
      <c r="L886">
        <v>7</v>
      </c>
    </row>
    <row r="887" spans="1:12" x14ac:dyDescent="0.25">
      <c r="A887" t="s">
        <v>934</v>
      </c>
      <c r="B887" s="1">
        <v>45569</v>
      </c>
      <c r="C887" s="1">
        <v>45575</v>
      </c>
      <c r="D887" t="s">
        <v>23</v>
      </c>
      <c r="E887" t="s">
        <v>43</v>
      </c>
      <c r="F887" t="s">
        <v>15</v>
      </c>
      <c r="G887" t="s">
        <v>20</v>
      </c>
      <c r="H887" t="s">
        <v>51</v>
      </c>
      <c r="I887">
        <v>14</v>
      </c>
      <c r="J887">
        <v>0.1</v>
      </c>
      <c r="K887">
        <v>227.31</v>
      </c>
      <c r="L887">
        <v>10.8</v>
      </c>
    </row>
    <row r="888" spans="1:12" x14ac:dyDescent="0.25">
      <c r="A888" t="s">
        <v>935</v>
      </c>
      <c r="B888" s="1">
        <v>45324</v>
      </c>
      <c r="C888" s="1">
        <v>45327</v>
      </c>
      <c r="D888" t="s">
        <v>47</v>
      </c>
      <c r="E888" t="s">
        <v>48</v>
      </c>
      <c r="F888" t="s">
        <v>29</v>
      </c>
      <c r="G888" t="s">
        <v>20</v>
      </c>
      <c r="H888" t="s">
        <v>37</v>
      </c>
      <c r="I888">
        <v>1</v>
      </c>
      <c r="J888">
        <v>0.25</v>
      </c>
      <c r="K888">
        <v>72.83</v>
      </c>
      <c r="L888">
        <v>6.8</v>
      </c>
    </row>
    <row r="889" spans="1:12" x14ac:dyDescent="0.25">
      <c r="A889" t="s">
        <v>936</v>
      </c>
      <c r="B889" s="1">
        <v>45962</v>
      </c>
      <c r="C889" s="1">
        <v>45966</v>
      </c>
      <c r="D889" t="s">
        <v>13</v>
      </c>
      <c r="E889" t="s">
        <v>14</v>
      </c>
      <c r="F889" t="s">
        <v>15</v>
      </c>
      <c r="G889" t="s">
        <v>20</v>
      </c>
      <c r="H889" t="s">
        <v>65</v>
      </c>
      <c r="I889">
        <v>2</v>
      </c>
      <c r="J889">
        <v>0.05</v>
      </c>
      <c r="K889">
        <v>744.04</v>
      </c>
      <c r="L889">
        <v>9.1</v>
      </c>
    </row>
    <row r="890" spans="1:12" x14ac:dyDescent="0.25">
      <c r="A890" t="s">
        <v>937</v>
      </c>
      <c r="B890" s="1">
        <v>45533</v>
      </c>
      <c r="C890" s="1">
        <v>45538</v>
      </c>
      <c r="D890" t="s">
        <v>13</v>
      </c>
      <c r="E890" t="s">
        <v>36</v>
      </c>
      <c r="F890" t="s">
        <v>15</v>
      </c>
      <c r="G890" t="s">
        <v>26</v>
      </c>
      <c r="H890" t="s">
        <v>87</v>
      </c>
      <c r="I890">
        <v>3</v>
      </c>
      <c r="J890">
        <v>0.25</v>
      </c>
      <c r="K890">
        <v>17.18</v>
      </c>
      <c r="L890">
        <v>3.51</v>
      </c>
    </row>
    <row r="891" spans="1:12" x14ac:dyDescent="0.25">
      <c r="A891" t="s">
        <v>938</v>
      </c>
      <c r="B891" s="1">
        <v>45773</v>
      </c>
      <c r="C891" s="1">
        <v>45775</v>
      </c>
      <c r="D891" t="s">
        <v>13</v>
      </c>
      <c r="E891" t="s">
        <v>19</v>
      </c>
      <c r="F891" t="s">
        <v>25</v>
      </c>
      <c r="G891" t="s">
        <v>26</v>
      </c>
      <c r="H891" t="s">
        <v>41</v>
      </c>
      <c r="I891">
        <v>20</v>
      </c>
      <c r="J891">
        <v>0</v>
      </c>
      <c r="K891">
        <v>123.74</v>
      </c>
      <c r="L891">
        <v>8.1</v>
      </c>
    </row>
    <row r="892" spans="1:12" x14ac:dyDescent="0.25">
      <c r="A892" t="s">
        <v>939</v>
      </c>
      <c r="B892" s="1">
        <v>45562</v>
      </c>
      <c r="C892" s="1">
        <v>45567</v>
      </c>
      <c r="D892" t="s">
        <v>23</v>
      </c>
      <c r="E892" t="s">
        <v>43</v>
      </c>
      <c r="F892" t="s">
        <v>29</v>
      </c>
      <c r="G892" t="s">
        <v>20</v>
      </c>
      <c r="H892" t="s">
        <v>51</v>
      </c>
      <c r="I892">
        <v>5</v>
      </c>
      <c r="J892">
        <v>0.05</v>
      </c>
      <c r="K892">
        <v>79.89</v>
      </c>
      <c r="L892">
        <v>6.75</v>
      </c>
    </row>
    <row r="893" spans="1:12" x14ac:dyDescent="0.25">
      <c r="A893" t="s">
        <v>940</v>
      </c>
      <c r="B893" s="1">
        <v>45931</v>
      </c>
      <c r="C893" s="1">
        <v>45934</v>
      </c>
      <c r="D893" t="s">
        <v>23</v>
      </c>
      <c r="E893" t="s">
        <v>24</v>
      </c>
      <c r="F893" t="s">
        <v>15</v>
      </c>
      <c r="G893" t="s">
        <v>16</v>
      </c>
      <c r="H893" t="s">
        <v>63</v>
      </c>
      <c r="I893">
        <v>3</v>
      </c>
      <c r="J893">
        <v>0.1</v>
      </c>
      <c r="K893">
        <v>36.83</v>
      </c>
      <c r="L893">
        <v>5.85</v>
      </c>
    </row>
    <row r="894" spans="1:12" x14ac:dyDescent="0.25">
      <c r="A894" t="s">
        <v>941</v>
      </c>
      <c r="B894" s="1">
        <v>45700</v>
      </c>
      <c r="C894" s="1">
        <v>45705</v>
      </c>
      <c r="D894" t="s">
        <v>47</v>
      </c>
      <c r="E894" t="s">
        <v>71</v>
      </c>
      <c r="F894" t="s">
        <v>15</v>
      </c>
      <c r="G894" t="s">
        <v>16</v>
      </c>
      <c r="H894" t="s">
        <v>30</v>
      </c>
      <c r="I894">
        <v>13</v>
      </c>
      <c r="J894">
        <v>0</v>
      </c>
      <c r="K894">
        <v>67.66</v>
      </c>
      <c r="L894">
        <v>6.21</v>
      </c>
    </row>
    <row r="895" spans="1:12" x14ac:dyDescent="0.25">
      <c r="A895" t="s">
        <v>942</v>
      </c>
      <c r="B895" s="1">
        <v>45349</v>
      </c>
      <c r="C895" s="1">
        <v>45355</v>
      </c>
      <c r="D895" t="s">
        <v>32</v>
      </c>
      <c r="E895" t="s">
        <v>33</v>
      </c>
      <c r="F895" t="s">
        <v>15</v>
      </c>
      <c r="G895" t="s">
        <v>16</v>
      </c>
      <c r="H895" t="s">
        <v>34</v>
      </c>
      <c r="I895">
        <v>4</v>
      </c>
      <c r="J895">
        <v>0</v>
      </c>
      <c r="K895">
        <v>709.23</v>
      </c>
      <c r="L895">
        <v>8.2200000000000006</v>
      </c>
    </row>
    <row r="896" spans="1:12" x14ac:dyDescent="0.25">
      <c r="A896" t="s">
        <v>943</v>
      </c>
      <c r="B896" s="1">
        <v>45675</v>
      </c>
      <c r="C896" s="1">
        <v>45677</v>
      </c>
      <c r="D896" t="s">
        <v>32</v>
      </c>
      <c r="E896" t="s">
        <v>33</v>
      </c>
      <c r="F896" t="s">
        <v>15</v>
      </c>
      <c r="G896" t="s">
        <v>26</v>
      </c>
      <c r="H896" t="s">
        <v>27</v>
      </c>
      <c r="I896">
        <v>4</v>
      </c>
      <c r="J896">
        <v>0</v>
      </c>
      <c r="K896">
        <v>91.87</v>
      </c>
      <c r="L896">
        <v>3.78</v>
      </c>
    </row>
    <row r="897" spans="1:12" x14ac:dyDescent="0.25">
      <c r="A897" t="s">
        <v>944</v>
      </c>
      <c r="B897" s="1">
        <v>45518</v>
      </c>
      <c r="C897" s="1">
        <v>45519</v>
      </c>
      <c r="D897" t="s">
        <v>32</v>
      </c>
      <c r="E897" t="s">
        <v>45</v>
      </c>
      <c r="F897" t="s">
        <v>25</v>
      </c>
      <c r="G897" t="s">
        <v>20</v>
      </c>
      <c r="H897" t="s">
        <v>41</v>
      </c>
      <c r="I897">
        <v>6</v>
      </c>
      <c r="J897">
        <v>0</v>
      </c>
      <c r="K897">
        <v>33.64</v>
      </c>
      <c r="L897">
        <v>4.32</v>
      </c>
    </row>
    <row r="898" spans="1:12" x14ac:dyDescent="0.25">
      <c r="A898" t="s">
        <v>945</v>
      </c>
      <c r="B898" s="1">
        <v>45458</v>
      </c>
      <c r="C898" s="1">
        <v>45463</v>
      </c>
      <c r="D898" t="s">
        <v>47</v>
      </c>
      <c r="E898" t="s">
        <v>48</v>
      </c>
      <c r="F898" t="s">
        <v>29</v>
      </c>
      <c r="G898" t="s">
        <v>26</v>
      </c>
      <c r="H898" t="s">
        <v>41</v>
      </c>
      <c r="I898">
        <v>5</v>
      </c>
      <c r="J898">
        <v>0.15</v>
      </c>
      <c r="K898">
        <v>27.74</v>
      </c>
      <c r="L898">
        <v>4.05</v>
      </c>
    </row>
    <row r="899" spans="1:12" x14ac:dyDescent="0.25">
      <c r="A899" t="s">
        <v>946</v>
      </c>
      <c r="B899" s="1">
        <v>45427</v>
      </c>
      <c r="C899" s="1">
        <v>45429</v>
      </c>
      <c r="D899" t="s">
        <v>47</v>
      </c>
      <c r="E899" t="s">
        <v>71</v>
      </c>
      <c r="F899" t="s">
        <v>15</v>
      </c>
      <c r="G899" t="s">
        <v>26</v>
      </c>
      <c r="H899" t="s">
        <v>30</v>
      </c>
      <c r="I899">
        <v>9</v>
      </c>
      <c r="J899">
        <v>0</v>
      </c>
      <c r="K899">
        <v>52.05</v>
      </c>
      <c r="L899">
        <v>8.5500000000000007</v>
      </c>
    </row>
    <row r="900" spans="1:12" x14ac:dyDescent="0.25">
      <c r="A900" t="s">
        <v>947</v>
      </c>
      <c r="B900" s="1">
        <v>45900</v>
      </c>
      <c r="C900" s="1">
        <v>45905</v>
      </c>
      <c r="D900" t="s">
        <v>13</v>
      </c>
      <c r="E900" t="s">
        <v>14</v>
      </c>
      <c r="F900" t="s">
        <v>29</v>
      </c>
      <c r="G900" t="s">
        <v>20</v>
      </c>
      <c r="H900" t="s">
        <v>30</v>
      </c>
      <c r="I900">
        <v>7</v>
      </c>
      <c r="J900">
        <v>0</v>
      </c>
      <c r="K900">
        <v>38.9</v>
      </c>
      <c r="L900">
        <v>4.59</v>
      </c>
    </row>
    <row r="901" spans="1:12" x14ac:dyDescent="0.25">
      <c r="A901" t="s">
        <v>948</v>
      </c>
      <c r="B901" s="1">
        <v>45707</v>
      </c>
      <c r="C901" s="1">
        <v>45713</v>
      </c>
      <c r="D901" t="s">
        <v>47</v>
      </c>
      <c r="E901" t="s">
        <v>71</v>
      </c>
      <c r="F901" t="s">
        <v>15</v>
      </c>
      <c r="G901" t="s">
        <v>20</v>
      </c>
      <c r="H901" t="s">
        <v>21</v>
      </c>
      <c r="I901">
        <v>2</v>
      </c>
      <c r="J901">
        <v>0.05</v>
      </c>
      <c r="K901">
        <v>196.53</v>
      </c>
      <c r="L901">
        <v>9.1</v>
      </c>
    </row>
    <row r="902" spans="1:12" x14ac:dyDescent="0.25">
      <c r="A902" t="s">
        <v>949</v>
      </c>
      <c r="B902" s="1">
        <v>45523</v>
      </c>
      <c r="C902" s="1">
        <v>45526</v>
      </c>
      <c r="D902" t="s">
        <v>32</v>
      </c>
      <c r="E902" t="s">
        <v>45</v>
      </c>
      <c r="F902" t="s">
        <v>25</v>
      </c>
      <c r="G902" t="s">
        <v>26</v>
      </c>
      <c r="H902" t="s">
        <v>60</v>
      </c>
      <c r="I902">
        <v>2</v>
      </c>
      <c r="J902">
        <v>0.05</v>
      </c>
      <c r="K902">
        <v>198.6</v>
      </c>
      <c r="L902">
        <v>4.2</v>
      </c>
    </row>
    <row r="903" spans="1:12" x14ac:dyDescent="0.25">
      <c r="A903" t="s">
        <v>950</v>
      </c>
      <c r="B903" s="1">
        <v>45755</v>
      </c>
      <c r="C903" s="1">
        <v>45761</v>
      </c>
      <c r="D903" t="s">
        <v>47</v>
      </c>
      <c r="E903" t="s">
        <v>48</v>
      </c>
      <c r="F903" t="s">
        <v>29</v>
      </c>
      <c r="G903" t="s">
        <v>20</v>
      </c>
      <c r="H903" t="s">
        <v>30</v>
      </c>
      <c r="I903">
        <v>7</v>
      </c>
      <c r="J903">
        <v>0</v>
      </c>
      <c r="K903">
        <v>41.48</v>
      </c>
      <c r="L903">
        <v>4.59</v>
      </c>
    </row>
    <row r="904" spans="1:12" x14ac:dyDescent="0.25">
      <c r="A904" t="s">
        <v>951</v>
      </c>
      <c r="B904" s="1">
        <v>45329</v>
      </c>
      <c r="C904" s="1">
        <v>45331</v>
      </c>
      <c r="D904" t="s">
        <v>47</v>
      </c>
      <c r="E904" t="s">
        <v>71</v>
      </c>
      <c r="F904" t="s">
        <v>29</v>
      </c>
      <c r="G904" t="s">
        <v>16</v>
      </c>
      <c r="H904" t="s">
        <v>27</v>
      </c>
      <c r="I904">
        <v>4</v>
      </c>
      <c r="J904">
        <v>0</v>
      </c>
      <c r="K904">
        <v>101.67</v>
      </c>
      <c r="L904">
        <v>3.78</v>
      </c>
    </row>
    <row r="905" spans="1:12" x14ac:dyDescent="0.25">
      <c r="A905" t="s">
        <v>952</v>
      </c>
      <c r="B905" s="1">
        <v>45443</v>
      </c>
      <c r="C905" s="1">
        <v>45445</v>
      </c>
      <c r="D905" t="s">
        <v>32</v>
      </c>
      <c r="E905" t="s">
        <v>45</v>
      </c>
      <c r="F905" t="s">
        <v>15</v>
      </c>
      <c r="G905" t="s">
        <v>26</v>
      </c>
      <c r="H905" t="s">
        <v>34</v>
      </c>
      <c r="I905">
        <v>3</v>
      </c>
      <c r="J905">
        <v>0.05</v>
      </c>
      <c r="K905">
        <v>569.28</v>
      </c>
      <c r="L905">
        <v>6.84</v>
      </c>
    </row>
    <row r="906" spans="1:12" x14ac:dyDescent="0.25">
      <c r="A906" t="s">
        <v>953</v>
      </c>
      <c r="B906" s="1">
        <v>45425</v>
      </c>
      <c r="C906" s="1">
        <v>45429</v>
      </c>
      <c r="D906" t="s">
        <v>32</v>
      </c>
      <c r="E906" t="s">
        <v>62</v>
      </c>
      <c r="F906" t="s">
        <v>15</v>
      </c>
      <c r="G906" t="s">
        <v>20</v>
      </c>
      <c r="H906" t="s">
        <v>68</v>
      </c>
      <c r="I906">
        <v>2</v>
      </c>
      <c r="J906">
        <v>0.1</v>
      </c>
      <c r="K906">
        <v>94.91</v>
      </c>
      <c r="L906">
        <v>4.2</v>
      </c>
    </row>
    <row r="907" spans="1:12" x14ac:dyDescent="0.25">
      <c r="A907" t="s">
        <v>954</v>
      </c>
      <c r="B907" s="1">
        <v>45352</v>
      </c>
      <c r="C907" s="1">
        <v>45358</v>
      </c>
      <c r="D907" t="s">
        <v>47</v>
      </c>
      <c r="E907" t="s">
        <v>50</v>
      </c>
      <c r="F907" t="s">
        <v>29</v>
      </c>
      <c r="G907" t="s">
        <v>20</v>
      </c>
      <c r="H907" t="s">
        <v>17</v>
      </c>
      <c r="I907">
        <v>4</v>
      </c>
      <c r="J907">
        <v>0.15</v>
      </c>
      <c r="K907">
        <v>423.34</v>
      </c>
      <c r="L907">
        <v>9.5</v>
      </c>
    </row>
    <row r="908" spans="1:12" x14ac:dyDescent="0.25">
      <c r="A908" t="s">
        <v>955</v>
      </c>
      <c r="B908" s="1">
        <v>45901</v>
      </c>
      <c r="C908" s="1">
        <v>45905</v>
      </c>
      <c r="D908" t="s">
        <v>47</v>
      </c>
      <c r="E908" t="s">
        <v>48</v>
      </c>
      <c r="F908" t="s">
        <v>25</v>
      </c>
      <c r="G908" t="s">
        <v>26</v>
      </c>
      <c r="H908" t="s">
        <v>37</v>
      </c>
      <c r="I908">
        <v>3</v>
      </c>
      <c r="J908">
        <v>0</v>
      </c>
      <c r="K908">
        <v>345.82</v>
      </c>
      <c r="L908">
        <v>6.84</v>
      </c>
    </row>
    <row r="909" spans="1:12" x14ac:dyDescent="0.25">
      <c r="A909" t="s">
        <v>956</v>
      </c>
      <c r="B909" s="1">
        <v>45952</v>
      </c>
      <c r="C909" s="1">
        <v>45955</v>
      </c>
      <c r="D909" t="s">
        <v>32</v>
      </c>
      <c r="E909" t="s">
        <v>62</v>
      </c>
      <c r="F909" t="s">
        <v>15</v>
      </c>
      <c r="G909" t="s">
        <v>20</v>
      </c>
      <c r="H909" t="s">
        <v>30</v>
      </c>
      <c r="I909">
        <v>12</v>
      </c>
      <c r="J909">
        <v>0</v>
      </c>
      <c r="K909">
        <v>82.91</v>
      </c>
      <c r="L909">
        <v>5.94</v>
      </c>
    </row>
    <row r="910" spans="1:12" x14ac:dyDescent="0.25">
      <c r="A910" t="s">
        <v>957</v>
      </c>
      <c r="B910" s="1">
        <v>45613</v>
      </c>
      <c r="C910" s="1">
        <v>45614</v>
      </c>
      <c r="D910" t="s">
        <v>47</v>
      </c>
      <c r="E910" t="s">
        <v>50</v>
      </c>
      <c r="F910" t="s">
        <v>29</v>
      </c>
      <c r="G910" t="s">
        <v>20</v>
      </c>
      <c r="H910" t="s">
        <v>68</v>
      </c>
      <c r="I910">
        <v>4</v>
      </c>
      <c r="J910">
        <v>0</v>
      </c>
      <c r="K910">
        <v>289.35000000000002</v>
      </c>
      <c r="L910">
        <v>9.5</v>
      </c>
    </row>
    <row r="911" spans="1:12" x14ac:dyDescent="0.25">
      <c r="A911" t="s">
        <v>958</v>
      </c>
      <c r="B911" s="1">
        <v>45348</v>
      </c>
      <c r="C911" s="1">
        <v>45354</v>
      </c>
      <c r="D911" t="s">
        <v>47</v>
      </c>
      <c r="E911" t="s">
        <v>71</v>
      </c>
      <c r="F911" t="s">
        <v>15</v>
      </c>
      <c r="G911" t="s">
        <v>20</v>
      </c>
      <c r="H911" t="s">
        <v>17</v>
      </c>
      <c r="I911">
        <v>2</v>
      </c>
      <c r="J911">
        <v>0</v>
      </c>
      <c r="K911">
        <v>215.6</v>
      </c>
      <c r="L911">
        <v>4.2</v>
      </c>
    </row>
    <row r="912" spans="1:12" x14ac:dyDescent="0.25">
      <c r="A912" t="s">
        <v>959</v>
      </c>
      <c r="B912" s="1">
        <v>45849</v>
      </c>
      <c r="C912" s="1">
        <v>45855</v>
      </c>
      <c r="D912" t="s">
        <v>23</v>
      </c>
      <c r="E912" t="s">
        <v>43</v>
      </c>
      <c r="F912" t="s">
        <v>29</v>
      </c>
      <c r="G912" t="s">
        <v>26</v>
      </c>
      <c r="H912" t="s">
        <v>37</v>
      </c>
      <c r="I912">
        <v>3</v>
      </c>
      <c r="J912">
        <v>0.05</v>
      </c>
      <c r="K912">
        <v>284.76</v>
      </c>
      <c r="L912">
        <v>11.4</v>
      </c>
    </row>
    <row r="913" spans="1:12" x14ac:dyDescent="0.25">
      <c r="A913" t="s">
        <v>960</v>
      </c>
      <c r="B913" s="1">
        <v>45860</v>
      </c>
      <c r="C913" s="1">
        <v>45865</v>
      </c>
      <c r="D913" t="s">
        <v>23</v>
      </c>
      <c r="E913" t="s">
        <v>43</v>
      </c>
      <c r="F913" t="s">
        <v>15</v>
      </c>
      <c r="G913" t="s">
        <v>26</v>
      </c>
      <c r="H913" t="s">
        <v>51</v>
      </c>
      <c r="I913">
        <v>5</v>
      </c>
      <c r="J913">
        <v>0.2</v>
      </c>
      <c r="K913">
        <v>57.15</v>
      </c>
      <c r="L913">
        <v>4.05</v>
      </c>
    </row>
    <row r="914" spans="1:12" x14ac:dyDescent="0.25">
      <c r="A914" t="s">
        <v>961</v>
      </c>
      <c r="B914" s="1">
        <v>45860</v>
      </c>
      <c r="C914" s="1">
        <v>45862</v>
      </c>
      <c r="D914" t="s">
        <v>13</v>
      </c>
      <c r="E914" t="s">
        <v>19</v>
      </c>
      <c r="F914" t="s">
        <v>25</v>
      </c>
      <c r="G914" t="s">
        <v>20</v>
      </c>
      <c r="H914" t="s">
        <v>63</v>
      </c>
      <c r="I914">
        <v>8</v>
      </c>
      <c r="J914">
        <v>0</v>
      </c>
      <c r="K914">
        <v>90.6</v>
      </c>
      <c r="L914">
        <v>8.1</v>
      </c>
    </row>
    <row r="915" spans="1:12" x14ac:dyDescent="0.25">
      <c r="A915" t="s">
        <v>962</v>
      </c>
      <c r="B915" s="1">
        <v>45579</v>
      </c>
      <c r="C915" s="1">
        <v>45585</v>
      </c>
      <c r="D915" t="s">
        <v>23</v>
      </c>
      <c r="E915" t="s">
        <v>59</v>
      </c>
      <c r="F915" t="s">
        <v>25</v>
      </c>
      <c r="G915" t="s">
        <v>20</v>
      </c>
      <c r="H915" t="s">
        <v>34</v>
      </c>
      <c r="I915">
        <v>3</v>
      </c>
      <c r="J915">
        <v>0</v>
      </c>
      <c r="K915">
        <v>736.26</v>
      </c>
      <c r="L915">
        <v>6.84</v>
      </c>
    </row>
    <row r="916" spans="1:12" x14ac:dyDescent="0.25">
      <c r="A916" t="s">
        <v>963</v>
      </c>
      <c r="B916" s="1">
        <v>45303</v>
      </c>
      <c r="C916" s="1">
        <v>45306</v>
      </c>
      <c r="D916" t="s">
        <v>23</v>
      </c>
      <c r="E916" t="s">
        <v>24</v>
      </c>
      <c r="F916" t="s">
        <v>29</v>
      </c>
      <c r="G916" t="s">
        <v>20</v>
      </c>
      <c r="H916" t="s">
        <v>30</v>
      </c>
      <c r="I916">
        <v>5</v>
      </c>
      <c r="J916">
        <v>0.25</v>
      </c>
      <c r="K916">
        <v>21.06</v>
      </c>
      <c r="L916">
        <v>6.75</v>
      </c>
    </row>
    <row r="917" spans="1:12" x14ac:dyDescent="0.25">
      <c r="A917" t="s">
        <v>964</v>
      </c>
      <c r="B917" s="1">
        <v>45818</v>
      </c>
      <c r="C917" s="1">
        <v>45820</v>
      </c>
      <c r="D917" t="s">
        <v>32</v>
      </c>
      <c r="E917" t="s">
        <v>62</v>
      </c>
      <c r="F917" t="s">
        <v>25</v>
      </c>
      <c r="G917" t="s">
        <v>26</v>
      </c>
      <c r="H917" t="s">
        <v>39</v>
      </c>
      <c r="I917">
        <v>3</v>
      </c>
      <c r="J917">
        <v>0.1</v>
      </c>
      <c r="K917">
        <v>557.72</v>
      </c>
      <c r="L917">
        <v>4.95</v>
      </c>
    </row>
    <row r="918" spans="1:12" x14ac:dyDescent="0.25">
      <c r="A918" t="s">
        <v>965</v>
      </c>
      <c r="B918" s="1">
        <v>45712</v>
      </c>
      <c r="C918" s="1">
        <v>45716</v>
      </c>
      <c r="D918" t="s">
        <v>23</v>
      </c>
      <c r="E918" t="s">
        <v>59</v>
      </c>
      <c r="F918" t="s">
        <v>15</v>
      </c>
      <c r="G918" t="s">
        <v>26</v>
      </c>
      <c r="H918" t="s">
        <v>51</v>
      </c>
      <c r="I918">
        <v>4</v>
      </c>
      <c r="J918">
        <v>0.15</v>
      </c>
      <c r="K918">
        <v>44.16</v>
      </c>
      <c r="L918">
        <v>6.3</v>
      </c>
    </row>
    <row r="919" spans="1:12" x14ac:dyDescent="0.25">
      <c r="A919" t="s">
        <v>966</v>
      </c>
      <c r="B919" s="1">
        <v>45788</v>
      </c>
      <c r="C919" s="1">
        <v>45793</v>
      </c>
      <c r="D919" t="s">
        <v>23</v>
      </c>
      <c r="E919" t="s">
        <v>59</v>
      </c>
      <c r="F919" t="s">
        <v>15</v>
      </c>
      <c r="G919" t="s">
        <v>20</v>
      </c>
      <c r="H919" t="s">
        <v>41</v>
      </c>
      <c r="I919">
        <v>11</v>
      </c>
      <c r="J919">
        <v>0.15</v>
      </c>
      <c r="K919">
        <v>56.58</v>
      </c>
      <c r="L919">
        <v>5.67</v>
      </c>
    </row>
    <row r="920" spans="1:12" x14ac:dyDescent="0.25">
      <c r="A920" t="s">
        <v>967</v>
      </c>
      <c r="B920" s="1">
        <v>45711</v>
      </c>
      <c r="C920" s="1">
        <v>45716</v>
      </c>
      <c r="D920" t="s">
        <v>23</v>
      </c>
      <c r="E920" t="s">
        <v>43</v>
      </c>
      <c r="F920" t="s">
        <v>25</v>
      </c>
      <c r="G920" t="s">
        <v>20</v>
      </c>
      <c r="H920" t="s">
        <v>37</v>
      </c>
      <c r="I920">
        <v>3</v>
      </c>
      <c r="J920">
        <v>0.25</v>
      </c>
      <c r="K920">
        <v>220.52</v>
      </c>
      <c r="L920">
        <v>11.4</v>
      </c>
    </row>
    <row r="921" spans="1:12" x14ac:dyDescent="0.25">
      <c r="A921" t="s">
        <v>968</v>
      </c>
      <c r="B921" s="1">
        <v>45473</v>
      </c>
      <c r="C921" s="1">
        <v>45477</v>
      </c>
      <c r="D921" t="s">
        <v>47</v>
      </c>
      <c r="E921" t="s">
        <v>48</v>
      </c>
      <c r="F921" t="s">
        <v>29</v>
      </c>
      <c r="G921" t="s">
        <v>26</v>
      </c>
      <c r="H921" t="s">
        <v>30</v>
      </c>
      <c r="I921">
        <v>12</v>
      </c>
      <c r="J921">
        <v>0.05</v>
      </c>
      <c r="K921">
        <v>70.540000000000006</v>
      </c>
      <c r="L921">
        <v>9.9</v>
      </c>
    </row>
    <row r="922" spans="1:12" x14ac:dyDescent="0.25">
      <c r="A922" t="s">
        <v>969</v>
      </c>
      <c r="B922" s="1">
        <v>46005</v>
      </c>
      <c r="C922" s="1">
        <v>46006</v>
      </c>
      <c r="D922" t="s">
        <v>23</v>
      </c>
      <c r="E922" t="s">
        <v>24</v>
      </c>
      <c r="F922" t="s">
        <v>25</v>
      </c>
      <c r="G922" t="s">
        <v>26</v>
      </c>
      <c r="H922" t="s">
        <v>63</v>
      </c>
      <c r="I922">
        <v>14</v>
      </c>
      <c r="J922">
        <v>0</v>
      </c>
      <c r="K922">
        <v>229.05</v>
      </c>
      <c r="L922">
        <v>10.8</v>
      </c>
    </row>
    <row r="923" spans="1:12" x14ac:dyDescent="0.25">
      <c r="A923" t="s">
        <v>970</v>
      </c>
      <c r="B923" s="1">
        <v>45637</v>
      </c>
      <c r="C923" s="1">
        <v>45641</v>
      </c>
      <c r="D923" t="s">
        <v>47</v>
      </c>
      <c r="E923" t="s">
        <v>71</v>
      </c>
      <c r="F923" t="s">
        <v>29</v>
      </c>
      <c r="G923" t="s">
        <v>26</v>
      </c>
      <c r="H923" t="s">
        <v>63</v>
      </c>
      <c r="I923">
        <v>4</v>
      </c>
      <c r="J923">
        <v>0.25</v>
      </c>
      <c r="K923">
        <v>53.54</v>
      </c>
      <c r="L923">
        <v>3.78</v>
      </c>
    </row>
    <row r="924" spans="1:12" x14ac:dyDescent="0.25">
      <c r="A924" t="s">
        <v>971</v>
      </c>
      <c r="B924" s="1">
        <v>45316</v>
      </c>
      <c r="C924" s="1">
        <v>45321</v>
      </c>
      <c r="D924" t="s">
        <v>13</v>
      </c>
      <c r="E924" t="s">
        <v>36</v>
      </c>
      <c r="F924" t="s">
        <v>29</v>
      </c>
      <c r="G924" t="s">
        <v>26</v>
      </c>
      <c r="H924" t="s">
        <v>53</v>
      </c>
      <c r="I924">
        <v>2</v>
      </c>
      <c r="J924">
        <v>0</v>
      </c>
      <c r="K924">
        <v>97.67</v>
      </c>
      <c r="L924">
        <v>7</v>
      </c>
    </row>
    <row r="925" spans="1:12" x14ac:dyDescent="0.25">
      <c r="A925" t="s">
        <v>972</v>
      </c>
      <c r="B925" s="1">
        <v>45579</v>
      </c>
      <c r="C925" s="1">
        <v>45580</v>
      </c>
      <c r="D925" t="s">
        <v>23</v>
      </c>
      <c r="E925" t="s">
        <v>43</v>
      </c>
      <c r="F925" t="s">
        <v>29</v>
      </c>
      <c r="G925" t="s">
        <v>20</v>
      </c>
      <c r="H925" t="s">
        <v>53</v>
      </c>
      <c r="I925">
        <v>1</v>
      </c>
      <c r="J925">
        <v>0</v>
      </c>
      <c r="K925">
        <v>62.73</v>
      </c>
      <c r="L925">
        <v>3.45</v>
      </c>
    </row>
    <row r="926" spans="1:12" x14ac:dyDescent="0.25">
      <c r="A926" t="s">
        <v>973</v>
      </c>
      <c r="B926" s="1">
        <v>45944</v>
      </c>
      <c r="C926" s="1">
        <v>45945</v>
      </c>
      <c r="D926" t="s">
        <v>23</v>
      </c>
      <c r="E926" t="s">
        <v>59</v>
      </c>
      <c r="F926" t="s">
        <v>25</v>
      </c>
      <c r="G926" t="s">
        <v>20</v>
      </c>
      <c r="H926" t="s">
        <v>27</v>
      </c>
      <c r="I926">
        <v>10</v>
      </c>
      <c r="J926">
        <v>0.2</v>
      </c>
      <c r="K926">
        <v>260.36</v>
      </c>
      <c r="L926">
        <v>5.4</v>
      </c>
    </row>
    <row r="927" spans="1:12" x14ac:dyDescent="0.25">
      <c r="A927" t="s">
        <v>974</v>
      </c>
      <c r="B927" s="1">
        <v>45441</v>
      </c>
      <c r="C927" s="1">
        <v>45445</v>
      </c>
      <c r="D927" t="s">
        <v>13</v>
      </c>
      <c r="E927" t="s">
        <v>14</v>
      </c>
      <c r="F927" t="s">
        <v>25</v>
      </c>
      <c r="G927" t="s">
        <v>16</v>
      </c>
      <c r="H927" t="s">
        <v>34</v>
      </c>
      <c r="I927">
        <v>2</v>
      </c>
      <c r="J927">
        <v>0</v>
      </c>
      <c r="K927">
        <v>394.63</v>
      </c>
      <c r="L927">
        <v>5.46</v>
      </c>
    </row>
    <row r="928" spans="1:12" x14ac:dyDescent="0.25">
      <c r="A928" t="s">
        <v>975</v>
      </c>
      <c r="B928" s="1">
        <v>45713</v>
      </c>
      <c r="C928" s="1">
        <v>45717</v>
      </c>
      <c r="D928" t="s">
        <v>32</v>
      </c>
      <c r="E928" t="s">
        <v>33</v>
      </c>
      <c r="F928" t="s">
        <v>29</v>
      </c>
      <c r="G928" t="s">
        <v>20</v>
      </c>
      <c r="H928" t="s">
        <v>37</v>
      </c>
      <c r="I928">
        <v>2</v>
      </c>
      <c r="J928">
        <v>0.25</v>
      </c>
      <c r="K928">
        <v>142.35</v>
      </c>
      <c r="L928">
        <v>9.1</v>
      </c>
    </row>
    <row r="929" spans="1:12" x14ac:dyDescent="0.25">
      <c r="A929" t="s">
        <v>976</v>
      </c>
      <c r="B929" s="1">
        <v>45599</v>
      </c>
      <c r="C929" s="1">
        <v>45600</v>
      </c>
      <c r="D929" t="s">
        <v>23</v>
      </c>
      <c r="E929" t="s">
        <v>24</v>
      </c>
      <c r="F929" t="s">
        <v>15</v>
      </c>
      <c r="G929" t="s">
        <v>20</v>
      </c>
      <c r="H929" t="s">
        <v>21</v>
      </c>
      <c r="I929">
        <v>4</v>
      </c>
      <c r="J929">
        <v>0</v>
      </c>
      <c r="K929">
        <v>627.15</v>
      </c>
      <c r="L929">
        <v>13.7</v>
      </c>
    </row>
    <row r="930" spans="1:12" x14ac:dyDescent="0.25">
      <c r="A930" t="s">
        <v>977</v>
      </c>
      <c r="B930" s="1">
        <v>45936</v>
      </c>
      <c r="C930" s="1">
        <v>45938</v>
      </c>
      <c r="D930" t="s">
        <v>13</v>
      </c>
      <c r="E930" t="s">
        <v>36</v>
      </c>
      <c r="F930" t="s">
        <v>15</v>
      </c>
      <c r="G930" t="s">
        <v>26</v>
      </c>
      <c r="H930" t="s">
        <v>27</v>
      </c>
      <c r="I930">
        <v>3</v>
      </c>
      <c r="J930">
        <v>0</v>
      </c>
      <c r="K930">
        <v>100.04</v>
      </c>
      <c r="L930">
        <v>3.51</v>
      </c>
    </row>
    <row r="931" spans="1:12" x14ac:dyDescent="0.25">
      <c r="A931" t="s">
        <v>978</v>
      </c>
      <c r="B931" s="1">
        <v>45938</v>
      </c>
      <c r="C931" s="1">
        <v>45939</v>
      </c>
      <c r="D931" t="s">
        <v>32</v>
      </c>
      <c r="E931" t="s">
        <v>33</v>
      </c>
      <c r="F931" t="s">
        <v>15</v>
      </c>
      <c r="G931" t="s">
        <v>20</v>
      </c>
      <c r="H931" t="s">
        <v>60</v>
      </c>
      <c r="I931">
        <v>4</v>
      </c>
      <c r="J931">
        <v>0.15</v>
      </c>
      <c r="K931">
        <v>433.71</v>
      </c>
      <c r="L931">
        <v>5.7</v>
      </c>
    </row>
    <row r="932" spans="1:12" x14ac:dyDescent="0.25">
      <c r="A932" t="s">
        <v>979</v>
      </c>
      <c r="B932" s="1">
        <v>45671</v>
      </c>
      <c r="C932" s="1">
        <v>45676</v>
      </c>
      <c r="D932" t="s">
        <v>32</v>
      </c>
      <c r="E932" t="s">
        <v>33</v>
      </c>
      <c r="F932" t="s">
        <v>15</v>
      </c>
      <c r="G932" t="s">
        <v>26</v>
      </c>
      <c r="H932" t="s">
        <v>17</v>
      </c>
      <c r="I932">
        <v>4</v>
      </c>
      <c r="J932">
        <v>0.1</v>
      </c>
      <c r="K932">
        <v>382.14</v>
      </c>
      <c r="L932">
        <v>9.5</v>
      </c>
    </row>
    <row r="933" spans="1:12" x14ac:dyDescent="0.25">
      <c r="A933" t="s">
        <v>980</v>
      </c>
      <c r="B933" s="1">
        <v>45342</v>
      </c>
      <c r="C933" s="1">
        <v>45345</v>
      </c>
      <c r="D933" t="s">
        <v>23</v>
      </c>
      <c r="E933" t="s">
        <v>59</v>
      </c>
      <c r="F933" t="s">
        <v>15</v>
      </c>
      <c r="G933" t="s">
        <v>26</v>
      </c>
      <c r="H933" t="s">
        <v>60</v>
      </c>
      <c r="I933">
        <v>2</v>
      </c>
      <c r="J933">
        <v>0</v>
      </c>
      <c r="K933">
        <v>209.91</v>
      </c>
      <c r="L933">
        <v>7</v>
      </c>
    </row>
    <row r="934" spans="1:12" x14ac:dyDescent="0.25">
      <c r="A934" t="s">
        <v>981</v>
      </c>
      <c r="B934" s="1">
        <v>45625</v>
      </c>
      <c r="C934" s="1">
        <v>45628</v>
      </c>
      <c r="D934" t="s">
        <v>23</v>
      </c>
      <c r="E934" t="s">
        <v>59</v>
      </c>
      <c r="F934" t="s">
        <v>29</v>
      </c>
      <c r="G934" t="s">
        <v>16</v>
      </c>
      <c r="H934" t="s">
        <v>60</v>
      </c>
      <c r="I934">
        <v>4</v>
      </c>
      <c r="J934">
        <v>0.2</v>
      </c>
      <c r="K934">
        <v>459.99</v>
      </c>
      <c r="L934">
        <v>5.7</v>
      </c>
    </row>
    <row r="935" spans="1:12" x14ac:dyDescent="0.25">
      <c r="A935" t="s">
        <v>982</v>
      </c>
      <c r="B935" s="1">
        <v>45425</v>
      </c>
      <c r="C935" s="1">
        <v>45430</v>
      </c>
      <c r="D935" t="s">
        <v>32</v>
      </c>
      <c r="E935" t="s">
        <v>62</v>
      </c>
      <c r="F935" t="s">
        <v>29</v>
      </c>
      <c r="G935" t="s">
        <v>16</v>
      </c>
      <c r="H935" t="s">
        <v>65</v>
      </c>
      <c r="I935">
        <v>4</v>
      </c>
      <c r="J935">
        <v>0.05</v>
      </c>
      <c r="K935">
        <v>1081.71</v>
      </c>
      <c r="L935">
        <v>8.2200000000000006</v>
      </c>
    </row>
    <row r="936" spans="1:12" x14ac:dyDescent="0.25">
      <c r="A936" t="s">
        <v>983</v>
      </c>
      <c r="B936" s="1">
        <v>45962</v>
      </c>
      <c r="C936" s="1">
        <v>45965</v>
      </c>
      <c r="D936" t="s">
        <v>13</v>
      </c>
      <c r="E936" t="s">
        <v>14</v>
      </c>
      <c r="F936" t="s">
        <v>29</v>
      </c>
      <c r="G936" t="s">
        <v>16</v>
      </c>
      <c r="H936" t="s">
        <v>34</v>
      </c>
      <c r="I936">
        <v>2</v>
      </c>
      <c r="J936">
        <v>0.05</v>
      </c>
      <c r="K936">
        <v>518.54999999999995</v>
      </c>
      <c r="L936">
        <v>9.1</v>
      </c>
    </row>
    <row r="937" spans="1:12" x14ac:dyDescent="0.25">
      <c r="A937" t="s">
        <v>984</v>
      </c>
      <c r="B937" s="1">
        <v>45394</v>
      </c>
      <c r="C937" s="1">
        <v>45397</v>
      </c>
      <c r="D937" t="s">
        <v>23</v>
      </c>
      <c r="E937" t="s">
        <v>59</v>
      </c>
      <c r="F937" t="s">
        <v>25</v>
      </c>
      <c r="G937" t="s">
        <v>20</v>
      </c>
      <c r="H937" t="s">
        <v>68</v>
      </c>
      <c r="I937">
        <v>2</v>
      </c>
      <c r="J937">
        <v>0</v>
      </c>
      <c r="K937">
        <v>102.2</v>
      </c>
      <c r="L937">
        <v>4.2</v>
      </c>
    </row>
    <row r="938" spans="1:12" x14ac:dyDescent="0.25">
      <c r="A938" t="s">
        <v>985</v>
      </c>
      <c r="B938" s="1">
        <v>46008</v>
      </c>
      <c r="C938" s="1">
        <v>46014</v>
      </c>
      <c r="D938" t="s">
        <v>47</v>
      </c>
      <c r="E938" t="s">
        <v>50</v>
      </c>
      <c r="F938" t="s">
        <v>29</v>
      </c>
      <c r="G938" t="s">
        <v>16</v>
      </c>
      <c r="H938" t="s">
        <v>17</v>
      </c>
      <c r="I938">
        <v>7</v>
      </c>
      <c r="J938">
        <v>0</v>
      </c>
      <c r="K938">
        <v>1238.3399999999999</v>
      </c>
      <c r="L938">
        <v>13.25</v>
      </c>
    </row>
    <row r="939" spans="1:12" x14ac:dyDescent="0.25">
      <c r="A939" t="s">
        <v>986</v>
      </c>
      <c r="B939" s="1">
        <v>45297</v>
      </c>
      <c r="C939" s="1">
        <v>45299</v>
      </c>
      <c r="D939" t="s">
        <v>23</v>
      </c>
      <c r="E939" t="s">
        <v>59</v>
      </c>
      <c r="F939" t="s">
        <v>15</v>
      </c>
      <c r="G939" t="s">
        <v>26</v>
      </c>
      <c r="H939" t="s">
        <v>37</v>
      </c>
      <c r="I939">
        <v>4</v>
      </c>
      <c r="J939">
        <v>0</v>
      </c>
      <c r="K939">
        <v>381.77</v>
      </c>
      <c r="L939">
        <v>13.7</v>
      </c>
    </row>
    <row r="940" spans="1:12" x14ac:dyDescent="0.25">
      <c r="A940" t="s">
        <v>987</v>
      </c>
      <c r="B940" s="1">
        <v>45336</v>
      </c>
      <c r="C940" s="1">
        <v>45340</v>
      </c>
      <c r="D940" t="s">
        <v>47</v>
      </c>
      <c r="E940" t="s">
        <v>50</v>
      </c>
      <c r="F940" t="s">
        <v>29</v>
      </c>
      <c r="G940" t="s">
        <v>26</v>
      </c>
      <c r="H940" t="s">
        <v>87</v>
      </c>
      <c r="I940">
        <v>12</v>
      </c>
      <c r="J940">
        <v>0</v>
      </c>
      <c r="K940">
        <v>92.86</v>
      </c>
      <c r="L940">
        <v>5.94</v>
      </c>
    </row>
    <row r="941" spans="1:12" x14ac:dyDescent="0.25">
      <c r="A941" t="s">
        <v>988</v>
      </c>
      <c r="B941" s="1">
        <v>45552</v>
      </c>
      <c r="C941" s="1">
        <v>45556</v>
      </c>
      <c r="D941" t="s">
        <v>47</v>
      </c>
      <c r="E941" t="s">
        <v>71</v>
      </c>
      <c r="F941" t="s">
        <v>15</v>
      </c>
      <c r="G941" t="s">
        <v>26</v>
      </c>
      <c r="H941" t="s">
        <v>30</v>
      </c>
      <c r="I941">
        <v>13</v>
      </c>
      <c r="J941">
        <v>0</v>
      </c>
      <c r="K941">
        <v>83.06</v>
      </c>
      <c r="L941">
        <v>6.21</v>
      </c>
    </row>
    <row r="942" spans="1:12" x14ac:dyDescent="0.25">
      <c r="A942" t="s">
        <v>989</v>
      </c>
      <c r="B942" s="1">
        <v>45593</v>
      </c>
      <c r="C942" s="1">
        <v>45597</v>
      </c>
      <c r="D942" t="s">
        <v>23</v>
      </c>
      <c r="E942" t="s">
        <v>24</v>
      </c>
      <c r="F942" t="s">
        <v>15</v>
      </c>
      <c r="G942" t="s">
        <v>16</v>
      </c>
      <c r="H942" t="s">
        <v>39</v>
      </c>
      <c r="I942">
        <v>4</v>
      </c>
      <c r="J942">
        <v>0</v>
      </c>
      <c r="K942">
        <v>896.93</v>
      </c>
      <c r="L942">
        <v>9.5</v>
      </c>
    </row>
    <row r="943" spans="1:12" x14ac:dyDescent="0.25">
      <c r="A943" t="s">
        <v>990</v>
      </c>
      <c r="B943" s="1">
        <v>45438</v>
      </c>
      <c r="C943" s="1">
        <v>45443</v>
      </c>
      <c r="D943" t="s">
        <v>23</v>
      </c>
      <c r="E943" t="s">
        <v>43</v>
      </c>
      <c r="F943" t="s">
        <v>25</v>
      </c>
      <c r="G943" t="s">
        <v>16</v>
      </c>
      <c r="H943" t="s">
        <v>21</v>
      </c>
      <c r="I943">
        <v>4</v>
      </c>
      <c r="J943">
        <v>0.2</v>
      </c>
      <c r="K943">
        <v>364.7</v>
      </c>
      <c r="L943">
        <v>8.2200000000000006</v>
      </c>
    </row>
    <row r="944" spans="1:12" x14ac:dyDescent="0.25">
      <c r="A944" t="s">
        <v>991</v>
      </c>
      <c r="B944" s="1">
        <v>45964</v>
      </c>
      <c r="C944" s="1">
        <v>45966</v>
      </c>
      <c r="D944" t="s">
        <v>13</v>
      </c>
      <c r="E944" t="s">
        <v>19</v>
      </c>
      <c r="F944" t="s">
        <v>15</v>
      </c>
      <c r="G944" t="s">
        <v>16</v>
      </c>
      <c r="H944" t="s">
        <v>51</v>
      </c>
      <c r="I944">
        <v>12</v>
      </c>
      <c r="J944">
        <v>0</v>
      </c>
      <c r="K944">
        <v>243.28</v>
      </c>
      <c r="L944">
        <v>5.94</v>
      </c>
    </row>
    <row r="945" spans="1:12" x14ac:dyDescent="0.25">
      <c r="A945" t="s">
        <v>992</v>
      </c>
      <c r="B945" s="1">
        <v>45656</v>
      </c>
      <c r="C945" s="1">
        <v>45659</v>
      </c>
      <c r="D945" t="s">
        <v>47</v>
      </c>
      <c r="E945" t="s">
        <v>50</v>
      </c>
      <c r="F945" t="s">
        <v>25</v>
      </c>
      <c r="G945" t="s">
        <v>26</v>
      </c>
      <c r="H945" t="s">
        <v>37</v>
      </c>
      <c r="I945">
        <v>2</v>
      </c>
      <c r="J945">
        <v>0</v>
      </c>
      <c r="K945">
        <v>313.54000000000002</v>
      </c>
      <c r="L945">
        <v>5.46</v>
      </c>
    </row>
    <row r="946" spans="1:12" x14ac:dyDescent="0.25">
      <c r="A946" t="s">
        <v>993</v>
      </c>
      <c r="B946" s="1">
        <v>45877</v>
      </c>
      <c r="C946" s="1">
        <v>45879</v>
      </c>
      <c r="D946" t="s">
        <v>13</v>
      </c>
      <c r="E946" t="s">
        <v>19</v>
      </c>
      <c r="F946" t="s">
        <v>15</v>
      </c>
      <c r="G946" t="s">
        <v>26</v>
      </c>
      <c r="H946" t="s">
        <v>17</v>
      </c>
      <c r="I946">
        <v>7</v>
      </c>
      <c r="J946">
        <v>0</v>
      </c>
      <c r="K946">
        <v>829.69</v>
      </c>
      <c r="L946">
        <v>7.95</v>
      </c>
    </row>
    <row r="947" spans="1:12" x14ac:dyDescent="0.25">
      <c r="A947" t="s">
        <v>994</v>
      </c>
      <c r="B947" s="1">
        <v>45437</v>
      </c>
      <c r="C947" s="1">
        <v>45440</v>
      </c>
      <c r="D947" t="s">
        <v>13</v>
      </c>
      <c r="E947" t="s">
        <v>14</v>
      </c>
      <c r="F947" t="s">
        <v>29</v>
      </c>
      <c r="G947" t="s">
        <v>16</v>
      </c>
      <c r="H947" t="s">
        <v>34</v>
      </c>
      <c r="I947">
        <v>2</v>
      </c>
      <c r="J947">
        <v>0.2</v>
      </c>
      <c r="K947">
        <v>320.39</v>
      </c>
      <c r="L947">
        <v>5.46</v>
      </c>
    </row>
    <row r="948" spans="1:12" x14ac:dyDescent="0.25">
      <c r="A948" t="s">
        <v>995</v>
      </c>
      <c r="B948" s="1">
        <v>45556</v>
      </c>
      <c r="C948" s="1">
        <v>45562</v>
      </c>
      <c r="D948" t="s">
        <v>23</v>
      </c>
      <c r="E948" t="s">
        <v>59</v>
      </c>
      <c r="F948" t="s">
        <v>15</v>
      </c>
      <c r="G948" t="s">
        <v>26</v>
      </c>
      <c r="H948" t="s">
        <v>27</v>
      </c>
      <c r="I948">
        <v>5</v>
      </c>
      <c r="J948">
        <v>0</v>
      </c>
      <c r="K948">
        <v>152.15</v>
      </c>
      <c r="L948">
        <v>4.05</v>
      </c>
    </row>
    <row r="949" spans="1:12" x14ac:dyDescent="0.25">
      <c r="A949" t="s">
        <v>996</v>
      </c>
      <c r="B949" s="1">
        <v>46011</v>
      </c>
      <c r="C949" s="1">
        <v>46012</v>
      </c>
      <c r="D949" t="s">
        <v>23</v>
      </c>
      <c r="E949" t="s">
        <v>43</v>
      </c>
      <c r="F949" t="s">
        <v>15</v>
      </c>
      <c r="G949" t="s">
        <v>16</v>
      </c>
      <c r="H949" t="s">
        <v>51</v>
      </c>
      <c r="I949">
        <v>11</v>
      </c>
      <c r="J949">
        <v>0</v>
      </c>
      <c r="K949">
        <v>238.37</v>
      </c>
      <c r="L949">
        <v>5.67</v>
      </c>
    </row>
    <row r="950" spans="1:12" x14ac:dyDescent="0.25">
      <c r="A950" t="s">
        <v>997</v>
      </c>
      <c r="B950" s="1">
        <v>45959</v>
      </c>
      <c r="C950" s="1">
        <v>45964</v>
      </c>
      <c r="D950" t="s">
        <v>32</v>
      </c>
      <c r="E950" t="s">
        <v>45</v>
      </c>
      <c r="F950" t="s">
        <v>15</v>
      </c>
      <c r="G950" t="s">
        <v>20</v>
      </c>
      <c r="H950" t="s">
        <v>63</v>
      </c>
      <c r="I950">
        <v>5</v>
      </c>
      <c r="J950">
        <v>0</v>
      </c>
      <c r="K950">
        <v>69.94</v>
      </c>
      <c r="L950">
        <v>6.75</v>
      </c>
    </row>
    <row r="951" spans="1:12" x14ac:dyDescent="0.25">
      <c r="A951" t="s">
        <v>998</v>
      </c>
      <c r="B951" s="1">
        <v>45376</v>
      </c>
      <c r="C951" s="1">
        <v>45382</v>
      </c>
      <c r="D951" t="s">
        <v>47</v>
      </c>
      <c r="E951" t="s">
        <v>48</v>
      </c>
      <c r="F951" t="s">
        <v>29</v>
      </c>
      <c r="G951" t="s">
        <v>16</v>
      </c>
      <c r="H951" t="s">
        <v>37</v>
      </c>
      <c r="I951">
        <v>1</v>
      </c>
      <c r="J951">
        <v>0</v>
      </c>
      <c r="K951">
        <v>101.59</v>
      </c>
      <c r="L951">
        <v>6.8</v>
      </c>
    </row>
    <row r="952" spans="1:12" x14ac:dyDescent="0.25">
      <c r="A952" t="s">
        <v>999</v>
      </c>
      <c r="B952" s="1">
        <v>45827</v>
      </c>
      <c r="C952" s="1">
        <v>45830</v>
      </c>
      <c r="D952" t="s">
        <v>23</v>
      </c>
      <c r="E952" t="s">
        <v>24</v>
      </c>
      <c r="F952" t="s">
        <v>15</v>
      </c>
      <c r="G952" t="s">
        <v>26</v>
      </c>
      <c r="H952" t="s">
        <v>17</v>
      </c>
      <c r="I952">
        <v>4</v>
      </c>
      <c r="J952">
        <v>0</v>
      </c>
      <c r="K952">
        <v>537.66</v>
      </c>
      <c r="L952">
        <v>5.7</v>
      </c>
    </row>
    <row r="953" spans="1:12" x14ac:dyDescent="0.25">
      <c r="A953" t="s">
        <v>1000</v>
      </c>
      <c r="B953" s="1">
        <v>45621</v>
      </c>
      <c r="C953" s="1">
        <v>45627</v>
      </c>
      <c r="D953" t="s">
        <v>47</v>
      </c>
      <c r="E953" t="s">
        <v>50</v>
      </c>
      <c r="F953" t="s">
        <v>29</v>
      </c>
      <c r="G953" t="s">
        <v>16</v>
      </c>
      <c r="H953" t="s">
        <v>37</v>
      </c>
      <c r="I953">
        <v>3</v>
      </c>
      <c r="J953">
        <v>0</v>
      </c>
      <c r="K953">
        <v>437.03</v>
      </c>
      <c r="L953">
        <v>11.4</v>
      </c>
    </row>
    <row r="954" spans="1:12" x14ac:dyDescent="0.25">
      <c r="A954" t="s">
        <v>1001</v>
      </c>
      <c r="B954" s="1">
        <v>45763</v>
      </c>
      <c r="C954" s="1">
        <v>45767</v>
      </c>
      <c r="D954" t="s">
        <v>47</v>
      </c>
      <c r="E954" t="s">
        <v>50</v>
      </c>
      <c r="F954" t="s">
        <v>15</v>
      </c>
      <c r="G954" t="s">
        <v>20</v>
      </c>
      <c r="H954" t="s">
        <v>34</v>
      </c>
      <c r="I954">
        <v>7</v>
      </c>
      <c r="J954">
        <v>0</v>
      </c>
      <c r="K954">
        <v>1379.56</v>
      </c>
      <c r="L954">
        <v>12.36</v>
      </c>
    </row>
    <row r="955" spans="1:12" x14ac:dyDescent="0.25">
      <c r="A955" t="s">
        <v>1002</v>
      </c>
      <c r="B955" s="1">
        <v>45731</v>
      </c>
      <c r="C955" s="1">
        <v>45732</v>
      </c>
      <c r="D955" t="s">
        <v>23</v>
      </c>
      <c r="E955" t="s">
        <v>43</v>
      </c>
      <c r="F955" t="s">
        <v>15</v>
      </c>
      <c r="G955" t="s">
        <v>16</v>
      </c>
      <c r="H955" t="s">
        <v>63</v>
      </c>
      <c r="I955">
        <v>11</v>
      </c>
      <c r="J955">
        <v>0.2</v>
      </c>
      <c r="K955">
        <v>102.55</v>
      </c>
      <c r="L955">
        <v>5.67</v>
      </c>
    </row>
    <row r="956" spans="1:12" x14ac:dyDescent="0.25">
      <c r="A956" t="s">
        <v>1003</v>
      </c>
      <c r="B956" s="1">
        <v>45799</v>
      </c>
      <c r="C956" s="1">
        <v>45801</v>
      </c>
      <c r="D956" t="s">
        <v>13</v>
      </c>
      <c r="E956" t="s">
        <v>14</v>
      </c>
      <c r="F956" t="s">
        <v>25</v>
      </c>
      <c r="G956" t="s">
        <v>20</v>
      </c>
      <c r="H956" t="s">
        <v>63</v>
      </c>
      <c r="I956">
        <v>8</v>
      </c>
      <c r="J956">
        <v>0.2</v>
      </c>
      <c r="K956">
        <v>82.9</v>
      </c>
      <c r="L956">
        <v>8.1</v>
      </c>
    </row>
    <row r="957" spans="1:12" x14ac:dyDescent="0.25">
      <c r="A957" t="s">
        <v>1004</v>
      </c>
      <c r="B957" s="1">
        <v>45648</v>
      </c>
      <c r="C957" s="1">
        <v>45652</v>
      </c>
      <c r="D957" t="s">
        <v>47</v>
      </c>
      <c r="E957" t="s">
        <v>50</v>
      </c>
      <c r="F957" t="s">
        <v>25</v>
      </c>
      <c r="G957" t="s">
        <v>20</v>
      </c>
      <c r="H957" t="s">
        <v>51</v>
      </c>
      <c r="I957">
        <v>9</v>
      </c>
      <c r="J957">
        <v>0</v>
      </c>
      <c r="K957">
        <v>193.93</v>
      </c>
      <c r="L957">
        <v>5.13</v>
      </c>
    </row>
    <row r="958" spans="1:12" x14ac:dyDescent="0.25">
      <c r="A958" t="s">
        <v>1005</v>
      </c>
      <c r="B958" s="1">
        <v>45746</v>
      </c>
      <c r="C958" s="1">
        <v>45750</v>
      </c>
      <c r="D958" t="s">
        <v>23</v>
      </c>
      <c r="E958" t="s">
        <v>24</v>
      </c>
      <c r="F958" t="s">
        <v>15</v>
      </c>
      <c r="G958" t="s">
        <v>26</v>
      </c>
      <c r="H958" t="s">
        <v>21</v>
      </c>
      <c r="I958">
        <v>3</v>
      </c>
      <c r="J958">
        <v>0.15</v>
      </c>
      <c r="K958">
        <v>265.08</v>
      </c>
      <c r="L958">
        <v>6.84</v>
      </c>
    </row>
    <row r="959" spans="1:12" x14ac:dyDescent="0.25">
      <c r="A959" t="s">
        <v>1006</v>
      </c>
      <c r="B959" s="1">
        <v>45553</v>
      </c>
      <c r="C959" s="1">
        <v>45555</v>
      </c>
      <c r="D959" t="s">
        <v>47</v>
      </c>
      <c r="E959" t="s">
        <v>71</v>
      </c>
      <c r="F959" t="s">
        <v>25</v>
      </c>
      <c r="G959" t="s">
        <v>20</v>
      </c>
      <c r="H959" t="s">
        <v>27</v>
      </c>
      <c r="I959">
        <v>3</v>
      </c>
      <c r="J959">
        <v>0.2</v>
      </c>
      <c r="K959">
        <v>72.67</v>
      </c>
      <c r="L959">
        <v>5.85</v>
      </c>
    </row>
    <row r="960" spans="1:12" x14ac:dyDescent="0.25">
      <c r="A960" t="s">
        <v>1007</v>
      </c>
      <c r="B960" s="1">
        <v>45959</v>
      </c>
      <c r="C960" s="1">
        <v>45965</v>
      </c>
      <c r="D960" t="s">
        <v>23</v>
      </c>
      <c r="E960" t="s">
        <v>59</v>
      </c>
      <c r="F960" t="s">
        <v>25</v>
      </c>
      <c r="G960" t="s">
        <v>20</v>
      </c>
      <c r="H960" t="s">
        <v>65</v>
      </c>
      <c r="I960">
        <v>2</v>
      </c>
      <c r="J960">
        <v>0</v>
      </c>
      <c r="K960">
        <v>678.67</v>
      </c>
      <c r="L960">
        <v>5.46</v>
      </c>
    </row>
    <row r="961" spans="1:12" x14ac:dyDescent="0.25">
      <c r="A961" t="s">
        <v>1008</v>
      </c>
      <c r="B961" s="1">
        <v>45433</v>
      </c>
      <c r="C961" s="1">
        <v>45434</v>
      </c>
      <c r="D961" t="s">
        <v>32</v>
      </c>
      <c r="E961" t="s">
        <v>62</v>
      </c>
      <c r="F961" t="s">
        <v>25</v>
      </c>
      <c r="G961" t="s">
        <v>26</v>
      </c>
      <c r="H961" t="s">
        <v>65</v>
      </c>
      <c r="I961">
        <v>3</v>
      </c>
      <c r="J961">
        <v>0</v>
      </c>
      <c r="K961">
        <v>905.64</v>
      </c>
      <c r="L961">
        <v>11.4</v>
      </c>
    </row>
    <row r="962" spans="1:12" x14ac:dyDescent="0.25">
      <c r="A962" t="s">
        <v>1009</v>
      </c>
      <c r="B962" s="1">
        <v>45521</v>
      </c>
      <c r="C962" s="1">
        <v>45523</v>
      </c>
      <c r="D962" t="s">
        <v>13</v>
      </c>
      <c r="E962" t="s">
        <v>14</v>
      </c>
      <c r="F962" t="s">
        <v>15</v>
      </c>
      <c r="G962" t="s">
        <v>20</v>
      </c>
      <c r="H962" t="s">
        <v>60</v>
      </c>
      <c r="I962">
        <v>1</v>
      </c>
      <c r="J962">
        <v>0</v>
      </c>
      <c r="K962">
        <v>104.13</v>
      </c>
      <c r="L962">
        <v>3.45</v>
      </c>
    </row>
    <row r="963" spans="1:12" x14ac:dyDescent="0.25">
      <c r="A963" t="s">
        <v>1010</v>
      </c>
      <c r="B963" s="1">
        <v>45969</v>
      </c>
      <c r="C963" s="1">
        <v>45972</v>
      </c>
      <c r="D963" t="s">
        <v>47</v>
      </c>
      <c r="E963" t="s">
        <v>50</v>
      </c>
      <c r="F963" t="s">
        <v>25</v>
      </c>
      <c r="G963" t="s">
        <v>26</v>
      </c>
      <c r="H963" t="s">
        <v>41</v>
      </c>
      <c r="I963">
        <v>10</v>
      </c>
      <c r="J963">
        <v>0</v>
      </c>
      <c r="K963">
        <v>85.27</v>
      </c>
      <c r="L963">
        <v>5.4</v>
      </c>
    </row>
    <row r="964" spans="1:12" x14ac:dyDescent="0.25">
      <c r="A964" t="s">
        <v>1011</v>
      </c>
      <c r="B964" s="1">
        <v>45882</v>
      </c>
      <c r="C964" s="1">
        <v>45883</v>
      </c>
      <c r="D964" t="s">
        <v>23</v>
      </c>
      <c r="E964" t="s">
        <v>24</v>
      </c>
      <c r="F964" t="s">
        <v>15</v>
      </c>
      <c r="G964" t="s">
        <v>20</v>
      </c>
      <c r="H964" t="s">
        <v>68</v>
      </c>
      <c r="I964">
        <v>2</v>
      </c>
      <c r="J964">
        <v>0</v>
      </c>
      <c r="K964">
        <v>100.2</v>
      </c>
      <c r="L964">
        <v>7</v>
      </c>
    </row>
    <row r="965" spans="1:12" x14ac:dyDescent="0.25">
      <c r="A965" t="s">
        <v>1012</v>
      </c>
      <c r="B965" s="1">
        <v>45508</v>
      </c>
      <c r="C965" s="1">
        <v>45510</v>
      </c>
      <c r="D965" t="s">
        <v>23</v>
      </c>
      <c r="E965" t="s">
        <v>43</v>
      </c>
      <c r="F965" t="s">
        <v>25</v>
      </c>
      <c r="G965" t="s">
        <v>20</v>
      </c>
      <c r="H965" t="s">
        <v>21</v>
      </c>
      <c r="I965">
        <v>4</v>
      </c>
      <c r="J965">
        <v>0</v>
      </c>
      <c r="K965">
        <v>425.3</v>
      </c>
      <c r="L965">
        <v>13.7</v>
      </c>
    </row>
    <row r="966" spans="1:12" x14ac:dyDescent="0.25">
      <c r="A966" t="s">
        <v>1013</v>
      </c>
      <c r="B966" s="1">
        <v>45991</v>
      </c>
      <c r="C966" s="1">
        <v>45996</v>
      </c>
      <c r="D966" t="s">
        <v>13</v>
      </c>
      <c r="E966" t="s">
        <v>19</v>
      </c>
      <c r="F966" t="s">
        <v>15</v>
      </c>
      <c r="G966" t="s">
        <v>26</v>
      </c>
      <c r="H966" t="s">
        <v>68</v>
      </c>
      <c r="I966">
        <v>1</v>
      </c>
      <c r="J966">
        <v>0.15</v>
      </c>
      <c r="K966">
        <v>59.82</v>
      </c>
      <c r="L966">
        <v>3.45</v>
      </c>
    </row>
    <row r="967" spans="1:12" x14ac:dyDescent="0.25">
      <c r="A967" t="s">
        <v>1014</v>
      </c>
      <c r="B967" s="1">
        <v>45562</v>
      </c>
      <c r="C967" s="1">
        <v>45568</v>
      </c>
      <c r="D967" t="s">
        <v>32</v>
      </c>
      <c r="E967" t="s">
        <v>33</v>
      </c>
      <c r="F967" t="s">
        <v>25</v>
      </c>
      <c r="G967" t="s">
        <v>20</v>
      </c>
      <c r="H967" t="s">
        <v>68</v>
      </c>
      <c r="I967">
        <v>3</v>
      </c>
      <c r="J967">
        <v>0.15</v>
      </c>
      <c r="K967">
        <v>136.68</v>
      </c>
      <c r="L967">
        <v>4.95</v>
      </c>
    </row>
    <row r="968" spans="1:12" x14ac:dyDescent="0.25">
      <c r="A968" t="s">
        <v>1015</v>
      </c>
      <c r="B968" s="1">
        <v>45832</v>
      </c>
      <c r="C968" s="1">
        <v>45833</v>
      </c>
      <c r="D968" t="s">
        <v>47</v>
      </c>
      <c r="E968" t="s">
        <v>50</v>
      </c>
      <c r="F968" t="s">
        <v>15</v>
      </c>
      <c r="G968" t="s">
        <v>20</v>
      </c>
      <c r="H968" t="s">
        <v>21</v>
      </c>
      <c r="I968">
        <v>3</v>
      </c>
      <c r="J968">
        <v>0</v>
      </c>
      <c r="K968">
        <v>363.75</v>
      </c>
      <c r="L968">
        <v>11.4</v>
      </c>
    </row>
    <row r="969" spans="1:12" x14ac:dyDescent="0.25">
      <c r="A969" t="s">
        <v>1016</v>
      </c>
      <c r="B969" s="1">
        <v>45522</v>
      </c>
      <c r="C969" s="1">
        <v>45525</v>
      </c>
      <c r="D969" t="s">
        <v>13</v>
      </c>
      <c r="E969" t="s">
        <v>14</v>
      </c>
      <c r="F969" t="s">
        <v>29</v>
      </c>
      <c r="G969" t="s">
        <v>20</v>
      </c>
      <c r="H969" t="s">
        <v>51</v>
      </c>
      <c r="I969">
        <v>3</v>
      </c>
      <c r="J969">
        <v>0</v>
      </c>
      <c r="K969">
        <v>43.92</v>
      </c>
      <c r="L969">
        <v>5.85</v>
      </c>
    </row>
    <row r="970" spans="1:12" x14ac:dyDescent="0.25">
      <c r="A970" t="s">
        <v>1017</v>
      </c>
      <c r="B970" s="1">
        <v>45569</v>
      </c>
      <c r="C970" s="1">
        <v>45570</v>
      </c>
      <c r="D970" t="s">
        <v>13</v>
      </c>
      <c r="E970" t="s">
        <v>14</v>
      </c>
      <c r="F970" t="s">
        <v>15</v>
      </c>
      <c r="G970" t="s">
        <v>20</v>
      </c>
      <c r="H970" t="s">
        <v>34</v>
      </c>
      <c r="I970">
        <v>2</v>
      </c>
      <c r="J970">
        <v>0</v>
      </c>
      <c r="K970">
        <v>486.85</v>
      </c>
      <c r="L970">
        <v>9.1</v>
      </c>
    </row>
    <row r="971" spans="1:12" x14ac:dyDescent="0.25">
      <c r="A971" t="s">
        <v>1018</v>
      </c>
      <c r="B971" s="1">
        <v>45652</v>
      </c>
      <c r="C971" s="1">
        <v>45656</v>
      </c>
      <c r="D971" t="s">
        <v>23</v>
      </c>
      <c r="E971" t="s">
        <v>43</v>
      </c>
      <c r="F971" t="s">
        <v>15</v>
      </c>
      <c r="G971" t="s">
        <v>16</v>
      </c>
      <c r="H971" t="s">
        <v>21</v>
      </c>
      <c r="I971">
        <v>4</v>
      </c>
      <c r="J971">
        <v>0</v>
      </c>
      <c r="K971">
        <v>639.38</v>
      </c>
      <c r="L971">
        <v>8.2200000000000006</v>
      </c>
    </row>
    <row r="972" spans="1:12" x14ac:dyDescent="0.25">
      <c r="A972" t="s">
        <v>1019</v>
      </c>
      <c r="B972" s="1">
        <v>45459</v>
      </c>
      <c r="C972" s="1">
        <v>45461</v>
      </c>
      <c r="D972" t="s">
        <v>32</v>
      </c>
      <c r="E972" t="s">
        <v>33</v>
      </c>
      <c r="F972" t="s">
        <v>25</v>
      </c>
      <c r="G972" t="s">
        <v>16</v>
      </c>
      <c r="H972" t="s">
        <v>30</v>
      </c>
      <c r="I972">
        <v>8</v>
      </c>
      <c r="J972">
        <v>0</v>
      </c>
      <c r="K972">
        <v>50.07</v>
      </c>
      <c r="L972">
        <v>4.8600000000000003</v>
      </c>
    </row>
    <row r="973" spans="1:12" x14ac:dyDescent="0.25">
      <c r="A973" t="s">
        <v>1020</v>
      </c>
      <c r="B973" s="1">
        <v>45675</v>
      </c>
      <c r="C973" s="1">
        <v>45678</v>
      </c>
      <c r="D973" t="s">
        <v>32</v>
      </c>
      <c r="E973" t="s">
        <v>45</v>
      </c>
      <c r="F973" t="s">
        <v>29</v>
      </c>
      <c r="G973" t="s">
        <v>16</v>
      </c>
      <c r="H973" t="s">
        <v>87</v>
      </c>
      <c r="I973">
        <v>9</v>
      </c>
      <c r="J973">
        <v>0</v>
      </c>
      <c r="K973">
        <v>68</v>
      </c>
      <c r="L973">
        <v>8.5500000000000007</v>
      </c>
    </row>
    <row r="974" spans="1:12" x14ac:dyDescent="0.25">
      <c r="A974" t="s">
        <v>1021</v>
      </c>
      <c r="B974" s="1">
        <v>45977</v>
      </c>
      <c r="C974" s="1">
        <v>45983</v>
      </c>
      <c r="D974" t="s">
        <v>13</v>
      </c>
      <c r="E974" t="s">
        <v>36</v>
      </c>
      <c r="F974" t="s">
        <v>15</v>
      </c>
      <c r="G974" t="s">
        <v>26</v>
      </c>
      <c r="H974" t="s">
        <v>39</v>
      </c>
      <c r="I974">
        <v>4</v>
      </c>
      <c r="J974">
        <v>0</v>
      </c>
      <c r="K974">
        <v>1038.8499999999999</v>
      </c>
      <c r="L974">
        <v>5.7</v>
      </c>
    </row>
    <row r="975" spans="1:12" x14ac:dyDescent="0.25">
      <c r="A975" t="s">
        <v>1022</v>
      </c>
      <c r="B975" s="1">
        <v>45551</v>
      </c>
      <c r="C975" s="1">
        <v>45557</v>
      </c>
      <c r="D975" t="s">
        <v>32</v>
      </c>
      <c r="E975" t="s">
        <v>45</v>
      </c>
      <c r="F975" t="s">
        <v>25</v>
      </c>
      <c r="G975" t="s">
        <v>26</v>
      </c>
      <c r="H975" t="s">
        <v>53</v>
      </c>
      <c r="I975">
        <v>2</v>
      </c>
      <c r="J975">
        <v>0.2</v>
      </c>
      <c r="K975">
        <v>96.02</v>
      </c>
      <c r="L975">
        <v>4.2</v>
      </c>
    </row>
    <row r="976" spans="1:12" x14ac:dyDescent="0.25">
      <c r="A976" t="s">
        <v>1023</v>
      </c>
      <c r="B976" s="1">
        <v>45871</v>
      </c>
      <c r="C976" s="1">
        <v>45875</v>
      </c>
      <c r="D976" t="s">
        <v>23</v>
      </c>
      <c r="E976" t="s">
        <v>43</v>
      </c>
      <c r="F976" t="s">
        <v>29</v>
      </c>
      <c r="G976" t="s">
        <v>26</v>
      </c>
      <c r="H976" t="s">
        <v>21</v>
      </c>
      <c r="I976">
        <v>4</v>
      </c>
      <c r="J976">
        <v>0.25</v>
      </c>
      <c r="K976">
        <v>330.53</v>
      </c>
      <c r="L976">
        <v>13.7</v>
      </c>
    </row>
    <row r="977" spans="1:12" x14ac:dyDescent="0.25">
      <c r="A977" t="s">
        <v>1024</v>
      </c>
      <c r="B977" s="1">
        <v>45717</v>
      </c>
      <c r="C977" s="1">
        <v>45721</v>
      </c>
      <c r="D977" t="s">
        <v>47</v>
      </c>
      <c r="E977" t="s">
        <v>50</v>
      </c>
      <c r="F977" t="s">
        <v>29</v>
      </c>
      <c r="G977" t="s">
        <v>16</v>
      </c>
      <c r="H977" t="s">
        <v>27</v>
      </c>
      <c r="I977">
        <v>10</v>
      </c>
      <c r="J977">
        <v>0</v>
      </c>
      <c r="K977">
        <v>249.91</v>
      </c>
      <c r="L977">
        <v>9</v>
      </c>
    </row>
    <row r="978" spans="1:12" x14ac:dyDescent="0.25">
      <c r="A978" t="s">
        <v>1025</v>
      </c>
      <c r="B978" s="1">
        <v>45362</v>
      </c>
      <c r="C978" s="1">
        <v>45367</v>
      </c>
      <c r="D978" t="s">
        <v>47</v>
      </c>
      <c r="E978" t="s">
        <v>48</v>
      </c>
      <c r="F978" t="s">
        <v>15</v>
      </c>
      <c r="G978" t="s">
        <v>16</v>
      </c>
      <c r="H978" t="s">
        <v>60</v>
      </c>
      <c r="I978">
        <v>4</v>
      </c>
      <c r="J978">
        <v>0</v>
      </c>
      <c r="K978">
        <v>431.52</v>
      </c>
      <c r="L978">
        <v>9.5</v>
      </c>
    </row>
    <row r="979" spans="1:12" x14ac:dyDescent="0.25">
      <c r="A979" t="s">
        <v>1026</v>
      </c>
      <c r="B979" s="1">
        <v>45400</v>
      </c>
      <c r="C979" s="1">
        <v>45403</v>
      </c>
      <c r="D979" t="s">
        <v>23</v>
      </c>
      <c r="E979" t="s">
        <v>43</v>
      </c>
      <c r="F979" t="s">
        <v>15</v>
      </c>
      <c r="G979" t="s">
        <v>16</v>
      </c>
      <c r="H979" t="s">
        <v>87</v>
      </c>
      <c r="I979">
        <v>5</v>
      </c>
      <c r="J979">
        <v>0</v>
      </c>
      <c r="K979">
        <v>41.51</v>
      </c>
      <c r="L979">
        <v>4.05</v>
      </c>
    </row>
    <row r="980" spans="1:12" x14ac:dyDescent="0.25">
      <c r="A980" t="s">
        <v>1027</v>
      </c>
      <c r="B980" s="1">
        <v>45777</v>
      </c>
      <c r="C980" s="1">
        <v>45781</v>
      </c>
      <c r="D980" t="s">
        <v>47</v>
      </c>
      <c r="E980" t="s">
        <v>50</v>
      </c>
      <c r="F980" t="s">
        <v>15</v>
      </c>
      <c r="G980" t="s">
        <v>16</v>
      </c>
      <c r="H980" t="s">
        <v>60</v>
      </c>
      <c r="I980">
        <v>3</v>
      </c>
      <c r="J980">
        <v>0.15</v>
      </c>
      <c r="K980">
        <v>293.45</v>
      </c>
      <c r="L980">
        <v>4.95</v>
      </c>
    </row>
    <row r="981" spans="1:12" x14ac:dyDescent="0.25">
      <c r="A981" t="s">
        <v>1028</v>
      </c>
      <c r="B981" s="1">
        <v>45356</v>
      </c>
      <c r="C981" s="1">
        <v>45358</v>
      </c>
      <c r="D981" t="s">
        <v>47</v>
      </c>
      <c r="E981" t="s">
        <v>71</v>
      </c>
      <c r="F981" t="s">
        <v>25</v>
      </c>
      <c r="G981" t="s">
        <v>16</v>
      </c>
      <c r="H981" t="s">
        <v>65</v>
      </c>
      <c r="I981">
        <v>4</v>
      </c>
      <c r="J981">
        <v>0.05</v>
      </c>
      <c r="K981">
        <v>1054.1600000000001</v>
      </c>
      <c r="L981">
        <v>13.7</v>
      </c>
    </row>
    <row r="982" spans="1:12" x14ac:dyDescent="0.25">
      <c r="A982" t="s">
        <v>1029</v>
      </c>
      <c r="B982" s="1">
        <v>45342</v>
      </c>
      <c r="C982" s="1">
        <v>45344</v>
      </c>
      <c r="D982" t="s">
        <v>47</v>
      </c>
      <c r="E982" t="s">
        <v>71</v>
      </c>
      <c r="F982" t="s">
        <v>25</v>
      </c>
      <c r="G982" t="s">
        <v>26</v>
      </c>
      <c r="H982" t="s">
        <v>30</v>
      </c>
      <c r="I982">
        <v>12</v>
      </c>
      <c r="J982">
        <v>0</v>
      </c>
      <c r="K982">
        <v>62.24</v>
      </c>
      <c r="L982">
        <v>5.94</v>
      </c>
    </row>
    <row r="983" spans="1:12" x14ac:dyDescent="0.25">
      <c r="A983" t="s">
        <v>1030</v>
      </c>
      <c r="B983" s="1">
        <v>45415</v>
      </c>
      <c r="C983" s="1">
        <v>45419</v>
      </c>
      <c r="D983" t="s">
        <v>23</v>
      </c>
      <c r="E983" t="s">
        <v>24</v>
      </c>
      <c r="F983" t="s">
        <v>15</v>
      </c>
      <c r="G983" t="s">
        <v>26</v>
      </c>
      <c r="H983" t="s">
        <v>37</v>
      </c>
      <c r="I983">
        <v>1</v>
      </c>
      <c r="J983">
        <v>0.2</v>
      </c>
      <c r="K983">
        <v>87.27</v>
      </c>
      <c r="L983">
        <v>4.08</v>
      </c>
    </row>
    <row r="984" spans="1:12" x14ac:dyDescent="0.25">
      <c r="A984" t="s">
        <v>1031</v>
      </c>
      <c r="B984" s="1">
        <v>45883</v>
      </c>
      <c r="C984" s="1">
        <v>45885</v>
      </c>
      <c r="D984" t="s">
        <v>32</v>
      </c>
      <c r="E984" t="s">
        <v>62</v>
      </c>
      <c r="F984" t="s">
        <v>25</v>
      </c>
      <c r="G984" t="s">
        <v>20</v>
      </c>
      <c r="H984" t="s">
        <v>39</v>
      </c>
      <c r="I984">
        <v>1</v>
      </c>
      <c r="J984">
        <v>0.1</v>
      </c>
      <c r="K984">
        <v>155.52000000000001</v>
      </c>
      <c r="L984">
        <v>3.45</v>
      </c>
    </row>
    <row r="985" spans="1:12" x14ac:dyDescent="0.25">
      <c r="A985" t="s">
        <v>1032</v>
      </c>
      <c r="B985" s="1">
        <v>45954</v>
      </c>
      <c r="C985" s="1">
        <v>45956</v>
      </c>
      <c r="D985" t="s">
        <v>23</v>
      </c>
      <c r="E985" t="s">
        <v>59</v>
      </c>
      <c r="F985" t="s">
        <v>29</v>
      </c>
      <c r="G985" t="s">
        <v>20</v>
      </c>
      <c r="H985" t="s">
        <v>51</v>
      </c>
      <c r="I985">
        <v>14</v>
      </c>
      <c r="J985">
        <v>0.15</v>
      </c>
      <c r="K985">
        <v>214.76</v>
      </c>
      <c r="L985">
        <v>6.48</v>
      </c>
    </row>
    <row r="986" spans="1:12" x14ac:dyDescent="0.25">
      <c r="A986" t="s">
        <v>1033</v>
      </c>
      <c r="B986" s="1">
        <v>45752</v>
      </c>
      <c r="C986" s="1">
        <v>45753</v>
      </c>
      <c r="D986" t="s">
        <v>32</v>
      </c>
      <c r="E986" t="s">
        <v>45</v>
      </c>
      <c r="F986" t="s">
        <v>29</v>
      </c>
      <c r="G986" t="s">
        <v>16</v>
      </c>
      <c r="H986" t="s">
        <v>65</v>
      </c>
      <c r="I986">
        <v>5</v>
      </c>
      <c r="J986">
        <v>0</v>
      </c>
      <c r="K986">
        <v>1473.1</v>
      </c>
      <c r="L986">
        <v>16</v>
      </c>
    </row>
    <row r="987" spans="1:12" x14ac:dyDescent="0.25">
      <c r="A987" t="s">
        <v>1034</v>
      </c>
      <c r="B987" s="1">
        <v>45311</v>
      </c>
      <c r="C987" s="1">
        <v>45313</v>
      </c>
      <c r="D987" t="s">
        <v>47</v>
      </c>
      <c r="E987" t="s">
        <v>50</v>
      </c>
      <c r="F987" t="s">
        <v>15</v>
      </c>
      <c r="G987" t="s">
        <v>16</v>
      </c>
      <c r="H987" t="s">
        <v>39</v>
      </c>
      <c r="I987">
        <v>2</v>
      </c>
      <c r="J987">
        <v>0</v>
      </c>
      <c r="K987">
        <v>339.89</v>
      </c>
      <c r="L987">
        <v>7</v>
      </c>
    </row>
    <row r="988" spans="1:12" x14ac:dyDescent="0.25">
      <c r="A988" t="s">
        <v>1035</v>
      </c>
      <c r="B988" s="1">
        <v>45565</v>
      </c>
      <c r="C988" s="1">
        <v>45569</v>
      </c>
      <c r="D988" t="s">
        <v>23</v>
      </c>
      <c r="E988" t="s">
        <v>43</v>
      </c>
      <c r="F988" t="s">
        <v>15</v>
      </c>
      <c r="G988" t="s">
        <v>20</v>
      </c>
      <c r="H988" t="s">
        <v>51</v>
      </c>
      <c r="I988">
        <v>22</v>
      </c>
      <c r="J988">
        <v>0.2</v>
      </c>
      <c r="K988">
        <v>282.86</v>
      </c>
      <c r="L988">
        <v>8.64</v>
      </c>
    </row>
    <row r="989" spans="1:12" x14ac:dyDescent="0.25">
      <c r="A989" t="s">
        <v>1036</v>
      </c>
      <c r="B989" s="1">
        <v>45435</v>
      </c>
      <c r="C989" s="1">
        <v>45437</v>
      </c>
      <c r="D989" t="s">
        <v>23</v>
      </c>
      <c r="E989" t="s">
        <v>24</v>
      </c>
      <c r="F989" t="s">
        <v>29</v>
      </c>
      <c r="G989" t="s">
        <v>20</v>
      </c>
      <c r="H989" t="s">
        <v>30</v>
      </c>
      <c r="I989">
        <v>5</v>
      </c>
      <c r="J989">
        <v>0</v>
      </c>
      <c r="K989">
        <v>28.96</v>
      </c>
      <c r="L989">
        <v>4.05</v>
      </c>
    </row>
    <row r="990" spans="1:12" x14ac:dyDescent="0.25">
      <c r="A990" t="s">
        <v>1037</v>
      </c>
      <c r="B990" s="1">
        <v>45506</v>
      </c>
      <c r="C990" s="1">
        <v>45510</v>
      </c>
      <c r="D990" t="s">
        <v>32</v>
      </c>
      <c r="E990" t="s">
        <v>45</v>
      </c>
      <c r="F990" t="s">
        <v>15</v>
      </c>
      <c r="G990" t="s">
        <v>16</v>
      </c>
      <c r="H990" t="s">
        <v>87</v>
      </c>
      <c r="I990">
        <v>12</v>
      </c>
      <c r="J990">
        <v>0</v>
      </c>
      <c r="K990">
        <v>95.02</v>
      </c>
      <c r="L990">
        <v>5.94</v>
      </c>
    </row>
    <row r="991" spans="1:12" x14ac:dyDescent="0.25">
      <c r="A991" t="s">
        <v>1038</v>
      </c>
      <c r="B991" s="1">
        <v>45966</v>
      </c>
      <c r="C991" s="1">
        <v>45970</v>
      </c>
      <c r="D991" t="s">
        <v>13</v>
      </c>
      <c r="E991" t="s">
        <v>36</v>
      </c>
      <c r="F991" t="s">
        <v>29</v>
      </c>
      <c r="G991" t="s">
        <v>16</v>
      </c>
      <c r="H991" t="s">
        <v>60</v>
      </c>
      <c r="I991">
        <v>1</v>
      </c>
      <c r="J991">
        <v>0.1</v>
      </c>
      <c r="K991">
        <v>142.58000000000001</v>
      </c>
      <c r="L991">
        <v>5.75</v>
      </c>
    </row>
    <row r="992" spans="1:12" x14ac:dyDescent="0.25">
      <c r="A992" t="s">
        <v>1039</v>
      </c>
      <c r="B992" s="1">
        <v>45682</v>
      </c>
      <c r="C992" s="1">
        <v>45684</v>
      </c>
      <c r="D992" t="s">
        <v>32</v>
      </c>
      <c r="E992" t="s">
        <v>45</v>
      </c>
      <c r="F992" t="s">
        <v>25</v>
      </c>
      <c r="G992" t="s">
        <v>16</v>
      </c>
      <c r="H992" t="s">
        <v>87</v>
      </c>
      <c r="I992">
        <v>3</v>
      </c>
      <c r="J992">
        <v>0.2</v>
      </c>
      <c r="K992">
        <v>17.62</v>
      </c>
      <c r="L992">
        <v>5.85</v>
      </c>
    </row>
    <row r="993" spans="1:12" x14ac:dyDescent="0.25">
      <c r="A993" t="s">
        <v>1040</v>
      </c>
      <c r="B993" s="1">
        <v>45352</v>
      </c>
      <c r="C993" s="1">
        <v>45357</v>
      </c>
      <c r="D993" t="s">
        <v>32</v>
      </c>
      <c r="E993" t="s">
        <v>45</v>
      </c>
      <c r="F993" t="s">
        <v>15</v>
      </c>
      <c r="G993" t="s">
        <v>26</v>
      </c>
      <c r="H993" t="s">
        <v>68</v>
      </c>
      <c r="I993">
        <v>2</v>
      </c>
      <c r="J993">
        <v>0</v>
      </c>
      <c r="K993">
        <v>98.89</v>
      </c>
      <c r="L993">
        <v>4.2</v>
      </c>
    </row>
    <row r="994" spans="1:12" x14ac:dyDescent="0.25">
      <c r="A994" t="s">
        <v>1041</v>
      </c>
      <c r="B994" s="1">
        <v>45987</v>
      </c>
      <c r="C994" s="1">
        <v>45992</v>
      </c>
      <c r="D994" t="s">
        <v>23</v>
      </c>
      <c r="E994" t="s">
        <v>24</v>
      </c>
      <c r="F994" t="s">
        <v>29</v>
      </c>
      <c r="G994" t="s">
        <v>26</v>
      </c>
      <c r="H994" t="s">
        <v>34</v>
      </c>
      <c r="I994">
        <v>3</v>
      </c>
      <c r="J994">
        <v>0.15</v>
      </c>
      <c r="K994">
        <v>714.68</v>
      </c>
      <c r="L994">
        <v>11.4</v>
      </c>
    </row>
    <row r="995" spans="1:12" x14ac:dyDescent="0.25">
      <c r="A995" t="s">
        <v>1042</v>
      </c>
      <c r="B995" s="1">
        <v>45711</v>
      </c>
      <c r="C995" s="1">
        <v>45713</v>
      </c>
      <c r="D995" t="s">
        <v>32</v>
      </c>
      <c r="E995" t="s">
        <v>62</v>
      </c>
      <c r="F995" t="s">
        <v>29</v>
      </c>
      <c r="G995" t="s">
        <v>20</v>
      </c>
      <c r="H995" t="s">
        <v>17</v>
      </c>
      <c r="I995">
        <v>2</v>
      </c>
      <c r="J995">
        <v>0</v>
      </c>
      <c r="K995">
        <v>214.86</v>
      </c>
      <c r="L995">
        <v>4.2</v>
      </c>
    </row>
    <row r="996" spans="1:12" x14ac:dyDescent="0.25">
      <c r="A996" t="s">
        <v>1043</v>
      </c>
      <c r="B996" s="1">
        <v>45917</v>
      </c>
      <c r="C996" s="1">
        <v>45920</v>
      </c>
      <c r="D996" t="s">
        <v>47</v>
      </c>
      <c r="E996" t="s">
        <v>71</v>
      </c>
      <c r="F996" t="s">
        <v>15</v>
      </c>
      <c r="G996" t="s">
        <v>20</v>
      </c>
      <c r="H996" t="s">
        <v>87</v>
      </c>
      <c r="I996">
        <v>6</v>
      </c>
      <c r="J996">
        <v>0.1</v>
      </c>
      <c r="K996">
        <v>48.49</v>
      </c>
      <c r="L996">
        <v>4.32</v>
      </c>
    </row>
    <row r="997" spans="1:12" x14ac:dyDescent="0.25">
      <c r="A997" t="s">
        <v>1044</v>
      </c>
      <c r="B997" s="1">
        <v>45816</v>
      </c>
      <c r="C997" s="1">
        <v>45822</v>
      </c>
      <c r="D997" t="s">
        <v>32</v>
      </c>
      <c r="E997" t="s">
        <v>62</v>
      </c>
      <c r="F997" t="s">
        <v>29</v>
      </c>
      <c r="G997" t="s">
        <v>26</v>
      </c>
      <c r="H997" t="s">
        <v>87</v>
      </c>
      <c r="I997">
        <v>12</v>
      </c>
      <c r="J997">
        <v>0.15</v>
      </c>
      <c r="K997">
        <v>87.83</v>
      </c>
      <c r="L997">
        <v>5.94</v>
      </c>
    </row>
    <row r="998" spans="1:12" x14ac:dyDescent="0.25">
      <c r="A998" t="s">
        <v>1045</v>
      </c>
      <c r="B998" s="1">
        <v>45389</v>
      </c>
      <c r="C998" s="1">
        <v>45391</v>
      </c>
      <c r="D998" t="s">
        <v>32</v>
      </c>
      <c r="E998" t="s">
        <v>45</v>
      </c>
      <c r="F998" t="s">
        <v>29</v>
      </c>
      <c r="G998" t="s">
        <v>26</v>
      </c>
      <c r="H998" t="s">
        <v>21</v>
      </c>
      <c r="I998">
        <v>2</v>
      </c>
      <c r="J998">
        <v>0.15</v>
      </c>
      <c r="K998">
        <v>192.07</v>
      </c>
      <c r="L998">
        <v>5.46</v>
      </c>
    </row>
    <row r="999" spans="1:12" x14ac:dyDescent="0.25">
      <c r="A999" t="s">
        <v>1046</v>
      </c>
      <c r="B999" s="1">
        <v>45847</v>
      </c>
      <c r="C999" s="1">
        <v>45850</v>
      </c>
      <c r="D999" t="s">
        <v>47</v>
      </c>
      <c r="E999" t="s">
        <v>71</v>
      </c>
      <c r="F999" t="s">
        <v>25</v>
      </c>
      <c r="G999" t="s">
        <v>26</v>
      </c>
      <c r="H999" t="s">
        <v>63</v>
      </c>
      <c r="I999">
        <v>8</v>
      </c>
      <c r="J999">
        <v>0</v>
      </c>
      <c r="K999">
        <v>90.58</v>
      </c>
      <c r="L999">
        <v>4.8600000000000003</v>
      </c>
    </row>
    <row r="1000" spans="1:12" x14ac:dyDescent="0.25">
      <c r="A1000" t="s">
        <v>1047</v>
      </c>
      <c r="B1000" s="1">
        <v>45487</v>
      </c>
      <c r="C1000" s="1">
        <v>45491</v>
      </c>
      <c r="D1000" t="s">
        <v>23</v>
      </c>
      <c r="E1000" t="s">
        <v>43</v>
      </c>
      <c r="F1000" t="s">
        <v>25</v>
      </c>
      <c r="G1000" t="s">
        <v>20</v>
      </c>
      <c r="H1000" t="s">
        <v>65</v>
      </c>
      <c r="I1000">
        <v>1</v>
      </c>
      <c r="J1000">
        <v>0</v>
      </c>
      <c r="K1000">
        <v>261.88</v>
      </c>
      <c r="L1000">
        <v>6.8</v>
      </c>
    </row>
    <row r="1001" spans="1:12" x14ac:dyDescent="0.25">
      <c r="A1001" t="s">
        <v>1048</v>
      </c>
      <c r="B1001" s="1">
        <v>45358</v>
      </c>
      <c r="C1001" s="1">
        <v>45362</v>
      </c>
      <c r="D1001" t="s">
        <v>13</v>
      </c>
      <c r="E1001" t="s">
        <v>14</v>
      </c>
      <c r="F1001" t="s">
        <v>25</v>
      </c>
      <c r="G1001" t="s">
        <v>26</v>
      </c>
      <c r="H1001" t="s">
        <v>68</v>
      </c>
      <c r="I1001">
        <v>4</v>
      </c>
      <c r="J1001">
        <v>0.05</v>
      </c>
      <c r="K1001">
        <v>188.14</v>
      </c>
      <c r="L1001">
        <v>5.7</v>
      </c>
    </row>
    <row r="1002" spans="1:12" x14ac:dyDescent="0.25">
      <c r="A1002" t="s">
        <v>1049</v>
      </c>
      <c r="B1002" s="1">
        <v>45926</v>
      </c>
      <c r="C1002" s="1">
        <v>45928</v>
      </c>
      <c r="D1002" t="s">
        <v>13</v>
      </c>
      <c r="E1002" t="s">
        <v>36</v>
      </c>
      <c r="F1002" t="s">
        <v>25</v>
      </c>
      <c r="G1002" t="s">
        <v>20</v>
      </c>
      <c r="H1002" t="s">
        <v>34</v>
      </c>
      <c r="I1002">
        <v>1</v>
      </c>
      <c r="J1002">
        <v>0.1</v>
      </c>
      <c r="K1002">
        <v>193.97</v>
      </c>
      <c r="L1002">
        <v>6.8</v>
      </c>
    </row>
    <row r="1003" spans="1:12" x14ac:dyDescent="0.25">
      <c r="A1003" t="s">
        <v>1050</v>
      </c>
      <c r="B1003" s="1">
        <v>45677</v>
      </c>
      <c r="C1003" s="1">
        <v>45683</v>
      </c>
      <c r="D1003" t="s">
        <v>23</v>
      </c>
      <c r="E1003" t="s">
        <v>43</v>
      </c>
      <c r="F1003" t="s">
        <v>25</v>
      </c>
      <c r="G1003" t="s">
        <v>26</v>
      </c>
      <c r="H1003" t="s">
        <v>60</v>
      </c>
      <c r="I1003">
        <v>1</v>
      </c>
      <c r="J1003">
        <v>0</v>
      </c>
      <c r="K1003">
        <v>102.95</v>
      </c>
      <c r="L1003">
        <v>5.75</v>
      </c>
    </row>
    <row r="1004" spans="1:12" x14ac:dyDescent="0.25">
      <c r="A1004" t="s">
        <v>1051</v>
      </c>
      <c r="B1004" s="1">
        <v>45995</v>
      </c>
      <c r="C1004" s="1">
        <v>45996</v>
      </c>
      <c r="D1004" t="s">
        <v>32</v>
      </c>
      <c r="E1004" t="s">
        <v>45</v>
      </c>
      <c r="F1004" t="s">
        <v>29</v>
      </c>
      <c r="G1004" t="s">
        <v>20</v>
      </c>
      <c r="H1004" t="s">
        <v>53</v>
      </c>
      <c r="I1004">
        <v>1</v>
      </c>
      <c r="J1004">
        <v>0</v>
      </c>
      <c r="K1004">
        <v>80.83</v>
      </c>
      <c r="L1004">
        <v>3.45</v>
      </c>
    </row>
    <row r="1005" spans="1:12" x14ac:dyDescent="0.25">
      <c r="A1005" t="s">
        <v>1052</v>
      </c>
      <c r="B1005" s="1">
        <v>45584</v>
      </c>
      <c r="C1005" s="1">
        <v>45589</v>
      </c>
      <c r="D1005" t="s">
        <v>23</v>
      </c>
      <c r="E1005" t="s">
        <v>24</v>
      </c>
      <c r="F1005" t="s">
        <v>25</v>
      </c>
      <c r="G1005" t="s">
        <v>20</v>
      </c>
      <c r="H1005" t="s">
        <v>51</v>
      </c>
      <c r="I1005">
        <v>3</v>
      </c>
      <c r="J1005">
        <v>0</v>
      </c>
      <c r="K1005">
        <v>54.11</v>
      </c>
      <c r="L1005">
        <v>5.85</v>
      </c>
    </row>
    <row r="1006" spans="1:12" x14ac:dyDescent="0.25">
      <c r="A1006" t="s">
        <v>1053</v>
      </c>
      <c r="B1006" s="1">
        <v>45799</v>
      </c>
      <c r="C1006" s="1">
        <v>45800</v>
      </c>
      <c r="D1006" t="s">
        <v>23</v>
      </c>
      <c r="E1006" t="s">
        <v>59</v>
      </c>
      <c r="F1006" t="s">
        <v>25</v>
      </c>
      <c r="G1006" t="s">
        <v>20</v>
      </c>
      <c r="H1006" t="s">
        <v>51</v>
      </c>
      <c r="I1006">
        <v>10</v>
      </c>
      <c r="J1006">
        <v>0.25</v>
      </c>
      <c r="K1006">
        <v>108.16</v>
      </c>
      <c r="L1006">
        <v>5.4</v>
      </c>
    </row>
    <row r="1007" spans="1:12" x14ac:dyDescent="0.25">
      <c r="A1007" t="s">
        <v>1054</v>
      </c>
      <c r="B1007" s="1">
        <v>46013</v>
      </c>
      <c r="C1007" s="1">
        <v>46014</v>
      </c>
      <c r="D1007" t="s">
        <v>23</v>
      </c>
      <c r="E1007" t="s">
        <v>24</v>
      </c>
      <c r="F1007" t="s">
        <v>25</v>
      </c>
      <c r="G1007" t="s">
        <v>26</v>
      </c>
      <c r="H1007" t="s">
        <v>30</v>
      </c>
      <c r="I1007">
        <v>13</v>
      </c>
      <c r="J1007">
        <v>0</v>
      </c>
      <c r="K1007">
        <v>111.14</v>
      </c>
      <c r="L1007">
        <v>6.21</v>
      </c>
    </row>
    <row r="1008" spans="1:12" x14ac:dyDescent="0.25">
      <c r="A1008" t="s">
        <v>1055</v>
      </c>
      <c r="B1008" s="1">
        <v>45775</v>
      </c>
      <c r="C1008" s="1">
        <v>45781</v>
      </c>
      <c r="D1008" t="s">
        <v>23</v>
      </c>
      <c r="E1008" t="s">
        <v>59</v>
      </c>
      <c r="F1008" t="s">
        <v>25</v>
      </c>
      <c r="G1008" t="s">
        <v>20</v>
      </c>
      <c r="H1008" t="s">
        <v>41</v>
      </c>
      <c r="I1008">
        <v>11</v>
      </c>
      <c r="J1008">
        <v>0</v>
      </c>
      <c r="K1008">
        <v>66.38</v>
      </c>
      <c r="L1008">
        <v>5.67</v>
      </c>
    </row>
    <row r="1009" spans="1:12" x14ac:dyDescent="0.25">
      <c r="A1009" t="s">
        <v>1056</v>
      </c>
      <c r="B1009" s="1">
        <v>45840</v>
      </c>
      <c r="C1009" s="1">
        <v>45841</v>
      </c>
      <c r="D1009" t="s">
        <v>13</v>
      </c>
      <c r="E1009" t="s">
        <v>36</v>
      </c>
      <c r="F1009" t="s">
        <v>25</v>
      </c>
      <c r="G1009" t="s">
        <v>20</v>
      </c>
      <c r="H1009" t="s">
        <v>27</v>
      </c>
      <c r="I1009">
        <v>6</v>
      </c>
      <c r="J1009">
        <v>0</v>
      </c>
      <c r="K1009">
        <v>145.97999999999999</v>
      </c>
      <c r="L1009">
        <v>7.2</v>
      </c>
    </row>
    <row r="1010" spans="1:12" x14ac:dyDescent="0.25">
      <c r="A1010" t="s">
        <v>1057</v>
      </c>
      <c r="B1010" s="1">
        <v>45889</v>
      </c>
      <c r="C1010" s="1">
        <v>45891</v>
      </c>
      <c r="D1010" t="s">
        <v>32</v>
      </c>
      <c r="E1010" t="s">
        <v>33</v>
      </c>
      <c r="F1010" t="s">
        <v>15</v>
      </c>
      <c r="G1010" t="s">
        <v>26</v>
      </c>
      <c r="H1010" t="s">
        <v>34</v>
      </c>
      <c r="I1010">
        <v>4</v>
      </c>
      <c r="J1010">
        <v>0.1</v>
      </c>
      <c r="K1010">
        <v>727.99</v>
      </c>
      <c r="L1010">
        <v>8.2200000000000006</v>
      </c>
    </row>
    <row r="1011" spans="1:12" x14ac:dyDescent="0.25">
      <c r="A1011" t="s">
        <v>1058</v>
      </c>
      <c r="B1011" s="1">
        <v>45694</v>
      </c>
      <c r="C1011" s="1">
        <v>45700</v>
      </c>
      <c r="D1011" t="s">
        <v>13</v>
      </c>
      <c r="E1011" t="s">
        <v>19</v>
      </c>
      <c r="F1011" t="s">
        <v>15</v>
      </c>
      <c r="G1011" t="s">
        <v>16</v>
      </c>
      <c r="H1011" t="s">
        <v>39</v>
      </c>
      <c r="I1011">
        <v>1</v>
      </c>
      <c r="J1011">
        <v>0</v>
      </c>
      <c r="K1011">
        <v>166.77</v>
      </c>
      <c r="L1011">
        <v>3.45</v>
      </c>
    </row>
    <row r="1012" spans="1:12" x14ac:dyDescent="0.25">
      <c r="A1012" t="s">
        <v>1059</v>
      </c>
      <c r="B1012" s="1">
        <v>45549</v>
      </c>
      <c r="C1012" s="1">
        <v>45551</v>
      </c>
      <c r="D1012" t="s">
        <v>47</v>
      </c>
      <c r="E1012" t="s">
        <v>50</v>
      </c>
      <c r="F1012" t="s">
        <v>29</v>
      </c>
      <c r="G1012" t="s">
        <v>26</v>
      </c>
      <c r="H1012" t="s">
        <v>37</v>
      </c>
      <c r="I1012">
        <v>3</v>
      </c>
      <c r="J1012">
        <v>0.2</v>
      </c>
      <c r="K1012">
        <v>291.31</v>
      </c>
      <c r="L1012">
        <v>6.84</v>
      </c>
    </row>
    <row r="1013" spans="1:12" x14ac:dyDescent="0.25">
      <c r="A1013" t="s">
        <v>1060</v>
      </c>
      <c r="B1013" s="1">
        <v>45350</v>
      </c>
      <c r="C1013" s="1">
        <v>45354</v>
      </c>
      <c r="D1013" t="s">
        <v>13</v>
      </c>
      <c r="E1013" t="s">
        <v>14</v>
      </c>
      <c r="F1013" t="s">
        <v>25</v>
      </c>
      <c r="G1013" t="s">
        <v>26</v>
      </c>
      <c r="H1013" t="s">
        <v>27</v>
      </c>
      <c r="I1013">
        <v>3</v>
      </c>
      <c r="J1013">
        <v>0.2</v>
      </c>
      <c r="K1013">
        <v>56.95</v>
      </c>
      <c r="L1013">
        <v>3.51</v>
      </c>
    </row>
    <row r="1014" spans="1:12" x14ac:dyDescent="0.25">
      <c r="A1014" t="s">
        <v>1061</v>
      </c>
      <c r="B1014" s="1">
        <v>45585</v>
      </c>
      <c r="C1014" s="1">
        <v>45588</v>
      </c>
      <c r="D1014" t="s">
        <v>13</v>
      </c>
      <c r="E1014" t="s">
        <v>19</v>
      </c>
      <c r="F1014" t="s">
        <v>29</v>
      </c>
      <c r="G1014" t="s">
        <v>16</v>
      </c>
      <c r="H1014" t="s">
        <v>65</v>
      </c>
      <c r="I1014">
        <v>2</v>
      </c>
      <c r="J1014">
        <v>0.05</v>
      </c>
      <c r="K1014">
        <v>634.96</v>
      </c>
      <c r="L1014">
        <v>9.1</v>
      </c>
    </row>
    <row r="1015" spans="1:12" x14ac:dyDescent="0.25">
      <c r="A1015" t="s">
        <v>1062</v>
      </c>
      <c r="B1015" s="1">
        <v>45639</v>
      </c>
      <c r="C1015" s="1">
        <v>45641</v>
      </c>
      <c r="D1015" t="s">
        <v>47</v>
      </c>
      <c r="E1015" t="s">
        <v>71</v>
      </c>
      <c r="F1015" t="s">
        <v>25</v>
      </c>
      <c r="G1015" t="s">
        <v>16</v>
      </c>
      <c r="H1015" t="s">
        <v>39</v>
      </c>
      <c r="I1015">
        <v>4</v>
      </c>
      <c r="J1015">
        <v>0</v>
      </c>
      <c r="K1015">
        <v>1094.69</v>
      </c>
      <c r="L1015">
        <v>5.7</v>
      </c>
    </row>
    <row r="1016" spans="1:12" x14ac:dyDescent="0.25">
      <c r="A1016" t="s">
        <v>1063</v>
      </c>
      <c r="B1016" s="1">
        <v>45292</v>
      </c>
      <c r="C1016" s="1">
        <v>45295</v>
      </c>
      <c r="D1016" t="s">
        <v>13</v>
      </c>
      <c r="E1016" t="s">
        <v>19</v>
      </c>
      <c r="F1016" t="s">
        <v>25</v>
      </c>
      <c r="G1016" t="s">
        <v>16</v>
      </c>
      <c r="H1016" t="s">
        <v>87</v>
      </c>
      <c r="I1016">
        <v>5</v>
      </c>
      <c r="J1016">
        <v>0.25</v>
      </c>
      <c r="K1016">
        <v>26.29</v>
      </c>
      <c r="L1016">
        <v>4.05</v>
      </c>
    </row>
    <row r="1017" spans="1:12" x14ac:dyDescent="0.25">
      <c r="A1017" t="s">
        <v>1064</v>
      </c>
      <c r="B1017" s="1">
        <v>46001</v>
      </c>
      <c r="C1017" s="1">
        <v>46004</v>
      </c>
      <c r="D1017" t="s">
        <v>47</v>
      </c>
      <c r="E1017" t="s">
        <v>71</v>
      </c>
      <c r="F1017" t="s">
        <v>25</v>
      </c>
      <c r="G1017" t="s">
        <v>16</v>
      </c>
      <c r="H1017" t="s">
        <v>60</v>
      </c>
      <c r="I1017">
        <v>3</v>
      </c>
      <c r="J1017">
        <v>0</v>
      </c>
      <c r="K1017">
        <v>458.93</v>
      </c>
      <c r="L1017">
        <v>8.25</v>
      </c>
    </row>
    <row r="1018" spans="1:12" x14ac:dyDescent="0.25">
      <c r="A1018" t="s">
        <v>1065</v>
      </c>
      <c r="B1018" s="1">
        <v>45690</v>
      </c>
      <c r="C1018" s="1">
        <v>45694</v>
      </c>
      <c r="D1018" t="s">
        <v>23</v>
      </c>
      <c r="E1018" t="s">
        <v>24</v>
      </c>
      <c r="F1018" t="s">
        <v>25</v>
      </c>
      <c r="G1018" t="s">
        <v>16</v>
      </c>
      <c r="H1018" t="s">
        <v>63</v>
      </c>
      <c r="I1018">
        <v>14</v>
      </c>
      <c r="J1018">
        <v>0.05</v>
      </c>
      <c r="K1018">
        <v>139.07</v>
      </c>
      <c r="L1018">
        <v>6.48</v>
      </c>
    </row>
    <row r="1019" spans="1:12" x14ac:dyDescent="0.25">
      <c r="A1019" t="s">
        <v>1066</v>
      </c>
      <c r="B1019" s="1">
        <v>45885</v>
      </c>
      <c r="C1019" s="1">
        <v>45890</v>
      </c>
      <c r="D1019" t="s">
        <v>13</v>
      </c>
      <c r="E1019" t="s">
        <v>36</v>
      </c>
      <c r="F1019" t="s">
        <v>15</v>
      </c>
      <c r="G1019" t="s">
        <v>16</v>
      </c>
      <c r="H1019" t="s">
        <v>37</v>
      </c>
      <c r="I1019">
        <v>3</v>
      </c>
      <c r="J1019">
        <v>0.15</v>
      </c>
      <c r="K1019">
        <v>272.87</v>
      </c>
      <c r="L1019">
        <v>6.84</v>
      </c>
    </row>
    <row r="1020" spans="1:12" x14ac:dyDescent="0.25">
      <c r="A1020" t="s">
        <v>1067</v>
      </c>
      <c r="B1020" s="1">
        <v>45459</v>
      </c>
      <c r="C1020" s="1">
        <v>45464</v>
      </c>
      <c r="D1020" t="s">
        <v>47</v>
      </c>
      <c r="E1020" t="s">
        <v>71</v>
      </c>
      <c r="F1020" t="s">
        <v>15</v>
      </c>
      <c r="G1020" t="s">
        <v>16</v>
      </c>
      <c r="H1020" t="s">
        <v>37</v>
      </c>
      <c r="I1020">
        <v>3</v>
      </c>
      <c r="J1020">
        <v>0</v>
      </c>
      <c r="K1020">
        <v>353.03</v>
      </c>
      <c r="L1020">
        <v>11.4</v>
      </c>
    </row>
    <row r="1021" spans="1:12" x14ac:dyDescent="0.25">
      <c r="A1021" t="s">
        <v>1068</v>
      </c>
      <c r="B1021" s="1">
        <v>45474</v>
      </c>
      <c r="C1021" s="1">
        <v>45475</v>
      </c>
      <c r="D1021" t="s">
        <v>47</v>
      </c>
      <c r="E1021" t="s">
        <v>50</v>
      </c>
      <c r="F1021" t="s">
        <v>25</v>
      </c>
      <c r="G1021" t="s">
        <v>26</v>
      </c>
      <c r="H1021" t="s">
        <v>68</v>
      </c>
      <c r="I1021">
        <v>2</v>
      </c>
      <c r="J1021">
        <v>0.05</v>
      </c>
      <c r="K1021">
        <v>89.01</v>
      </c>
      <c r="L1021">
        <v>4.2</v>
      </c>
    </row>
    <row r="1022" spans="1:12" x14ac:dyDescent="0.25">
      <c r="A1022" t="s">
        <v>1069</v>
      </c>
      <c r="B1022" s="1">
        <v>45436</v>
      </c>
      <c r="C1022" s="1">
        <v>45439</v>
      </c>
      <c r="D1022" t="s">
        <v>47</v>
      </c>
      <c r="E1022" t="s">
        <v>71</v>
      </c>
      <c r="F1022" t="s">
        <v>15</v>
      </c>
      <c r="G1022" t="s">
        <v>26</v>
      </c>
      <c r="H1022" t="s">
        <v>17</v>
      </c>
      <c r="I1022">
        <v>2</v>
      </c>
      <c r="J1022">
        <v>0</v>
      </c>
      <c r="K1022">
        <v>265.79000000000002</v>
      </c>
      <c r="L1022">
        <v>7</v>
      </c>
    </row>
    <row r="1023" spans="1:12" x14ac:dyDescent="0.25">
      <c r="A1023" t="s">
        <v>1070</v>
      </c>
      <c r="B1023" s="1">
        <v>45848</v>
      </c>
      <c r="C1023" s="1">
        <v>45853</v>
      </c>
      <c r="D1023" t="s">
        <v>13</v>
      </c>
      <c r="E1023" t="s">
        <v>36</v>
      </c>
      <c r="F1023" t="s">
        <v>29</v>
      </c>
      <c r="G1023" t="s">
        <v>26</v>
      </c>
      <c r="H1023" t="s">
        <v>65</v>
      </c>
      <c r="I1023">
        <v>1</v>
      </c>
      <c r="J1023">
        <v>0</v>
      </c>
      <c r="K1023">
        <v>278.07</v>
      </c>
      <c r="L1023">
        <v>4.08</v>
      </c>
    </row>
    <row r="1024" spans="1:12" x14ac:dyDescent="0.25">
      <c r="A1024" t="s">
        <v>1071</v>
      </c>
      <c r="B1024" s="1">
        <v>45437</v>
      </c>
      <c r="C1024" s="1">
        <v>45438</v>
      </c>
      <c r="D1024" t="s">
        <v>47</v>
      </c>
      <c r="E1024" t="s">
        <v>71</v>
      </c>
      <c r="F1024" t="s">
        <v>25</v>
      </c>
      <c r="G1024" t="s">
        <v>20</v>
      </c>
      <c r="H1024" t="s">
        <v>30</v>
      </c>
      <c r="I1024">
        <v>16</v>
      </c>
      <c r="J1024">
        <v>0.1</v>
      </c>
      <c r="K1024">
        <v>84.52</v>
      </c>
      <c r="L1024">
        <v>7.02</v>
      </c>
    </row>
    <row r="1025" spans="1:12" x14ac:dyDescent="0.25">
      <c r="A1025" t="s">
        <v>1072</v>
      </c>
      <c r="B1025" s="1">
        <v>45995</v>
      </c>
      <c r="C1025" s="1">
        <v>45999</v>
      </c>
      <c r="D1025" t="s">
        <v>47</v>
      </c>
      <c r="E1025" t="s">
        <v>50</v>
      </c>
      <c r="F1025" t="s">
        <v>29</v>
      </c>
      <c r="G1025" t="s">
        <v>16</v>
      </c>
      <c r="H1025" t="s">
        <v>21</v>
      </c>
      <c r="I1025">
        <v>4</v>
      </c>
      <c r="J1025">
        <v>0</v>
      </c>
      <c r="K1025">
        <v>681.75</v>
      </c>
      <c r="L1025">
        <v>8.2200000000000006</v>
      </c>
    </row>
    <row r="1026" spans="1:12" x14ac:dyDescent="0.25">
      <c r="A1026" t="s">
        <v>1073</v>
      </c>
      <c r="B1026" s="1">
        <v>45394</v>
      </c>
      <c r="C1026" s="1">
        <v>45398</v>
      </c>
      <c r="D1026" t="s">
        <v>13</v>
      </c>
      <c r="E1026" t="s">
        <v>19</v>
      </c>
      <c r="F1026" t="s">
        <v>29</v>
      </c>
      <c r="G1026" t="s">
        <v>16</v>
      </c>
      <c r="H1026" t="s">
        <v>87</v>
      </c>
      <c r="I1026">
        <v>5</v>
      </c>
      <c r="J1026">
        <v>0</v>
      </c>
      <c r="K1026">
        <v>39.270000000000003</v>
      </c>
      <c r="L1026">
        <v>4.05</v>
      </c>
    </row>
    <row r="1027" spans="1:12" x14ac:dyDescent="0.25">
      <c r="A1027" t="s">
        <v>1074</v>
      </c>
      <c r="B1027" s="1">
        <v>45878</v>
      </c>
      <c r="C1027" s="1">
        <v>45882</v>
      </c>
      <c r="D1027" t="s">
        <v>13</v>
      </c>
      <c r="E1027" t="s">
        <v>19</v>
      </c>
      <c r="F1027" t="s">
        <v>25</v>
      </c>
      <c r="G1027" t="s">
        <v>20</v>
      </c>
      <c r="H1027" t="s">
        <v>30</v>
      </c>
      <c r="I1027">
        <v>7</v>
      </c>
      <c r="J1027">
        <v>0</v>
      </c>
      <c r="K1027">
        <v>39.17</v>
      </c>
      <c r="L1027">
        <v>4.59</v>
      </c>
    </row>
    <row r="1028" spans="1:12" x14ac:dyDescent="0.25">
      <c r="A1028" t="s">
        <v>1075</v>
      </c>
      <c r="B1028" s="1">
        <v>45444</v>
      </c>
      <c r="C1028" s="1">
        <v>45445</v>
      </c>
      <c r="D1028" t="s">
        <v>13</v>
      </c>
      <c r="E1028" t="s">
        <v>14</v>
      </c>
      <c r="F1028" t="s">
        <v>29</v>
      </c>
      <c r="G1028" t="s">
        <v>20</v>
      </c>
      <c r="H1028" t="s">
        <v>65</v>
      </c>
      <c r="I1028">
        <v>7</v>
      </c>
      <c r="J1028">
        <v>0.05</v>
      </c>
      <c r="K1028">
        <v>2025.62</v>
      </c>
      <c r="L1028">
        <v>12.36</v>
      </c>
    </row>
    <row r="1029" spans="1:12" x14ac:dyDescent="0.25">
      <c r="A1029" t="s">
        <v>1076</v>
      </c>
      <c r="B1029" s="1">
        <v>45442</v>
      </c>
      <c r="C1029" s="1">
        <v>45443</v>
      </c>
      <c r="D1029" t="s">
        <v>47</v>
      </c>
      <c r="E1029" t="s">
        <v>71</v>
      </c>
      <c r="F1029" t="s">
        <v>29</v>
      </c>
      <c r="G1029" t="s">
        <v>26</v>
      </c>
      <c r="H1029" t="s">
        <v>87</v>
      </c>
      <c r="I1029">
        <v>5</v>
      </c>
      <c r="J1029">
        <v>0</v>
      </c>
      <c r="K1029">
        <v>40.590000000000003</v>
      </c>
      <c r="L1029">
        <v>4.05</v>
      </c>
    </row>
    <row r="1030" spans="1:12" x14ac:dyDescent="0.25">
      <c r="A1030" t="s">
        <v>1077</v>
      </c>
      <c r="B1030" s="1">
        <v>45854</v>
      </c>
      <c r="C1030" s="1">
        <v>45860</v>
      </c>
      <c r="D1030" t="s">
        <v>47</v>
      </c>
      <c r="E1030" t="s">
        <v>71</v>
      </c>
      <c r="F1030" t="s">
        <v>15</v>
      </c>
      <c r="G1030" t="s">
        <v>20</v>
      </c>
      <c r="H1030" t="s">
        <v>34</v>
      </c>
      <c r="I1030">
        <v>1</v>
      </c>
      <c r="J1030">
        <v>0</v>
      </c>
      <c r="K1030">
        <v>180.4</v>
      </c>
      <c r="L1030">
        <v>4.08</v>
      </c>
    </row>
    <row r="1031" spans="1:12" x14ac:dyDescent="0.25">
      <c r="A1031" t="s">
        <v>1078</v>
      </c>
      <c r="B1031" s="1">
        <v>45550</v>
      </c>
      <c r="C1031" s="1">
        <v>45552</v>
      </c>
      <c r="D1031" t="s">
        <v>23</v>
      </c>
      <c r="E1031" t="s">
        <v>43</v>
      </c>
      <c r="F1031" t="s">
        <v>29</v>
      </c>
      <c r="G1031" t="s">
        <v>20</v>
      </c>
      <c r="H1031" t="s">
        <v>63</v>
      </c>
      <c r="I1031">
        <v>6</v>
      </c>
      <c r="J1031">
        <v>0</v>
      </c>
      <c r="K1031">
        <v>77.5</v>
      </c>
      <c r="L1031">
        <v>4.32</v>
      </c>
    </row>
    <row r="1032" spans="1:12" x14ac:dyDescent="0.25">
      <c r="A1032" t="s">
        <v>1079</v>
      </c>
      <c r="B1032" s="1">
        <v>46002</v>
      </c>
      <c r="C1032" s="1">
        <v>46005</v>
      </c>
      <c r="D1032" t="s">
        <v>47</v>
      </c>
      <c r="E1032" t="s">
        <v>50</v>
      </c>
      <c r="F1032" t="s">
        <v>29</v>
      </c>
      <c r="G1032" t="s">
        <v>20</v>
      </c>
      <c r="H1032" t="s">
        <v>39</v>
      </c>
      <c r="I1032">
        <v>2</v>
      </c>
      <c r="J1032">
        <v>0</v>
      </c>
      <c r="K1032">
        <v>558.23</v>
      </c>
      <c r="L1032">
        <v>7</v>
      </c>
    </row>
    <row r="1033" spans="1:12" x14ac:dyDescent="0.25">
      <c r="A1033" t="s">
        <v>1080</v>
      </c>
      <c r="B1033" s="1">
        <v>45538</v>
      </c>
      <c r="C1033" s="1">
        <v>45542</v>
      </c>
      <c r="D1033" t="s">
        <v>32</v>
      </c>
      <c r="E1033" t="s">
        <v>33</v>
      </c>
      <c r="F1033" t="s">
        <v>15</v>
      </c>
      <c r="G1033" t="s">
        <v>26</v>
      </c>
      <c r="H1033" t="s">
        <v>53</v>
      </c>
      <c r="I1033">
        <v>3</v>
      </c>
      <c r="J1033">
        <v>0.1</v>
      </c>
      <c r="K1033">
        <v>160.1</v>
      </c>
      <c r="L1033">
        <v>4.95</v>
      </c>
    </row>
    <row r="1034" spans="1:12" x14ac:dyDescent="0.25">
      <c r="A1034" t="s">
        <v>1081</v>
      </c>
      <c r="B1034" s="1">
        <v>45716</v>
      </c>
      <c r="C1034" s="1">
        <v>45719</v>
      </c>
      <c r="D1034" t="s">
        <v>32</v>
      </c>
      <c r="E1034" t="s">
        <v>62</v>
      </c>
      <c r="F1034" t="s">
        <v>25</v>
      </c>
      <c r="G1034" t="s">
        <v>26</v>
      </c>
      <c r="H1034" t="s">
        <v>65</v>
      </c>
      <c r="I1034">
        <v>4</v>
      </c>
      <c r="J1034">
        <v>0</v>
      </c>
      <c r="K1034">
        <v>1033.1199999999999</v>
      </c>
      <c r="L1034">
        <v>8.2200000000000006</v>
      </c>
    </row>
    <row r="1035" spans="1:12" x14ac:dyDescent="0.25">
      <c r="A1035" t="s">
        <v>1082</v>
      </c>
      <c r="B1035" s="1">
        <v>45894</v>
      </c>
      <c r="C1035" s="1">
        <v>45896</v>
      </c>
      <c r="D1035" t="s">
        <v>23</v>
      </c>
      <c r="E1035" t="s">
        <v>24</v>
      </c>
      <c r="F1035" t="s">
        <v>29</v>
      </c>
      <c r="G1035" t="s">
        <v>26</v>
      </c>
      <c r="H1035" t="s">
        <v>30</v>
      </c>
      <c r="I1035">
        <v>4</v>
      </c>
      <c r="J1035">
        <v>0</v>
      </c>
      <c r="K1035">
        <v>24.08</v>
      </c>
      <c r="L1035">
        <v>6.3</v>
      </c>
    </row>
    <row r="1036" spans="1:12" x14ac:dyDescent="0.25">
      <c r="A1036" t="s">
        <v>1083</v>
      </c>
      <c r="B1036" s="1">
        <v>45494</v>
      </c>
      <c r="C1036" s="1">
        <v>45499</v>
      </c>
      <c r="D1036" t="s">
        <v>23</v>
      </c>
      <c r="E1036" t="s">
        <v>43</v>
      </c>
      <c r="F1036" t="s">
        <v>29</v>
      </c>
      <c r="G1036" t="s">
        <v>16</v>
      </c>
      <c r="H1036" t="s">
        <v>51</v>
      </c>
      <c r="I1036">
        <v>7</v>
      </c>
      <c r="J1036">
        <v>0.1</v>
      </c>
      <c r="K1036">
        <v>81.08</v>
      </c>
      <c r="L1036">
        <v>4.59</v>
      </c>
    </row>
    <row r="1037" spans="1:12" x14ac:dyDescent="0.25">
      <c r="A1037" t="s">
        <v>1084</v>
      </c>
      <c r="B1037" s="1">
        <v>45606</v>
      </c>
      <c r="C1037" s="1">
        <v>45612</v>
      </c>
      <c r="D1037" t="s">
        <v>32</v>
      </c>
      <c r="E1037" t="s">
        <v>33</v>
      </c>
      <c r="F1037" t="s">
        <v>25</v>
      </c>
      <c r="G1037" t="s">
        <v>26</v>
      </c>
      <c r="H1037" t="s">
        <v>21</v>
      </c>
      <c r="I1037">
        <v>4</v>
      </c>
      <c r="J1037">
        <v>0.15</v>
      </c>
      <c r="K1037">
        <v>509.08</v>
      </c>
      <c r="L1037">
        <v>13.7</v>
      </c>
    </row>
    <row r="1038" spans="1:12" x14ac:dyDescent="0.25">
      <c r="A1038" t="s">
        <v>1085</v>
      </c>
      <c r="B1038" s="1">
        <v>45431</v>
      </c>
      <c r="C1038" s="1">
        <v>45437</v>
      </c>
      <c r="D1038" t="s">
        <v>47</v>
      </c>
      <c r="E1038" t="s">
        <v>71</v>
      </c>
      <c r="F1038" t="s">
        <v>29</v>
      </c>
      <c r="G1038" t="s">
        <v>20</v>
      </c>
      <c r="H1038" t="s">
        <v>41</v>
      </c>
      <c r="I1038">
        <v>7</v>
      </c>
      <c r="J1038">
        <v>0</v>
      </c>
      <c r="K1038">
        <v>42.03</v>
      </c>
      <c r="L1038">
        <v>4.59</v>
      </c>
    </row>
    <row r="1039" spans="1:12" x14ac:dyDescent="0.25">
      <c r="A1039" t="s">
        <v>1086</v>
      </c>
      <c r="B1039" s="1">
        <v>45463</v>
      </c>
      <c r="C1039" s="1">
        <v>45468</v>
      </c>
      <c r="D1039" t="s">
        <v>47</v>
      </c>
      <c r="E1039" t="s">
        <v>71</v>
      </c>
      <c r="F1039" t="s">
        <v>29</v>
      </c>
      <c r="G1039" t="s">
        <v>26</v>
      </c>
      <c r="H1039" t="s">
        <v>39</v>
      </c>
      <c r="I1039">
        <v>1</v>
      </c>
      <c r="J1039">
        <v>0</v>
      </c>
      <c r="K1039">
        <v>203.88</v>
      </c>
      <c r="L1039">
        <v>3.45</v>
      </c>
    </row>
    <row r="1040" spans="1:12" x14ac:dyDescent="0.25">
      <c r="A1040" t="s">
        <v>1087</v>
      </c>
      <c r="B1040" s="1">
        <v>45366</v>
      </c>
      <c r="C1040" s="1">
        <v>45370</v>
      </c>
      <c r="D1040" t="s">
        <v>32</v>
      </c>
      <c r="E1040" t="s">
        <v>33</v>
      </c>
      <c r="F1040" t="s">
        <v>15</v>
      </c>
      <c r="G1040" t="s">
        <v>26</v>
      </c>
      <c r="H1040" t="s">
        <v>30</v>
      </c>
      <c r="I1040">
        <v>14</v>
      </c>
      <c r="J1040">
        <v>0.05</v>
      </c>
      <c r="K1040">
        <v>77.75</v>
      </c>
      <c r="L1040">
        <v>6.48</v>
      </c>
    </row>
    <row r="1041" spans="1:12" x14ac:dyDescent="0.25">
      <c r="A1041" t="s">
        <v>1088</v>
      </c>
      <c r="B1041" s="1">
        <v>45594</v>
      </c>
      <c r="C1041" s="1">
        <v>45600</v>
      </c>
      <c r="D1041" t="s">
        <v>23</v>
      </c>
      <c r="E1041" t="s">
        <v>24</v>
      </c>
      <c r="F1041" t="s">
        <v>25</v>
      </c>
      <c r="G1041" t="s">
        <v>26</v>
      </c>
      <c r="H1041" t="s">
        <v>34</v>
      </c>
      <c r="I1041">
        <v>4</v>
      </c>
      <c r="J1041">
        <v>0.05</v>
      </c>
      <c r="K1041">
        <v>853.67</v>
      </c>
      <c r="L1041">
        <v>8.2200000000000006</v>
      </c>
    </row>
    <row r="1042" spans="1:12" x14ac:dyDescent="0.25">
      <c r="A1042" t="s">
        <v>1089</v>
      </c>
      <c r="B1042" s="1">
        <v>45927</v>
      </c>
      <c r="C1042" s="1">
        <v>45933</v>
      </c>
      <c r="D1042" t="s">
        <v>32</v>
      </c>
      <c r="E1042" t="s">
        <v>33</v>
      </c>
      <c r="F1042" t="s">
        <v>15</v>
      </c>
      <c r="G1042" t="s">
        <v>20</v>
      </c>
      <c r="H1042" t="s">
        <v>27</v>
      </c>
      <c r="I1042">
        <v>5</v>
      </c>
      <c r="J1042">
        <v>0</v>
      </c>
      <c r="K1042">
        <v>148.13999999999999</v>
      </c>
      <c r="L1042">
        <v>6.75</v>
      </c>
    </row>
    <row r="1043" spans="1:12" x14ac:dyDescent="0.25">
      <c r="A1043" t="s">
        <v>1090</v>
      </c>
      <c r="B1043" s="1">
        <v>45385</v>
      </c>
      <c r="C1043" s="1">
        <v>45388</v>
      </c>
      <c r="D1043" t="s">
        <v>13</v>
      </c>
      <c r="E1043" t="s">
        <v>36</v>
      </c>
      <c r="F1043" t="s">
        <v>15</v>
      </c>
      <c r="G1043" t="s">
        <v>26</v>
      </c>
      <c r="H1043" t="s">
        <v>65</v>
      </c>
      <c r="I1043">
        <v>1</v>
      </c>
      <c r="J1043">
        <v>0</v>
      </c>
      <c r="K1043">
        <v>285.63</v>
      </c>
      <c r="L1043">
        <v>4.08</v>
      </c>
    </row>
    <row r="1044" spans="1:12" x14ac:dyDescent="0.25">
      <c r="A1044" t="s">
        <v>1091</v>
      </c>
      <c r="B1044" s="1">
        <v>45727</v>
      </c>
      <c r="C1044" s="1">
        <v>45731</v>
      </c>
      <c r="D1044" t="s">
        <v>13</v>
      </c>
      <c r="E1044" t="s">
        <v>14</v>
      </c>
      <c r="F1044" t="s">
        <v>25</v>
      </c>
      <c r="G1044" t="s">
        <v>26</v>
      </c>
      <c r="H1044" t="s">
        <v>17</v>
      </c>
      <c r="I1044">
        <v>1</v>
      </c>
      <c r="J1044">
        <v>0.05</v>
      </c>
      <c r="K1044">
        <v>115.9</v>
      </c>
      <c r="L1044">
        <v>3.45</v>
      </c>
    </row>
    <row r="1045" spans="1:12" x14ac:dyDescent="0.25">
      <c r="A1045" t="s">
        <v>1092</v>
      </c>
      <c r="B1045" s="1">
        <v>45565</v>
      </c>
      <c r="C1045" s="1">
        <v>45570</v>
      </c>
      <c r="D1045" t="s">
        <v>13</v>
      </c>
      <c r="E1045" t="s">
        <v>14</v>
      </c>
      <c r="F1045" t="s">
        <v>25</v>
      </c>
      <c r="G1045" t="s">
        <v>26</v>
      </c>
      <c r="H1045" t="s">
        <v>27</v>
      </c>
      <c r="I1045">
        <v>6</v>
      </c>
      <c r="J1045">
        <v>0.1</v>
      </c>
      <c r="K1045">
        <v>157.62</v>
      </c>
      <c r="L1045">
        <v>4.32</v>
      </c>
    </row>
    <row r="1046" spans="1:12" x14ac:dyDescent="0.25">
      <c r="A1046" t="s">
        <v>1093</v>
      </c>
      <c r="B1046" s="1">
        <v>45635</v>
      </c>
      <c r="C1046" s="1">
        <v>45639</v>
      </c>
      <c r="D1046" t="s">
        <v>13</v>
      </c>
      <c r="E1046" t="s">
        <v>14</v>
      </c>
      <c r="F1046" t="s">
        <v>25</v>
      </c>
      <c r="G1046" t="s">
        <v>26</v>
      </c>
      <c r="H1046" t="s">
        <v>41</v>
      </c>
      <c r="I1046">
        <v>9</v>
      </c>
      <c r="J1046">
        <v>0</v>
      </c>
      <c r="K1046">
        <v>82.07</v>
      </c>
      <c r="L1046">
        <v>5.13</v>
      </c>
    </row>
    <row r="1047" spans="1:12" x14ac:dyDescent="0.25">
      <c r="A1047" t="s">
        <v>1094</v>
      </c>
      <c r="B1047" s="1">
        <v>45480</v>
      </c>
      <c r="C1047" s="1">
        <v>45486</v>
      </c>
      <c r="D1047" t="s">
        <v>23</v>
      </c>
      <c r="E1047" t="s">
        <v>59</v>
      </c>
      <c r="F1047" t="s">
        <v>15</v>
      </c>
      <c r="G1047" t="s">
        <v>26</v>
      </c>
      <c r="H1047" t="s">
        <v>39</v>
      </c>
      <c r="I1047">
        <v>1</v>
      </c>
      <c r="J1047">
        <v>0</v>
      </c>
      <c r="K1047">
        <v>170.48</v>
      </c>
      <c r="L1047">
        <v>5.75</v>
      </c>
    </row>
    <row r="1048" spans="1:12" x14ac:dyDescent="0.25">
      <c r="A1048" t="s">
        <v>1095</v>
      </c>
      <c r="B1048" s="1">
        <v>45590</v>
      </c>
      <c r="C1048" s="1">
        <v>45591</v>
      </c>
      <c r="D1048" t="s">
        <v>13</v>
      </c>
      <c r="E1048" t="s">
        <v>36</v>
      </c>
      <c r="F1048" t="s">
        <v>29</v>
      </c>
      <c r="G1048" t="s">
        <v>16</v>
      </c>
      <c r="H1048" t="s">
        <v>60</v>
      </c>
      <c r="I1048">
        <v>3</v>
      </c>
      <c r="J1048">
        <v>0</v>
      </c>
      <c r="K1048">
        <v>372.36</v>
      </c>
      <c r="L1048">
        <v>4.95</v>
      </c>
    </row>
    <row r="1049" spans="1:12" x14ac:dyDescent="0.25">
      <c r="A1049" t="s">
        <v>1096</v>
      </c>
      <c r="B1049" s="1">
        <v>45791</v>
      </c>
      <c r="C1049" s="1">
        <v>45794</v>
      </c>
      <c r="D1049" t="s">
        <v>32</v>
      </c>
      <c r="E1049" t="s">
        <v>33</v>
      </c>
      <c r="F1049" t="s">
        <v>25</v>
      </c>
      <c r="G1049" t="s">
        <v>16</v>
      </c>
      <c r="H1049" t="s">
        <v>30</v>
      </c>
      <c r="I1049">
        <v>12</v>
      </c>
      <c r="J1049">
        <v>0</v>
      </c>
      <c r="K1049">
        <v>77.290000000000006</v>
      </c>
      <c r="L1049">
        <v>9.9</v>
      </c>
    </row>
    <row r="1050" spans="1:12" x14ac:dyDescent="0.25">
      <c r="A1050" t="s">
        <v>1097</v>
      </c>
      <c r="B1050" s="1">
        <v>45492</v>
      </c>
      <c r="C1050" s="1">
        <v>45498</v>
      </c>
      <c r="D1050" t="s">
        <v>47</v>
      </c>
      <c r="E1050" t="s">
        <v>71</v>
      </c>
      <c r="F1050" t="s">
        <v>29</v>
      </c>
      <c r="G1050" t="s">
        <v>16</v>
      </c>
      <c r="H1050" t="s">
        <v>53</v>
      </c>
      <c r="I1050">
        <v>3</v>
      </c>
      <c r="J1050">
        <v>0</v>
      </c>
      <c r="K1050">
        <v>148.21</v>
      </c>
      <c r="L1050">
        <v>4.95</v>
      </c>
    </row>
    <row r="1051" spans="1:12" x14ac:dyDescent="0.25">
      <c r="A1051" t="s">
        <v>1098</v>
      </c>
      <c r="B1051" s="1">
        <v>45710</v>
      </c>
      <c r="C1051" s="1">
        <v>45712</v>
      </c>
      <c r="D1051" t="s">
        <v>47</v>
      </c>
      <c r="E1051" t="s">
        <v>50</v>
      </c>
      <c r="F1051" t="s">
        <v>15</v>
      </c>
      <c r="G1051" t="s">
        <v>20</v>
      </c>
      <c r="H1051" t="s">
        <v>30</v>
      </c>
      <c r="I1051">
        <v>3</v>
      </c>
      <c r="J1051">
        <v>0</v>
      </c>
      <c r="K1051">
        <v>15.72</v>
      </c>
      <c r="L1051">
        <v>5.85</v>
      </c>
    </row>
    <row r="1052" spans="1:12" x14ac:dyDescent="0.25">
      <c r="A1052" t="s">
        <v>1099</v>
      </c>
      <c r="B1052" s="1">
        <v>45907</v>
      </c>
      <c r="C1052" s="1">
        <v>45908</v>
      </c>
      <c r="D1052" t="s">
        <v>13</v>
      </c>
      <c r="E1052" t="s">
        <v>36</v>
      </c>
      <c r="F1052" t="s">
        <v>15</v>
      </c>
      <c r="G1052" t="s">
        <v>26</v>
      </c>
      <c r="H1052" t="s">
        <v>34</v>
      </c>
      <c r="I1052">
        <v>2</v>
      </c>
      <c r="J1052">
        <v>0.25</v>
      </c>
      <c r="K1052">
        <v>339.85</v>
      </c>
      <c r="L1052">
        <v>5.46</v>
      </c>
    </row>
    <row r="1053" spans="1:12" x14ac:dyDescent="0.25">
      <c r="A1053" t="s">
        <v>1100</v>
      </c>
      <c r="B1053" s="1">
        <v>45426</v>
      </c>
      <c r="C1053" s="1">
        <v>45429</v>
      </c>
      <c r="D1053" t="s">
        <v>32</v>
      </c>
      <c r="E1053" t="s">
        <v>62</v>
      </c>
      <c r="F1053" t="s">
        <v>15</v>
      </c>
      <c r="G1053" t="s">
        <v>16</v>
      </c>
      <c r="H1053" t="s">
        <v>65</v>
      </c>
      <c r="I1053">
        <v>4</v>
      </c>
      <c r="J1053">
        <v>0</v>
      </c>
      <c r="K1053">
        <v>1225.6400000000001</v>
      </c>
      <c r="L1053">
        <v>8.2200000000000006</v>
      </c>
    </row>
    <row r="1054" spans="1:12" x14ac:dyDescent="0.25">
      <c r="A1054" t="s">
        <v>1101</v>
      </c>
      <c r="B1054" s="1">
        <v>45908</v>
      </c>
      <c r="C1054" s="1">
        <v>45913</v>
      </c>
      <c r="D1054" t="s">
        <v>23</v>
      </c>
      <c r="E1054" t="s">
        <v>43</v>
      </c>
      <c r="F1054" t="s">
        <v>29</v>
      </c>
      <c r="G1054" t="s">
        <v>26</v>
      </c>
      <c r="H1054" t="s">
        <v>53</v>
      </c>
      <c r="I1054">
        <v>4</v>
      </c>
      <c r="J1054">
        <v>0</v>
      </c>
      <c r="K1054">
        <v>235.55</v>
      </c>
      <c r="L1054">
        <v>9.5</v>
      </c>
    </row>
    <row r="1055" spans="1:12" x14ac:dyDescent="0.25">
      <c r="A1055" t="s">
        <v>1102</v>
      </c>
      <c r="B1055" s="1">
        <v>45310</v>
      </c>
      <c r="C1055" s="1">
        <v>45311</v>
      </c>
      <c r="D1055" t="s">
        <v>23</v>
      </c>
      <c r="E1055" t="s">
        <v>43</v>
      </c>
      <c r="F1055" t="s">
        <v>15</v>
      </c>
      <c r="G1055" t="s">
        <v>16</v>
      </c>
      <c r="H1055" t="s">
        <v>60</v>
      </c>
      <c r="I1055">
        <v>4</v>
      </c>
      <c r="J1055">
        <v>0.1</v>
      </c>
      <c r="K1055">
        <v>362.88</v>
      </c>
      <c r="L1055">
        <v>5.7</v>
      </c>
    </row>
    <row r="1056" spans="1:12" x14ac:dyDescent="0.25">
      <c r="A1056" t="s">
        <v>1103</v>
      </c>
      <c r="B1056" s="1">
        <v>45939</v>
      </c>
      <c r="C1056" s="1">
        <v>45940</v>
      </c>
      <c r="D1056" t="s">
        <v>32</v>
      </c>
      <c r="E1056" t="s">
        <v>62</v>
      </c>
      <c r="F1056" t="s">
        <v>15</v>
      </c>
      <c r="G1056" t="s">
        <v>16</v>
      </c>
      <c r="H1056" t="s">
        <v>30</v>
      </c>
      <c r="I1056">
        <v>8</v>
      </c>
      <c r="J1056">
        <v>0</v>
      </c>
      <c r="K1056">
        <v>59.1</v>
      </c>
      <c r="L1056">
        <v>4.8600000000000003</v>
      </c>
    </row>
    <row r="1057" spans="1:12" x14ac:dyDescent="0.25">
      <c r="A1057" t="s">
        <v>1104</v>
      </c>
      <c r="B1057" s="1">
        <v>45743</v>
      </c>
      <c r="C1057" s="1">
        <v>45746</v>
      </c>
      <c r="D1057" t="s">
        <v>13</v>
      </c>
      <c r="E1057" t="s">
        <v>14</v>
      </c>
      <c r="F1057" t="s">
        <v>15</v>
      </c>
      <c r="G1057" t="s">
        <v>20</v>
      </c>
      <c r="H1057" t="s">
        <v>27</v>
      </c>
      <c r="I1057">
        <v>10</v>
      </c>
      <c r="J1057">
        <v>0</v>
      </c>
      <c r="K1057">
        <v>253.53</v>
      </c>
      <c r="L1057">
        <v>5.4</v>
      </c>
    </row>
    <row r="1058" spans="1:12" x14ac:dyDescent="0.25">
      <c r="A1058" t="s">
        <v>1105</v>
      </c>
      <c r="B1058" s="1">
        <v>45417</v>
      </c>
      <c r="C1058" s="1">
        <v>45421</v>
      </c>
      <c r="D1058" t="s">
        <v>32</v>
      </c>
      <c r="E1058" t="s">
        <v>62</v>
      </c>
      <c r="F1058" t="s">
        <v>25</v>
      </c>
      <c r="G1058" t="s">
        <v>26</v>
      </c>
      <c r="H1058" t="s">
        <v>65</v>
      </c>
      <c r="I1058">
        <v>4</v>
      </c>
      <c r="J1058">
        <v>0.25</v>
      </c>
      <c r="K1058">
        <v>924.38</v>
      </c>
      <c r="L1058">
        <v>8.2200000000000006</v>
      </c>
    </row>
    <row r="1059" spans="1:12" x14ac:dyDescent="0.25">
      <c r="A1059" t="s">
        <v>1106</v>
      </c>
      <c r="B1059" s="1">
        <v>45993</v>
      </c>
      <c r="C1059" s="1">
        <v>45997</v>
      </c>
      <c r="D1059" t="s">
        <v>47</v>
      </c>
      <c r="E1059" t="s">
        <v>50</v>
      </c>
      <c r="F1059" t="s">
        <v>15</v>
      </c>
      <c r="G1059" t="s">
        <v>16</v>
      </c>
      <c r="H1059" t="s">
        <v>41</v>
      </c>
      <c r="I1059">
        <v>5</v>
      </c>
      <c r="J1059">
        <v>0.15</v>
      </c>
      <c r="K1059">
        <v>37.9</v>
      </c>
      <c r="L1059">
        <v>6.75</v>
      </c>
    </row>
    <row r="1060" spans="1:12" x14ac:dyDescent="0.25">
      <c r="A1060" t="s">
        <v>1107</v>
      </c>
      <c r="B1060" s="1">
        <v>45533</v>
      </c>
      <c r="C1060" s="1">
        <v>45536</v>
      </c>
      <c r="D1060" t="s">
        <v>47</v>
      </c>
      <c r="E1060" t="s">
        <v>50</v>
      </c>
      <c r="F1060" t="s">
        <v>15</v>
      </c>
      <c r="G1060" t="s">
        <v>20</v>
      </c>
      <c r="H1060" t="s">
        <v>60</v>
      </c>
      <c r="I1060">
        <v>3</v>
      </c>
      <c r="J1060">
        <v>0</v>
      </c>
      <c r="K1060">
        <v>306.14</v>
      </c>
      <c r="L1060">
        <v>4.95</v>
      </c>
    </row>
    <row r="1061" spans="1:12" x14ac:dyDescent="0.25">
      <c r="A1061" t="s">
        <v>1108</v>
      </c>
      <c r="B1061" s="1">
        <v>45948</v>
      </c>
      <c r="C1061" s="1">
        <v>45952</v>
      </c>
      <c r="D1061" t="s">
        <v>23</v>
      </c>
      <c r="E1061" t="s">
        <v>24</v>
      </c>
      <c r="F1061" t="s">
        <v>25</v>
      </c>
      <c r="G1061" t="s">
        <v>16</v>
      </c>
      <c r="H1061" t="s">
        <v>60</v>
      </c>
      <c r="I1061">
        <v>1</v>
      </c>
      <c r="J1061">
        <v>0.1</v>
      </c>
      <c r="K1061">
        <v>118.15</v>
      </c>
      <c r="L1061">
        <v>5.75</v>
      </c>
    </row>
    <row r="1062" spans="1:12" x14ac:dyDescent="0.25">
      <c r="A1062" t="s">
        <v>1109</v>
      </c>
      <c r="B1062" s="1">
        <v>45976</v>
      </c>
      <c r="C1062" s="1">
        <v>45982</v>
      </c>
      <c r="D1062" t="s">
        <v>32</v>
      </c>
      <c r="E1062" t="s">
        <v>45</v>
      </c>
      <c r="F1062" t="s">
        <v>15</v>
      </c>
      <c r="G1062" t="s">
        <v>16</v>
      </c>
      <c r="H1062" t="s">
        <v>27</v>
      </c>
      <c r="I1062">
        <v>9</v>
      </c>
      <c r="J1062">
        <v>0</v>
      </c>
      <c r="K1062">
        <v>349.85</v>
      </c>
      <c r="L1062">
        <v>8.5500000000000007</v>
      </c>
    </row>
    <row r="1063" spans="1:12" x14ac:dyDescent="0.25">
      <c r="A1063" t="s">
        <v>1110</v>
      </c>
      <c r="B1063" s="1">
        <v>45688</v>
      </c>
      <c r="C1063" s="1">
        <v>45691</v>
      </c>
      <c r="D1063" t="s">
        <v>13</v>
      </c>
      <c r="E1063" t="s">
        <v>19</v>
      </c>
      <c r="F1063" t="s">
        <v>29</v>
      </c>
      <c r="G1063" t="s">
        <v>26</v>
      </c>
      <c r="H1063" t="s">
        <v>21</v>
      </c>
      <c r="I1063">
        <v>1</v>
      </c>
      <c r="J1063">
        <v>0.05</v>
      </c>
      <c r="K1063">
        <v>98.12</v>
      </c>
      <c r="L1063">
        <v>4.08</v>
      </c>
    </row>
    <row r="1064" spans="1:12" x14ac:dyDescent="0.25">
      <c r="A1064" t="s">
        <v>1111</v>
      </c>
      <c r="B1064" s="1">
        <v>45444</v>
      </c>
      <c r="C1064" s="1">
        <v>45445</v>
      </c>
      <c r="D1064" t="s">
        <v>23</v>
      </c>
      <c r="E1064" t="s">
        <v>43</v>
      </c>
      <c r="F1064" t="s">
        <v>29</v>
      </c>
      <c r="G1064" t="s">
        <v>26</v>
      </c>
      <c r="H1064" t="s">
        <v>27</v>
      </c>
      <c r="I1064">
        <v>23</v>
      </c>
      <c r="J1064">
        <v>0.15</v>
      </c>
      <c r="K1064">
        <v>558.91</v>
      </c>
      <c r="L1064">
        <v>14.85</v>
      </c>
    </row>
    <row r="1065" spans="1:12" x14ac:dyDescent="0.25">
      <c r="A1065" t="s">
        <v>1112</v>
      </c>
      <c r="B1065" s="1">
        <v>46011</v>
      </c>
      <c r="C1065" s="1">
        <v>46013</v>
      </c>
      <c r="D1065" t="s">
        <v>32</v>
      </c>
      <c r="E1065" t="s">
        <v>33</v>
      </c>
      <c r="F1065" t="s">
        <v>15</v>
      </c>
      <c r="G1065" t="s">
        <v>16</v>
      </c>
      <c r="H1065" t="s">
        <v>21</v>
      </c>
      <c r="I1065">
        <v>3</v>
      </c>
      <c r="J1065">
        <v>0.25</v>
      </c>
      <c r="K1065">
        <v>371.06</v>
      </c>
      <c r="L1065">
        <v>11.4</v>
      </c>
    </row>
    <row r="1066" spans="1:12" x14ac:dyDescent="0.25">
      <c r="A1066" t="s">
        <v>1113</v>
      </c>
      <c r="B1066" s="1">
        <v>45902</v>
      </c>
      <c r="C1066" s="1">
        <v>45908</v>
      </c>
      <c r="D1066" t="s">
        <v>32</v>
      </c>
      <c r="E1066" t="s">
        <v>45</v>
      </c>
      <c r="F1066" t="s">
        <v>29</v>
      </c>
      <c r="G1066" t="s">
        <v>16</v>
      </c>
      <c r="H1066" t="s">
        <v>21</v>
      </c>
      <c r="I1066">
        <v>3</v>
      </c>
      <c r="J1066">
        <v>0.25</v>
      </c>
      <c r="K1066">
        <v>275.62</v>
      </c>
      <c r="L1066">
        <v>11.4</v>
      </c>
    </row>
    <row r="1067" spans="1:12" x14ac:dyDescent="0.25">
      <c r="A1067" t="s">
        <v>1114</v>
      </c>
      <c r="B1067" s="1">
        <v>45360</v>
      </c>
      <c r="C1067" s="1">
        <v>45361</v>
      </c>
      <c r="D1067" t="s">
        <v>13</v>
      </c>
      <c r="E1067" t="s">
        <v>36</v>
      </c>
      <c r="F1067" t="s">
        <v>29</v>
      </c>
      <c r="G1067" t="s">
        <v>20</v>
      </c>
      <c r="H1067" t="s">
        <v>87</v>
      </c>
      <c r="I1067">
        <v>10</v>
      </c>
      <c r="J1067">
        <v>0.05</v>
      </c>
      <c r="K1067">
        <v>70.31</v>
      </c>
      <c r="L1067">
        <v>5.4</v>
      </c>
    </row>
    <row r="1068" spans="1:12" x14ac:dyDescent="0.25">
      <c r="A1068" t="s">
        <v>1115</v>
      </c>
      <c r="B1068" s="1">
        <v>45472</v>
      </c>
      <c r="C1068" s="1">
        <v>45475</v>
      </c>
      <c r="D1068" t="s">
        <v>13</v>
      </c>
      <c r="E1068" t="s">
        <v>14</v>
      </c>
      <c r="F1068" t="s">
        <v>25</v>
      </c>
      <c r="G1068" t="s">
        <v>26</v>
      </c>
      <c r="H1068" t="s">
        <v>39</v>
      </c>
      <c r="I1068">
        <v>4</v>
      </c>
      <c r="J1068">
        <v>0.1</v>
      </c>
      <c r="K1068">
        <v>742.74</v>
      </c>
      <c r="L1068">
        <v>5.7</v>
      </c>
    </row>
    <row r="1069" spans="1:12" x14ac:dyDescent="0.25">
      <c r="A1069" t="s">
        <v>1116</v>
      </c>
      <c r="B1069" s="1">
        <v>45385</v>
      </c>
      <c r="C1069" s="1">
        <v>45389</v>
      </c>
      <c r="D1069" t="s">
        <v>13</v>
      </c>
      <c r="E1069" t="s">
        <v>14</v>
      </c>
      <c r="F1069" t="s">
        <v>15</v>
      </c>
      <c r="G1069" t="s">
        <v>20</v>
      </c>
      <c r="H1069" t="s">
        <v>53</v>
      </c>
      <c r="I1069">
        <v>2</v>
      </c>
      <c r="J1069">
        <v>0.1</v>
      </c>
      <c r="K1069">
        <v>96.48</v>
      </c>
      <c r="L1069">
        <v>4.2</v>
      </c>
    </row>
    <row r="1070" spans="1:12" x14ac:dyDescent="0.25">
      <c r="A1070" t="s">
        <v>1117</v>
      </c>
      <c r="B1070" s="1">
        <v>45840</v>
      </c>
      <c r="C1070" s="1">
        <v>45842</v>
      </c>
      <c r="D1070" t="s">
        <v>23</v>
      </c>
      <c r="E1070" t="s">
        <v>24</v>
      </c>
      <c r="F1070" t="s">
        <v>15</v>
      </c>
      <c r="G1070" t="s">
        <v>26</v>
      </c>
      <c r="H1070" t="s">
        <v>34</v>
      </c>
      <c r="I1070">
        <v>2</v>
      </c>
      <c r="J1070">
        <v>0.15</v>
      </c>
      <c r="K1070">
        <v>334.02</v>
      </c>
      <c r="L1070">
        <v>9.1</v>
      </c>
    </row>
    <row r="1071" spans="1:12" x14ac:dyDescent="0.25">
      <c r="A1071" t="s">
        <v>1118</v>
      </c>
      <c r="B1071" s="1">
        <v>45363</v>
      </c>
      <c r="C1071" s="1">
        <v>45364</v>
      </c>
      <c r="D1071" t="s">
        <v>32</v>
      </c>
      <c r="E1071" t="s">
        <v>62</v>
      </c>
      <c r="F1071" t="s">
        <v>25</v>
      </c>
      <c r="G1071" t="s">
        <v>20</v>
      </c>
      <c r="H1071" t="s">
        <v>37</v>
      </c>
      <c r="I1071">
        <v>4</v>
      </c>
      <c r="J1071">
        <v>0</v>
      </c>
      <c r="K1071">
        <v>411.45</v>
      </c>
      <c r="L1071">
        <v>13.7</v>
      </c>
    </row>
    <row r="1072" spans="1:12" x14ac:dyDescent="0.25">
      <c r="A1072" t="s">
        <v>1119</v>
      </c>
      <c r="B1072" s="1">
        <v>45591</v>
      </c>
      <c r="C1072" s="1">
        <v>45596</v>
      </c>
      <c r="D1072" t="s">
        <v>23</v>
      </c>
      <c r="E1072" t="s">
        <v>24</v>
      </c>
      <c r="F1072" t="s">
        <v>25</v>
      </c>
      <c r="G1072" t="s">
        <v>20</v>
      </c>
      <c r="H1072" t="s">
        <v>37</v>
      </c>
      <c r="I1072">
        <v>4</v>
      </c>
      <c r="J1072">
        <v>0</v>
      </c>
      <c r="K1072">
        <v>499.17</v>
      </c>
      <c r="L1072">
        <v>8.2200000000000006</v>
      </c>
    </row>
    <row r="1073" spans="1:12" x14ac:dyDescent="0.25">
      <c r="A1073" t="s">
        <v>1120</v>
      </c>
      <c r="B1073" s="1">
        <v>45969</v>
      </c>
      <c r="C1073" s="1">
        <v>45970</v>
      </c>
      <c r="D1073" t="s">
        <v>32</v>
      </c>
      <c r="E1073" t="s">
        <v>62</v>
      </c>
      <c r="F1073" t="s">
        <v>25</v>
      </c>
      <c r="G1073" t="s">
        <v>26</v>
      </c>
      <c r="H1073" t="s">
        <v>37</v>
      </c>
      <c r="I1073">
        <v>4</v>
      </c>
      <c r="J1073">
        <v>0</v>
      </c>
      <c r="K1073">
        <v>548.89</v>
      </c>
      <c r="L1073">
        <v>13.7</v>
      </c>
    </row>
    <row r="1074" spans="1:12" x14ac:dyDescent="0.25">
      <c r="A1074" t="s">
        <v>1121</v>
      </c>
      <c r="B1074" s="1">
        <v>45510</v>
      </c>
      <c r="C1074" s="1">
        <v>45513</v>
      </c>
      <c r="D1074" t="s">
        <v>47</v>
      </c>
      <c r="E1074" t="s">
        <v>50</v>
      </c>
      <c r="F1074" t="s">
        <v>25</v>
      </c>
      <c r="G1074" t="s">
        <v>16</v>
      </c>
      <c r="H1074" t="s">
        <v>30</v>
      </c>
      <c r="I1074">
        <v>5</v>
      </c>
      <c r="J1074">
        <v>0.15</v>
      </c>
      <c r="K1074">
        <v>23.98</v>
      </c>
      <c r="L1074">
        <v>4.05</v>
      </c>
    </row>
    <row r="1075" spans="1:12" x14ac:dyDescent="0.25">
      <c r="A1075" t="s">
        <v>1122</v>
      </c>
      <c r="B1075" s="1">
        <v>45769</v>
      </c>
      <c r="C1075" s="1">
        <v>45773</v>
      </c>
      <c r="D1075" t="s">
        <v>23</v>
      </c>
      <c r="E1075" t="s">
        <v>24</v>
      </c>
      <c r="F1075" t="s">
        <v>29</v>
      </c>
      <c r="G1075" t="s">
        <v>20</v>
      </c>
      <c r="H1075" t="s">
        <v>41</v>
      </c>
      <c r="I1075">
        <v>10</v>
      </c>
      <c r="J1075">
        <v>0</v>
      </c>
      <c r="K1075">
        <v>60.68</v>
      </c>
      <c r="L1075">
        <v>5.4</v>
      </c>
    </row>
    <row r="1076" spans="1:12" x14ac:dyDescent="0.25">
      <c r="A1076" t="s">
        <v>1123</v>
      </c>
      <c r="B1076" s="1">
        <v>45613</v>
      </c>
      <c r="C1076" s="1">
        <v>45619</v>
      </c>
      <c r="D1076" t="s">
        <v>13</v>
      </c>
      <c r="E1076" t="s">
        <v>14</v>
      </c>
      <c r="F1076" t="s">
        <v>25</v>
      </c>
      <c r="G1076" t="s">
        <v>16</v>
      </c>
      <c r="H1076" t="s">
        <v>27</v>
      </c>
      <c r="I1076">
        <v>11</v>
      </c>
      <c r="J1076">
        <v>0</v>
      </c>
      <c r="K1076">
        <v>403.42</v>
      </c>
      <c r="L1076">
        <v>9.4499999999999993</v>
      </c>
    </row>
    <row r="1077" spans="1:12" x14ac:dyDescent="0.25">
      <c r="A1077" t="s">
        <v>1124</v>
      </c>
      <c r="B1077" s="1">
        <v>45543</v>
      </c>
      <c r="C1077" s="1">
        <v>45549</v>
      </c>
      <c r="D1077" t="s">
        <v>23</v>
      </c>
      <c r="E1077" t="s">
        <v>43</v>
      </c>
      <c r="F1077" t="s">
        <v>25</v>
      </c>
      <c r="G1077" t="s">
        <v>26</v>
      </c>
      <c r="H1077" t="s">
        <v>37</v>
      </c>
      <c r="I1077">
        <v>2</v>
      </c>
      <c r="J1077">
        <v>0</v>
      </c>
      <c r="K1077">
        <v>237.11</v>
      </c>
      <c r="L1077">
        <v>5.46</v>
      </c>
    </row>
    <row r="1078" spans="1:12" x14ac:dyDescent="0.25">
      <c r="A1078" t="s">
        <v>1125</v>
      </c>
      <c r="B1078" s="1">
        <v>45500</v>
      </c>
      <c r="C1078" s="1">
        <v>45502</v>
      </c>
      <c r="D1078" t="s">
        <v>32</v>
      </c>
      <c r="E1078" t="s">
        <v>62</v>
      </c>
      <c r="F1078" t="s">
        <v>25</v>
      </c>
      <c r="G1078" t="s">
        <v>20</v>
      </c>
      <c r="H1078" t="s">
        <v>17</v>
      </c>
      <c r="I1078">
        <v>5</v>
      </c>
      <c r="J1078">
        <v>0</v>
      </c>
      <c r="K1078">
        <v>544.76</v>
      </c>
      <c r="L1078">
        <v>10.75</v>
      </c>
    </row>
    <row r="1079" spans="1:12" x14ac:dyDescent="0.25">
      <c r="A1079" t="s">
        <v>1126</v>
      </c>
      <c r="B1079" s="1">
        <v>45339</v>
      </c>
      <c r="C1079" s="1">
        <v>45344</v>
      </c>
      <c r="D1079" t="s">
        <v>13</v>
      </c>
      <c r="E1079" t="s">
        <v>36</v>
      </c>
      <c r="F1079" t="s">
        <v>15</v>
      </c>
      <c r="G1079" t="s">
        <v>26</v>
      </c>
      <c r="H1079" t="s">
        <v>41</v>
      </c>
      <c r="I1079">
        <v>16</v>
      </c>
      <c r="J1079">
        <v>0.15</v>
      </c>
      <c r="K1079">
        <v>79.33</v>
      </c>
      <c r="L1079">
        <v>7.02</v>
      </c>
    </row>
    <row r="1080" spans="1:12" x14ac:dyDescent="0.25">
      <c r="A1080" t="s">
        <v>1127</v>
      </c>
      <c r="B1080" s="1">
        <v>45516</v>
      </c>
      <c r="C1080" s="1">
        <v>45521</v>
      </c>
      <c r="D1080" t="s">
        <v>23</v>
      </c>
      <c r="E1080" t="s">
        <v>24</v>
      </c>
      <c r="F1080" t="s">
        <v>29</v>
      </c>
      <c r="G1080" t="s">
        <v>26</v>
      </c>
      <c r="H1080" t="s">
        <v>51</v>
      </c>
      <c r="I1080">
        <v>6</v>
      </c>
      <c r="J1080">
        <v>0</v>
      </c>
      <c r="K1080">
        <v>86.15</v>
      </c>
      <c r="L1080">
        <v>4.32</v>
      </c>
    </row>
    <row r="1081" spans="1:12" x14ac:dyDescent="0.25">
      <c r="A1081" t="s">
        <v>1128</v>
      </c>
      <c r="B1081" s="1">
        <v>45990</v>
      </c>
      <c r="C1081" s="1">
        <v>45991</v>
      </c>
      <c r="D1081" t="s">
        <v>47</v>
      </c>
      <c r="E1081" t="s">
        <v>50</v>
      </c>
      <c r="F1081" t="s">
        <v>29</v>
      </c>
      <c r="G1081" t="s">
        <v>26</v>
      </c>
      <c r="H1081" t="s">
        <v>34</v>
      </c>
      <c r="I1081">
        <v>3</v>
      </c>
      <c r="J1081">
        <v>0</v>
      </c>
      <c r="K1081">
        <v>877.62</v>
      </c>
      <c r="L1081">
        <v>6.84</v>
      </c>
    </row>
    <row r="1082" spans="1:12" x14ac:dyDescent="0.25">
      <c r="A1082" t="s">
        <v>1129</v>
      </c>
      <c r="B1082" s="1">
        <v>45329</v>
      </c>
      <c r="C1082" s="1">
        <v>45335</v>
      </c>
      <c r="D1082" t="s">
        <v>23</v>
      </c>
      <c r="E1082" t="s">
        <v>59</v>
      </c>
      <c r="F1082" t="s">
        <v>25</v>
      </c>
      <c r="G1082" t="s">
        <v>26</v>
      </c>
      <c r="H1082" t="s">
        <v>34</v>
      </c>
      <c r="I1082">
        <v>4</v>
      </c>
      <c r="J1082">
        <v>0.15</v>
      </c>
      <c r="K1082">
        <v>631.79999999999995</v>
      </c>
      <c r="L1082">
        <v>8.2200000000000006</v>
      </c>
    </row>
    <row r="1083" spans="1:12" x14ac:dyDescent="0.25">
      <c r="A1083" t="s">
        <v>1130</v>
      </c>
      <c r="B1083" s="1">
        <v>45777</v>
      </c>
      <c r="C1083" s="1">
        <v>45780</v>
      </c>
      <c r="D1083" t="s">
        <v>32</v>
      </c>
      <c r="E1083" t="s">
        <v>62</v>
      </c>
      <c r="F1083" t="s">
        <v>29</v>
      </c>
      <c r="G1083" t="s">
        <v>16</v>
      </c>
      <c r="H1083" t="s">
        <v>30</v>
      </c>
      <c r="I1083">
        <v>9</v>
      </c>
      <c r="J1083">
        <v>0.25</v>
      </c>
      <c r="K1083">
        <v>40.299999999999997</v>
      </c>
      <c r="L1083">
        <v>5.13</v>
      </c>
    </row>
    <row r="1084" spans="1:12" x14ac:dyDescent="0.25">
      <c r="A1084" t="s">
        <v>1131</v>
      </c>
      <c r="B1084" s="1">
        <v>45349</v>
      </c>
      <c r="C1084" s="1">
        <v>45353</v>
      </c>
      <c r="D1084" t="s">
        <v>23</v>
      </c>
      <c r="E1084" t="s">
        <v>43</v>
      </c>
      <c r="F1084" t="s">
        <v>25</v>
      </c>
      <c r="G1084" t="s">
        <v>26</v>
      </c>
      <c r="H1084" t="s">
        <v>65</v>
      </c>
      <c r="I1084">
        <v>2</v>
      </c>
      <c r="J1084">
        <v>0.1</v>
      </c>
      <c r="K1084">
        <v>435.85</v>
      </c>
      <c r="L1084">
        <v>5.46</v>
      </c>
    </row>
    <row r="1085" spans="1:12" x14ac:dyDescent="0.25">
      <c r="A1085" t="s">
        <v>1132</v>
      </c>
      <c r="B1085" s="1">
        <v>45870</v>
      </c>
      <c r="C1085" s="1">
        <v>45873</v>
      </c>
      <c r="D1085" t="s">
        <v>13</v>
      </c>
      <c r="E1085" t="s">
        <v>14</v>
      </c>
      <c r="F1085" t="s">
        <v>29</v>
      </c>
      <c r="G1085" t="s">
        <v>26</v>
      </c>
      <c r="H1085" t="s">
        <v>63</v>
      </c>
      <c r="I1085">
        <v>7</v>
      </c>
      <c r="J1085">
        <v>0</v>
      </c>
      <c r="K1085">
        <v>77.900000000000006</v>
      </c>
      <c r="L1085">
        <v>7.65</v>
      </c>
    </row>
    <row r="1086" spans="1:12" x14ac:dyDescent="0.25">
      <c r="A1086" t="s">
        <v>1133</v>
      </c>
      <c r="B1086" s="1">
        <v>45543</v>
      </c>
      <c r="C1086" s="1">
        <v>45548</v>
      </c>
      <c r="D1086" t="s">
        <v>32</v>
      </c>
      <c r="E1086" t="s">
        <v>45</v>
      </c>
      <c r="F1086" t="s">
        <v>15</v>
      </c>
      <c r="G1086" t="s">
        <v>16</v>
      </c>
      <c r="H1086" t="s">
        <v>34</v>
      </c>
      <c r="I1086">
        <v>1</v>
      </c>
      <c r="J1086">
        <v>0.05</v>
      </c>
      <c r="K1086">
        <v>210.61</v>
      </c>
      <c r="L1086">
        <v>4.08</v>
      </c>
    </row>
    <row r="1087" spans="1:12" x14ac:dyDescent="0.25">
      <c r="A1087" t="s">
        <v>1134</v>
      </c>
      <c r="B1087" s="1">
        <v>45554</v>
      </c>
      <c r="C1087" s="1">
        <v>45557</v>
      </c>
      <c r="D1087" t="s">
        <v>32</v>
      </c>
      <c r="E1087" t="s">
        <v>33</v>
      </c>
      <c r="F1087" t="s">
        <v>25</v>
      </c>
      <c r="G1087" t="s">
        <v>26</v>
      </c>
      <c r="H1087" t="s">
        <v>63</v>
      </c>
      <c r="I1087">
        <v>7</v>
      </c>
      <c r="J1087">
        <v>0</v>
      </c>
      <c r="K1087">
        <v>92.9</v>
      </c>
      <c r="L1087">
        <v>7.65</v>
      </c>
    </row>
    <row r="1088" spans="1:12" x14ac:dyDescent="0.25">
      <c r="A1088" t="s">
        <v>1135</v>
      </c>
      <c r="B1088" s="1">
        <v>45755</v>
      </c>
      <c r="C1088" s="1">
        <v>45758</v>
      </c>
      <c r="D1088" t="s">
        <v>32</v>
      </c>
      <c r="E1088" t="s">
        <v>45</v>
      </c>
      <c r="F1088" t="s">
        <v>15</v>
      </c>
      <c r="G1088" t="s">
        <v>26</v>
      </c>
      <c r="H1088" t="s">
        <v>87</v>
      </c>
      <c r="I1088">
        <v>6</v>
      </c>
      <c r="J1088">
        <v>0.1</v>
      </c>
      <c r="K1088">
        <v>43.87</v>
      </c>
      <c r="L1088">
        <v>4.32</v>
      </c>
    </row>
    <row r="1089" spans="1:12" x14ac:dyDescent="0.25">
      <c r="A1089" t="s">
        <v>1136</v>
      </c>
      <c r="B1089" s="1">
        <v>45703</v>
      </c>
      <c r="C1089" s="1">
        <v>45709</v>
      </c>
      <c r="D1089" t="s">
        <v>32</v>
      </c>
      <c r="E1089" t="s">
        <v>33</v>
      </c>
      <c r="F1089" t="s">
        <v>29</v>
      </c>
      <c r="G1089" t="s">
        <v>16</v>
      </c>
      <c r="H1089" t="s">
        <v>21</v>
      </c>
      <c r="I1089">
        <v>3</v>
      </c>
      <c r="J1089">
        <v>0.25</v>
      </c>
      <c r="K1089">
        <v>229.11</v>
      </c>
      <c r="L1089">
        <v>11.4</v>
      </c>
    </row>
    <row r="1090" spans="1:12" x14ac:dyDescent="0.25">
      <c r="A1090" t="s">
        <v>1137</v>
      </c>
      <c r="B1090" s="1">
        <v>45453</v>
      </c>
      <c r="C1090" s="1">
        <v>45454</v>
      </c>
      <c r="D1090" t="s">
        <v>32</v>
      </c>
      <c r="E1090" t="s">
        <v>62</v>
      </c>
      <c r="F1090" t="s">
        <v>25</v>
      </c>
      <c r="G1090" t="s">
        <v>16</v>
      </c>
      <c r="H1090" t="s">
        <v>65</v>
      </c>
      <c r="I1090">
        <v>5</v>
      </c>
      <c r="J1090">
        <v>0</v>
      </c>
      <c r="K1090">
        <v>1515.71</v>
      </c>
      <c r="L1090">
        <v>16</v>
      </c>
    </row>
    <row r="1091" spans="1:12" x14ac:dyDescent="0.25">
      <c r="A1091" t="s">
        <v>1138</v>
      </c>
      <c r="B1091" s="1">
        <v>45739</v>
      </c>
      <c r="C1091" s="1">
        <v>45742</v>
      </c>
      <c r="D1091" t="s">
        <v>13</v>
      </c>
      <c r="E1091" t="s">
        <v>14</v>
      </c>
      <c r="F1091" t="s">
        <v>25</v>
      </c>
      <c r="G1091" t="s">
        <v>26</v>
      </c>
      <c r="H1091" t="s">
        <v>87</v>
      </c>
      <c r="I1091">
        <v>12</v>
      </c>
      <c r="J1091">
        <v>0.05</v>
      </c>
      <c r="K1091">
        <v>84.24</v>
      </c>
      <c r="L1091">
        <v>9.9</v>
      </c>
    </row>
    <row r="1092" spans="1:12" x14ac:dyDescent="0.25">
      <c r="A1092" t="s">
        <v>1139</v>
      </c>
      <c r="B1092" s="1">
        <v>45786</v>
      </c>
      <c r="C1092" s="1">
        <v>45789</v>
      </c>
      <c r="D1092" t="s">
        <v>32</v>
      </c>
      <c r="E1092" t="s">
        <v>45</v>
      </c>
      <c r="F1092" t="s">
        <v>15</v>
      </c>
      <c r="G1092" t="s">
        <v>20</v>
      </c>
      <c r="H1092" t="s">
        <v>53</v>
      </c>
      <c r="I1092">
        <v>1</v>
      </c>
      <c r="J1092">
        <v>0</v>
      </c>
      <c r="K1092">
        <v>58.6</v>
      </c>
      <c r="L1092">
        <v>5.75</v>
      </c>
    </row>
    <row r="1093" spans="1:12" x14ac:dyDescent="0.25">
      <c r="A1093" t="s">
        <v>1140</v>
      </c>
      <c r="B1093" s="1">
        <v>45641</v>
      </c>
      <c r="C1093" s="1">
        <v>45645</v>
      </c>
      <c r="D1093" t="s">
        <v>23</v>
      </c>
      <c r="E1093" t="s">
        <v>59</v>
      </c>
      <c r="F1093" t="s">
        <v>15</v>
      </c>
      <c r="G1093" t="s">
        <v>16</v>
      </c>
      <c r="H1093" t="s">
        <v>41</v>
      </c>
      <c r="I1093">
        <v>16</v>
      </c>
      <c r="J1093">
        <v>0</v>
      </c>
      <c r="K1093">
        <v>146.96</v>
      </c>
      <c r="L1093">
        <v>11.7</v>
      </c>
    </row>
    <row r="1094" spans="1:12" x14ac:dyDescent="0.25">
      <c r="A1094" t="s">
        <v>1141</v>
      </c>
      <c r="B1094" s="1">
        <v>45788</v>
      </c>
      <c r="C1094" s="1">
        <v>45794</v>
      </c>
      <c r="D1094" t="s">
        <v>23</v>
      </c>
      <c r="E1094" t="s">
        <v>24</v>
      </c>
      <c r="F1094" t="s">
        <v>29</v>
      </c>
      <c r="G1094" t="s">
        <v>16</v>
      </c>
      <c r="H1094" t="s">
        <v>51</v>
      </c>
      <c r="I1094">
        <v>10</v>
      </c>
      <c r="J1094">
        <v>0.2</v>
      </c>
      <c r="K1094">
        <v>127.78</v>
      </c>
      <c r="L1094">
        <v>9</v>
      </c>
    </row>
    <row r="1095" spans="1:12" x14ac:dyDescent="0.25">
      <c r="A1095" t="s">
        <v>1142</v>
      </c>
      <c r="B1095" s="1">
        <v>45641</v>
      </c>
      <c r="C1095" s="1">
        <v>45644</v>
      </c>
      <c r="D1095" t="s">
        <v>47</v>
      </c>
      <c r="E1095" t="s">
        <v>50</v>
      </c>
      <c r="F1095" t="s">
        <v>25</v>
      </c>
      <c r="G1095" t="s">
        <v>16</v>
      </c>
      <c r="H1095" t="s">
        <v>68</v>
      </c>
      <c r="I1095">
        <v>2</v>
      </c>
      <c r="J1095">
        <v>0</v>
      </c>
      <c r="K1095">
        <v>147.27000000000001</v>
      </c>
      <c r="L1095">
        <v>4.2</v>
      </c>
    </row>
    <row r="1096" spans="1:12" x14ac:dyDescent="0.25">
      <c r="A1096" t="s">
        <v>1143</v>
      </c>
      <c r="B1096" s="1">
        <v>45779</v>
      </c>
      <c r="C1096" s="1">
        <v>45783</v>
      </c>
      <c r="D1096" t="s">
        <v>13</v>
      </c>
      <c r="E1096" t="s">
        <v>14</v>
      </c>
      <c r="F1096" t="s">
        <v>15</v>
      </c>
      <c r="G1096" t="s">
        <v>16</v>
      </c>
      <c r="H1096" t="s">
        <v>30</v>
      </c>
      <c r="I1096">
        <v>10</v>
      </c>
      <c r="J1096">
        <v>0.05</v>
      </c>
      <c r="K1096">
        <v>60.92</v>
      </c>
      <c r="L1096">
        <v>9</v>
      </c>
    </row>
    <row r="1097" spans="1:12" x14ac:dyDescent="0.25">
      <c r="A1097" t="s">
        <v>1144</v>
      </c>
      <c r="B1097" s="1">
        <v>45953</v>
      </c>
      <c r="C1097" s="1">
        <v>45956</v>
      </c>
      <c r="D1097" t="s">
        <v>13</v>
      </c>
      <c r="E1097" t="s">
        <v>19</v>
      </c>
      <c r="F1097" t="s">
        <v>15</v>
      </c>
      <c r="G1097" t="s">
        <v>26</v>
      </c>
      <c r="H1097" t="s">
        <v>21</v>
      </c>
      <c r="I1097">
        <v>3</v>
      </c>
      <c r="J1097">
        <v>0.2</v>
      </c>
      <c r="K1097">
        <v>327.3</v>
      </c>
      <c r="L1097">
        <v>11.4</v>
      </c>
    </row>
    <row r="1098" spans="1:12" x14ac:dyDescent="0.25">
      <c r="A1098" t="s">
        <v>1145</v>
      </c>
      <c r="B1098" s="1">
        <v>45869</v>
      </c>
      <c r="C1098" s="1">
        <v>45870</v>
      </c>
      <c r="D1098" t="s">
        <v>47</v>
      </c>
      <c r="E1098" t="s">
        <v>50</v>
      </c>
      <c r="F1098" t="s">
        <v>25</v>
      </c>
      <c r="G1098" t="s">
        <v>20</v>
      </c>
      <c r="H1098" t="s">
        <v>37</v>
      </c>
      <c r="I1098">
        <v>4</v>
      </c>
      <c r="J1098">
        <v>0</v>
      </c>
      <c r="K1098">
        <v>414.2</v>
      </c>
      <c r="L1098">
        <v>8.2200000000000006</v>
      </c>
    </row>
    <row r="1099" spans="1:12" x14ac:dyDescent="0.25">
      <c r="A1099" t="s">
        <v>1146</v>
      </c>
      <c r="B1099" s="1">
        <v>45526</v>
      </c>
      <c r="C1099" s="1">
        <v>45528</v>
      </c>
      <c r="D1099" t="s">
        <v>23</v>
      </c>
      <c r="E1099" t="s">
        <v>59</v>
      </c>
      <c r="F1099" t="s">
        <v>29</v>
      </c>
      <c r="G1099" t="s">
        <v>26</v>
      </c>
      <c r="H1099" t="s">
        <v>27</v>
      </c>
      <c r="I1099">
        <v>14</v>
      </c>
      <c r="J1099">
        <v>0.05</v>
      </c>
      <c r="K1099">
        <v>370.93</v>
      </c>
      <c r="L1099">
        <v>6.48</v>
      </c>
    </row>
    <row r="1100" spans="1:12" x14ac:dyDescent="0.25">
      <c r="A1100" t="s">
        <v>1147</v>
      </c>
      <c r="B1100" s="1">
        <v>45557</v>
      </c>
      <c r="C1100" s="1">
        <v>45561</v>
      </c>
      <c r="D1100" t="s">
        <v>32</v>
      </c>
      <c r="E1100" t="s">
        <v>45</v>
      </c>
      <c r="F1100" t="s">
        <v>25</v>
      </c>
      <c r="G1100" t="s">
        <v>16</v>
      </c>
      <c r="H1100" t="s">
        <v>21</v>
      </c>
      <c r="I1100">
        <v>3</v>
      </c>
      <c r="J1100">
        <v>0.15</v>
      </c>
      <c r="K1100">
        <v>307.91000000000003</v>
      </c>
      <c r="L1100">
        <v>11.4</v>
      </c>
    </row>
    <row r="1101" spans="1:12" x14ac:dyDescent="0.25">
      <c r="A1101" t="s">
        <v>1148</v>
      </c>
      <c r="B1101" s="1">
        <v>45668</v>
      </c>
      <c r="C1101" s="1">
        <v>45673</v>
      </c>
      <c r="D1101" t="s">
        <v>32</v>
      </c>
      <c r="E1101" t="s">
        <v>33</v>
      </c>
      <c r="F1101" t="s">
        <v>15</v>
      </c>
      <c r="G1101" t="s">
        <v>26</v>
      </c>
      <c r="H1101" t="s">
        <v>37</v>
      </c>
      <c r="I1101">
        <v>3</v>
      </c>
      <c r="J1101">
        <v>0</v>
      </c>
      <c r="K1101">
        <v>280.24</v>
      </c>
      <c r="L1101">
        <v>11.4</v>
      </c>
    </row>
    <row r="1102" spans="1:12" x14ac:dyDescent="0.25">
      <c r="A1102" t="s">
        <v>1149</v>
      </c>
      <c r="B1102" s="1">
        <v>45521</v>
      </c>
      <c r="C1102" s="1">
        <v>45523</v>
      </c>
      <c r="D1102" t="s">
        <v>13</v>
      </c>
      <c r="E1102" t="s">
        <v>36</v>
      </c>
      <c r="F1102" t="s">
        <v>15</v>
      </c>
      <c r="G1102" t="s">
        <v>20</v>
      </c>
      <c r="H1102" t="s">
        <v>17</v>
      </c>
      <c r="I1102">
        <v>7</v>
      </c>
      <c r="J1102">
        <v>0.05</v>
      </c>
      <c r="K1102">
        <v>777.47</v>
      </c>
      <c r="L1102">
        <v>13.25</v>
      </c>
    </row>
    <row r="1103" spans="1:12" x14ac:dyDescent="0.25">
      <c r="A1103" t="s">
        <v>1150</v>
      </c>
      <c r="B1103" s="1">
        <v>45486</v>
      </c>
      <c r="C1103" s="1">
        <v>45492</v>
      </c>
      <c r="D1103" t="s">
        <v>23</v>
      </c>
      <c r="E1103" t="s">
        <v>43</v>
      </c>
      <c r="F1103" t="s">
        <v>29</v>
      </c>
      <c r="G1103" t="s">
        <v>26</v>
      </c>
      <c r="H1103" t="s">
        <v>30</v>
      </c>
      <c r="I1103">
        <v>11</v>
      </c>
      <c r="J1103">
        <v>0</v>
      </c>
      <c r="K1103">
        <v>58.66</v>
      </c>
      <c r="L1103">
        <v>5.67</v>
      </c>
    </row>
    <row r="1104" spans="1:12" x14ac:dyDescent="0.25">
      <c r="A1104" t="s">
        <v>1151</v>
      </c>
      <c r="B1104" s="1">
        <v>45873</v>
      </c>
      <c r="C1104" s="1">
        <v>45876</v>
      </c>
      <c r="D1104" t="s">
        <v>32</v>
      </c>
      <c r="E1104" t="s">
        <v>62</v>
      </c>
      <c r="F1104" t="s">
        <v>25</v>
      </c>
      <c r="G1104" t="s">
        <v>26</v>
      </c>
      <c r="H1104" t="s">
        <v>68</v>
      </c>
      <c r="I1104">
        <v>7</v>
      </c>
      <c r="J1104">
        <v>0</v>
      </c>
      <c r="K1104">
        <v>327.64999999999998</v>
      </c>
      <c r="L1104">
        <v>7.95</v>
      </c>
    </row>
    <row r="1105" spans="1:12" x14ac:dyDescent="0.25">
      <c r="A1105" t="s">
        <v>1152</v>
      </c>
      <c r="B1105" s="1">
        <v>45544</v>
      </c>
      <c r="C1105" s="1">
        <v>45547</v>
      </c>
      <c r="D1105" t="s">
        <v>13</v>
      </c>
      <c r="E1105" t="s">
        <v>14</v>
      </c>
      <c r="F1105" t="s">
        <v>25</v>
      </c>
      <c r="G1105" t="s">
        <v>26</v>
      </c>
      <c r="H1105" t="s">
        <v>68</v>
      </c>
      <c r="I1105">
        <v>5</v>
      </c>
      <c r="J1105">
        <v>0.1</v>
      </c>
      <c r="K1105">
        <v>238.3</v>
      </c>
      <c r="L1105">
        <v>10.75</v>
      </c>
    </row>
    <row r="1106" spans="1:12" x14ac:dyDescent="0.25">
      <c r="A1106" t="s">
        <v>1153</v>
      </c>
      <c r="B1106" s="1">
        <v>45307</v>
      </c>
      <c r="C1106" s="1">
        <v>45310</v>
      </c>
      <c r="D1106" t="s">
        <v>13</v>
      </c>
      <c r="E1106" t="s">
        <v>19</v>
      </c>
      <c r="F1106" t="s">
        <v>25</v>
      </c>
      <c r="G1106" t="s">
        <v>16</v>
      </c>
      <c r="H1106" t="s">
        <v>87</v>
      </c>
      <c r="I1106">
        <v>10</v>
      </c>
      <c r="J1106">
        <v>0.2</v>
      </c>
      <c r="K1106">
        <v>59.7</v>
      </c>
      <c r="L1106">
        <v>5.4</v>
      </c>
    </row>
    <row r="1107" spans="1:12" x14ac:dyDescent="0.25">
      <c r="A1107" t="s">
        <v>1154</v>
      </c>
      <c r="B1107" s="1">
        <v>45608</v>
      </c>
      <c r="C1107" s="1">
        <v>45611</v>
      </c>
      <c r="D1107" t="s">
        <v>32</v>
      </c>
      <c r="E1107" t="s">
        <v>45</v>
      </c>
      <c r="F1107" t="s">
        <v>15</v>
      </c>
      <c r="G1107" t="s">
        <v>26</v>
      </c>
      <c r="H1107" t="s">
        <v>65</v>
      </c>
      <c r="I1107">
        <v>1</v>
      </c>
      <c r="J1107">
        <v>0.15</v>
      </c>
      <c r="K1107">
        <v>327.20999999999998</v>
      </c>
      <c r="L1107">
        <v>4.08</v>
      </c>
    </row>
    <row r="1108" spans="1:12" x14ac:dyDescent="0.25">
      <c r="A1108" t="s">
        <v>1155</v>
      </c>
      <c r="B1108" s="1">
        <v>45475</v>
      </c>
      <c r="C1108" s="1">
        <v>45477</v>
      </c>
      <c r="D1108" t="s">
        <v>13</v>
      </c>
      <c r="E1108" t="s">
        <v>19</v>
      </c>
      <c r="F1108" t="s">
        <v>25</v>
      </c>
      <c r="G1108" t="s">
        <v>20</v>
      </c>
      <c r="H1108" t="s">
        <v>41</v>
      </c>
      <c r="I1108">
        <v>8</v>
      </c>
      <c r="J1108">
        <v>0</v>
      </c>
      <c r="K1108">
        <v>44.11</v>
      </c>
      <c r="L1108">
        <v>8.1</v>
      </c>
    </row>
    <row r="1109" spans="1:12" x14ac:dyDescent="0.25">
      <c r="A1109" t="s">
        <v>1156</v>
      </c>
      <c r="B1109" s="1">
        <v>45922</v>
      </c>
      <c r="C1109" s="1">
        <v>45928</v>
      </c>
      <c r="D1109" t="s">
        <v>47</v>
      </c>
      <c r="E1109" t="s">
        <v>50</v>
      </c>
      <c r="F1109" t="s">
        <v>25</v>
      </c>
      <c r="G1109" t="s">
        <v>16</v>
      </c>
      <c r="H1109" t="s">
        <v>21</v>
      </c>
      <c r="I1109">
        <v>3</v>
      </c>
      <c r="J1109">
        <v>0</v>
      </c>
      <c r="K1109">
        <v>387.41</v>
      </c>
      <c r="L1109">
        <v>6.84</v>
      </c>
    </row>
    <row r="1110" spans="1:12" x14ac:dyDescent="0.25">
      <c r="A1110" t="s">
        <v>1157</v>
      </c>
      <c r="B1110" s="1">
        <v>45405</v>
      </c>
      <c r="C1110" s="1">
        <v>45408</v>
      </c>
      <c r="D1110" t="s">
        <v>32</v>
      </c>
      <c r="E1110" t="s">
        <v>45</v>
      </c>
      <c r="F1110" t="s">
        <v>15</v>
      </c>
      <c r="G1110" t="s">
        <v>20</v>
      </c>
      <c r="H1110" t="s">
        <v>41</v>
      </c>
      <c r="I1110">
        <v>4</v>
      </c>
      <c r="J1110">
        <v>0</v>
      </c>
      <c r="K1110">
        <v>25.29</v>
      </c>
      <c r="L1110">
        <v>3.78</v>
      </c>
    </row>
    <row r="1111" spans="1:12" x14ac:dyDescent="0.25">
      <c r="A1111" t="s">
        <v>1158</v>
      </c>
      <c r="B1111" s="1">
        <v>45572</v>
      </c>
      <c r="C1111" s="1">
        <v>45578</v>
      </c>
      <c r="D1111" t="s">
        <v>47</v>
      </c>
      <c r="E1111" t="s">
        <v>48</v>
      </c>
      <c r="F1111" t="s">
        <v>15</v>
      </c>
      <c r="G1111" t="s">
        <v>26</v>
      </c>
      <c r="H1111" t="s">
        <v>41</v>
      </c>
      <c r="I1111">
        <v>13</v>
      </c>
      <c r="J1111">
        <v>0</v>
      </c>
      <c r="K1111">
        <v>93.33</v>
      </c>
      <c r="L1111">
        <v>6.21</v>
      </c>
    </row>
    <row r="1112" spans="1:12" x14ac:dyDescent="0.25">
      <c r="A1112" t="s">
        <v>1159</v>
      </c>
      <c r="B1112" s="1">
        <v>45306</v>
      </c>
      <c r="C1112" s="1">
        <v>45307</v>
      </c>
      <c r="D1112" t="s">
        <v>13</v>
      </c>
      <c r="E1112" t="s">
        <v>36</v>
      </c>
      <c r="F1112" t="s">
        <v>25</v>
      </c>
      <c r="G1112" t="s">
        <v>20</v>
      </c>
      <c r="H1112" t="s">
        <v>87</v>
      </c>
      <c r="I1112">
        <v>5</v>
      </c>
      <c r="J1112">
        <v>0</v>
      </c>
      <c r="K1112">
        <v>36.119999999999997</v>
      </c>
      <c r="L1112">
        <v>6.75</v>
      </c>
    </row>
    <row r="1113" spans="1:12" x14ac:dyDescent="0.25">
      <c r="A1113" t="s">
        <v>1160</v>
      </c>
      <c r="B1113" s="1">
        <v>45604</v>
      </c>
      <c r="C1113" s="1">
        <v>45609</v>
      </c>
      <c r="D1113" t="s">
        <v>47</v>
      </c>
      <c r="E1113" t="s">
        <v>50</v>
      </c>
      <c r="F1113" t="s">
        <v>29</v>
      </c>
      <c r="G1113" t="s">
        <v>16</v>
      </c>
      <c r="H1113" t="s">
        <v>60</v>
      </c>
      <c r="I1113">
        <v>1</v>
      </c>
      <c r="J1113">
        <v>0</v>
      </c>
      <c r="K1113">
        <v>156.52000000000001</v>
      </c>
      <c r="L1113">
        <v>3.45</v>
      </c>
    </row>
    <row r="1114" spans="1:12" x14ac:dyDescent="0.25">
      <c r="A1114" t="s">
        <v>1161</v>
      </c>
      <c r="B1114" s="1">
        <v>45342</v>
      </c>
      <c r="C1114" s="1">
        <v>45343</v>
      </c>
      <c r="D1114" t="s">
        <v>47</v>
      </c>
      <c r="E1114" t="s">
        <v>71</v>
      </c>
      <c r="F1114" t="s">
        <v>29</v>
      </c>
      <c r="G1114" t="s">
        <v>26</v>
      </c>
      <c r="H1114" t="s">
        <v>60</v>
      </c>
      <c r="I1114">
        <v>2</v>
      </c>
      <c r="J1114">
        <v>0</v>
      </c>
      <c r="K1114">
        <v>202.57</v>
      </c>
      <c r="L1114">
        <v>4.2</v>
      </c>
    </row>
    <row r="1115" spans="1:12" x14ac:dyDescent="0.25">
      <c r="A1115" t="s">
        <v>1162</v>
      </c>
      <c r="B1115" s="1">
        <v>45322</v>
      </c>
      <c r="C1115" s="1">
        <v>45323</v>
      </c>
      <c r="D1115" t="s">
        <v>23</v>
      </c>
      <c r="E1115" t="s">
        <v>43</v>
      </c>
      <c r="F1115" t="s">
        <v>15</v>
      </c>
      <c r="G1115" t="s">
        <v>16</v>
      </c>
      <c r="H1115" t="s">
        <v>30</v>
      </c>
      <c r="I1115">
        <v>6</v>
      </c>
      <c r="J1115">
        <v>0</v>
      </c>
      <c r="K1115">
        <v>31.99</v>
      </c>
      <c r="L1115">
        <v>7.2</v>
      </c>
    </row>
    <row r="1116" spans="1:12" x14ac:dyDescent="0.25">
      <c r="A1116" t="s">
        <v>1163</v>
      </c>
      <c r="B1116" s="1">
        <v>46007</v>
      </c>
      <c r="C1116" s="1">
        <v>46010</v>
      </c>
      <c r="D1116" t="s">
        <v>32</v>
      </c>
      <c r="E1116" t="s">
        <v>45</v>
      </c>
      <c r="F1116" t="s">
        <v>29</v>
      </c>
      <c r="G1116" t="s">
        <v>26</v>
      </c>
      <c r="H1116" t="s">
        <v>30</v>
      </c>
      <c r="I1116">
        <v>6</v>
      </c>
      <c r="J1116">
        <v>0</v>
      </c>
      <c r="K1116">
        <v>50.56</v>
      </c>
      <c r="L1116">
        <v>4.32</v>
      </c>
    </row>
    <row r="1117" spans="1:12" x14ac:dyDescent="0.25">
      <c r="A1117" t="s">
        <v>1164</v>
      </c>
      <c r="B1117" s="1">
        <v>45650</v>
      </c>
      <c r="C1117" s="1">
        <v>45656</v>
      </c>
      <c r="D1117" t="s">
        <v>13</v>
      </c>
      <c r="E1117" t="s">
        <v>14</v>
      </c>
      <c r="F1117" t="s">
        <v>25</v>
      </c>
      <c r="G1117" t="s">
        <v>16</v>
      </c>
      <c r="H1117" t="s">
        <v>65</v>
      </c>
      <c r="I1117">
        <v>1</v>
      </c>
      <c r="J1117">
        <v>0</v>
      </c>
      <c r="K1117">
        <v>387.34</v>
      </c>
      <c r="L1117">
        <v>6.8</v>
      </c>
    </row>
    <row r="1118" spans="1:12" x14ac:dyDescent="0.25">
      <c r="A1118" t="s">
        <v>1165</v>
      </c>
      <c r="B1118" s="1">
        <v>46018</v>
      </c>
      <c r="C1118" s="1">
        <v>46019</v>
      </c>
      <c r="D1118" t="s">
        <v>23</v>
      </c>
      <c r="E1118" t="s">
        <v>43</v>
      </c>
      <c r="F1118" t="s">
        <v>29</v>
      </c>
      <c r="G1118" t="s">
        <v>26</v>
      </c>
      <c r="H1118" t="s">
        <v>53</v>
      </c>
      <c r="I1118">
        <v>2</v>
      </c>
      <c r="J1118">
        <v>0.25</v>
      </c>
      <c r="K1118">
        <v>126.64</v>
      </c>
      <c r="L1118">
        <v>4.2</v>
      </c>
    </row>
    <row r="1119" spans="1:12" x14ac:dyDescent="0.25">
      <c r="A1119" t="s">
        <v>1166</v>
      </c>
      <c r="B1119" s="1">
        <v>45818</v>
      </c>
      <c r="C1119" s="1">
        <v>45820</v>
      </c>
      <c r="D1119" t="s">
        <v>13</v>
      </c>
      <c r="E1119" t="s">
        <v>36</v>
      </c>
      <c r="F1119" t="s">
        <v>29</v>
      </c>
      <c r="G1119" t="s">
        <v>16</v>
      </c>
      <c r="H1119" t="s">
        <v>21</v>
      </c>
      <c r="I1119">
        <v>3</v>
      </c>
      <c r="J1119">
        <v>0</v>
      </c>
      <c r="K1119">
        <v>347.02</v>
      </c>
      <c r="L1119">
        <v>11.4</v>
      </c>
    </row>
    <row r="1120" spans="1:12" x14ac:dyDescent="0.25">
      <c r="A1120" t="s">
        <v>1167</v>
      </c>
      <c r="B1120" s="1">
        <v>45716</v>
      </c>
      <c r="C1120" s="1">
        <v>45721</v>
      </c>
      <c r="D1120" t="s">
        <v>13</v>
      </c>
      <c r="E1120" t="s">
        <v>19</v>
      </c>
      <c r="F1120" t="s">
        <v>25</v>
      </c>
      <c r="G1120" t="s">
        <v>20</v>
      </c>
      <c r="H1120" t="s">
        <v>27</v>
      </c>
      <c r="I1120">
        <v>6</v>
      </c>
      <c r="J1120">
        <v>0</v>
      </c>
      <c r="K1120">
        <v>149.5</v>
      </c>
      <c r="L1120">
        <v>4.32</v>
      </c>
    </row>
    <row r="1121" spans="1:12" x14ac:dyDescent="0.25">
      <c r="A1121" t="s">
        <v>1168</v>
      </c>
      <c r="B1121" s="1">
        <v>45778</v>
      </c>
      <c r="C1121" s="1">
        <v>45779</v>
      </c>
      <c r="D1121" t="s">
        <v>47</v>
      </c>
      <c r="E1121" t="s">
        <v>71</v>
      </c>
      <c r="F1121" t="s">
        <v>25</v>
      </c>
      <c r="G1121" t="s">
        <v>20</v>
      </c>
      <c r="H1121" t="s">
        <v>63</v>
      </c>
      <c r="I1121">
        <v>5</v>
      </c>
      <c r="J1121">
        <v>0.15</v>
      </c>
      <c r="K1121">
        <v>51.54</v>
      </c>
      <c r="L1121">
        <v>6.75</v>
      </c>
    </row>
    <row r="1122" spans="1:12" x14ac:dyDescent="0.25">
      <c r="A1122" t="s">
        <v>1169</v>
      </c>
      <c r="B1122" s="1">
        <v>45930</v>
      </c>
      <c r="C1122" s="1">
        <v>45935</v>
      </c>
      <c r="D1122" t="s">
        <v>32</v>
      </c>
      <c r="E1122" t="s">
        <v>62</v>
      </c>
      <c r="F1122" t="s">
        <v>15</v>
      </c>
      <c r="G1122" t="s">
        <v>16</v>
      </c>
      <c r="H1122" t="s">
        <v>21</v>
      </c>
      <c r="I1122">
        <v>4</v>
      </c>
      <c r="J1122">
        <v>0.2</v>
      </c>
      <c r="K1122">
        <v>387.45</v>
      </c>
      <c r="L1122">
        <v>8.2200000000000006</v>
      </c>
    </row>
    <row r="1123" spans="1:12" x14ac:dyDescent="0.25">
      <c r="A1123" t="s">
        <v>1170</v>
      </c>
      <c r="B1123" s="1">
        <v>45964</v>
      </c>
      <c r="C1123" s="1">
        <v>45966</v>
      </c>
      <c r="D1123" t="s">
        <v>23</v>
      </c>
      <c r="E1123" t="s">
        <v>43</v>
      </c>
      <c r="F1123" t="s">
        <v>25</v>
      </c>
      <c r="G1123" t="s">
        <v>16</v>
      </c>
      <c r="H1123" t="s">
        <v>17</v>
      </c>
      <c r="I1123">
        <v>2</v>
      </c>
      <c r="J1123">
        <v>0</v>
      </c>
      <c r="K1123">
        <v>348.23</v>
      </c>
      <c r="L1123">
        <v>7</v>
      </c>
    </row>
    <row r="1124" spans="1:12" x14ac:dyDescent="0.25">
      <c r="A1124" t="s">
        <v>1171</v>
      </c>
      <c r="B1124" s="1">
        <v>45378</v>
      </c>
      <c r="C1124" s="1">
        <v>45381</v>
      </c>
      <c r="D1124" t="s">
        <v>47</v>
      </c>
      <c r="E1124" t="s">
        <v>71</v>
      </c>
      <c r="F1124" t="s">
        <v>15</v>
      </c>
      <c r="G1124" t="s">
        <v>16</v>
      </c>
      <c r="H1124" t="s">
        <v>39</v>
      </c>
      <c r="I1124">
        <v>2</v>
      </c>
      <c r="J1124">
        <v>0.1</v>
      </c>
      <c r="K1124">
        <v>331.83</v>
      </c>
      <c r="L1124">
        <v>4.2</v>
      </c>
    </row>
    <row r="1125" spans="1:12" x14ac:dyDescent="0.25">
      <c r="A1125" t="s">
        <v>1172</v>
      </c>
      <c r="B1125" s="1">
        <v>45824</v>
      </c>
      <c r="C1125" s="1">
        <v>45825</v>
      </c>
      <c r="D1125" t="s">
        <v>47</v>
      </c>
      <c r="E1125" t="s">
        <v>71</v>
      </c>
      <c r="F1125" t="s">
        <v>15</v>
      </c>
      <c r="G1125" t="s">
        <v>20</v>
      </c>
      <c r="H1125" t="s">
        <v>60</v>
      </c>
      <c r="I1125">
        <v>3</v>
      </c>
      <c r="J1125">
        <v>0.2</v>
      </c>
      <c r="K1125">
        <v>276.10000000000002</v>
      </c>
      <c r="L1125">
        <v>8.25</v>
      </c>
    </row>
    <row r="1126" spans="1:12" x14ac:dyDescent="0.25">
      <c r="A1126" t="s">
        <v>1173</v>
      </c>
      <c r="B1126" s="1">
        <v>45986</v>
      </c>
      <c r="C1126" s="1">
        <v>45990</v>
      </c>
      <c r="D1126" t="s">
        <v>23</v>
      </c>
      <c r="E1126" t="s">
        <v>24</v>
      </c>
      <c r="F1126" t="s">
        <v>15</v>
      </c>
      <c r="G1126" t="s">
        <v>20</v>
      </c>
      <c r="H1126" t="s">
        <v>34</v>
      </c>
      <c r="I1126">
        <v>5</v>
      </c>
      <c r="J1126">
        <v>0.05</v>
      </c>
      <c r="K1126">
        <v>1323.6</v>
      </c>
      <c r="L1126">
        <v>16</v>
      </c>
    </row>
    <row r="1127" spans="1:12" x14ac:dyDescent="0.25">
      <c r="A1127" t="s">
        <v>1174</v>
      </c>
      <c r="B1127" s="1">
        <v>45810</v>
      </c>
      <c r="C1127" s="1">
        <v>45812</v>
      </c>
      <c r="D1127" t="s">
        <v>47</v>
      </c>
      <c r="E1127" t="s">
        <v>71</v>
      </c>
      <c r="F1127" t="s">
        <v>15</v>
      </c>
      <c r="G1127" t="s">
        <v>26</v>
      </c>
      <c r="H1127" t="s">
        <v>17</v>
      </c>
      <c r="I1127">
        <v>1</v>
      </c>
      <c r="J1127">
        <v>0.1</v>
      </c>
      <c r="K1127">
        <v>111.81</v>
      </c>
      <c r="L1127">
        <v>3.45</v>
      </c>
    </row>
    <row r="1128" spans="1:12" x14ac:dyDescent="0.25">
      <c r="A1128" t="s">
        <v>1175</v>
      </c>
      <c r="B1128" s="1">
        <v>45840</v>
      </c>
      <c r="C1128" s="1">
        <v>45841</v>
      </c>
      <c r="D1128" t="s">
        <v>47</v>
      </c>
      <c r="E1128" t="s">
        <v>71</v>
      </c>
      <c r="F1128" t="s">
        <v>15</v>
      </c>
      <c r="G1128" t="s">
        <v>26</v>
      </c>
      <c r="H1128" t="s">
        <v>63</v>
      </c>
      <c r="I1128">
        <v>5</v>
      </c>
      <c r="J1128">
        <v>0.2</v>
      </c>
      <c r="K1128">
        <v>42.24</v>
      </c>
      <c r="L1128">
        <v>4.05</v>
      </c>
    </row>
    <row r="1129" spans="1:12" x14ac:dyDescent="0.25">
      <c r="A1129" t="s">
        <v>1176</v>
      </c>
      <c r="B1129" s="1">
        <v>45701</v>
      </c>
      <c r="C1129" s="1">
        <v>45703</v>
      </c>
      <c r="D1129" t="s">
        <v>47</v>
      </c>
      <c r="E1129" t="s">
        <v>71</v>
      </c>
      <c r="F1129" t="s">
        <v>15</v>
      </c>
      <c r="G1129" t="s">
        <v>16</v>
      </c>
      <c r="H1129" t="s">
        <v>63</v>
      </c>
      <c r="I1129">
        <v>8</v>
      </c>
      <c r="J1129">
        <v>0.15</v>
      </c>
      <c r="K1129">
        <v>74.540000000000006</v>
      </c>
      <c r="L1129">
        <v>4.8600000000000003</v>
      </c>
    </row>
    <row r="1130" spans="1:12" x14ac:dyDescent="0.25">
      <c r="A1130" t="s">
        <v>1177</v>
      </c>
      <c r="B1130" s="1">
        <v>45885</v>
      </c>
      <c r="C1130" s="1">
        <v>45890</v>
      </c>
      <c r="D1130" t="s">
        <v>47</v>
      </c>
      <c r="E1130" t="s">
        <v>50</v>
      </c>
      <c r="F1130" t="s">
        <v>15</v>
      </c>
      <c r="G1130" t="s">
        <v>26</v>
      </c>
      <c r="H1130" t="s">
        <v>30</v>
      </c>
      <c r="I1130">
        <v>9</v>
      </c>
      <c r="J1130">
        <v>0</v>
      </c>
      <c r="K1130">
        <v>52.83</v>
      </c>
      <c r="L1130">
        <v>5.13</v>
      </c>
    </row>
    <row r="1131" spans="1:12" x14ac:dyDescent="0.25">
      <c r="A1131" t="s">
        <v>1178</v>
      </c>
      <c r="B1131" s="1">
        <v>45546</v>
      </c>
      <c r="C1131" s="1">
        <v>45551</v>
      </c>
      <c r="D1131" t="s">
        <v>32</v>
      </c>
      <c r="E1131" t="s">
        <v>33</v>
      </c>
      <c r="F1131" t="s">
        <v>29</v>
      </c>
      <c r="G1131" t="s">
        <v>26</v>
      </c>
      <c r="H1131" t="s">
        <v>17</v>
      </c>
      <c r="I1131">
        <v>3</v>
      </c>
      <c r="J1131">
        <v>0.1</v>
      </c>
      <c r="K1131">
        <v>357.15</v>
      </c>
      <c r="L1131">
        <v>4.95</v>
      </c>
    </row>
    <row r="1132" spans="1:12" x14ac:dyDescent="0.25">
      <c r="A1132" t="s">
        <v>1179</v>
      </c>
      <c r="B1132" s="1">
        <v>46000</v>
      </c>
      <c r="C1132" s="1">
        <v>46006</v>
      </c>
      <c r="D1132" t="s">
        <v>13</v>
      </c>
      <c r="E1132" t="s">
        <v>19</v>
      </c>
      <c r="F1132" t="s">
        <v>25</v>
      </c>
      <c r="G1132" t="s">
        <v>16</v>
      </c>
      <c r="H1132" t="s">
        <v>30</v>
      </c>
      <c r="I1132">
        <v>7</v>
      </c>
      <c r="J1132">
        <v>0</v>
      </c>
      <c r="K1132">
        <v>58.35</v>
      </c>
      <c r="L1132">
        <v>4.59</v>
      </c>
    </row>
    <row r="1133" spans="1:12" x14ac:dyDescent="0.25">
      <c r="A1133" t="s">
        <v>1180</v>
      </c>
      <c r="B1133" s="1">
        <v>45414</v>
      </c>
      <c r="C1133" s="1">
        <v>45420</v>
      </c>
      <c r="D1133" t="s">
        <v>32</v>
      </c>
      <c r="E1133" t="s">
        <v>33</v>
      </c>
      <c r="F1133" t="s">
        <v>15</v>
      </c>
      <c r="G1133" t="s">
        <v>16</v>
      </c>
      <c r="H1133" t="s">
        <v>39</v>
      </c>
      <c r="I1133">
        <v>4</v>
      </c>
      <c r="J1133">
        <v>0.25</v>
      </c>
      <c r="K1133">
        <v>573.21</v>
      </c>
      <c r="L1133">
        <v>5.7</v>
      </c>
    </row>
    <row r="1134" spans="1:12" x14ac:dyDescent="0.25">
      <c r="A1134" t="s">
        <v>1181</v>
      </c>
      <c r="B1134" s="1">
        <v>45787</v>
      </c>
      <c r="C1134" s="1">
        <v>45792</v>
      </c>
      <c r="D1134" t="s">
        <v>13</v>
      </c>
      <c r="E1134" t="s">
        <v>14</v>
      </c>
      <c r="F1134" t="s">
        <v>25</v>
      </c>
      <c r="G1134" t="s">
        <v>20</v>
      </c>
      <c r="H1134" t="s">
        <v>60</v>
      </c>
      <c r="I1134">
        <v>4</v>
      </c>
      <c r="J1134">
        <v>0</v>
      </c>
      <c r="K1134">
        <v>433.81</v>
      </c>
      <c r="L1134">
        <v>9.5</v>
      </c>
    </row>
    <row r="1135" spans="1:12" x14ac:dyDescent="0.25">
      <c r="A1135" t="s">
        <v>1182</v>
      </c>
      <c r="B1135" s="1">
        <v>45757</v>
      </c>
      <c r="C1135" s="1">
        <v>45758</v>
      </c>
      <c r="D1135" t="s">
        <v>13</v>
      </c>
      <c r="E1135" t="s">
        <v>19</v>
      </c>
      <c r="F1135" t="s">
        <v>25</v>
      </c>
      <c r="G1135" t="s">
        <v>20</v>
      </c>
      <c r="H1135" t="s">
        <v>63</v>
      </c>
      <c r="I1135">
        <v>6</v>
      </c>
      <c r="J1135">
        <v>0</v>
      </c>
      <c r="K1135">
        <v>73.739999999999995</v>
      </c>
      <c r="L1135">
        <v>4.32</v>
      </c>
    </row>
    <row r="1136" spans="1:12" x14ac:dyDescent="0.25">
      <c r="A1136" t="s">
        <v>1183</v>
      </c>
      <c r="B1136" s="1">
        <v>45375</v>
      </c>
      <c r="C1136" s="1">
        <v>45377</v>
      </c>
      <c r="D1136" t="s">
        <v>23</v>
      </c>
      <c r="E1136" t="s">
        <v>43</v>
      </c>
      <c r="F1136" t="s">
        <v>29</v>
      </c>
      <c r="G1136" t="s">
        <v>20</v>
      </c>
      <c r="H1136" t="s">
        <v>65</v>
      </c>
      <c r="I1136">
        <v>2</v>
      </c>
      <c r="J1136">
        <v>0</v>
      </c>
      <c r="K1136">
        <v>533.32000000000005</v>
      </c>
      <c r="L1136">
        <v>5.46</v>
      </c>
    </row>
    <row r="1137" spans="1:12" x14ac:dyDescent="0.25">
      <c r="A1137" t="s">
        <v>1184</v>
      </c>
      <c r="B1137" s="1">
        <v>45732</v>
      </c>
      <c r="C1137" s="1">
        <v>45737</v>
      </c>
      <c r="D1137" t="s">
        <v>23</v>
      </c>
      <c r="E1137" t="s">
        <v>59</v>
      </c>
      <c r="F1137" t="s">
        <v>15</v>
      </c>
      <c r="G1137" t="s">
        <v>20</v>
      </c>
      <c r="H1137" t="s">
        <v>30</v>
      </c>
      <c r="I1137">
        <v>8</v>
      </c>
      <c r="J1137">
        <v>0.15</v>
      </c>
      <c r="K1137">
        <v>36.880000000000003</v>
      </c>
      <c r="L1137">
        <v>4.8600000000000003</v>
      </c>
    </row>
    <row r="1138" spans="1:12" x14ac:dyDescent="0.25">
      <c r="A1138" t="s">
        <v>1185</v>
      </c>
      <c r="B1138" s="1">
        <v>45924</v>
      </c>
      <c r="C1138" s="1">
        <v>45929</v>
      </c>
      <c r="D1138" t="s">
        <v>13</v>
      </c>
      <c r="E1138" t="s">
        <v>36</v>
      </c>
      <c r="F1138" t="s">
        <v>15</v>
      </c>
      <c r="G1138" t="s">
        <v>16</v>
      </c>
      <c r="H1138" t="s">
        <v>41</v>
      </c>
      <c r="I1138">
        <v>8</v>
      </c>
      <c r="J1138">
        <v>0</v>
      </c>
      <c r="K1138">
        <v>51.82</v>
      </c>
      <c r="L1138">
        <v>4.8600000000000003</v>
      </c>
    </row>
    <row r="1139" spans="1:12" x14ac:dyDescent="0.25">
      <c r="A1139" t="s">
        <v>1186</v>
      </c>
      <c r="B1139" s="1">
        <v>45474</v>
      </c>
      <c r="C1139" s="1">
        <v>45476</v>
      </c>
      <c r="D1139" t="s">
        <v>47</v>
      </c>
      <c r="E1139" t="s">
        <v>71</v>
      </c>
      <c r="F1139" t="s">
        <v>25</v>
      </c>
      <c r="G1139" t="s">
        <v>26</v>
      </c>
      <c r="H1139" t="s">
        <v>27</v>
      </c>
      <c r="I1139">
        <v>13</v>
      </c>
      <c r="J1139">
        <v>0</v>
      </c>
      <c r="K1139">
        <v>325.29000000000002</v>
      </c>
      <c r="L1139">
        <v>10.35</v>
      </c>
    </row>
    <row r="1140" spans="1:12" x14ac:dyDescent="0.25">
      <c r="A1140" t="s">
        <v>1187</v>
      </c>
      <c r="B1140" s="1">
        <v>45580</v>
      </c>
      <c r="C1140" s="1">
        <v>45581</v>
      </c>
      <c r="D1140" t="s">
        <v>47</v>
      </c>
      <c r="E1140" t="s">
        <v>48</v>
      </c>
      <c r="F1140" t="s">
        <v>29</v>
      </c>
      <c r="G1140" t="s">
        <v>16</v>
      </c>
      <c r="H1140" t="s">
        <v>39</v>
      </c>
      <c r="I1140">
        <v>3</v>
      </c>
      <c r="J1140">
        <v>0</v>
      </c>
      <c r="K1140">
        <v>706.84</v>
      </c>
      <c r="L1140">
        <v>4.95</v>
      </c>
    </row>
    <row r="1141" spans="1:12" x14ac:dyDescent="0.25">
      <c r="A1141" t="s">
        <v>1188</v>
      </c>
      <c r="B1141" s="1">
        <v>45942</v>
      </c>
      <c r="C1141" s="1">
        <v>45947</v>
      </c>
      <c r="D1141" t="s">
        <v>47</v>
      </c>
      <c r="E1141" t="s">
        <v>50</v>
      </c>
      <c r="F1141" t="s">
        <v>15</v>
      </c>
      <c r="G1141" t="s">
        <v>26</v>
      </c>
      <c r="H1141" t="s">
        <v>68</v>
      </c>
      <c r="I1141">
        <v>1</v>
      </c>
      <c r="J1141">
        <v>0</v>
      </c>
      <c r="K1141">
        <v>59.83</v>
      </c>
      <c r="L1141">
        <v>3.45</v>
      </c>
    </row>
    <row r="1142" spans="1:12" x14ac:dyDescent="0.25">
      <c r="A1142" t="s">
        <v>1189</v>
      </c>
      <c r="B1142" s="1">
        <v>45675</v>
      </c>
      <c r="C1142" s="1">
        <v>45681</v>
      </c>
      <c r="D1142" t="s">
        <v>32</v>
      </c>
      <c r="E1142" t="s">
        <v>33</v>
      </c>
      <c r="F1142" t="s">
        <v>25</v>
      </c>
      <c r="G1142" t="s">
        <v>26</v>
      </c>
      <c r="H1142" t="s">
        <v>30</v>
      </c>
      <c r="I1142">
        <v>13</v>
      </c>
      <c r="J1142">
        <v>0.2</v>
      </c>
      <c r="K1142">
        <v>53.79</v>
      </c>
      <c r="L1142">
        <v>6.21</v>
      </c>
    </row>
    <row r="1143" spans="1:12" x14ac:dyDescent="0.25">
      <c r="A1143" t="s">
        <v>1190</v>
      </c>
      <c r="B1143" s="1">
        <v>45747</v>
      </c>
      <c r="C1143" s="1">
        <v>45751</v>
      </c>
      <c r="D1143" t="s">
        <v>32</v>
      </c>
      <c r="E1143" t="s">
        <v>62</v>
      </c>
      <c r="F1143" t="s">
        <v>25</v>
      </c>
      <c r="G1143" t="s">
        <v>26</v>
      </c>
      <c r="H1143" t="s">
        <v>63</v>
      </c>
      <c r="I1143">
        <v>9</v>
      </c>
      <c r="J1143">
        <v>0</v>
      </c>
      <c r="K1143">
        <v>107.16</v>
      </c>
      <c r="L1143">
        <v>5.13</v>
      </c>
    </row>
    <row r="1144" spans="1:12" x14ac:dyDescent="0.25">
      <c r="A1144" t="s">
        <v>1191</v>
      </c>
      <c r="B1144" s="1">
        <v>45769</v>
      </c>
      <c r="C1144" s="1">
        <v>45774</v>
      </c>
      <c r="D1144" t="s">
        <v>23</v>
      </c>
      <c r="E1144" t="s">
        <v>59</v>
      </c>
      <c r="F1144" t="s">
        <v>15</v>
      </c>
      <c r="G1144" t="s">
        <v>20</v>
      </c>
      <c r="H1144" t="s">
        <v>65</v>
      </c>
      <c r="I1144">
        <v>4</v>
      </c>
      <c r="J1144">
        <v>0</v>
      </c>
      <c r="K1144">
        <v>1091.6400000000001</v>
      </c>
      <c r="L1144">
        <v>8.2200000000000006</v>
      </c>
    </row>
    <row r="1145" spans="1:12" x14ac:dyDescent="0.25">
      <c r="A1145" t="s">
        <v>1192</v>
      </c>
      <c r="B1145" s="1">
        <v>45557</v>
      </c>
      <c r="C1145" s="1">
        <v>45559</v>
      </c>
      <c r="D1145" t="s">
        <v>13</v>
      </c>
      <c r="E1145" t="s">
        <v>36</v>
      </c>
      <c r="F1145" t="s">
        <v>15</v>
      </c>
      <c r="G1145" t="s">
        <v>20</v>
      </c>
      <c r="H1145" t="s">
        <v>53</v>
      </c>
      <c r="I1145">
        <v>2</v>
      </c>
      <c r="J1145">
        <v>0.2</v>
      </c>
      <c r="K1145">
        <v>100.08</v>
      </c>
      <c r="L1145">
        <v>4.2</v>
      </c>
    </row>
    <row r="1146" spans="1:12" x14ac:dyDescent="0.25">
      <c r="A1146" t="s">
        <v>1193</v>
      </c>
      <c r="B1146" s="1">
        <v>45410</v>
      </c>
      <c r="C1146" s="1">
        <v>45411</v>
      </c>
      <c r="D1146" t="s">
        <v>47</v>
      </c>
      <c r="E1146" t="s">
        <v>50</v>
      </c>
      <c r="F1146" t="s">
        <v>15</v>
      </c>
      <c r="G1146" t="s">
        <v>16</v>
      </c>
      <c r="H1146" t="s">
        <v>27</v>
      </c>
      <c r="I1146">
        <v>9</v>
      </c>
      <c r="J1146">
        <v>0.25</v>
      </c>
      <c r="K1146">
        <v>183.1</v>
      </c>
      <c r="L1146">
        <v>5.13</v>
      </c>
    </row>
    <row r="1147" spans="1:12" x14ac:dyDescent="0.25">
      <c r="A1147" t="s">
        <v>1194</v>
      </c>
      <c r="B1147" s="1">
        <v>45910</v>
      </c>
      <c r="C1147" s="1">
        <v>45911</v>
      </c>
      <c r="D1147" t="s">
        <v>32</v>
      </c>
      <c r="E1147" t="s">
        <v>33</v>
      </c>
      <c r="F1147" t="s">
        <v>25</v>
      </c>
      <c r="G1147" t="s">
        <v>16</v>
      </c>
      <c r="H1147" t="s">
        <v>34</v>
      </c>
      <c r="I1147">
        <v>7</v>
      </c>
      <c r="J1147">
        <v>0</v>
      </c>
      <c r="K1147">
        <v>1526.82</v>
      </c>
      <c r="L1147">
        <v>20.6</v>
      </c>
    </row>
    <row r="1148" spans="1:12" x14ac:dyDescent="0.25">
      <c r="A1148" t="s">
        <v>1195</v>
      </c>
      <c r="B1148" s="1">
        <v>45711</v>
      </c>
      <c r="C1148" s="1">
        <v>45713</v>
      </c>
      <c r="D1148" t="s">
        <v>13</v>
      </c>
      <c r="E1148" t="s">
        <v>19</v>
      </c>
      <c r="F1148" t="s">
        <v>25</v>
      </c>
      <c r="G1148" t="s">
        <v>16</v>
      </c>
      <c r="H1148" t="s">
        <v>68</v>
      </c>
      <c r="I1148">
        <v>3</v>
      </c>
      <c r="J1148">
        <v>0</v>
      </c>
      <c r="K1148">
        <v>132.77000000000001</v>
      </c>
      <c r="L1148">
        <v>4.95</v>
      </c>
    </row>
    <row r="1149" spans="1:12" x14ac:dyDescent="0.25">
      <c r="A1149" t="s">
        <v>1196</v>
      </c>
      <c r="B1149" s="1">
        <v>45613</v>
      </c>
      <c r="C1149" s="1">
        <v>45615</v>
      </c>
      <c r="D1149" t="s">
        <v>13</v>
      </c>
      <c r="E1149" t="s">
        <v>19</v>
      </c>
      <c r="F1149" t="s">
        <v>29</v>
      </c>
      <c r="G1149" t="s">
        <v>16</v>
      </c>
      <c r="H1149" t="s">
        <v>41</v>
      </c>
      <c r="I1149">
        <v>23</v>
      </c>
      <c r="J1149">
        <v>0</v>
      </c>
      <c r="K1149">
        <v>189.22</v>
      </c>
      <c r="L1149">
        <v>8.91</v>
      </c>
    </row>
    <row r="1150" spans="1:12" x14ac:dyDescent="0.25">
      <c r="A1150" t="s">
        <v>1197</v>
      </c>
      <c r="B1150" s="1">
        <v>45825</v>
      </c>
      <c r="C1150" s="1">
        <v>45827</v>
      </c>
      <c r="D1150" t="s">
        <v>13</v>
      </c>
      <c r="E1150" t="s">
        <v>19</v>
      </c>
      <c r="F1150" t="s">
        <v>15</v>
      </c>
      <c r="G1150" t="s">
        <v>16</v>
      </c>
      <c r="H1150" t="s">
        <v>17</v>
      </c>
      <c r="I1150">
        <v>5</v>
      </c>
      <c r="J1150">
        <v>0</v>
      </c>
      <c r="K1150">
        <v>633.13</v>
      </c>
      <c r="L1150">
        <v>6.45</v>
      </c>
    </row>
    <row r="1151" spans="1:12" x14ac:dyDescent="0.25">
      <c r="A1151" t="s">
        <v>1198</v>
      </c>
      <c r="B1151" s="1">
        <v>45347</v>
      </c>
      <c r="C1151" s="1">
        <v>45353</v>
      </c>
      <c r="D1151" t="s">
        <v>47</v>
      </c>
      <c r="E1151" t="s">
        <v>50</v>
      </c>
      <c r="F1151" t="s">
        <v>25</v>
      </c>
      <c r="G1151" t="s">
        <v>26</v>
      </c>
      <c r="H1151" t="s">
        <v>41</v>
      </c>
      <c r="I1151">
        <v>13</v>
      </c>
      <c r="J1151">
        <v>0</v>
      </c>
      <c r="K1151">
        <v>69.94</v>
      </c>
      <c r="L1151">
        <v>10.35</v>
      </c>
    </row>
    <row r="1152" spans="1:12" x14ac:dyDescent="0.25">
      <c r="A1152" t="s">
        <v>1199</v>
      </c>
      <c r="B1152" s="1">
        <v>45803</v>
      </c>
      <c r="C1152" s="1">
        <v>45805</v>
      </c>
      <c r="D1152" t="s">
        <v>23</v>
      </c>
      <c r="E1152" t="s">
        <v>59</v>
      </c>
      <c r="F1152" t="s">
        <v>15</v>
      </c>
      <c r="G1152" t="s">
        <v>16</v>
      </c>
      <c r="H1152" t="s">
        <v>87</v>
      </c>
      <c r="I1152">
        <v>3</v>
      </c>
      <c r="J1152">
        <v>0.1</v>
      </c>
      <c r="K1152">
        <v>24</v>
      </c>
      <c r="L1152">
        <v>5.85</v>
      </c>
    </row>
    <row r="1153" spans="1:12" x14ac:dyDescent="0.25">
      <c r="A1153" t="s">
        <v>1200</v>
      </c>
      <c r="B1153" s="1">
        <v>46009</v>
      </c>
      <c r="C1153" s="1">
        <v>46013</v>
      </c>
      <c r="D1153" t="s">
        <v>23</v>
      </c>
      <c r="E1153" t="s">
        <v>24</v>
      </c>
      <c r="F1153" t="s">
        <v>25</v>
      </c>
      <c r="G1153" t="s">
        <v>26</v>
      </c>
      <c r="H1153" t="s">
        <v>34</v>
      </c>
      <c r="I1153">
        <v>3</v>
      </c>
      <c r="J1153">
        <v>0</v>
      </c>
      <c r="K1153">
        <v>923.54</v>
      </c>
      <c r="L1153">
        <v>6.84</v>
      </c>
    </row>
    <row r="1154" spans="1:12" x14ac:dyDescent="0.25">
      <c r="A1154" t="s">
        <v>1201</v>
      </c>
      <c r="B1154" s="1">
        <v>45326</v>
      </c>
      <c r="C1154" s="1">
        <v>45332</v>
      </c>
      <c r="D1154" t="s">
        <v>32</v>
      </c>
      <c r="E1154" t="s">
        <v>33</v>
      </c>
      <c r="F1154" t="s">
        <v>29</v>
      </c>
      <c r="G1154" t="s">
        <v>20</v>
      </c>
      <c r="H1154" t="s">
        <v>41</v>
      </c>
      <c r="I1154">
        <v>4</v>
      </c>
      <c r="J1154">
        <v>0.25</v>
      </c>
      <c r="K1154">
        <v>16.25</v>
      </c>
      <c r="L1154">
        <v>6.3</v>
      </c>
    </row>
    <row r="1155" spans="1:12" x14ac:dyDescent="0.25">
      <c r="A1155" t="s">
        <v>1202</v>
      </c>
      <c r="B1155" s="1">
        <v>45766</v>
      </c>
      <c r="C1155" s="1">
        <v>45767</v>
      </c>
      <c r="D1155" t="s">
        <v>23</v>
      </c>
      <c r="E1155" t="s">
        <v>43</v>
      </c>
      <c r="F1155" t="s">
        <v>25</v>
      </c>
      <c r="G1155" t="s">
        <v>20</v>
      </c>
      <c r="H1155" t="s">
        <v>51</v>
      </c>
      <c r="I1155">
        <v>11</v>
      </c>
      <c r="J1155">
        <v>0</v>
      </c>
      <c r="K1155">
        <v>159.71</v>
      </c>
      <c r="L1155">
        <v>5.67</v>
      </c>
    </row>
    <row r="1156" spans="1:12" x14ac:dyDescent="0.25">
      <c r="A1156" t="s">
        <v>1203</v>
      </c>
      <c r="B1156" s="1">
        <v>45810</v>
      </c>
      <c r="C1156" s="1">
        <v>45815</v>
      </c>
      <c r="D1156" t="s">
        <v>23</v>
      </c>
      <c r="E1156" t="s">
        <v>24</v>
      </c>
      <c r="F1156" t="s">
        <v>15</v>
      </c>
      <c r="G1156" t="s">
        <v>26</v>
      </c>
      <c r="H1156" t="s">
        <v>21</v>
      </c>
      <c r="I1156">
        <v>4</v>
      </c>
      <c r="J1156">
        <v>0</v>
      </c>
      <c r="K1156">
        <v>449.04</v>
      </c>
      <c r="L1156">
        <v>13.7</v>
      </c>
    </row>
    <row r="1157" spans="1:12" x14ac:dyDescent="0.25">
      <c r="A1157" t="s">
        <v>1204</v>
      </c>
      <c r="B1157" s="1">
        <v>45989</v>
      </c>
      <c r="C1157" s="1">
        <v>45993</v>
      </c>
      <c r="D1157" t="s">
        <v>13</v>
      </c>
      <c r="E1157" t="s">
        <v>14</v>
      </c>
      <c r="F1157" t="s">
        <v>29</v>
      </c>
      <c r="G1157" t="s">
        <v>16</v>
      </c>
      <c r="H1157" t="s">
        <v>87</v>
      </c>
      <c r="I1157">
        <v>14</v>
      </c>
      <c r="J1157">
        <v>0</v>
      </c>
      <c r="K1157">
        <v>164.36</v>
      </c>
      <c r="L1157">
        <v>6.48</v>
      </c>
    </row>
    <row r="1158" spans="1:12" x14ac:dyDescent="0.25">
      <c r="A1158" t="s">
        <v>1205</v>
      </c>
      <c r="B1158" s="1">
        <v>45555</v>
      </c>
      <c r="C1158" s="1">
        <v>45558</v>
      </c>
      <c r="D1158" t="s">
        <v>32</v>
      </c>
      <c r="E1158" t="s">
        <v>45</v>
      </c>
      <c r="F1158" t="s">
        <v>15</v>
      </c>
      <c r="G1158" t="s">
        <v>26</v>
      </c>
      <c r="H1158" t="s">
        <v>21</v>
      </c>
      <c r="I1158">
        <v>2</v>
      </c>
      <c r="J1158">
        <v>0.2</v>
      </c>
      <c r="K1158">
        <v>193.36</v>
      </c>
      <c r="L1158">
        <v>5.46</v>
      </c>
    </row>
    <row r="1159" spans="1:12" x14ac:dyDescent="0.25">
      <c r="A1159" t="s">
        <v>1206</v>
      </c>
      <c r="B1159" s="1">
        <v>45866</v>
      </c>
      <c r="C1159" s="1">
        <v>45872</v>
      </c>
      <c r="D1159" t="s">
        <v>47</v>
      </c>
      <c r="E1159" t="s">
        <v>71</v>
      </c>
      <c r="F1159" t="s">
        <v>29</v>
      </c>
      <c r="G1159" t="s">
        <v>26</v>
      </c>
      <c r="H1159" t="s">
        <v>21</v>
      </c>
      <c r="I1159">
        <v>3</v>
      </c>
      <c r="J1159">
        <v>0.05</v>
      </c>
      <c r="K1159">
        <v>304.89999999999998</v>
      </c>
      <c r="L1159">
        <v>11.4</v>
      </c>
    </row>
    <row r="1160" spans="1:12" x14ac:dyDescent="0.25">
      <c r="A1160" t="s">
        <v>1207</v>
      </c>
      <c r="B1160" s="1">
        <v>45573</v>
      </c>
      <c r="C1160" s="1">
        <v>45576</v>
      </c>
      <c r="D1160" t="s">
        <v>47</v>
      </c>
      <c r="E1160" t="s">
        <v>50</v>
      </c>
      <c r="F1160" t="s">
        <v>29</v>
      </c>
      <c r="G1160" t="s">
        <v>16</v>
      </c>
      <c r="H1160" t="s">
        <v>21</v>
      </c>
      <c r="I1160">
        <v>1</v>
      </c>
      <c r="J1160">
        <v>0.25</v>
      </c>
      <c r="K1160">
        <v>95.76</v>
      </c>
      <c r="L1160">
        <v>4.08</v>
      </c>
    </row>
    <row r="1161" spans="1:12" x14ac:dyDescent="0.25">
      <c r="A1161" t="s">
        <v>1208</v>
      </c>
      <c r="B1161" s="1">
        <v>46016</v>
      </c>
      <c r="C1161" s="1">
        <v>46022</v>
      </c>
      <c r="D1161" t="s">
        <v>47</v>
      </c>
      <c r="E1161" t="s">
        <v>48</v>
      </c>
      <c r="F1161" t="s">
        <v>15</v>
      </c>
      <c r="G1161" t="s">
        <v>26</v>
      </c>
      <c r="H1161" t="s">
        <v>60</v>
      </c>
      <c r="I1161">
        <v>3</v>
      </c>
      <c r="J1161">
        <v>0.05</v>
      </c>
      <c r="K1161">
        <v>458.52</v>
      </c>
      <c r="L1161">
        <v>4.95</v>
      </c>
    </row>
    <row r="1162" spans="1:12" x14ac:dyDescent="0.25">
      <c r="A1162" t="s">
        <v>1209</v>
      </c>
      <c r="B1162" s="1">
        <v>45684</v>
      </c>
      <c r="C1162" s="1">
        <v>45686</v>
      </c>
      <c r="D1162" t="s">
        <v>13</v>
      </c>
      <c r="E1162" t="s">
        <v>14</v>
      </c>
      <c r="F1162" t="s">
        <v>29</v>
      </c>
      <c r="G1162" t="s">
        <v>26</v>
      </c>
      <c r="H1162" t="s">
        <v>87</v>
      </c>
      <c r="I1162">
        <v>10</v>
      </c>
      <c r="J1162">
        <v>0</v>
      </c>
      <c r="K1162">
        <v>76.11</v>
      </c>
      <c r="L1162">
        <v>9</v>
      </c>
    </row>
    <row r="1163" spans="1:12" x14ac:dyDescent="0.25">
      <c r="A1163" t="s">
        <v>1210</v>
      </c>
      <c r="B1163" s="1">
        <v>45338</v>
      </c>
      <c r="C1163" s="1">
        <v>45341</v>
      </c>
      <c r="D1163" t="s">
        <v>13</v>
      </c>
      <c r="E1163" t="s">
        <v>36</v>
      </c>
      <c r="F1163" t="s">
        <v>29</v>
      </c>
      <c r="G1163" t="s">
        <v>20</v>
      </c>
      <c r="H1163" t="s">
        <v>17</v>
      </c>
      <c r="I1163">
        <v>4</v>
      </c>
      <c r="J1163">
        <v>0.05</v>
      </c>
      <c r="K1163">
        <v>422.98</v>
      </c>
      <c r="L1163">
        <v>5.7</v>
      </c>
    </row>
    <row r="1164" spans="1:12" x14ac:dyDescent="0.25">
      <c r="A1164" t="s">
        <v>1211</v>
      </c>
      <c r="B1164" s="1">
        <v>45793</v>
      </c>
      <c r="C1164" s="1">
        <v>45797</v>
      </c>
      <c r="D1164" t="s">
        <v>23</v>
      </c>
      <c r="E1164" t="s">
        <v>24</v>
      </c>
      <c r="F1164" t="s">
        <v>15</v>
      </c>
      <c r="G1164" t="s">
        <v>20</v>
      </c>
      <c r="H1164" t="s">
        <v>63</v>
      </c>
      <c r="I1164">
        <v>5</v>
      </c>
      <c r="J1164">
        <v>0.05</v>
      </c>
      <c r="K1164">
        <v>62.25</v>
      </c>
      <c r="L1164">
        <v>4.05</v>
      </c>
    </row>
    <row r="1165" spans="1:12" x14ac:dyDescent="0.25">
      <c r="A1165" t="s">
        <v>1212</v>
      </c>
      <c r="B1165" s="1">
        <v>45508</v>
      </c>
      <c r="C1165" s="1">
        <v>45511</v>
      </c>
      <c r="D1165" t="s">
        <v>32</v>
      </c>
      <c r="E1165" t="s">
        <v>62</v>
      </c>
      <c r="F1165" t="s">
        <v>15</v>
      </c>
      <c r="G1165" t="s">
        <v>20</v>
      </c>
      <c r="H1165" t="s">
        <v>30</v>
      </c>
      <c r="I1165">
        <v>3</v>
      </c>
      <c r="J1165">
        <v>0</v>
      </c>
      <c r="K1165">
        <v>18.18</v>
      </c>
      <c r="L1165">
        <v>5.85</v>
      </c>
    </row>
    <row r="1166" spans="1:12" x14ac:dyDescent="0.25">
      <c r="A1166" t="s">
        <v>1213</v>
      </c>
      <c r="B1166" s="1">
        <v>45353</v>
      </c>
      <c r="C1166" s="1">
        <v>45359</v>
      </c>
      <c r="D1166" t="s">
        <v>47</v>
      </c>
      <c r="E1166" t="s">
        <v>71</v>
      </c>
      <c r="F1166" t="s">
        <v>15</v>
      </c>
      <c r="G1166" t="s">
        <v>20</v>
      </c>
      <c r="H1166" t="s">
        <v>30</v>
      </c>
      <c r="I1166">
        <v>13</v>
      </c>
      <c r="J1166">
        <v>0</v>
      </c>
      <c r="K1166">
        <v>75.510000000000005</v>
      </c>
      <c r="L1166">
        <v>6.21</v>
      </c>
    </row>
    <row r="1167" spans="1:12" x14ac:dyDescent="0.25">
      <c r="A1167" t="s">
        <v>1214</v>
      </c>
      <c r="B1167" s="1">
        <v>45366</v>
      </c>
      <c r="C1167" s="1">
        <v>45369</v>
      </c>
      <c r="D1167" t="s">
        <v>32</v>
      </c>
      <c r="E1167" t="s">
        <v>45</v>
      </c>
      <c r="F1167" t="s">
        <v>25</v>
      </c>
      <c r="G1167" t="s">
        <v>16</v>
      </c>
      <c r="H1167" t="s">
        <v>68</v>
      </c>
      <c r="I1167">
        <v>1</v>
      </c>
      <c r="J1167">
        <v>0</v>
      </c>
      <c r="K1167">
        <v>48.85</v>
      </c>
      <c r="L1167">
        <v>3.45</v>
      </c>
    </row>
    <row r="1168" spans="1:12" x14ac:dyDescent="0.25">
      <c r="A1168" t="s">
        <v>1215</v>
      </c>
      <c r="B1168" s="1">
        <v>45966</v>
      </c>
      <c r="C1168" s="1">
        <v>45968</v>
      </c>
      <c r="D1168" t="s">
        <v>32</v>
      </c>
      <c r="E1168" t="s">
        <v>62</v>
      </c>
      <c r="F1168" t="s">
        <v>25</v>
      </c>
      <c r="G1168" t="s">
        <v>20</v>
      </c>
      <c r="H1168" t="s">
        <v>39</v>
      </c>
      <c r="I1168">
        <v>3</v>
      </c>
      <c r="J1168">
        <v>0</v>
      </c>
      <c r="K1168">
        <v>766.82</v>
      </c>
      <c r="L1168">
        <v>4.95</v>
      </c>
    </row>
    <row r="1169" spans="1:12" x14ac:dyDescent="0.25">
      <c r="A1169" t="s">
        <v>1216</v>
      </c>
      <c r="B1169" s="1">
        <v>45625</v>
      </c>
      <c r="C1169" s="1">
        <v>45630</v>
      </c>
      <c r="D1169" t="s">
        <v>32</v>
      </c>
      <c r="E1169" t="s">
        <v>33</v>
      </c>
      <c r="F1169" t="s">
        <v>29</v>
      </c>
      <c r="G1169" t="s">
        <v>16</v>
      </c>
      <c r="H1169" t="s">
        <v>39</v>
      </c>
      <c r="I1169">
        <v>2</v>
      </c>
      <c r="J1169">
        <v>0.2</v>
      </c>
      <c r="K1169">
        <v>419.66</v>
      </c>
      <c r="L1169">
        <v>4.2</v>
      </c>
    </row>
    <row r="1170" spans="1:12" x14ac:dyDescent="0.25">
      <c r="A1170" t="s">
        <v>1217</v>
      </c>
      <c r="B1170" s="1">
        <v>45406</v>
      </c>
      <c r="C1170" s="1">
        <v>45408</v>
      </c>
      <c r="D1170" t="s">
        <v>13</v>
      </c>
      <c r="E1170" t="s">
        <v>36</v>
      </c>
      <c r="F1170" t="s">
        <v>29</v>
      </c>
      <c r="G1170" t="s">
        <v>20</v>
      </c>
      <c r="H1170" t="s">
        <v>39</v>
      </c>
      <c r="I1170">
        <v>4</v>
      </c>
      <c r="J1170">
        <v>0.25</v>
      </c>
      <c r="K1170">
        <v>598.36</v>
      </c>
      <c r="L1170">
        <v>5.7</v>
      </c>
    </row>
    <row r="1171" spans="1:12" x14ac:dyDescent="0.25">
      <c r="A1171" t="s">
        <v>1218</v>
      </c>
      <c r="B1171" s="1">
        <v>45320</v>
      </c>
      <c r="C1171" s="1">
        <v>45322</v>
      </c>
      <c r="D1171" t="s">
        <v>47</v>
      </c>
      <c r="E1171" t="s">
        <v>48</v>
      </c>
      <c r="F1171" t="s">
        <v>15</v>
      </c>
      <c r="G1171" t="s">
        <v>20</v>
      </c>
      <c r="H1171" t="s">
        <v>39</v>
      </c>
      <c r="I1171">
        <v>2</v>
      </c>
      <c r="J1171">
        <v>0</v>
      </c>
      <c r="K1171">
        <v>349.44</v>
      </c>
      <c r="L1171">
        <v>7</v>
      </c>
    </row>
    <row r="1172" spans="1:12" x14ac:dyDescent="0.25">
      <c r="A1172" t="s">
        <v>1219</v>
      </c>
      <c r="B1172" s="1">
        <v>45304</v>
      </c>
      <c r="C1172" s="1">
        <v>45310</v>
      </c>
      <c r="D1172" t="s">
        <v>13</v>
      </c>
      <c r="E1172" t="s">
        <v>14</v>
      </c>
      <c r="F1172" t="s">
        <v>15</v>
      </c>
      <c r="G1172" t="s">
        <v>16</v>
      </c>
      <c r="H1172" t="s">
        <v>39</v>
      </c>
      <c r="I1172">
        <v>2</v>
      </c>
      <c r="J1172">
        <v>0</v>
      </c>
      <c r="K1172">
        <v>341.32</v>
      </c>
      <c r="L1172">
        <v>4.2</v>
      </c>
    </row>
    <row r="1173" spans="1:12" x14ac:dyDescent="0.25">
      <c r="A1173" t="s">
        <v>1220</v>
      </c>
      <c r="B1173" s="1">
        <v>45573</v>
      </c>
      <c r="C1173" s="1">
        <v>45578</v>
      </c>
      <c r="D1173" t="s">
        <v>47</v>
      </c>
      <c r="E1173" t="s">
        <v>48</v>
      </c>
      <c r="F1173" t="s">
        <v>29</v>
      </c>
      <c r="G1173" t="s">
        <v>16</v>
      </c>
      <c r="H1173" t="s">
        <v>21</v>
      </c>
      <c r="I1173">
        <v>3</v>
      </c>
      <c r="J1173">
        <v>0</v>
      </c>
      <c r="K1173">
        <v>412.17</v>
      </c>
      <c r="L1173">
        <v>11.4</v>
      </c>
    </row>
    <row r="1174" spans="1:12" x14ac:dyDescent="0.25">
      <c r="A1174" t="s">
        <v>1221</v>
      </c>
      <c r="B1174" s="1">
        <v>45619</v>
      </c>
      <c r="C1174" s="1">
        <v>45622</v>
      </c>
      <c r="D1174" t="s">
        <v>47</v>
      </c>
      <c r="E1174" t="s">
        <v>48</v>
      </c>
      <c r="F1174" t="s">
        <v>25</v>
      </c>
      <c r="G1174" t="s">
        <v>20</v>
      </c>
      <c r="H1174" t="s">
        <v>65</v>
      </c>
      <c r="I1174">
        <v>4</v>
      </c>
      <c r="J1174">
        <v>0</v>
      </c>
      <c r="K1174">
        <v>1513.42</v>
      </c>
      <c r="L1174">
        <v>8.2200000000000006</v>
      </c>
    </row>
    <row r="1175" spans="1:12" x14ac:dyDescent="0.25">
      <c r="A1175" t="s">
        <v>1222</v>
      </c>
      <c r="B1175" s="1">
        <v>45567</v>
      </c>
      <c r="C1175" s="1">
        <v>45570</v>
      </c>
      <c r="D1175" t="s">
        <v>32</v>
      </c>
      <c r="E1175" t="s">
        <v>62</v>
      </c>
      <c r="F1175" t="s">
        <v>29</v>
      </c>
      <c r="G1175" t="s">
        <v>26</v>
      </c>
      <c r="H1175" t="s">
        <v>65</v>
      </c>
      <c r="I1175">
        <v>1</v>
      </c>
      <c r="J1175">
        <v>0.15</v>
      </c>
      <c r="K1175">
        <v>287.32</v>
      </c>
      <c r="L1175">
        <v>4.08</v>
      </c>
    </row>
    <row r="1176" spans="1:12" x14ac:dyDescent="0.25">
      <c r="A1176" t="s">
        <v>1223</v>
      </c>
      <c r="B1176" s="1">
        <v>45650</v>
      </c>
      <c r="C1176" s="1">
        <v>45655</v>
      </c>
      <c r="D1176" t="s">
        <v>32</v>
      </c>
      <c r="E1176" t="s">
        <v>45</v>
      </c>
      <c r="F1176" t="s">
        <v>25</v>
      </c>
      <c r="G1176" t="s">
        <v>20</v>
      </c>
      <c r="H1176" t="s">
        <v>41</v>
      </c>
      <c r="I1176">
        <v>25</v>
      </c>
      <c r="J1176">
        <v>0</v>
      </c>
      <c r="K1176">
        <v>206.7</v>
      </c>
      <c r="L1176">
        <v>9.4499999999999993</v>
      </c>
    </row>
    <row r="1177" spans="1:12" x14ac:dyDescent="0.25">
      <c r="A1177" t="s">
        <v>1224</v>
      </c>
      <c r="B1177" s="1">
        <v>45953</v>
      </c>
      <c r="C1177" s="1">
        <v>45957</v>
      </c>
      <c r="D1177" t="s">
        <v>47</v>
      </c>
      <c r="E1177" t="s">
        <v>71</v>
      </c>
      <c r="F1177" t="s">
        <v>29</v>
      </c>
      <c r="G1177" t="s">
        <v>26</v>
      </c>
      <c r="H1177" t="s">
        <v>41</v>
      </c>
      <c r="I1177">
        <v>14</v>
      </c>
      <c r="J1177">
        <v>0.15</v>
      </c>
      <c r="K1177">
        <v>83.32</v>
      </c>
      <c r="L1177">
        <v>10.8</v>
      </c>
    </row>
    <row r="1178" spans="1:12" x14ac:dyDescent="0.25">
      <c r="A1178" t="s">
        <v>1225</v>
      </c>
      <c r="B1178" s="1">
        <v>45313</v>
      </c>
      <c r="C1178" s="1">
        <v>45315</v>
      </c>
      <c r="D1178" t="s">
        <v>23</v>
      </c>
      <c r="E1178" t="s">
        <v>24</v>
      </c>
      <c r="F1178" t="s">
        <v>15</v>
      </c>
      <c r="G1178" t="s">
        <v>16</v>
      </c>
      <c r="H1178" t="s">
        <v>87</v>
      </c>
      <c r="I1178">
        <v>12</v>
      </c>
      <c r="J1178">
        <v>0</v>
      </c>
      <c r="K1178">
        <v>87.96</v>
      </c>
      <c r="L1178">
        <v>5.94</v>
      </c>
    </row>
    <row r="1179" spans="1:12" x14ac:dyDescent="0.25">
      <c r="A1179" t="s">
        <v>1226</v>
      </c>
      <c r="B1179" s="1">
        <v>45309</v>
      </c>
      <c r="C1179" s="1">
        <v>45310</v>
      </c>
      <c r="D1179" t="s">
        <v>32</v>
      </c>
      <c r="E1179" t="s">
        <v>45</v>
      </c>
      <c r="F1179" t="s">
        <v>29</v>
      </c>
      <c r="G1179" t="s">
        <v>20</v>
      </c>
      <c r="H1179" t="s">
        <v>27</v>
      </c>
      <c r="I1179">
        <v>11</v>
      </c>
      <c r="J1179">
        <v>0.25</v>
      </c>
      <c r="K1179">
        <v>211.83</v>
      </c>
      <c r="L1179">
        <v>5.67</v>
      </c>
    </row>
    <row r="1180" spans="1:12" x14ac:dyDescent="0.25">
      <c r="A1180" t="s">
        <v>1227</v>
      </c>
      <c r="B1180" s="1">
        <v>45408</v>
      </c>
      <c r="C1180" s="1">
        <v>45410</v>
      </c>
      <c r="D1180" t="s">
        <v>47</v>
      </c>
      <c r="E1180" t="s">
        <v>71</v>
      </c>
      <c r="F1180" t="s">
        <v>29</v>
      </c>
      <c r="G1180" t="s">
        <v>26</v>
      </c>
      <c r="H1180" t="s">
        <v>17</v>
      </c>
      <c r="I1180">
        <v>4</v>
      </c>
      <c r="J1180">
        <v>0.1</v>
      </c>
      <c r="K1180">
        <v>458.45</v>
      </c>
      <c r="L1180">
        <v>9.5</v>
      </c>
    </row>
    <row r="1181" spans="1:12" x14ac:dyDescent="0.25">
      <c r="A1181" t="s">
        <v>1228</v>
      </c>
      <c r="B1181" s="1">
        <v>45933</v>
      </c>
      <c r="C1181" s="1">
        <v>45939</v>
      </c>
      <c r="D1181" t="s">
        <v>32</v>
      </c>
      <c r="E1181" t="s">
        <v>45</v>
      </c>
      <c r="F1181" t="s">
        <v>15</v>
      </c>
      <c r="G1181" t="s">
        <v>26</v>
      </c>
      <c r="H1181" t="s">
        <v>51</v>
      </c>
      <c r="I1181">
        <v>6</v>
      </c>
      <c r="J1181">
        <v>0.05</v>
      </c>
      <c r="K1181">
        <v>92.19</v>
      </c>
      <c r="L1181">
        <v>7.2</v>
      </c>
    </row>
    <row r="1182" spans="1:12" x14ac:dyDescent="0.25">
      <c r="A1182" t="s">
        <v>1229</v>
      </c>
      <c r="B1182" s="1">
        <v>45859</v>
      </c>
      <c r="C1182" s="1">
        <v>45860</v>
      </c>
      <c r="D1182" t="s">
        <v>32</v>
      </c>
      <c r="E1182" t="s">
        <v>45</v>
      </c>
      <c r="F1182" t="s">
        <v>29</v>
      </c>
      <c r="G1182" t="s">
        <v>20</v>
      </c>
      <c r="H1182" t="s">
        <v>87</v>
      </c>
      <c r="I1182">
        <v>16</v>
      </c>
      <c r="J1182">
        <v>0.15</v>
      </c>
      <c r="K1182">
        <v>101.67</v>
      </c>
      <c r="L1182">
        <v>11.7</v>
      </c>
    </row>
    <row r="1183" spans="1:12" x14ac:dyDescent="0.25">
      <c r="A1183" t="s">
        <v>1230</v>
      </c>
      <c r="B1183" s="1">
        <v>45554</v>
      </c>
      <c r="C1183" s="1">
        <v>45560</v>
      </c>
      <c r="D1183" t="s">
        <v>32</v>
      </c>
      <c r="E1183" t="s">
        <v>45</v>
      </c>
      <c r="F1183" t="s">
        <v>15</v>
      </c>
      <c r="G1183" t="s">
        <v>20</v>
      </c>
      <c r="H1183" t="s">
        <v>17</v>
      </c>
      <c r="I1183">
        <v>1</v>
      </c>
      <c r="J1183">
        <v>0</v>
      </c>
      <c r="K1183">
        <v>133.38</v>
      </c>
      <c r="L1183">
        <v>5.75</v>
      </c>
    </row>
    <row r="1184" spans="1:12" x14ac:dyDescent="0.25">
      <c r="A1184" t="s">
        <v>1231</v>
      </c>
      <c r="B1184" s="1">
        <v>45765</v>
      </c>
      <c r="C1184" s="1">
        <v>45769</v>
      </c>
      <c r="D1184" t="s">
        <v>47</v>
      </c>
      <c r="E1184" t="s">
        <v>50</v>
      </c>
      <c r="F1184" t="s">
        <v>29</v>
      </c>
      <c r="G1184" t="s">
        <v>20</v>
      </c>
      <c r="H1184" t="s">
        <v>87</v>
      </c>
      <c r="I1184">
        <v>16</v>
      </c>
      <c r="J1184">
        <v>0</v>
      </c>
      <c r="K1184">
        <v>123.21</v>
      </c>
      <c r="L1184">
        <v>7.02</v>
      </c>
    </row>
    <row r="1185" spans="1:12" x14ac:dyDescent="0.25">
      <c r="A1185" t="s">
        <v>1232</v>
      </c>
      <c r="B1185" s="1">
        <v>45606</v>
      </c>
      <c r="C1185" s="1">
        <v>45607</v>
      </c>
      <c r="D1185" t="s">
        <v>23</v>
      </c>
      <c r="E1185" t="s">
        <v>59</v>
      </c>
      <c r="F1185" t="s">
        <v>29</v>
      </c>
      <c r="G1185" t="s">
        <v>26</v>
      </c>
      <c r="H1185" t="s">
        <v>30</v>
      </c>
      <c r="I1185">
        <v>12</v>
      </c>
      <c r="J1185">
        <v>0.2</v>
      </c>
      <c r="K1185">
        <v>74.400000000000006</v>
      </c>
      <c r="L1185">
        <v>9.9</v>
      </c>
    </row>
    <row r="1186" spans="1:12" x14ac:dyDescent="0.25">
      <c r="A1186" t="s">
        <v>1233</v>
      </c>
      <c r="B1186" s="1">
        <v>45768</v>
      </c>
      <c r="C1186" s="1">
        <v>45769</v>
      </c>
      <c r="D1186" t="s">
        <v>47</v>
      </c>
      <c r="E1186" t="s">
        <v>48</v>
      </c>
      <c r="F1186" t="s">
        <v>29</v>
      </c>
      <c r="G1186" t="s">
        <v>20</v>
      </c>
      <c r="H1186" t="s">
        <v>41</v>
      </c>
      <c r="I1186">
        <v>4</v>
      </c>
      <c r="J1186">
        <v>0</v>
      </c>
      <c r="K1186">
        <v>23.4</v>
      </c>
      <c r="L1186">
        <v>6.3</v>
      </c>
    </row>
    <row r="1187" spans="1:12" x14ac:dyDescent="0.25">
      <c r="A1187" t="s">
        <v>1234</v>
      </c>
      <c r="B1187" s="1">
        <v>45405</v>
      </c>
      <c r="C1187" s="1">
        <v>45407</v>
      </c>
      <c r="D1187" t="s">
        <v>13</v>
      </c>
      <c r="E1187" t="s">
        <v>14</v>
      </c>
      <c r="F1187" t="s">
        <v>29</v>
      </c>
      <c r="G1187" t="s">
        <v>20</v>
      </c>
      <c r="H1187" t="s">
        <v>51</v>
      </c>
      <c r="I1187">
        <v>14</v>
      </c>
      <c r="J1187">
        <v>0</v>
      </c>
      <c r="K1187">
        <v>197.58</v>
      </c>
      <c r="L1187">
        <v>6.48</v>
      </c>
    </row>
    <row r="1188" spans="1:12" x14ac:dyDescent="0.25">
      <c r="A1188" t="s">
        <v>1235</v>
      </c>
      <c r="B1188" s="1">
        <v>45522</v>
      </c>
      <c r="C1188" s="1">
        <v>45524</v>
      </c>
      <c r="D1188" t="s">
        <v>47</v>
      </c>
      <c r="E1188" t="s">
        <v>71</v>
      </c>
      <c r="F1188" t="s">
        <v>29</v>
      </c>
      <c r="G1188" t="s">
        <v>16</v>
      </c>
      <c r="H1188" t="s">
        <v>60</v>
      </c>
      <c r="I1188">
        <v>4</v>
      </c>
      <c r="J1188">
        <v>0</v>
      </c>
      <c r="K1188">
        <v>446.68</v>
      </c>
      <c r="L1188">
        <v>9.5</v>
      </c>
    </row>
    <row r="1189" spans="1:12" x14ac:dyDescent="0.25">
      <c r="A1189" t="s">
        <v>1236</v>
      </c>
      <c r="B1189" s="1">
        <v>45575</v>
      </c>
      <c r="C1189" s="1">
        <v>45577</v>
      </c>
      <c r="D1189" t="s">
        <v>23</v>
      </c>
      <c r="E1189" t="s">
        <v>43</v>
      </c>
      <c r="F1189" t="s">
        <v>15</v>
      </c>
      <c r="G1189" t="s">
        <v>26</v>
      </c>
      <c r="H1189" t="s">
        <v>39</v>
      </c>
      <c r="I1189">
        <v>1</v>
      </c>
      <c r="J1189">
        <v>0.15</v>
      </c>
      <c r="K1189">
        <v>197.76</v>
      </c>
      <c r="L1189">
        <v>5.75</v>
      </c>
    </row>
    <row r="1190" spans="1:12" x14ac:dyDescent="0.25">
      <c r="A1190" t="s">
        <v>1237</v>
      </c>
      <c r="B1190" s="1">
        <v>45792</v>
      </c>
      <c r="C1190" s="1">
        <v>45793</v>
      </c>
      <c r="D1190" t="s">
        <v>32</v>
      </c>
      <c r="E1190" t="s">
        <v>45</v>
      </c>
      <c r="F1190" t="s">
        <v>15</v>
      </c>
      <c r="G1190" t="s">
        <v>16</v>
      </c>
      <c r="H1190" t="s">
        <v>87</v>
      </c>
      <c r="I1190">
        <v>14</v>
      </c>
      <c r="J1190">
        <v>0</v>
      </c>
      <c r="K1190">
        <v>118.78</v>
      </c>
      <c r="L1190">
        <v>10.8</v>
      </c>
    </row>
    <row r="1191" spans="1:12" x14ac:dyDescent="0.25">
      <c r="A1191" t="s">
        <v>1238</v>
      </c>
      <c r="B1191" s="1">
        <v>45595</v>
      </c>
      <c r="C1191" s="1">
        <v>45601</v>
      </c>
      <c r="D1191" t="s">
        <v>23</v>
      </c>
      <c r="E1191" t="s">
        <v>24</v>
      </c>
      <c r="F1191" t="s">
        <v>15</v>
      </c>
      <c r="G1191" t="s">
        <v>20</v>
      </c>
      <c r="H1191" t="s">
        <v>21</v>
      </c>
      <c r="I1191">
        <v>4</v>
      </c>
      <c r="J1191">
        <v>0</v>
      </c>
      <c r="K1191">
        <v>551.42999999999995</v>
      </c>
      <c r="L1191">
        <v>13.7</v>
      </c>
    </row>
    <row r="1192" spans="1:12" x14ac:dyDescent="0.25">
      <c r="A1192" t="s">
        <v>1239</v>
      </c>
      <c r="B1192" s="1">
        <v>45702</v>
      </c>
      <c r="C1192" s="1">
        <v>45706</v>
      </c>
      <c r="D1192" t="s">
        <v>47</v>
      </c>
      <c r="E1192" t="s">
        <v>71</v>
      </c>
      <c r="F1192" t="s">
        <v>25</v>
      </c>
      <c r="G1192" t="s">
        <v>16</v>
      </c>
      <c r="H1192" t="s">
        <v>30</v>
      </c>
      <c r="I1192">
        <v>8</v>
      </c>
      <c r="J1192">
        <v>0</v>
      </c>
      <c r="K1192">
        <v>44.05</v>
      </c>
      <c r="L1192">
        <v>8.1</v>
      </c>
    </row>
    <row r="1193" spans="1:12" x14ac:dyDescent="0.25">
      <c r="A1193" t="s">
        <v>1240</v>
      </c>
      <c r="B1193" s="1">
        <v>45945</v>
      </c>
      <c r="C1193" s="1">
        <v>45947</v>
      </c>
      <c r="D1193" t="s">
        <v>13</v>
      </c>
      <c r="E1193" t="s">
        <v>19</v>
      </c>
      <c r="F1193" t="s">
        <v>29</v>
      </c>
      <c r="G1193" t="s">
        <v>16</v>
      </c>
      <c r="H1193" t="s">
        <v>39</v>
      </c>
      <c r="I1193">
        <v>4</v>
      </c>
      <c r="J1193">
        <v>0</v>
      </c>
      <c r="K1193">
        <v>938.65</v>
      </c>
      <c r="L1193">
        <v>5.7</v>
      </c>
    </row>
    <row r="1194" spans="1:12" x14ac:dyDescent="0.25">
      <c r="A1194" t="s">
        <v>1241</v>
      </c>
      <c r="B1194" s="1">
        <v>45594</v>
      </c>
      <c r="C1194" s="1">
        <v>45595</v>
      </c>
      <c r="D1194" t="s">
        <v>47</v>
      </c>
      <c r="E1194" t="s">
        <v>71</v>
      </c>
      <c r="F1194" t="s">
        <v>29</v>
      </c>
      <c r="G1194" t="s">
        <v>16</v>
      </c>
      <c r="H1194" t="s">
        <v>34</v>
      </c>
      <c r="I1194">
        <v>5</v>
      </c>
      <c r="J1194">
        <v>0.15</v>
      </c>
      <c r="K1194">
        <v>1033.22</v>
      </c>
      <c r="L1194">
        <v>16</v>
      </c>
    </row>
    <row r="1195" spans="1:12" x14ac:dyDescent="0.25">
      <c r="A1195" t="s">
        <v>1242</v>
      </c>
      <c r="B1195" s="1">
        <v>45412</v>
      </c>
      <c r="C1195" s="1">
        <v>45418</v>
      </c>
      <c r="D1195" t="s">
        <v>47</v>
      </c>
      <c r="E1195" t="s">
        <v>50</v>
      </c>
      <c r="F1195" t="s">
        <v>29</v>
      </c>
      <c r="G1195" t="s">
        <v>20</v>
      </c>
      <c r="H1195" t="s">
        <v>60</v>
      </c>
      <c r="I1195">
        <v>1</v>
      </c>
      <c r="J1195">
        <v>0.1</v>
      </c>
      <c r="K1195">
        <v>94.29</v>
      </c>
      <c r="L1195">
        <v>3.45</v>
      </c>
    </row>
    <row r="1196" spans="1:12" x14ac:dyDescent="0.25">
      <c r="A1196" t="s">
        <v>1243</v>
      </c>
      <c r="B1196" s="1">
        <v>45660</v>
      </c>
      <c r="C1196" s="1">
        <v>45665</v>
      </c>
      <c r="D1196" t="s">
        <v>23</v>
      </c>
      <c r="E1196" t="s">
        <v>43</v>
      </c>
      <c r="F1196" t="s">
        <v>15</v>
      </c>
      <c r="G1196" t="s">
        <v>16</v>
      </c>
      <c r="H1196" t="s">
        <v>39</v>
      </c>
      <c r="I1196">
        <v>4</v>
      </c>
      <c r="J1196">
        <v>0.2</v>
      </c>
      <c r="K1196">
        <v>536.96</v>
      </c>
      <c r="L1196">
        <v>9.5</v>
      </c>
    </row>
    <row r="1197" spans="1:12" x14ac:dyDescent="0.25">
      <c r="A1197" t="s">
        <v>1244</v>
      </c>
      <c r="B1197" s="1">
        <v>45599</v>
      </c>
      <c r="C1197" s="1">
        <v>45602</v>
      </c>
      <c r="D1197" t="s">
        <v>32</v>
      </c>
      <c r="E1197" t="s">
        <v>62</v>
      </c>
      <c r="F1197" t="s">
        <v>15</v>
      </c>
      <c r="G1197" t="s">
        <v>26</v>
      </c>
      <c r="H1197" t="s">
        <v>21</v>
      </c>
      <c r="I1197">
        <v>3</v>
      </c>
      <c r="J1197">
        <v>0</v>
      </c>
      <c r="K1197">
        <v>475</v>
      </c>
      <c r="L1197">
        <v>11.4</v>
      </c>
    </row>
    <row r="1198" spans="1:12" x14ac:dyDescent="0.25">
      <c r="A1198" t="s">
        <v>1245</v>
      </c>
      <c r="B1198" s="1">
        <v>45905</v>
      </c>
      <c r="C1198" s="1">
        <v>45906</v>
      </c>
      <c r="D1198" t="s">
        <v>13</v>
      </c>
      <c r="E1198" t="s">
        <v>14</v>
      </c>
      <c r="F1198" t="s">
        <v>15</v>
      </c>
      <c r="G1198" t="s">
        <v>26</v>
      </c>
      <c r="H1198" t="s">
        <v>68</v>
      </c>
      <c r="I1198">
        <v>4</v>
      </c>
      <c r="J1198">
        <v>0.05</v>
      </c>
      <c r="K1198">
        <v>223.38</v>
      </c>
      <c r="L1198">
        <v>9.5</v>
      </c>
    </row>
    <row r="1199" spans="1:12" x14ac:dyDescent="0.25">
      <c r="A1199" t="s">
        <v>1246</v>
      </c>
      <c r="B1199" s="1">
        <v>45881</v>
      </c>
      <c r="C1199" s="1">
        <v>45883</v>
      </c>
      <c r="D1199" t="s">
        <v>32</v>
      </c>
      <c r="E1199" t="s">
        <v>45</v>
      </c>
      <c r="F1199" t="s">
        <v>29</v>
      </c>
      <c r="G1199" t="s">
        <v>16</v>
      </c>
      <c r="H1199" t="s">
        <v>37</v>
      </c>
      <c r="I1199">
        <v>4</v>
      </c>
      <c r="J1199">
        <v>0</v>
      </c>
      <c r="K1199">
        <v>418.96</v>
      </c>
      <c r="L1199">
        <v>8.2200000000000006</v>
      </c>
    </row>
    <row r="1200" spans="1:12" x14ac:dyDescent="0.25">
      <c r="A1200" t="s">
        <v>1247</v>
      </c>
      <c r="B1200" s="1">
        <v>45695</v>
      </c>
      <c r="C1200" s="1">
        <v>45701</v>
      </c>
      <c r="D1200" t="s">
        <v>32</v>
      </c>
      <c r="E1200" t="s">
        <v>45</v>
      </c>
      <c r="F1200" t="s">
        <v>29</v>
      </c>
      <c r="G1200" t="s">
        <v>16</v>
      </c>
      <c r="H1200" t="s">
        <v>60</v>
      </c>
      <c r="I1200">
        <v>1</v>
      </c>
      <c r="J1200">
        <v>0</v>
      </c>
      <c r="K1200">
        <v>102.21</v>
      </c>
      <c r="L1200">
        <v>3.45</v>
      </c>
    </row>
    <row r="1201" spans="1:12" x14ac:dyDescent="0.25">
      <c r="A1201" t="s">
        <v>1248</v>
      </c>
      <c r="B1201" s="1">
        <v>45593</v>
      </c>
      <c r="C1201" s="1">
        <v>45599</v>
      </c>
      <c r="D1201" t="s">
        <v>13</v>
      </c>
      <c r="E1201" t="s">
        <v>36</v>
      </c>
      <c r="F1201" t="s">
        <v>25</v>
      </c>
      <c r="G1201" t="s">
        <v>26</v>
      </c>
      <c r="H1201" t="s">
        <v>60</v>
      </c>
      <c r="I1201">
        <v>4</v>
      </c>
      <c r="J1201">
        <v>0.05</v>
      </c>
      <c r="K1201">
        <v>519.02</v>
      </c>
      <c r="L1201">
        <v>5.7</v>
      </c>
    </row>
    <row r="1202" spans="1:12" x14ac:dyDescent="0.25">
      <c r="A1202" t="s">
        <v>1249</v>
      </c>
      <c r="B1202" s="1">
        <v>45770</v>
      </c>
      <c r="C1202" s="1">
        <v>45776</v>
      </c>
      <c r="D1202" t="s">
        <v>23</v>
      </c>
      <c r="E1202" t="s">
        <v>24</v>
      </c>
      <c r="F1202" t="s">
        <v>25</v>
      </c>
      <c r="G1202" t="s">
        <v>26</v>
      </c>
      <c r="H1202" t="s">
        <v>21</v>
      </c>
      <c r="I1202">
        <v>1</v>
      </c>
      <c r="J1202">
        <v>0</v>
      </c>
      <c r="K1202">
        <v>112.32</v>
      </c>
      <c r="L1202">
        <v>4.08</v>
      </c>
    </row>
    <row r="1203" spans="1:12" x14ac:dyDescent="0.25">
      <c r="A1203" t="s">
        <v>1250</v>
      </c>
      <c r="B1203" s="1">
        <v>45854</v>
      </c>
      <c r="C1203" s="1">
        <v>45860</v>
      </c>
      <c r="D1203" t="s">
        <v>47</v>
      </c>
      <c r="E1203" t="s">
        <v>50</v>
      </c>
      <c r="F1203" t="s">
        <v>15</v>
      </c>
      <c r="G1203" t="s">
        <v>16</v>
      </c>
      <c r="H1203" t="s">
        <v>51</v>
      </c>
      <c r="I1203">
        <v>7</v>
      </c>
      <c r="J1203">
        <v>0</v>
      </c>
      <c r="K1203">
        <v>99.89</v>
      </c>
      <c r="L1203">
        <v>4.59</v>
      </c>
    </row>
    <row r="1204" spans="1:12" x14ac:dyDescent="0.25">
      <c r="A1204" t="s">
        <v>1251</v>
      </c>
      <c r="B1204" s="1">
        <v>45372</v>
      </c>
      <c r="C1204" s="1">
        <v>45378</v>
      </c>
      <c r="D1204" t="s">
        <v>32</v>
      </c>
      <c r="E1204" t="s">
        <v>62</v>
      </c>
      <c r="F1204" t="s">
        <v>15</v>
      </c>
      <c r="G1204" t="s">
        <v>20</v>
      </c>
      <c r="H1204" t="s">
        <v>51</v>
      </c>
      <c r="I1204">
        <v>11</v>
      </c>
      <c r="J1204">
        <v>0.2</v>
      </c>
      <c r="K1204">
        <v>122.7</v>
      </c>
      <c r="L1204">
        <v>9.4499999999999993</v>
      </c>
    </row>
    <row r="1205" spans="1:12" x14ac:dyDescent="0.25">
      <c r="A1205" t="s">
        <v>1252</v>
      </c>
      <c r="B1205" s="1">
        <v>45956</v>
      </c>
      <c r="C1205" s="1">
        <v>45959</v>
      </c>
      <c r="D1205" t="s">
        <v>32</v>
      </c>
      <c r="E1205" t="s">
        <v>62</v>
      </c>
      <c r="F1205" t="s">
        <v>29</v>
      </c>
      <c r="G1205" t="s">
        <v>16</v>
      </c>
      <c r="H1205" t="s">
        <v>51</v>
      </c>
      <c r="I1205">
        <v>3</v>
      </c>
      <c r="J1205">
        <v>0</v>
      </c>
      <c r="K1205">
        <v>52.69</v>
      </c>
      <c r="L1205">
        <v>5.85</v>
      </c>
    </row>
    <row r="1206" spans="1:12" x14ac:dyDescent="0.25">
      <c r="A1206" t="s">
        <v>1253</v>
      </c>
      <c r="B1206" s="1">
        <v>45420</v>
      </c>
      <c r="C1206" s="1">
        <v>45423</v>
      </c>
      <c r="D1206" t="s">
        <v>23</v>
      </c>
      <c r="E1206" t="s">
        <v>43</v>
      </c>
      <c r="F1206" t="s">
        <v>29</v>
      </c>
      <c r="G1206" t="s">
        <v>16</v>
      </c>
      <c r="H1206" t="s">
        <v>87</v>
      </c>
      <c r="I1206">
        <v>7</v>
      </c>
      <c r="J1206">
        <v>0</v>
      </c>
      <c r="K1206">
        <v>59.36</v>
      </c>
      <c r="L1206">
        <v>4.59</v>
      </c>
    </row>
    <row r="1207" spans="1:12" x14ac:dyDescent="0.25">
      <c r="A1207" t="s">
        <v>1254</v>
      </c>
      <c r="B1207" s="1">
        <v>45987</v>
      </c>
      <c r="C1207" s="1">
        <v>45991</v>
      </c>
      <c r="D1207" t="s">
        <v>47</v>
      </c>
      <c r="E1207" t="s">
        <v>71</v>
      </c>
      <c r="F1207" t="s">
        <v>15</v>
      </c>
      <c r="G1207" t="s">
        <v>20</v>
      </c>
      <c r="H1207" t="s">
        <v>60</v>
      </c>
      <c r="I1207">
        <v>3</v>
      </c>
      <c r="J1207">
        <v>0</v>
      </c>
      <c r="K1207">
        <v>446.51</v>
      </c>
      <c r="L1207">
        <v>8.25</v>
      </c>
    </row>
    <row r="1208" spans="1:12" x14ac:dyDescent="0.25">
      <c r="A1208" t="s">
        <v>1255</v>
      </c>
      <c r="B1208" s="1">
        <v>45820</v>
      </c>
      <c r="C1208" s="1">
        <v>45823</v>
      </c>
      <c r="D1208" t="s">
        <v>23</v>
      </c>
      <c r="E1208" t="s">
        <v>24</v>
      </c>
      <c r="F1208" t="s">
        <v>25</v>
      </c>
      <c r="G1208" t="s">
        <v>26</v>
      </c>
      <c r="H1208" t="s">
        <v>17</v>
      </c>
      <c r="I1208">
        <v>5</v>
      </c>
      <c r="J1208">
        <v>0.05</v>
      </c>
      <c r="K1208">
        <v>655.75</v>
      </c>
      <c r="L1208">
        <v>10.75</v>
      </c>
    </row>
    <row r="1209" spans="1:12" x14ac:dyDescent="0.25">
      <c r="A1209" t="s">
        <v>1256</v>
      </c>
      <c r="B1209" s="1">
        <v>45531</v>
      </c>
      <c r="C1209" s="1">
        <v>45535</v>
      </c>
      <c r="D1209" t="s">
        <v>23</v>
      </c>
      <c r="E1209" t="s">
        <v>43</v>
      </c>
      <c r="F1209" t="s">
        <v>15</v>
      </c>
      <c r="G1209" t="s">
        <v>20</v>
      </c>
      <c r="H1209" t="s">
        <v>65</v>
      </c>
      <c r="I1209">
        <v>1</v>
      </c>
      <c r="J1209">
        <v>0.1</v>
      </c>
      <c r="K1209">
        <v>231.2</v>
      </c>
      <c r="L1209">
        <v>6.8</v>
      </c>
    </row>
    <row r="1210" spans="1:12" x14ac:dyDescent="0.25">
      <c r="A1210" t="s">
        <v>1257</v>
      </c>
      <c r="B1210" s="1">
        <v>45599</v>
      </c>
      <c r="C1210" s="1">
        <v>45605</v>
      </c>
      <c r="D1210" t="s">
        <v>32</v>
      </c>
      <c r="E1210" t="s">
        <v>45</v>
      </c>
      <c r="F1210" t="s">
        <v>15</v>
      </c>
      <c r="G1210" t="s">
        <v>26</v>
      </c>
      <c r="H1210" t="s">
        <v>27</v>
      </c>
      <c r="I1210">
        <v>12</v>
      </c>
      <c r="J1210">
        <v>0.05</v>
      </c>
      <c r="K1210">
        <v>442.26</v>
      </c>
      <c r="L1210">
        <v>9.9</v>
      </c>
    </row>
    <row r="1211" spans="1:12" x14ac:dyDescent="0.25">
      <c r="A1211" t="s">
        <v>1258</v>
      </c>
      <c r="B1211" s="1">
        <v>45325</v>
      </c>
      <c r="C1211" s="1">
        <v>45331</v>
      </c>
      <c r="D1211" t="s">
        <v>32</v>
      </c>
      <c r="E1211" t="s">
        <v>33</v>
      </c>
      <c r="F1211" t="s">
        <v>25</v>
      </c>
      <c r="G1211" t="s">
        <v>16</v>
      </c>
      <c r="H1211" t="s">
        <v>30</v>
      </c>
      <c r="I1211">
        <v>4</v>
      </c>
      <c r="J1211">
        <v>0</v>
      </c>
      <c r="K1211">
        <v>22.32</v>
      </c>
      <c r="L1211">
        <v>6.3</v>
      </c>
    </row>
    <row r="1212" spans="1:12" x14ac:dyDescent="0.25">
      <c r="A1212" t="s">
        <v>1259</v>
      </c>
      <c r="B1212" s="1">
        <v>45899</v>
      </c>
      <c r="C1212" s="1">
        <v>45902</v>
      </c>
      <c r="D1212" t="s">
        <v>32</v>
      </c>
      <c r="E1212" t="s">
        <v>62</v>
      </c>
      <c r="F1212" t="s">
        <v>15</v>
      </c>
      <c r="G1212" t="s">
        <v>26</v>
      </c>
      <c r="H1212" t="s">
        <v>34</v>
      </c>
      <c r="I1212">
        <v>1</v>
      </c>
      <c r="J1212">
        <v>0.15</v>
      </c>
      <c r="K1212">
        <v>156.06</v>
      </c>
      <c r="L1212">
        <v>4.08</v>
      </c>
    </row>
    <row r="1213" spans="1:12" x14ac:dyDescent="0.25">
      <c r="A1213" t="s">
        <v>1260</v>
      </c>
      <c r="B1213" s="1">
        <v>45595</v>
      </c>
      <c r="C1213" s="1">
        <v>45596</v>
      </c>
      <c r="D1213" t="s">
        <v>13</v>
      </c>
      <c r="E1213" t="s">
        <v>14</v>
      </c>
      <c r="F1213" t="s">
        <v>15</v>
      </c>
      <c r="G1213" t="s">
        <v>20</v>
      </c>
      <c r="H1213" t="s">
        <v>68</v>
      </c>
      <c r="I1213">
        <v>2</v>
      </c>
      <c r="J1213">
        <v>0</v>
      </c>
      <c r="K1213">
        <v>126.59</v>
      </c>
      <c r="L1213">
        <v>4.2</v>
      </c>
    </row>
    <row r="1214" spans="1:12" x14ac:dyDescent="0.25">
      <c r="A1214" t="s">
        <v>1261</v>
      </c>
      <c r="B1214" s="1">
        <v>45511</v>
      </c>
      <c r="C1214" s="1">
        <v>45517</v>
      </c>
      <c r="D1214" t="s">
        <v>13</v>
      </c>
      <c r="E1214" t="s">
        <v>19</v>
      </c>
      <c r="F1214" t="s">
        <v>15</v>
      </c>
      <c r="G1214" t="s">
        <v>20</v>
      </c>
      <c r="H1214" t="s">
        <v>53</v>
      </c>
      <c r="I1214">
        <v>7</v>
      </c>
      <c r="J1214">
        <v>0.25</v>
      </c>
      <c r="K1214">
        <v>279.41000000000003</v>
      </c>
      <c r="L1214">
        <v>13.25</v>
      </c>
    </row>
    <row r="1215" spans="1:12" x14ac:dyDescent="0.25">
      <c r="A1215" t="s">
        <v>1262</v>
      </c>
      <c r="B1215" s="1">
        <v>45774</v>
      </c>
      <c r="C1215" s="1">
        <v>45777</v>
      </c>
      <c r="D1215" t="s">
        <v>32</v>
      </c>
      <c r="E1215" t="s">
        <v>33</v>
      </c>
      <c r="F1215" t="s">
        <v>29</v>
      </c>
      <c r="G1215" t="s">
        <v>20</v>
      </c>
      <c r="H1215" t="s">
        <v>65</v>
      </c>
      <c r="I1215">
        <v>1</v>
      </c>
      <c r="J1215">
        <v>0.25</v>
      </c>
      <c r="K1215">
        <v>207.98</v>
      </c>
      <c r="L1215">
        <v>4.08</v>
      </c>
    </row>
    <row r="1216" spans="1:12" x14ac:dyDescent="0.25">
      <c r="A1216" t="s">
        <v>1263</v>
      </c>
      <c r="B1216" s="1">
        <v>45333</v>
      </c>
      <c r="C1216" s="1">
        <v>45339</v>
      </c>
      <c r="D1216" t="s">
        <v>13</v>
      </c>
      <c r="E1216" t="s">
        <v>36</v>
      </c>
      <c r="F1216" t="s">
        <v>15</v>
      </c>
      <c r="G1216" t="s">
        <v>26</v>
      </c>
      <c r="H1216" t="s">
        <v>39</v>
      </c>
      <c r="I1216">
        <v>4</v>
      </c>
      <c r="J1216">
        <v>0.1</v>
      </c>
      <c r="K1216">
        <v>659.33</v>
      </c>
      <c r="L1216">
        <v>5.7</v>
      </c>
    </row>
    <row r="1217" spans="1:12" x14ac:dyDescent="0.25">
      <c r="A1217" t="s">
        <v>1264</v>
      </c>
      <c r="B1217" s="1">
        <v>45492</v>
      </c>
      <c r="C1217" s="1">
        <v>45497</v>
      </c>
      <c r="D1217" t="s">
        <v>23</v>
      </c>
      <c r="E1217" t="s">
        <v>43</v>
      </c>
      <c r="F1217" t="s">
        <v>29</v>
      </c>
      <c r="G1217" t="s">
        <v>16</v>
      </c>
      <c r="H1217" t="s">
        <v>41</v>
      </c>
      <c r="I1217">
        <v>5</v>
      </c>
      <c r="J1217">
        <v>0</v>
      </c>
      <c r="K1217">
        <v>28.04</v>
      </c>
      <c r="L1217">
        <v>4.05</v>
      </c>
    </row>
    <row r="1218" spans="1:12" x14ac:dyDescent="0.25">
      <c r="A1218" t="s">
        <v>1265</v>
      </c>
      <c r="B1218" s="1">
        <v>45770</v>
      </c>
      <c r="C1218" s="1">
        <v>45772</v>
      </c>
      <c r="D1218" t="s">
        <v>47</v>
      </c>
      <c r="E1218" t="s">
        <v>48</v>
      </c>
      <c r="F1218" t="s">
        <v>29</v>
      </c>
      <c r="G1218" t="s">
        <v>16</v>
      </c>
      <c r="H1218" t="s">
        <v>27</v>
      </c>
      <c r="I1218">
        <v>5</v>
      </c>
      <c r="J1218">
        <v>0</v>
      </c>
      <c r="K1218">
        <v>138.94999999999999</v>
      </c>
      <c r="L1218">
        <v>4.05</v>
      </c>
    </row>
    <row r="1219" spans="1:12" x14ac:dyDescent="0.25">
      <c r="A1219" t="s">
        <v>1266</v>
      </c>
      <c r="B1219" s="1">
        <v>45908</v>
      </c>
      <c r="C1219" s="1">
        <v>45909</v>
      </c>
      <c r="D1219" t="s">
        <v>47</v>
      </c>
      <c r="E1219" t="s">
        <v>71</v>
      </c>
      <c r="F1219" t="s">
        <v>15</v>
      </c>
      <c r="G1219" t="s">
        <v>20</v>
      </c>
      <c r="H1219" t="s">
        <v>41</v>
      </c>
      <c r="I1219">
        <v>5</v>
      </c>
      <c r="J1219">
        <v>0</v>
      </c>
      <c r="K1219">
        <v>34.93</v>
      </c>
      <c r="L1219">
        <v>4.05</v>
      </c>
    </row>
    <row r="1220" spans="1:12" x14ac:dyDescent="0.25">
      <c r="A1220" t="s">
        <v>1267</v>
      </c>
      <c r="B1220" s="1">
        <v>45377</v>
      </c>
      <c r="C1220" s="1">
        <v>45378</v>
      </c>
      <c r="D1220" t="s">
        <v>23</v>
      </c>
      <c r="E1220" t="s">
        <v>43</v>
      </c>
      <c r="F1220" t="s">
        <v>29</v>
      </c>
      <c r="G1220" t="s">
        <v>26</v>
      </c>
      <c r="H1220" t="s">
        <v>63</v>
      </c>
      <c r="I1220">
        <v>7</v>
      </c>
      <c r="J1220">
        <v>0</v>
      </c>
      <c r="K1220">
        <v>79.81</v>
      </c>
      <c r="L1220">
        <v>4.59</v>
      </c>
    </row>
    <row r="1221" spans="1:12" x14ac:dyDescent="0.25">
      <c r="A1221" t="s">
        <v>1268</v>
      </c>
      <c r="B1221" s="1">
        <v>45527</v>
      </c>
      <c r="C1221" s="1">
        <v>45528</v>
      </c>
      <c r="D1221" t="s">
        <v>32</v>
      </c>
      <c r="E1221" t="s">
        <v>45</v>
      </c>
      <c r="F1221" t="s">
        <v>15</v>
      </c>
      <c r="G1221" t="s">
        <v>20</v>
      </c>
      <c r="H1221" t="s">
        <v>39</v>
      </c>
      <c r="I1221">
        <v>1</v>
      </c>
      <c r="J1221">
        <v>0.1</v>
      </c>
      <c r="K1221">
        <v>170.38</v>
      </c>
      <c r="L1221">
        <v>5.75</v>
      </c>
    </row>
    <row r="1222" spans="1:12" x14ac:dyDescent="0.25">
      <c r="A1222" t="s">
        <v>1269</v>
      </c>
      <c r="B1222" s="1">
        <v>45843</v>
      </c>
      <c r="C1222" s="1">
        <v>45848</v>
      </c>
      <c r="D1222" t="s">
        <v>23</v>
      </c>
      <c r="E1222" t="s">
        <v>43</v>
      </c>
      <c r="F1222" t="s">
        <v>29</v>
      </c>
      <c r="G1222" t="s">
        <v>20</v>
      </c>
      <c r="H1222" t="s">
        <v>65</v>
      </c>
      <c r="I1222">
        <v>3</v>
      </c>
      <c r="J1222">
        <v>0</v>
      </c>
      <c r="K1222">
        <v>828.76</v>
      </c>
      <c r="L1222">
        <v>11.4</v>
      </c>
    </row>
    <row r="1223" spans="1:12" x14ac:dyDescent="0.25">
      <c r="A1223" t="s">
        <v>1270</v>
      </c>
      <c r="B1223" s="1">
        <v>45703</v>
      </c>
      <c r="C1223" s="1">
        <v>45707</v>
      </c>
      <c r="D1223" t="s">
        <v>32</v>
      </c>
      <c r="E1223" t="s">
        <v>33</v>
      </c>
      <c r="F1223" t="s">
        <v>15</v>
      </c>
      <c r="G1223" t="s">
        <v>26</v>
      </c>
      <c r="H1223" t="s">
        <v>21</v>
      </c>
      <c r="I1223">
        <v>3</v>
      </c>
      <c r="J1223">
        <v>0.1</v>
      </c>
      <c r="K1223">
        <v>280.31</v>
      </c>
      <c r="L1223">
        <v>6.84</v>
      </c>
    </row>
    <row r="1224" spans="1:12" x14ac:dyDescent="0.25">
      <c r="A1224" t="s">
        <v>1271</v>
      </c>
      <c r="B1224" s="1">
        <v>45588</v>
      </c>
      <c r="C1224" s="1">
        <v>45593</v>
      </c>
      <c r="D1224" t="s">
        <v>13</v>
      </c>
      <c r="E1224" t="s">
        <v>14</v>
      </c>
      <c r="F1224" t="s">
        <v>29</v>
      </c>
      <c r="G1224" t="s">
        <v>20</v>
      </c>
      <c r="H1224" t="s">
        <v>68</v>
      </c>
      <c r="I1224">
        <v>1</v>
      </c>
      <c r="J1224">
        <v>0.15</v>
      </c>
      <c r="K1224">
        <v>48.78</v>
      </c>
      <c r="L1224">
        <v>3.45</v>
      </c>
    </row>
    <row r="1225" spans="1:12" x14ac:dyDescent="0.25">
      <c r="A1225" t="s">
        <v>1272</v>
      </c>
      <c r="B1225" s="1">
        <v>45696</v>
      </c>
      <c r="C1225" s="1">
        <v>45701</v>
      </c>
      <c r="D1225" t="s">
        <v>32</v>
      </c>
      <c r="E1225" t="s">
        <v>62</v>
      </c>
      <c r="F1225" t="s">
        <v>29</v>
      </c>
      <c r="G1225" t="s">
        <v>20</v>
      </c>
      <c r="H1225" t="s">
        <v>39</v>
      </c>
      <c r="I1225">
        <v>2</v>
      </c>
      <c r="J1225">
        <v>0</v>
      </c>
      <c r="K1225">
        <v>363.9</v>
      </c>
      <c r="L1225">
        <v>7</v>
      </c>
    </row>
    <row r="1226" spans="1:12" x14ac:dyDescent="0.25">
      <c r="A1226" t="s">
        <v>1273</v>
      </c>
      <c r="B1226" s="1">
        <v>45818</v>
      </c>
      <c r="C1226" s="1">
        <v>45824</v>
      </c>
      <c r="D1226" t="s">
        <v>13</v>
      </c>
      <c r="E1226" t="s">
        <v>36</v>
      </c>
      <c r="F1226" t="s">
        <v>15</v>
      </c>
      <c r="G1226" t="s">
        <v>16</v>
      </c>
      <c r="H1226" t="s">
        <v>65</v>
      </c>
      <c r="I1226">
        <v>2</v>
      </c>
      <c r="J1226">
        <v>0</v>
      </c>
      <c r="K1226">
        <v>576.83000000000004</v>
      </c>
      <c r="L1226">
        <v>5.46</v>
      </c>
    </row>
    <row r="1227" spans="1:12" x14ac:dyDescent="0.25">
      <c r="A1227" t="s">
        <v>1274</v>
      </c>
      <c r="B1227" s="1">
        <v>45577</v>
      </c>
      <c r="C1227" s="1">
        <v>45580</v>
      </c>
      <c r="D1227" t="s">
        <v>23</v>
      </c>
      <c r="E1227" t="s">
        <v>24</v>
      </c>
      <c r="F1227" t="s">
        <v>29</v>
      </c>
      <c r="G1227" t="s">
        <v>16</v>
      </c>
      <c r="H1227" t="s">
        <v>34</v>
      </c>
      <c r="I1227">
        <v>1</v>
      </c>
      <c r="J1227">
        <v>0</v>
      </c>
      <c r="K1227">
        <v>251.9</v>
      </c>
      <c r="L1227">
        <v>4.08</v>
      </c>
    </row>
    <row r="1228" spans="1:12" x14ac:dyDescent="0.25">
      <c r="A1228" t="s">
        <v>1275</v>
      </c>
      <c r="B1228" s="1">
        <v>45317</v>
      </c>
      <c r="C1228" s="1">
        <v>45322</v>
      </c>
      <c r="D1228" t="s">
        <v>23</v>
      </c>
      <c r="E1228" t="s">
        <v>24</v>
      </c>
      <c r="F1228" t="s">
        <v>15</v>
      </c>
      <c r="G1228" t="s">
        <v>16</v>
      </c>
      <c r="H1228" t="s">
        <v>27</v>
      </c>
      <c r="I1228">
        <v>10</v>
      </c>
      <c r="J1228">
        <v>0</v>
      </c>
      <c r="K1228">
        <v>249.12</v>
      </c>
      <c r="L1228">
        <v>9</v>
      </c>
    </row>
    <row r="1229" spans="1:12" x14ac:dyDescent="0.25">
      <c r="A1229" t="s">
        <v>1276</v>
      </c>
      <c r="B1229" s="1">
        <v>45510</v>
      </c>
      <c r="C1229" s="1">
        <v>45515</v>
      </c>
      <c r="D1229" t="s">
        <v>47</v>
      </c>
      <c r="E1229" t="s">
        <v>71</v>
      </c>
      <c r="F1229" t="s">
        <v>15</v>
      </c>
      <c r="G1229" t="s">
        <v>20</v>
      </c>
      <c r="H1229" t="s">
        <v>60</v>
      </c>
      <c r="I1229">
        <v>3</v>
      </c>
      <c r="J1229">
        <v>0</v>
      </c>
      <c r="K1229">
        <v>324.77</v>
      </c>
      <c r="L1229">
        <v>4.95</v>
      </c>
    </row>
    <row r="1230" spans="1:12" x14ac:dyDescent="0.25">
      <c r="A1230" t="s">
        <v>1277</v>
      </c>
      <c r="B1230" s="1">
        <v>45972</v>
      </c>
      <c r="C1230" s="1">
        <v>45978</v>
      </c>
      <c r="D1230" t="s">
        <v>47</v>
      </c>
      <c r="E1230" t="s">
        <v>71</v>
      </c>
      <c r="F1230" t="s">
        <v>15</v>
      </c>
      <c r="G1230" t="s">
        <v>20</v>
      </c>
      <c r="H1230" t="s">
        <v>87</v>
      </c>
      <c r="I1230">
        <v>12</v>
      </c>
      <c r="J1230">
        <v>0.05</v>
      </c>
      <c r="K1230">
        <v>124.76</v>
      </c>
      <c r="L1230">
        <v>5.94</v>
      </c>
    </row>
    <row r="1231" spans="1:12" x14ac:dyDescent="0.25">
      <c r="A1231" t="s">
        <v>1278</v>
      </c>
      <c r="B1231" s="1">
        <v>45470</v>
      </c>
      <c r="C1231" s="1">
        <v>45472</v>
      </c>
      <c r="D1231" t="s">
        <v>23</v>
      </c>
      <c r="E1231" t="s">
        <v>24</v>
      </c>
      <c r="F1231" t="s">
        <v>29</v>
      </c>
      <c r="G1231" t="s">
        <v>26</v>
      </c>
      <c r="H1231" t="s">
        <v>53</v>
      </c>
      <c r="I1231">
        <v>1</v>
      </c>
      <c r="J1231">
        <v>0</v>
      </c>
      <c r="K1231">
        <v>61.83</v>
      </c>
      <c r="L1231">
        <v>5.75</v>
      </c>
    </row>
    <row r="1232" spans="1:12" x14ac:dyDescent="0.25">
      <c r="A1232" t="s">
        <v>1279</v>
      </c>
      <c r="B1232" s="1">
        <v>45901</v>
      </c>
      <c r="C1232" s="1">
        <v>45903</v>
      </c>
      <c r="D1232" t="s">
        <v>23</v>
      </c>
      <c r="E1232" t="s">
        <v>59</v>
      </c>
      <c r="F1232" t="s">
        <v>15</v>
      </c>
      <c r="G1232" t="s">
        <v>20</v>
      </c>
      <c r="H1232" t="s">
        <v>68</v>
      </c>
      <c r="I1232">
        <v>4</v>
      </c>
      <c r="J1232">
        <v>0</v>
      </c>
      <c r="K1232">
        <v>212.22</v>
      </c>
      <c r="L1232">
        <v>5.7</v>
      </c>
    </row>
    <row r="1233" spans="1:12" x14ac:dyDescent="0.25">
      <c r="A1233" t="s">
        <v>1280</v>
      </c>
      <c r="B1233" s="1">
        <v>45695</v>
      </c>
      <c r="C1233" s="1">
        <v>45699</v>
      </c>
      <c r="D1233" t="s">
        <v>13</v>
      </c>
      <c r="E1233" t="s">
        <v>19</v>
      </c>
      <c r="F1233" t="s">
        <v>15</v>
      </c>
      <c r="G1233" t="s">
        <v>26</v>
      </c>
      <c r="H1233" t="s">
        <v>37</v>
      </c>
      <c r="I1233">
        <v>4</v>
      </c>
      <c r="J1233">
        <v>0.05</v>
      </c>
      <c r="K1233">
        <v>380.08</v>
      </c>
      <c r="L1233">
        <v>13.7</v>
      </c>
    </row>
    <row r="1234" spans="1:12" x14ac:dyDescent="0.25">
      <c r="A1234" t="s">
        <v>1281</v>
      </c>
      <c r="B1234" s="1">
        <v>45495</v>
      </c>
      <c r="C1234" s="1">
        <v>45499</v>
      </c>
      <c r="D1234" t="s">
        <v>47</v>
      </c>
      <c r="E1234" t="s">
        <v>50</v>
      </c>
      <c r="F1234" t="s">
        <v>15</v>
      </c>
      <c r="G1234" t="s">
        <v>16</v>
      </c>
      <c r="H1234" t="s">
        <v>53</v>
      </c>
      <c r="I1234">
        <v>4</v>
      </c>
      <c r="J1234">
        <v>0</v>
      </c>
      <c r="K1234">
        <v>209.77</v>
      </c>
      <c r="L1234">
        <v>9.5</v>
      </c>
    </row>
    <row r="1235" spans="1:12" x14ac:dyDescent="0.25">
      <c r="A1235" t="s">
        <v>1282</v>
      </c>
      <c r="B1235" s="1">
        <v>45391</v>
      </c>
      <c r="C1235" s="1">
        <v>45392</v>
      </c>
      <c r="D1235" t="s">
        <v>23</v>
      </c>
      <c r="E1235" t="s">
        <v>59</v>
      </c>
      <c r="F1235" t="s">
        <v>25</v>
      </c>
      <c r="G1235" t="s">
        <v>16</v>
      </c>
      <c r="H1235" t="s">
        <v>37</v>
      </c>
      <c r="I1235">
        <v>3</v>
      </c>
      <c r="J1235">
        <v>0</v>
      </c>
      <c r="K1235">
        <v>302.70999999999998</v>
      </c>
      <c r="L1235">
        <v>6.84</v>
      </c>
    </row>
    <row r="1236" spans="1:12" x14ac:dyDescent="0.25">
      <c r="A1236" t="s">
        <v>1283</v>
      </c>
      <c r="B1236" s="1">
        <v>45710</v>
      </c>
      <c r="C1236" s="1">
        <v>45715</v>
      </c>
      <c r="D1236" t="s">
        <v>47</v>
      </c>
      <c r="E1236" t="s">
        <v>71</v>
      </c>
      <c r="F1236" t="s">
        <v>25</v>
      </c>
      <c r="G1236" t="s">
        <v>20</v>
      </c>
      <c r="H1236" t="s">
        <v>39</v>
      </c>
      <c r="I1236">
        <v>4</v>
      </c>
      <c r="J1236">
        <v>0</v>
      </c>
      <c r="K1236">
        <v>719.57</v>
      </c>
      <c r="L1236">
        <v>5.7</v>
      </c>
    </row>
    <row r="1237" spans="1:12" x14ac:dyDescent="0.25">
      <c r="A1237" t="s">
        <v>1284</v>
      </c>
      <c r="B1237" s="1">
        <v>45897</v>
      </c>
      <c r="C1237" s="1">
        <v>45901</v>
      </c>
      <c r="D1237" t="s">
        <v>47</v>
      </c>
      <c r="E1237" t="s">
        <v>50</v>
      </c>
      <c r="F1237" t="s">
        <v>15</v>
      </c>
      <c r="G1237" t="s">
        <v>16</v>
      </c>
      <c r="H1237" t="s">
        <v>41</v>
      </c>
      <c r="I1237">
        <v>4</v>
      </c>
      <c r="J1237">
        <v>0.15</v>
      </c>
      <c r="K1237">
        <v>20.39</v>
      </c>
      <c r="L1237">
        <v>6.3</v>
      </c>
    </row>
    <row r="1238" spans="1:12" x14ac:dyDescent="0.25">
      <c r="A1238" t="s">
        <v>1285</v>
      </c>
      <c r="B1238" s="1">
        <v>45321</v>
      </c>
      <c r="C1238" s="1">
        <v>45323</v>
      </c>
      <c r="D1238" t="s">
        <v>23</v>
      </c>
      <c r="E1238" t="s">
        <v>59</v>
      </c>
      <c r="F1238" t="s">
        <v>15</v>
      </c>
      <c r="G1238" t="s">
        <v>16</v>
      </c>
      <c r="H1238" t="s">
        <v>87</v>
      </c>
      <c r="I1238">
        <v>12</v>
      </c>
      <c r="J1238">
        <v>0.1</v>
      </c>
      <c r="K1238">
        <v>82.92</v>
      </c>
      <c r="L1238">
        <v>9.9</v>
      </c>
    </row>
    <row r="1239" spans="1:12" x14ac:dyDescent="0.25">
      <c r="A1239" t="s">
        <v>1286</v>
      </c>
      <c r="B1239" s="1">
        <v>45461</v>
      </c>
      <c r="C1239" s="1">
        <v>45467</v>
      </c>
      <c r="D1239" t="s">
        <v>23</v>
      </c>
      <c r="E1239" t="s">
        <v>24</v>
      </c>
      <c r="F1239" t="s">
        <v>25</v>
      </c>
      <c r="G1239" t="s">
        <v>26</v>
      </c>
      <c r="H1239" t="s">
        <v>63</v>
      </c>
      <c r="I1239">
        <v>14</v>
      </c>
      <c r="J1239">
        <v>0.1</v>
      </c>
      <c r="K1239">
        <v>168.17</v>
      </c>
      <c r="L1239">
        <v>6.48</v>
      </c>
    </row>
    <row r="1240" spans="1:12" x14ac:dyDescent="0.25">
      <c r="A1240" t="s">
        <v>1287</v>
      </c>
      <c r="B1240" s="1">
        <v>45555</v>
      </c>
      <c r="C1240" s="1">
        <v>45558</v>
      </c>
      <c r="D1240" t="s">
        <v>23</v>
      </c>
      <c r="E1240" t="s">
        <v>24</v>
      </c>
      <c r="F1240" t="s">
        <v>29</v>
      </c>
      <c r="G1240" t="s">
        <v>16</v>
      </c>
      <c r="H1240" t="s">
        <v>68</v>
      </c>
      <c r="I1240">
        <v>2</v>
      </c>
      <c r="J1240">
        <v>0</v>
      </c>
      <c r="K1240">
        <v>111.63</v>
      </c>
      <c r="L1240">
        <v>4.2</v>
      </c>
    </row>
    <row r="1241" spans="1:12" x14ac:dyDescent="0.25">
      <c r="A1241" t="s">
        <v>1288</v>
      </c>
      <c r="B1241" s="1">
        <v>45846</v>
      </c>
      <c r="C1241" s="1">
        <v>45848</v>
      </c>
      <c r="D1241" t="s">
        <v>32</v>
      </c>
      <c r="E1241" t="s">
        <v>33</v>
      </c>
      <c r="F1241" t="s">
        <v>29</v>
      </c>
      <c r="G1241" t="s">
        <v>20</v>
      </c>
      <c r="H1241" t="s">
        <v>39</v>
      </c>
      <c r="I1241">
        <v>2</v>
      </c>
      <c r="J1241">
        <v>0.25</v>
      </c>
      <c r="K1241">
        <v>271.98</v>
      </c>
      <c r="L1241">
        <v>4.2</v>
      </c>
    </row>
    <row r="1242" spans="1:12" x14ac:dyDescent="0.25">
      <c r="A1242" t="s">
        <v>1289</v>
      </c>
      <c r="B1242" s="1">
        <v>45442</v>
      </c>
      <c r="C1242" s="1">
        <v>45446</v>
      </c>
      <c r="D1242" t="s">
        <v>23</v>
      </c>
      <c r="E1242" t="s">
        <v>59</v>
      </c>
      <c r="F1242" t="s">
        <v>29</v>
      </c>
      <c r="G1242" t="s">
        <v>26</v>
      </c>
      <c r="H1242" t="s">
        <v>37</v>
      </c>
      <c r="I1242">
        <v>4</v>
      </c>
      <c r="J1242">
        <v>0.2</v>
      </c>
      <c r="K1242">
        <v>334.28</v>
      </c>
      <c r="L1242">
        <v>8.2200000000000006</v>
      </c>
    </row>
    <row r="1243" spans="1:12" x14ac:dyDescent="0.25">
      <c r="A1243" t="s">
        <v>1290</v>
      </c>
      <c r="B1243" s="1">
        <v>45398</v>
      </c>
      <c r="C1243" s="1">
        <v>45400</v>
      </c>
      <c r="D1243" t="s">
        <v>32</v>
      </c>
      <c r="E1243" t="s">
        <v>33</v>
      </c>
      <c r="F1243" t="s">
        <v>25</v>
      </c>
      <c r="G1243" t="s">
        <v>16</v>
      </c>
      <c r="H1243" t="s">
        <v>60</v>
      </c>
      <c r="I1243">
        <v>3</v>
      </c>
      <c r="J1243">
        <v>0</v>
      </c>
      <c r="K1243">
        <v>313.62</v>
      </c>
      <c r="L1243">
        <v>8.25</v>
      </c>
    </row>
    <row r="1244" spans="1:12" x14ac:dyDescent="0.25">
      <c r="A1244" t="s">
        <v>1291</v>
      </c>
      <c r="B1244" s="1">
        <v>45427</v>
      </c>
      <c r="C1244" s="1">
        <v>45432</v>
      </c>
      <c r="D1244" t="s">
        <v>47</v>
      </c>
      <c r="E1244" t="s">
        <v>71</v>
      </c>
      <c r="F1244" t="s">
        <v>29</v>
      </c>
      <c r="G1244" t="s">
        <v>26</v>
      </c>
      <c r="H1244" t="s">
        <v>27</v>
      </c>
      <c r="I1244">
        <v>7</v>
      </c>
      <c r="J1244">
        <v>0.2</v>
      </c>
      <c r="K1244">
        <v>160.78</v>
      </c>
      <c r="L1244">
        <v>4.59</v>
      </c>
    </row>
    <row r="1245" spans="1:12" x14ac:dyDescent="0.25">
      <c r="A1245" t="s">
        <v>1292</v>
      </c>
      <c r="B1245" s="1">
        <v>45951</v>
      </c>
      <c r="C1245" s="1">
        <v>45957</v>
      </c>
      <c r="D1245" t="s">
        <v>13</v>
      </c>
      <c r="E1245" t="s">
        <v>36</v>
      </c>
      <c r="F1245" t="s">
        <v>29</v>
      </c>
      <c r="G1245" t="s">
        <v>26</v>
      </c>
      <c r="H1245" t="s">
        <v>51</v>
      </c>
      <c r="I1245">
        <v>11</v>
      </c>
      <c r="J1245">
        <v>0</v>
      </c>
      <c r="K1245">
        <v>184.2</v>
      </c>
      <c r="L1245">
        <v>9.4499999999999993</v>
      </c>
    </row>
    <row r="1246" spans="1:12" x14ac:dyDescent="0.25">
      <c r="A1246" t="s">
        <v>1293</v>
      </c>
      <c r="B1246" s="1">
        <v>45898</v>
      </c>
      <c r="C1246" s="1">
        <v>45901</v>
      </c>
      <c r="D1246" t="s">
        <v>47</v>
      </c>
      <c r="E1246" t="s">
        <v>71</v>
      </c>
      <c r="F1246" t="s">
        <v>29</v>
      </c>
      <c r="G1246" t="s">
        <v>20</v>
      </c>
      <c r="H1246" t="s">
        <v>63</v>
      </c>
      <c r="I1246">
        <v>5</v>
      </c>
      <c r="J1246">
        <v>0</v>
      </c>
      <c r="K1246">
        <v>57.63</v>
      </c>
      <c r="L1246">
        <v>4.05</v>
      </c>
    </row>
    <row r="1247" spans="1:12" x14ac:dyDescent="0.25">
      <c r="A1247" t="s">
        <v>1294</v>
      </c>
      <c r="B1247" s="1">
        <v>45971</v>
      </c>
      <c r="C1247" s="1">
        <v>45972</v>
      </c>
      <c r="D1247" t="s">
        <v>47</v>
      </c>
      <c r="E1247" t="s">
        <v>71</v>
      </c>
      <c r="F1247" t="s">
        <v>29</v>
      </c>
      <c r="G1247" t="s">
        <v>26</v>
      </c>
      <c r="H1247" t="s">
        <v>27</v>
      </c>
      <c r="I1247">
        <v>4</v>
      </c>
      <c r="J1247">
        <v>0</v>
      </c>
      <c r="K1247">
        <v>157.65</v>
      </c>
      <c r="L1247">
        <v>3.78</v>
      </c>
    </row>
    <row r="1248" spans="1:12" x14ac:dyDescent="0.25">
      <c r="A1248" t="s">
        <v>1295</v>
      </c>
      <c r="B1248" s="1">
        <v>45598</v>
      </c>
      <c r="C1248" s="1">
        <v>45604</v>
      </c>
      <c r="D1248" t="s">
        <v>23</v>
      </c>
      <c r="E1248" t="s">
        <v>24</v>
      </c>
      <c r="F1248" t="s">
        <v>25</v>
      </c>
      <c r="G1248" t="s">
        <v>16</v>
      </c>
      <c r="H1248" t="s">
        <v>30</v>
      </c>
      <c r="I1248">
        <v>4</v>
      </c>
      <c r="J1248">
        <v>0.25</v>
      </c>
      <c r="K1248">
        <v>23.36</v>
      </c>
      <c r="L1248">
        <v>3.78</v>
      </c>
    </row>
    <row r="1249" spans="1:12" x14ac:dyDescent="0.25">
      <c r="A1249" t="s">
        <v>1296</v>
      </c>
      <c r="B1249" s="1">
        <v>45948</v>
      </c>
      <c r="C1249" s="1">
        <v>45951</v>
      </c>
      <c r="D1249" t="s">
        <v>32</v>
      </c>
      <c r="E1249" t="s">
        <v>45</v>
      </c>
      <c r="F1249" t="s">
        <v>15</v>
      </c>
      <c r="G1249" t="s">
        <v>16</v>
      </c>
      <c r="H1249" t="s">
        <v>41</v>
      </c>
      <c r="I1249">
        <v>8</v>
      </c>
      <c r="J1249">
        <v>0.1</v>
      </c>
      <c r="K1249">
        <v>52.27</v>
      </c>
      <c r="L1249">
        <v>4.8600000000000003</v>
      </c>
    </row>
    <row r="1250" spans="1:12" x14ac:dyDescent="0.25">
      <c r="A1250" t="s">
        <v>1297</v>
      </c>
      <c r="B1250" s="1">
        <v>46002</v>
      </c>
      <c r="C1250" s="1">
        <v>46004</v>
      </c>
      <c r="D1250" t="s">
        <v>13</v>
      </c>
      <c r="E1250" t="s">
        <v>19</v>
      </c>
      <c r="F1250" t="s">
        <v>15</v>
      </c>
      <c r="G1250" t="s">
        <v>26</v>
      </c>
      <c r="H1250" t="s">
        <v>65</v>
      </c>
      <c r="I1250">
        <v>2</v>
      </c>
      <c r="J1250">
        <v>0.05</v>
      </c>
      <c r="K1250">
        <v>773.12</v>
      </c>
      <c r="L1250">
        <v>5.46</v>
      </c>
    </row>
    <row r="1251" spans="1:12" x14ac:dyDescent="0.25">
      <c r="A1251" t="s">
        <v>1298</v>
      </c>
      <c r="B1251" s="1">
        <v>45341</v>
      </c>
      <c r="C1251" s="1">
        <v>45346</v>
      </c>
      <c r="D1251" t="s">
        <v>23</v>
      </c>
      <c r="E1251" t="s">
        <v>43</v>
      </c>
      <c r="F1251" t="s">
        <v>29</v>
      </c>
      <c r="G1251" t="s">
        <v>26</v>
      </c>
      <c r="H1251" t="s">
        <v>17</v>
      </c>
      <c r="I1251">
        <v>3</v>
      </c>
      <c r="J1251">
        <v>0</v>
      </c>
      <c r="K1251">
        <v>326.18</v>
      </c>
      <c r="L1251">
        <v>4.95</v>
      </c>
    </row>
    <row r="1252" spans="1:12" x14ac:dyDescent="0.25">
      <c r="A1252" t="s">
        <v>1299</v>
      </c>
      <c r="B1252" s="1">
        <v>45626</v>
      </c>
      <c r="C1252" s="1">
        <v>45630</v>
      </c>
      <c r="D1252" t="s">
        <v>47</v>
      </c>
      <c r="E1252" t="s">
        <v>50</v>
      </c>
      <c r="F1252" t="s">
        <v>15</v>
      </c>
      <c r="G1252" t="s">
        <v>16</v>
      </c>
      <c r="H1252" t="s">
        <v>17</v>
      </c>
      <c r="I1252">
        <v>1</v>
      </c>
      <c r="J1252">
        <v>0</v>
      </c>
      <c r="K1252">
        <v>162.94</v>
      </c>
      <c r="L1252">
        <v>3.45</v>
      </c>
    </row>
    <row r="1253" spans="1:12" x14ac:dyDescent="0.25">
      <c r="A1253" t="s">
        <v>1300</v>
      </c>
      <c r="B1253" s="1">
        <v>45727</v>
      </c>
      <c r="C1253" s="1">
        <v>45731</v>
      </c>
      <c r="D1253" t="s">
        <v>23</v>
      </c>
      <c r="E1253" t="s">
        <v>43</v>
      </c>
      <c r="F1253" t="s">
        <v>15</v>
      </c>
      <c r="G1253" t="s">
        <v>16</v>
      </c>
      <c r="H1253" t="s">
        <v>21</v>
      </c>
      <c r="I1253">
        <v>3</v>
      </c>
      <c r="J1253">
        <v>0.15</v>
      </c>
      <c r="K1253">
        <v>255.07</v>
      </c>
      <c r="L1253">
        <v>6.84</v>
      </c>
    </row>
    <row r="1254" spans="1:12" x14ac:dyDescent="0.25">
      <c r="A1254" t="s">
        <v>1301</v>
      </c>
      <c r="B1254" s="1">
        <v>45981</v>
      </c>
      <c r="C1254" s="1">
        <v>45986</v>
      </c>
      <c r="D1254" t="s">
        <v>47</v>
      </c>
      <c r="E1254" t="s">
        <v>48</v>
      </c>
      <c r="F1254" t="s">
        <v>29</v>
      </c>
      <c r="G1254" t="s">
        <v>16</v>
      </c>
      <c r="H1254" t="s">
        <v>21</v>
      </c>
      <c r="I1254">
        <v>1</v>
      </c>
      <c r="J1254">
        <v>0.05</v>
      </c>
      <c r="K1254">
        <v>148.81</v>
      </c>
      <c r="L1254">
        <v>6.8</v>
      </c>
    </row>
    <row r="1255" spans="1:12" x14ac:dyDescent="0.25">
      <c r="A1255" t="s">
        <v>1302</v>
      </c>
      <c r="B1255" s="1">
        <v>46006</v>
      </c>
      <c r="C1255" s="1">
        <v>46012</v>
      </c>
      <c r="D1255" t="s">
        <v>32</v>
      </c>
      <c r="E1255" t="s">
        <v>62</v>
      </c>
      <c r="F1255" t="s">
        <v>15</v>
      </c>
      <c r="G1255" t="s">
        <v>16</v>
      </c>
      <c r="H1255" t="s">
        <v>63</v>
      </c>
      <c r="I1255">
        <v>6</v>
      </c>
      <c r="J1255">
        <v>0.2</v>
      </c>
      <c r="K1255">
        <v>79.959999999999994</v>
      </c>
      <c r="L1255">
        <v>7.2</v>
      </c>
    </row>
    <row r="1256" spans="1:12" x14ac:dyDescent="0.25">
      <c r="A1256" t="s">
        <v>1303</v>
      </c>
      <c r="B1256" s="1">
        <v>45384</v>
      </c>
      <c r="C1256" s="1">
        <v>45389</v>
      </c>
      <c r="D1256" t="s">
        <v>23</v>
      </c>
      <c r="E1256" t="s">
        <v>59</v>
      </c>
      <c r="F1256" t="s">
        <v>15</v>
      </c>
      <c r="G1256" t="s">
        <v>26</v>
      </c>
      <c r="H1256" t="s">
        <v>41</v>
      </c>
      <c r="I1256">
        <v>7</v>
      </c>
      <c r="J1256">
        <v>0</v>
      </c>
      <c r="K1256">
        <v>43</v>
      </c>
      <c r="L1256">
        <v>4.59</v>
      </c>
    </row>
    <row r="1257" spans="1:12" x14ac:dyDescent="0.25">
      <c r="A1257" t="s">
        <v>1304</v>
      </c>
      <c r="B1257" s="1">
        <v>45742</v>
      </c>
      <c r="C1257" s="1">
        <v>45744</v>
      </c>
      <c r="D1257" t="s">
        <v>47</v>
      </c>
      <c r="E1257" t="s">
        <v>50</v>
      </c>
      <c r="F1257" t="s">
        <v>29</v>
      </c>
      <c r="G1257" t="s">
        <v>26</v>
      </c>
      <c r="H1257" t="s">
        <v>27</v>
      </c>
      <c r="I1257">
        <v>7</v>
      </c>
      <c r="J1257">
        <v>0</v>
      </c>
      <c r="K1257">
        <v>187.7</v>
      </c>
      <c r="L1257">
        <v>4.59</v>
      </c>
    </row>
    <row r="1258" spans="1:12" x14ac:dyDescent="0.25">
      <c r="A1258" t="s">
        <v>1305</v>
      </c>
      <c r="B1258" s="1">
        <v>45936</v>
      </c>
      <c r="C1258" s="1">
        <v>45941</v>
      </c>
      <c r="D1258" t="s">
        <v>23</v>
      </c>
      <c r="E1258" t="s">
        <v>59</v>
      </c>
      <c r="F1258" t="s">
        <v>29</v>
      </c>
      <c r="G1258" t="s">
        <v>26</v>
      </c>
      <c r="H1258" t="s">
        <v>30</v>
      </c>
      <c r="I1258">
        <v>11</v>
      </c>
      <c r="J1258">
        <v>0</v>
      </c>
      <c r="K1258">
        <v>79.97</v>
      </c>
      <c r="L1258">
        <v>9.4499999999999993</v>
      </c>
    </row>
    <row r="1259" spans="1:12" x14ac:dyDescent="0.25">
      <c r="A1259" t="s">
        <v>1306</v>
      </c>
      <c r="B1259" s="1">
        <v>45674</v>
      </c>
      <c r="C1259" s="1">
        <v>45680</v>
      </c>
      <c r="D1259" t="s">
        <v>13</v>
      </c>
      <c r="E1259" t="s">
        <v>19</v>
      </c>
      <c r="F1259" t="s">
        <v>15</v>
      </c>
      <c r="G1259" t="s">
        <v>16</v>
      </c>
      <c r="H1259" t="s">
        <v>34</v>
      </c>
      <c r="I1259">
        <v>4</v>
      </c>
      <c r="J1259">
        <v>0.15</v>
      </c>
      <c r="K1259">
        <v>628.87</v>
      </c>
      <c r="L1259">
        <v>13.7</v>
      </c>
    </row>
    <row r="1260" spans="1:12" x14ac:dyDescent="0.25">
      <c r="A1260" t="s">
        <v>1307</v>
      </c>
      <c r="B1260" s="1">
        <v>45426</v>
      </c>
      <c r="C1260" s="1">
        <v>45429</v>
      </c>
      <c r="D1260" t="s">
        <v>23</v>
      </c>
      <c r="E1260" t="s">
        <v>43</v>
      </c>
      <c r="F1260" t="s">
        <v>25</v>
      </c>
      <c r="G1260" t="s">
        <v>26</v>
      </c>
      <c r="H1260" t="s">
        <v>87</v>
      </c>
      <c r="I1260">
        <v>13</v>
      </c>
      <c r="J1260">
        <v>0</v>
      </c>
      <c r="K1260">
        <v>105.17</v>
      </c>
      <c r="L1260">
        <v>6.21</v>
      </c>
    </row>
    <row r="1261" spans="1:12" x14ac:dyDescent="0.25">
      <c r="A1261" t="s">
        <v>1308</v>
      </c>
      <c r="B1261" s="1">
        <v>45647</v>
      </c>
      <c r="C1261" s="1">
        <v>45652</v>
      </c>
      <c r="D1261" t="s">
        <v>23</v>
      </c>
      <c r="E1261" t="s">
        <v>43</v>
      </c>
      <c r="F1261" t="s">
        <v>15</v>
      </c>
      <c r="G1261" t="s">
        <v>26</v>
      </c>
      <c r="H1261" t="s">
        <v>30</v>
      </c>
      <c r="I1261">
        <v>3</v>
      </c>
      <c r="J1261">
        <v>0</v>
      </c>
      <c r="K1261">
        <v>26.07</v>
      </c>
      <c r="L1261">
        <v>5.85</v>
      </c>
    </row>
    <row r="1262" spans="1:12" x14ac:dyDescent="0.25">
      <c r="A1262" t="s">
        <v>1309</v>
      </c>
      <c r="B1262" s="1">
        <v>45453</v>
      </c>
      <c r="C1262" s="1">
        <v>45458</v>
      </c>
      <c r="D1262" t="s">
        <v>23</v>
      </c>
      <c r="E1262" t="s">
        <v>43</v>
      </c>
      <c r="F1262" t="s">
        <v>15</v>
      </c>
      <c r="G1262" t="s">
        <v>20</v>
      </c>
      <c r="H1262" t="s">
        <v>17</v>
      </c>
      <c r="I1262">
        <v>2</v>
      </c>
      <c r="J1262">
        <v>0.1</v>
      </c>
      <c r="K1262">
        <v>225.94</v>
      </c>
      <c r="L1262">
        <v>4.2</v>
      </c>
    </row>
    <row r="1263" spans="1:12" x14ac:dyDescent="0.25">
      <c r="A1263" t="s">
        <v>1310</v>
      </c>
      <c r="B1263" s="1">
        <v>45397</v>
      </c>
      <c r="C1263" s="1">
        <v>45403</v>
      </c>
      <c r="D1263" t="s">
        <v>47</v>
      </c>
      <c r="E1263" t="s">
        <v>50</v>
      </c>
      <c r="F1263" t="s">
        <v>25</v>
      </c>
      <c r="G1263" t="s">
        <v>20</v>
      </c>
      <c r="H1263" t="s">
        <v>60</v>
      </c>
      <c r="I1263">
        <v>4</v>
      </c>
      <c r="J1263">
        <v>0.2</v>
      </c>
      <c r="K1263">
        <v>335.19</v>
      </c>
      <c r="L1263">
        <v>5.7</v>
      </c>
    </row>
    <row r="1264" spans="1:12" x14ac:dyDescent="0.25">
      <c r="A1264" t="s">
        <v>1311</v>
      </c>
      <c r="B1264" s="1">
        <v>45707</v>
      </c>
      <c r="C1264" s="1">
        <v>45712</v>
      </c>
      <c r="D1264" t="s">
        <v>32</v>
      </c>
      <c r="E1264" t="s">
        <v>62</v>
      </c>
      <c r="F1264" t="s">
        <v>25</v>
      </c>
      <c r="G1264" t="s">
        <v>20</v>
      </c>
      <c r="H1264" t="s">
        <v>27</v>
      </c>
      <c r="I1264">
        <v>4</v>
      </c>
      <c r="J1264">
        <v>0.25</v>
      </c>
      <c r="K1264">
        <v>70.87</v>
      </c>
      <c r="L1264">
        <v>6.3</v>
      </c>
    </row>
    <row r="1265" spans="1:12" x14ac:dyDescent="0.25">
      <c r="A1265" t="s">
        <v>1312</v>
      </c>
      <c r="B1265" s="1">
        <v>45471</v>
      </c>
      <c r="C1265" s="1">
        <v>45474</v>
      </c>
      <c r="D1265" t="s">
        <v>32</v>
      </c>
      <c r="E1265" t="s">
        <v>45</v>
      </c>
      <c r="F1265" t="s">
        <v>29</v>
      </c>
      <c r="G1265" t="s">
        <v>16</v>
      </c>
      <c r="H1265" t="s">
        <v>68</v>
      </c>
      <c r="I1265">
        <v>3</v>
      </c>
      <c r="J1265">
        <v>0.2</v>
      </c>
      <c r="K1265">
        <v>131.91</v>
      </c>
      <c r="L1265">
        <v>4.95</v>
      </c>
    </row>
    <row r="1266" spans="1:12" x14ac:dyDescent="0.25">
      <c r="A1266" t="s">
        <v>1313</v>
      </c>
      <c r="B1266" s="1">
        <v>45324</v>
      </c>
      <c r="C1266" s="1">
        <v>45327</v>
      </c>
      <c r="D1266" t="s">
        <v>47</v>
      </c>
      <c r="E1266" t="s">
        <v>48</v>
      </c>
      <c r="F1266" t="s">
        <v>25</v>
      </c>
      <c r="G1266" t="s">
        <v>16</v>
      </c>
      <c r="H1266" t="s">
        <v>17</v>
      </c>
      <c r="I1266">
        <v>4</v>
      </c>
      <c r="J1266">
        <v>0.1</v>
      </c>
      <c r="K1266">
        <v>400.74</v>
      </c>
      <c r="L1266">
        <v>5.7</v>
      </c>
    </row>
    <row r="1267" spans="1:12" x14ac:dyDescent="0.25">
      <c r="A1267" t="s">
        <v>1314</v>
      </c>
      <c r="B1267" s="1">
        <v>45935</v>
      </c>
      <c r="C1267" s="1">
        <v>45936</v>
      </c>
      <c r="D1267" t="s">
        <v>32</v>
      </c>
      <c r="E1267" t="s">
        <v>33</v>
      </c>
      <c r="F1267" t="s">
        <v>29</v>
      </c>
      <c r="G1267" t="s">
        <v>20</v>
      </c>
      <c r="H1267" t="s">
        <v>65</v>
      </c>
      <c r="I1267">
        <v>7</v>
      </c>
      <c r="J1267">
        <v>0.25</v>
      </c>
      <c r="K1267">
        <v>1780.61</v>
      </c>
      <c r="L1267">
        <v>20.6</v>
      </c>
    </row>
    <row r="1268" spans="1:12" x14ac:dyDescent="0.25">
      <c r="A1268" t="s">
        <v>1315</v>
      </c>
      <c r="B1268" s="1">
        <v>45382</v>
      </c>
      <c r="C1268" s="1">
        <v>45388</v>
      </c>
      <c r="D1268" t="s">
        <v>23</v>
      </c>
      <c r="E1268" t="s">
        <v>43</v>
      </c>
      <c r="F1268" t="s">
        <v>29</v>
      </c>
      <c r="G1268" t="s">
        <v>20</v>
      </c>
      <c r="H1268" t="s">
        <v>63</v>
      </c>
      <c r="I1268">
        <v>23</v>
      </c>
      <c r="J1268">
        <v>0</v>
      </c>
      <c r="K1268">
        <v>261.04000000000002</v>
      </c>
      <c r="L1268">
        <v>14.85</v>
      </c>
    </row>
    <row r="1269" spans="1:12" x14ac:dyDescent="0.25">
      <c r="A1269" t="s">
        <v>1316</v>
      </c>
      <c r="B1269" s="1">
        <v>45709</v>
      </c>
      <c r="C1269" s="1">
        <v>45713</v>
      </c>
      <c r="D1269" t="s">
        <v>47</v>
      </c>
      <c r="E1269" t="s">
        <v>71</v>
      </c>
      <c r="F1269" t="s">
        <v>25</v>
      </c>
      <c r="G1269" t="s">
        <v>26</v>
      </c>
      <c r="H1269" t="s">
        <v>21</v>
      </c>
      <c r="I1269">
        <v>2</v>
      </c>
      <c r="J1269">
        <v>0</v>
      </c>
      <c r="K1269">
        <v>212.8</v>
      </c>
      <c r="L1269">
        <v>5.46</v>
      </c>
    </row>
    <row r="1270" spans="1:12" x14ac:dyDescent="0.25">
      <c r="A1270" t="s">
        <v>1317</v>
      </c>
      <c r="B1270" s="1">
        <v>45600</v>
      </c>
      <c r="C1270" s="1">
        <v>45605</v>
      </c>
      <c r="D1270" t="s">
        <v>32</v>
      </c>
      <c r="E1270" t="s">
        <v>33</v>
      </c>
      <c r="F1270" t="s">
        <v>15</v>
      </c>
      <c r="G1270" t="s">
        <v>16</v>
      </c>
      <c r="H1270" t="s">
        <v>68</v>
      </c>
      <c r="I1270">
        <v>4</v>
      </c>
      <c r="J1270">
        <v>0.2</v>
      </c>
      <c r="K1270">
        <v>221.83</v>
      </c>
      <c r="L1270">
        <v>9.5</v>
      </c>
    </row>
    <row r="1271" spans="1:12" x14ac:dyDescent="0.25">
      <c r="A1271" t="s">
        <v>1318</v>
      </c>
      <c r="B1271" s="1">
        <v>45468</v>
      </c>
      <c r="C1271" s="1">
        <v>45474</v>
      </c>
      <c r="D1271" t="s">
        <v>23</v>
      </c>
      <c r="E1271" t="s">
        <v>43</v>
      </c>
      <c r="F1271" t="s">
        <v>15</v>
      </c>
      <c r="G1271" t="s">
        <v>20</v>
      </c>
      <c r="H1271" t="s">
        <v>30</v>
      </c>
      <c r="I1271">
        <v>7</v>
      </c>
      <c r="J1271">
        <v>0</v>
      </c>
      <c r="K1271">
        <v>43.51</v>
      </c>
      <c r="L1271">
        <v>4.59</v>
      </c>
    </row>
    <row r="1272" spans="1:12" x14ac:dyDescent="0.25">
      <c r="A1272" t="s">
        <v>1319</v>
      </c>
      <c r="B1272" s="1">
        <v>45806</v>
      </c>
      <c r="C1272" s="1">
        <v>45808</v>
      </c>
      <c r="D1272" t="s">
        <v>13</v>
      </c>
      <c r="E1272" t="s">
        <v>36</v>
      </c>
      <c r="F1272" t="s">
        <v>15</v>
      </c>
      <c r="G1272" t="s">
        <v>26</v>
      </c>
      <c r="H1272" t="s">
        <v>34</v>
      </c>
      <c r="I1272">
        <v>2</v>
      </c>
      <c r="J1272">
        <v>0.1</v>
      </c>
      <c r="K1272">
        <v>359.86</v>
      </c>
      <c r="L1272">
        <v>9.1</v>
      </c>
    </row>
    <row r="1273" spans="1:12" x14ac:dyDescent="0.25">
      <c r="A1273" t="s">
        <v>1320</v>
      </c>
      <c r="B1273" s="1">
        <v>45493</v>
      </c>
      <c r="C1273" s="1">
        <v>45499</v>
      </c>
      <c r="D1273" t="s">
        <v>13</v>
      </c>
      <c r="E1273" t="s">
        <v>36</v>
      </c>
      <c r="F1273" t="s">
        <v>25</v>
      </c>
      <c r="G1273" t="s">
        <v>16</v>
      </c>
      <c r="H1273" t="s">
        <v>51</v>
      </c>
      <c r="I1273">
        <v>3</v>
      </c>
      <c r="J1273">
        <v>0</v>
      </c>
      <c r="K1273">
        <v>40.380000000000003</v>
      </c>
      <c r="L1273">
        <v>3.51</v>
      </c>
    </row>
    <row r="1274" spans="1:12" x14ac:dyDescent="0.25">
      <c r="A1274" t="s">
        <v>1321</v>
      </c>
      <c r="B1274" s="1">
        <v>46007</v>
      </c>
      <c r="C1274" s="1">
        <v>46013</v>
      </c>
      <c r="D1274" t="s">
        <v>47</v>
      </c>
      <c r="E1274" t="s">
        <v>48</v>
      </c>
      <c r="F1274" t="s">
        <v>29</v>
      </c>
      <c r="G1274" t="s">
        <v>16</v>
      </c>
      <c r="H1274" t="s">
        <v>21</v>
      </c>
      <c r="I1274">
        <v>1</v>
      </c>
      <c r="J1274">
        <v>0</v>
      </c>
      <c r="K1274">
        <v>166.33</v>
      </c>
      <c r="L1274">
        <v>6.8</v>
      </c>
    </row>
    <row r="1275" spans="1:12" x14ac:dyDescent="0.25">
      <c r="A1275" t="s">
        <v>1322</v>
      </c>
      <c r="B1275" s="1">
        <v>45995</v>
      </c>
      <c r="C1275" s="1">
        <v>45998</v>
      </c>
      <c r="D1275" t="s">
        <v>32</v>
      </c>
      <c r="E1275" t="s">
        <v>45</v>
      </c>
      <c r="F1275" t="s">
        <v>15</v>
      </c>
      <c r="G1275" t="s">
        <v>26</v>
      </c>
      <c r="H1275" t="s">
        <v>30</v>
      </c>
      <c r="I1275">
        <v>13</v>
      </c>
      <c r="J1275">
        <v>0.05</v>
      </c>
      <c r="K1275">
        <v>103.59</v>
      </c>
      <c r="L1275">
        <v>10.35</v>
      </c>
    </row>
    <row r="1276" spans="1:12" x14ac:dyDescent="0.25">
      <c r="A1276" t="s">
        <v>1323</v>
      </c>
      <c r="B1276" s="1">
        <v>45534</v>
      </c>
      <c r="C1276" s="1">
        <v>45538</v>
      </c>
      <c r="D1276" t="s">
        <v>47</v>
      </c>
      <c r="E1276" t="s">
        <v>48</v>
      </c>
      <c r="F1276" t="s">
        <v>29</v>
      </c>
      <c r="G1276" t="s">
        <v>26</v>
      </c>
      <c r="H1276" t="s">
        <v>17</v>
      </c>
      <c r="I1276">
        <v>1</v>
      </c>
      <c r="J1276">
        <v>0.25</v>
      </c>
      <c r="K1276">
        <v>86.59</v>
      </c>
      <c r="L1276">
        <v>5.75</v>
      </c>
    </row>
    <row r="1277" spans="1:12" x14ac:dyDescent="0.25">
      <c r="A1277" t="s">
        <v>1324</v>
      </c>
      <c r="B1277" s="1">
        <v>45615</v>
      </c>
      <c r="C1277" s="1">
        <v>45620</v>
      </c>
      <c r="D1277" t="s">
        <v>13</v>
      </c>
      <c r="E1277" t="s">
        <v>19</v>
      </c>
      <c r="F1277" t="s">
        <v>25</v>
      </c>
      <c r="G1277" t="s">
        <v>20</v>
      </c>
      <c r="H1277" t="s">
        <v>39</v>
      </c>
      <c r="I1277">
        <v>1</v>
      </c>
      <c r="J1277">
        <v>0</v>
      </c>
      <c r="K1277">
        <v>265.08</v>
      </c>
      <c r="L1277">
        <v>3.45</v>
      </c>
    </row>
    <row r="1278" spans="1:12" x14ac:dyDescent="0.25">
      <c r="A1278" t="s">
        <v>1325</v>
      </c>
      <c r="B1278" s="1">
        <v>45761</v>
      </c>
      <c r="C1278" s="1">
        <v>45765</v>
      </c>
      <c r="D1278" t="s">
        <v>23</v>
      </c>
      <c r="E1278" t="s">
        <v>24</v>
      </c>
      <c r="F1278" t="s">
        <v>29</v>
      </c>
      <c r="G1278" t="s">
        <v>26</v>
      </c>
      <c r="H1278" t="s">
        <v>53</v>
      </c>
      <c r="I1278">
        <v>4</v>
      </c>
      <c r="J1278">
        <v>0</v>
      </c>
      <c r="K1278">
        <v>215.1</v>
      </c>
      <c r="L1278">
        <v>5.7</v>
      </c>
    </row>
    <row r="1279" spans="1:12" x14ac:dyDescent="0.25">
      <c r="A1279" t="s">
        <v>1326</v>
      </c>
      <c r="B1279" s="1">
        <v>45682</v>
      </c>
      <c r="C1279" s="1">
        <v>45684</v>
      </c>
      <c r="D1279" t="s">
        <v>47</v>
      </c>
      <c r="E1279" t="s">
        <v>50</v>
      </c>
      <c r="F1279" t="s">
        <v>15</v>
      </c>
      <c r="G1279" t="s">
        <v>26</v>
      </c>
      <c r="H1279" t="s">
        <v>65</v>
      </c>
      <c r="I1279">
        <v>2</v>
      </c>
      <c r="J1279">
        <v>0.25</v>
      </c>
      <c r="K1279">
        <v>378.4</v>
      </c>
      <c r="L1279">
        <v>9.1</v>
      </c>
    </row>
    <row r="1280" spans="1:12" x14ac:dyDescent="0.25">
      <c r="A1280" t="s">
        <v>1327</v>
      </c>
      <c r="B1280" s="1">
        <v>45360</v>
      </c>
      <c r="C1280" s="1">
        <v>45364</v>
      </c>
      <c r="D1280" t="s">
        <v>13</v>
      </c>
      <c r="E1280" t="s">
        <v>14</v>
      </c>
      <c r="F1280" t="s">
        <v>25</v>
      </c>
      <c r="G1280" t="s">
        <v>20</v>
      </c>
      <c r="H1280" t="s">
        <v>53</v>
      </c>
      <c r="I1280">
        <v>1</v>
      </c>
      <c r="J1280">
        <v>0</v>
      </c>
      <c r="K1280">
        <v>50.63</v>
      </c>
      <c r="L1280">
        <v>3.45</v>
      </c>
    </row>
    <row r="1281" spans="1:12" x14ac:dyDescent="0.25">
      <c r="A1281" t="s">
        <v>1328</v>
      </c>
      <c r="B1281" s="1">
        <v>45296</v>
      </c>
      <c r="C1281" s="1">
        <v>45297</v>
      </c>
      <c r="D1281" t="s">
        <v>47</v>
      </c>
      <c r="E1281" t="s">
        <v>50</v>
      </c>
      <c r="F1281" t="s">
        <v>25</v>
      </c>
      <c r="G1281" t="s">
        <v>26</v>
      </c>
      <c r="H1281" t="s">
        <v>34</v>
      </c>
      <c r="I1281">
        <v>1</v>
      </c>
      <c r="J1281">
        <v>0</v>
      </c>
      <c r="K1281">
        <v>182.59</v>
      </c>
      <c r="L1281">
        <v>4.08</v>
      </c>
    </row>
    <row r="1282" spans="1:12" x14ac:dyDescent="0.25">
      <c r="A1282" t="s">
        <v>1329</v>
      </c>
      <c r="B1282" s="1">
        <v>45907</v>
      </c>
      <c r="C1282" s="1">
        <v>45911</v>
      </c>
      <c r="D1282" t="s">
        <v>32</v>
      </c>
      <c r="E1282" t="s">
        <v>33</v>
      </c>
      <c r="F1282" t="s">
        <v>29</v>
      </c>
      <c r="G1282" t="s">
        <v>16</v>
      </c>
      <c r="H1282" t="s">
        <v>68</v>
      </c>
      <c r="I1282">
        <v>7</v>
      </c>
      <c r="J1282">
        <v>0</v>
      </c>
      <c r="K1282">
        <v>382.42</v>
      </c>
      <c r="L1282">
        <v>13.25</v>
      </c>
    </row>
    <row r="1283" spans="1:12" x14ac:dyDescent="0.25">
      <c r="A1283" t="s">
        <v>1330</v>
      </c>
      <c r="B1283" s="1">
        <v>45973</v>
      </c>
      <c r="C1283" s="1">
        <v>45979</v>
      </c>
      <c r="D1283" t="s">
        <v>32</v>
      </c>
      <c r="E1283" t="s">
        <v>45</v>
      </c>
      <c r="F1283" t="s">
        <v>25</v>
      </c>
      <c r="G1283" t="s">
        <v>16</v>
      </c>
      <c r="H1283" t="s">
        <v>21</v>
      </c>
      <c r="I1283">
        <v>3</v>
      </c>
      <c r="J1283">
        <v>0.1</v>
      </c>
      <c r="K1283">
        <v>424.88</v>
      </c>
      <c r="L1283">
        <v>6.84</v>
      </c>
    </row>
    <row r="1284" spans="1:12" x14ac:dyDescent="0.25">
      <c r="A1284" t="s">
        <v>1331</v>
      </c>
      <c r="B1284" s="1">
        <v>45634</v>
      </c>
      <c r="C1284" s="1">
        <v>45640</v>
      </c>
      <c r="D1284" t="s">
        <v>23</v>
      </c>
      <c r="E1284" t="s">
        <v>59</v>
      </c>
      <c r="F1284" t="s">
        <v>15</v>
      </c>
      <c r="G1284" t="s">
        <v>16</v>
      </c>
      <c r="H1284" t="s">
        <v>60</v>
      </c>
      <c r="I1284">
        <v>4</v>
      </c>
      <c r="J1284">
        <v>0.15</v>
      </c>
      <c r="K1284">
        <v>547.52</v>
      </c>
      <c r="L1284">
        <v>9.5</v>
      </c>
    </row>
    <row r="1285" spans="1:12" x14ac:dyDescent="0.25">
      <c r="A1285" t="s">
        <v>1332</v>
      </c>
      <c r="B1285" s="1">
        <v>45651</v>
      </c>
      <c r="C1285" s="1">
        <v>45654</v>
      </c>
      <c r="D1285" t="s">
        <v>32</v>
      </c>
      <c r="E1285" t="s">
        <v>33</v>
      </c>
      <c r="F1285" t="s">
        <v>15</v>
      </c>
      <c r="G1285" t="s">
        <v>20</v>
      </c>
      <c r="H1285" t="s">
        <v>17</v>
      </c>
      <c r="I1285">
        <v>4</v>
      </c>
      <c r="J1285">
        <v>0.05</v>
      </c>
      <c r="K1285">
        <v>686.11</v>
      </c>
      <c r="L1285">
        <v>5.7</v>
      </c>
    </row>
    <row r="1286" spans="1:12" x14ac:dyDescent="0.25">
      <c r="A1286" t="s">
        <v>1333</v>
      </c>
      <c r="B1286" s="1">
        <v>45379</v>
      </c>
      <c r="C1286" s="1">
        <v>45381</v>
      </c>
      <c r="D1286" t="s">
        <v>47</v>
      </c>
      <c r="E1286" t="s">
        <v>50</v>
      </c>
      <c r="F1286" t="s">
        <v>15</v>
      </c>
      <c r="G1286" t="s">
        <v>20</v>
      </c>
      <c r="H1286" t="s">
        <v>41</v>
      </c>
      <c r="I1286">
        <v>5</v>
      </c>
      <c r="J1286">
        <v>0</v>
      </c>
      <c r="K1286">
        <v>28.38</v>
      </c>
      <c r="L1286">
        <v>4.05</v>
      </c>
    </row>
    <row r="1287" spans="1:12" x14ac:dyDescent="0.25">
      <c r="A1287" t="s">
        <v>1334</v>
      </c>
      <c r="B1287" s="1">
        <v>45844</v>
      </c>
      <c r="C1287" s="1">
        <v>45846</v>
      </c>
      <c r="D1287" t="s">
        <v>13</v>
      </c>
      <c r="E1287" t="s">
        <v>36</v>
      </c>
      <c r="F1287" t="s">
        <v>29</v>
      </c>
      <c r="G1287" t="s">
        <v>16</v>
      </c>
      <c r="H1287" t="s">
        <v>34</v>
      </c>
      <c r="I1287">
        <v>3</v>
      </c>
      <c r="J1287">
        <v>0</v>
      </c>
      <c r="K1287">
        <v>592.24</v>
      </c>
      <c r="L1287">
        <v>11.4</v>
      </c>
    </row>
    <row r="1288" spans="1:12" x14ac:dyDescent="0.25">
      <c r="A1288" t="s">
        <v>1335</v>
      </c>
      <c r="B1288" s="1">
        <v>45642</v>
      </c>
      <c r="C1288" s="1">
        <v>45644</v>
      </c>
      <c r="D1288" t="s">
        <v>23</v>
      </c>
      <c r="E1288" t="s">
        <v>59</v>
      </c>
      <c r="F1288" t="s">
        <v>15</v>
      </c>
      <c r="G1288" t="s">
        <v>26</v>
      </c>
      <c r="H1288" t="s">
        <v>60</v>
      </c>
      <c r="I1288">
        <v>4</v>
      </c>
      <c r="J1288">
        <v>0.2</v>
      </c>
      <c r="K1288">
        <v>537.71</v>
      </c>
      <c r="L1288">
        <v>9.5</v>
      </c>
    </row>
    <row r="1289" spans="1:12" x14ac:dyDescent="0.25">
      <c r="A1289" t="s">
        <v>1336</v>
      </c>
      <c r="B1289" s="1">
        <v>45670</v>
      </c>
      <c r="C1289" s="1">
        <v>45672</v>
      </c>
      <c r="D1289" t="s">
        <v>32</v>
      </c>
      <c r="E1289" t="s">
        <v>33</v>
      </c>
      <c r="F1289" t="s">
        <v>25</v>
      </c>
      <c r="G1289" t="s">
        <v>26</v>
      </c>
      <c r="H1289" t="s">
        <v>51</v>
      </c>
      <c r="I1289">
        <v>12</v>
      </c>
      <c r="J1289">
        <v>0</v>
      </c>
      <c r="K1289">
        <v>148</v>
      </c>
      <c r="L1289">
        <v>5.94</v>
      </c>
    </row>
    <row r="1290" spans="1:12" x14ac:dyDescent="0.25">
      <c r="A1290" t="s">
        <v>1337</v>
      </c>
      <c r="B1290" s="1">
        <v>45501</v>
      </c>
      <c r="C1290" s="1">
        <v>45503</v>
      </c>
      <c r="D1290" t="s">
        <v>32</v>
      </c>
      <c r="E1290" t="s">
        <v>33</v>
      </c>
      <c r="F1290" t="s">
        <v>29</v>
      </c>
      <c r="G1290" t="s">
        <v>16</v>
      </c>
      <c r="H1290" t="s">
        <v>60</v>
      </c>
      <c r="I1290">
        <v>1</v>
      </c>
      <c r="J1290">
        <v>0.2</v>
      </c>
      <c r="K1290">
        <v>80.959999999999994</v>
      </c>
      <c r="L1290">
        <v>5.75</v>
      </c>
    </row>
    <row r="1291" spans="1:12" x14ac:dyDescent="0.25">
      <c r="A1291" t="s">
        <v>1338</v>
      </c>
      <c r="B1291" s="1">
        <v>45647</v>
      </c>
      <c r="C1291" s="1">
        <v>45649</v>
      </c>
      <c r="D1291" t="s">
        <v>13</v>
      </c>
      <c r="E1291" t="s">
        <v>14</v>
      </c>
      <c r="F1291" t="s">
        <v>29</v>
      </c>
      <c r="G1291" t="s">
        <v>20</v>
      </c>
      <c r="H1291" t="s">
        <v>60</v>
      </c>
      <c r="I1291">
        <v>4</v>
      </c>
      <c r="J1291">
        <v>0.25</v>
      </c>
      <c r="K1291">
        <v>476.54</v>
      </c>
      <c r="L1291">
        <v>5.7</v>
      </c>
    </row>
    <row r="1292" spans="1:12" x14ac:dyDescent="0.25">
      <c r="A1292" t="s">
        <v>1339</v>
      </c>
      <c r="B1292" s="1">
        <v>45298</v>
      </c>
      <c r="C1292" s="1">
        <v>45303</v>
      </c>
      <c r="D1292" t="s">
        <v>13</v>
      </c>
      <c r="E1292" t="s">
        <v>19</v>
      </c>
      <c r="F1292" t="s">
        <v>25</v>
      </c>
      <c r="G1292" t="s">
        <v>20</v>
      </c>
      <c r="H1292" t="s">
        <v>39</v>
      </c>
      <c r="I1292">
        <v>4</v>
      </c>
      <c r="J1292">
        <v>0</v>
      </c>
      <c r="K1292">
        <v>663.57</v>
      </c>
      <c r="L1292">
        <v>5.7</v>
      </c>
    </row>
    <row r="1293" spans="1:12" x14ac:dyDescent="0.25">
      <c r="A1293" t="s">
        <v>1340</v>
      </c>
      <c r="B1293" s="1">
        <v>45438</v>
      </c>
      <c r="C1293" s="1">
        <v>45444</v>
      </c>
      <c r="D1293" t="s">
        <v>47</v>
      </c>
      <c r="E1293" t="s">
        <v>50</v>
      </c>
      <c r="F1293" t="s">
        <v>29</v>
      </c>
      <c r="G1293" t="s">
        <v>20</v>
      </c>
      <c r="H1293" t="s">
        <v>17</v>
      </c>
      <c r="I1293">
        <v>2</v>
      </c>
      <c r="J1293">
        <v>0.25</v>
      </c>
      <c r="K1293">
        <v>203.34</v>
      </c>
      <c r="L1293">
        <v>7</v>
      </c>
    </row>
    <row r="1294" spans="1:12" x14ac:dyDescent="0.25">
      <c r="A1294" t="s">
        <v>1341</v>
      </c>
      <c r="B1294" s="1">
        <v>45689</v>
      </c>
      <c r="C1294" s="1">
        <v>45691</v>
      </c>
      <c r="D1294" t="s">
        <v>47</v>
      </c>
      <c r="E1294" t="s">
        <v>71</v>
      </c>
      <c r="F1294" t="s">
        <v>15</v>
      </c>
      <c r="G1294" t="s">
        <v>20</v>
      </c>
      <c r="H1294" t="s">
        <v>27</v>
      </c>
      <c r="I1294">
        <v>3</v>
      </c>
      <c r="J1294">
        <v>0</v>
      </c>
      <c r="K1294">
        <v>77.5</v>
      </c>
      <c r="L1294">
        <v>3.51</v>
      </c>
    </row>
    <row r="1295" spans="1:12" x14ac:dyDescent="0.25">
      <c r="A1295" t="s">
        <v>1342</v>
      </c>
      <c r="B1295" s="1">
        <v>45843</v>
      </c>
      <c r="C1295" s="1">
        <v>45847</v>
      </c>
      <c r="D1295" t="s">
        <v>47</v>
      </c>
      <c r="E1295" t="s">
        <v>71</v>
      </c>
      <c r="F1295" t="s">
        <v>15</v>
      </c>
      <c r="G1295" t="s">
        <v>16</v>
      </c>
      <c r="H1295" t="s">
        <v>53</v>
      </c>
      <c r="I1295">
        <v>4</v>
      </c>
      <c r="J1295">
        <v>0.1</v>
      </c>
      <c r="K1295">
        <v>181.01</v>
      </c>
      <c r="L1295">
        <v>5.7</v>
      </c>
    </row>
    <row r="1296" spans="1:12" x14ac:dyDescent="0.25">
      <c r="A1296" t="s">
        <v>1343</v>
      </c>
      <c r="B1296" s="1">
        <v>45736</v>
      </c>
      <c r="C1296" s="1">
        <v>45738</v>
      </c>
      <c r="D1296" t="s">
        <v>13</v>
      </c>
      <c r="E1296" t="s">
        <v>36</v>
      </c>
      <c r="F1296" t="s">
        <v>25</v>
      </c>
      <c r="G1296" t="s">
        <v>20</v>
      </c>
      <c r="H1296" t="s">
        <v>27</v>
      </c>
      <c r="I1296">
        <v>5</v>
      </c>
      <c r="J1296">
        <v>0</v>
      </c>
      <c r="K1296">
        <v>126.9</v>
      </c>
      <c r="L1296">
        <v>4.05</v>
      </c>
    </row>
    <row r="1297" spans="1:12" x14ac:dyDescent="0.25">
      <c r="A1297" t="s">
        <v>1344</v>
      </c>
      <c r="B1297" s="1">
        <v>45574</v>
      </c>
      <c r="C1297" s="1">
        <v>45579</v>
      </c>
      <c r="D1297" t="s">
        <v>23</v>
      </c>
      <c r="E1297" t="s">
        <v>24</v>
      </c>
      <c r="F1297" t="s">
        <v>25</v>
      </c>
      <c r="G1297" t="s">
        <v>16</v>
      </c>
      <c r="H1297" t="s">
        <v>87</v>
      </c>
      <c r="I1297">
        <v>8</v>
      </c>
      <c r="J1297">
        <v>0.05</v>
      </c>
      <c r="K1297">
        <v>74.849999999999994</v>
      </c>
      <c r="L1297">
        <v>8.1</v>
      </c>
    </row>
    <row r="1298" spans="1:12" x14ac:dyDescent="0.25">
      <c r="A1298" t="s">
        <v>1345</v>
      </c>
      <c r="B1298" s="1">
        <v>45744</v>
      </c>
      <c r="C1298" s="1">
        <v>45748</v>
      </c>
      <c r="D1298" t="s">
        <v>13</v>
      </c>
      <c r="E1298" t="s">
        <v>36</v>
      </c>
      <c r="F1298" t="s">
        <v>15</v>
      </c>
      <c r="G1298" t="s">
        <v>20</v>
      </c>
      <c r="H1298" t="s">
        <v>68</v>
      </c>
      <c r="I1298">
        <v>1</v>
      </c>
      <c r="J1298">
        <v>0.15</v>
      </c>
      <c r="K1298">
        <v>41.43</v>
      </c>
      <c r="L1298">
        <v>3.45</v>
      </c>
    </row>
    <row r="1299" spans="1:12" x14ac:dyDescent="0.25">
      <c r="A1299" t="s">
        <v>1346</v>
      </c>
      <c r="B1299" s="1">
        <v>45926</v>
      </c>
      <c r="C1299" s="1">
        <v>45931</v>
      </c>
      <c r="D1299" t="s">
        <v>13</v>
      </c>
      <c r="E1299" t="s">
        <v>36</v>
      </c>
      <c r="F1299" t="s">
        <v>15</v>
      </c>
      <c r="G1299" t="s">
        <v>20</v>
      </c>
      <c r="H1299" t="s">
        <v>53</v>
      </c>
      <c r="I1299">
        <v>5</v>
      </c>
      <c r="J1299">
        <v>0</v>
      </c>
      <c r="K1299">
        <v>309.32</v>
      </c>
      <c r="L1299">
        <v>6.45</v>
      </c>
    </row>
    <row r="1300" spans="1:12" x14ac:dyDescent="0.25">
      <c r="A1300" t="s">
        <v>1347</v>
      </c>
      <c r="B1300" s="1">
        <v>45674</v>
      </c>
      <c r="C1300" s="1">
        <v>45676</v>
      </c>
      <c r="D1300" t="s">
        <v>23</v>
      </c>
      <c r="E1300" t="s">
        <v>24</v>
      </c>
      <c r="F1300" t="s">
        <v>15</v>
      </c>
      <c r="G1300" t="s">
        <v>16</v>
      </c>
      <c r="H1300" t="s">
        <v>27</v>
      </c>
      <c r="I1300">
        <v>13</v>
      </c>
      <c r="J1300">
        <v>0</v>
      </c>
      <c r="K1300">
        <v>332.29</v>
      </c>
      <c r="L1300">
        <v>10.35</v>
      </c>
    </row>
    <row r="1301" spans="1:12" x14ac:dyDescent="0.25">
      <c r="A1301" t="s">
        <v>1348</v>
      </c>
      <c r="B1301" s="1">
        <v>45443</v>
      </c>
      <c r="C1301" s="1">
        <v>45444</v>
      </c>
      <c r="D1301" t="s">
        <v>13</v>
      </c>
      <c r="E1301" t="s">
        <v>19</v>
      </c>
      <c r="F1301" t="s">
        <v>15</v>
      </c>
      <c r="G1301" t="s">
        <v>20</v>
      </c>
      <c r="H1301" t="s">
        <v>37</v>
      </c>
      <c r="I1301">
        <v>2</v>
      </c>
      <c r="J1301">
        <v>0.1</v>
      </c>
      <c r="K1301">
        <v>190.89</v>
      </c>
      <c r="L1301">
        <v>9.1</v>
      </c>
    </row>
    <row r="1302" spans="1:12" x14ac:dyDescent="0.25">
      <c r="A1302" t="s">
        <v>1349</v>
      </c>
      <c r="B1302" s="1">
        <v>45960</v>
      </c>
      <c r="C1302" s="1">
        <v>45962</v>
      </c>
      <c r="D1302" t="s">
        <v>23</v>
      </c>
      <c r="E1302" t="s">
        <v>24</v>
      </c>
      <c r="F1302" t="s">
        <v>29</v>
      </c>
      <c r="G1302" t="s">
        <v>16</v>
      </c>
      <c r="H1302" t="s">
        <v>51</v>
      </c>
      <c r="I1302">
        <v>11</v>
      </c>
      <c r="J1302">
        <v>0.25</v>
      </c>
      <c r="K1302">
        <v>133.36000000000001</v>
      </c>
      <c r="L1302">
        <v>5.67</v>
      </c>
    </row>
    <row r="1303" spans="1:12" x14ac:dyDescent="0.25">
      <c r="A1303" t="s">
        <v>1350</v>
      </c>
      <c r="B1303" s="1">
        <v>45968</v>
      </c>
      <c r="C1303" s="1">
        <v>45974</v>
      </c>
      <c r="D1303" t="s">
        <v>47</v>
      </c>
      <c r="E1303" t="s">
        <v>71</v>
      </c>
      <c r="F1303" t="s">
        <v>29</v>
      </c>
      <c r="G1303" t="s">
        <v>26</v>
      </c>
      <c r="H1303" t="s">
        <v>41</v>
      </c>
      <c r="I1303">
        <v>10</v>
      </c>
      <c r="J1303">
        <v>0</v>
      </c>
      <c r="K1303">
        <v>86.82</v>
      </c>
      <c r="L1303">
        <v>9</v>
      </c>
    </row>
    <row r="1304" spans="1:12" x14ac:dyDescent="0.25">
      <c r="A1304" t="s">
        <v>1351</v>
      </c>
      <c r="B1304" s="1">
        <v>45867</v>
      </c>
      <c r="C1304" s="1">
        <v>45868</v>
      </c>
      <c r="D1304" t="s">
        <v>32</v>
      </c>
      <c r="E1304" t="s">
        <v>45</v>
      </c>
      <c r="F1304" t="s">
        <v>29</v>
      </c>
      <c r="G1304" t="s">
        <v>16</v>
      </c>
      <c r="H1304" t="s">
        <v>63</v>
      </c>
      <c r="I1304">
        <v>12</v>
      </c>
      <c r="J1304">
        <v>0.25</v>
      </c>
      <c r="K1304">
        <v>97.91</v>
      </c>
      <c r="L1304">
        <v>9.9</v>
      </c>
    </row>
    <row r="1305" spans="1:12" x14ac:dyDescent="0.25">
      <c r="A1305" t="s">
        <v>1352</v>
      </c>
      <c r="B1305" s="1">
        <v>45990</v>
      </c>
      <c r="C1305" s="1">
        <v>45994</v>
      </c>
      <c r="D1305" t="s">
        <v>13</v>
      </c>
      <c r="E1305" t="s">
        <v>36</v>
      </c>
      <c r="F1305" t="s">
        <v>25</v>
      </c>
      <c r="G1305" t="s">
        <v>26</v>
      </c>
      <c r="H1305" t="s">
        <v>41</v>
      </c>
      <c r="I1305">
        <v>12</v>
      </c>
      <c r="J1305">
        <v>0</v>
      </c>
      <c r="K1305">
        <v>102.84</v>
      </c>
      <c r="L1305">
        <v>9.9</v>
      </c>
    </row>
    <row r="1306" spans="1:12" x14ac:dyDescent="0.25">
      <c r="A1306" t="s">
        <v>1353</v>
      </c>
      <c r="B1306" s="1">
        <v>45354</v>
      </c>
      <c r="C1306" s="1">
        <v>45356</v>
      </c>
      <c r="D1306" t="s">
        <v>23</v>
      </c>
      <c r="E1306" t="s">
        <v>59</v>
      </c>
      <c r="F1306" t="s">
        <v>29</v>
      </c>
      <c r="G1306" t="s">
        <v>16</v>
      </c>
      <c r="H1306" t="s">
        <v>21</v>
      </c>
      <c r="I1306">
        <v>1</v>
      </c>
      <c r="J1306">
        <v>0</v>
      </c>
      <c r="K1306">
        <v>105.75</v>
      </c>
      <c r="L1306">
        <v>4.08</v>
      </c>
    </row>
    <row r="1307" spans="1:12" x14ac:dyDescent="0.25">
      <c r="A1307" t="s">
        <v>1354</v>
      </c>
      <c r="B1307" s="1">
        <v>45775</v>
      </c>
      <c r="C1307" s="1">
        <v>45779</v>
      </c>
      <c r="D1307" t="s">
        <v>23</v>
      </c>
      <c r="E1307" t="s">
        <v>43</v>
      </c>
      <c r="F1307" t="s">
        <v>29</v>
      </c>
      <c r="G1307" t="s">
        <v>16</v>
      </c>
      <c r="H1307" t="s">
        <v>51</v>
      </c>
      <c r="I1307">
        <v>13</v>
      </c>
      <c r="J1307">
        <v>0</v>
      </c>
      <c r="K1307">
        <v>181.58</v>
      </c>
      <c r="L1307">
        <v>10.35</v>
      </c>
    </row>
    <row r="1308" spans="1:12" x14ac:dyDescent="0.25">
      <c r="A1308" t="s">
        <v>1355</v>
      </c>
      <c r="B1308" s="1">
        <v>45356</v>
      </c>
      <c r="C1308" s="1">
        <v>45358</v>
      </c>
      <c r="D1308" t="s">
        <v>47</v>
      </c>
      <c r="E1308" t="s">
        <v>48</v>
      </c>
      <c r="F1308" t="s">
        <v>25</v>
      </c>
      <c r="G1308" t="s">
        <v>20</v>
      </c>
      <c r="H1308" t="s">
        <v>87</v>
      </c>
      <c r="I1308">
        <v>13</v>
      </c>
      <c r="J1308">
        <v>0</v>
      </c>
      <c r="K1308">
        <v>104.89</v>
      </c>
      <c r="L1308">
        <v>6.21</v>
      </c>
    </row>
    <row r="1309" spans="1:12" x14ac:dyDescent="0.25">
      <c r="A1309" t="s">
        <v>1356</v>
      </c>
      <c r="B1309" s="1">
        <v>45825</v>
      </c>
      <c r="C1309" s="1">
        <v>45828</v>
      </c>
      <c r="D1309" t="s">
        <v>47</v>
      </c>
      <c r="E1309" t="s">
        <v>50</v>
      </c>
      <c r="F1309" t="s">
        <v>15</v>
      </c>
      <c r="G1309" t="s">
        <v>20</v>
      </c>
      <c r="H1309" t="s">
        <v>53</v>
      </c>
      <c r="I1309">
        <v>4</v>
      </c>
      <c r="J1309">
        <v>0</v>
      </c>
      <c r="K1309">
        <v>248.49</v>
      </c>
      <c r="L1309">
        <v>9.5</v>
      </c>
    </row>
    <row r="1310" spans="1:12" x14ac:dyDescent="0.25">
      <c r="A1310" t="s">
        <v>1357</v>
      </c>
      <c r="B1310" s="1">
        <v>45620</v>
      </c>
      <c r="C1310" s="1">
        <v>45624</v>
      </c>
      <c r="D1310" t="s">
        <v>13</v>
      </c>
      <c r="E1310" t="s">
        <v>19</v>
      </c>
      <c r="F1310" t="s">
        <v>25</v>
      </c>
      <c r="G1310" t="s">
        <v>26</v>
      </c>
      <c r="H1310" t="s">
        <v>60</v>
      </c>
      <c r="I1310">
        <v>1</v>
      </c>
      <c r="J1310">
        <v>0</v>
      </c>
      <c r="K1310">
        <v>143.19999999999999</v>
      </c>
      <c r="L1310">
        <v>3.45</v>
      </c>
    </row>
    <row r="1311" spans="1:12" x14ac:dyDescent="0.25">
      <c r="A1311" t="s">
        <v>1358</v>
      </c>
      <c r="B1311" s="1">
        <v>45320</v>
      </c>
      <c r="C1311" s="1">
        <v>45326</v>
      </c>
      <c r="D1311" t="s">
        <v>23</v>
      </c>
      <c r="E1311" t="s">
        <v>59</v>
      </c>
      <c r="F1311" t="s">
        <v>25</v>
      </c>
      <c r="G1311" t="s">
        <v>20</v>
      </c>
      <c r="H1311" t="s">
        <v>65</v>
      </c>
      <c r="I1311">
        <v>3</v>
      </c>
      <c r="J1311">
        <v>0.2</v>
      </c>
      <c r="K1311">
        <v>597.97</v>
      </c>
      <c r="L1311">
        <v>6.84</v>
      </c>
    </row>
    <row r="1312" spans="1:12" x14ac:dyDescent="0.25">
      <c r="A1312" t="s">
        <v>1359</v>
      </c>
      <c r="B1312" s="1">
        <v>45294</v>
      </c>
      <c r="C1312" s="1">
        <v>45298</v>
      </c>
      <c r="D1312" t="s">
        <v>13</v>
      </c>
      <c r="E1312" t="s">
        <v>36</v>
      </c>
      <c r="F1312" t="s">
        <v>29</v>
      </c>
      <c r="G1312" t="s">
        <v>20</v>
      </c>
      <c r="H1312" t="s">
        <v>63</v>
      </c>
      <c r="I1312">
        <v>14</v>
      </c>
      <c r="J1312">
        <v>0</v>
      </c>
      <c r="K1312">
        <v>146.33000000000001</v>
      </c>
      <c r="L1312">
        <v>6.48</v>
      </c>
    </row>
    <row r="1313" spans="1:12" x14ac:dyDescent="0.25">
      <c r="A1313" t="s">
        <v>1360</v>
      </c>
      <c r="B1313" s="1">
        <v>45676</v>
      </c>
      <c r="C1313" s="1">
        <v>45680</v>
      </c>
      <c r="D1313" t="s">
        <v>23</v>
      </c>
      <c r="E1313" t="s">
        <v>24</v>
      </c>
      <c r="F1313" t="s">
        <v>29</v>
      </c>
      <c r="G1313" t="s">
        <v>20</v>
      </c>
      <c r="H1313" t="s">
        <v>30</v>
      </c>
      <c r="I1313">
        <v>11</v>
      </c>
      <c r="J1313">
        <v>0.05</v>
      </c>
      <c r="K1313">
        <v>56.05</v>
      </c>
      <c r="L1313">
        <v>9.4499999999999993</v>
      </c>
    </row>
    <row r="1314" spans="1:12" x14ac:dyDescent="0.25">
      <c r="A1314" t="s">
        <v>1361</v>
      </c>
      <c r="B1314" s="1">
        <v>45994</v>
      </c>
      <c r="C1314" s="1">
        <v>45998</v>
      </c>
      <c r="D1314" t="s">
        <v>13</v>
      </c>
      <c r="E1314" t="s">
        <v>19</v>
      </c>
      <c r="F1314" t="s">
        <v>29</v>
      </c>
      <c r="G1314" t="s">
        <v>20</v>
      </c>
      <c r="H1314" t="s">
        <v>87</v>
      </c>
      <c r="I1314">
        <v>12</v>
      </c>
      <c r="J1314">
        <v>0</v>
      </c>
      <c r="K1314">
        <v>143.72999999999999</v>
      </c>
      <c r="L1314">
        <v>5.94</v>
      </c>
    </row>
    <row r="1315" spans="1:12" x14ac:dyDescent="0.25">
      <c r="A1315" t="s">
        <v>1362</v>
      </c>
      <c r="B1315" s="1">
        <v>45459</v>
      </c>
      <c r="C1315" s="1">
        <v>45464</v>
      </c>
      <c r="D1315" t="s">
        <v>13</v>
      </c>
      <c r="E1315" t="s">
        <v>19</v>
      </c>
      <c r="F1315" t="s">
        <v>25</v>
      </c>
      <c r="G1315" t="s">
        <v>20</v>
      </c>
      <c r="H1315" t="s">
        <v>51</v>
      </c>
      <c r="I1315">
        <v>8</v>
      </c>
      <c r="J1315">
        <v>0</v>
      </c>
      <c r="K1315">
        <v>127.1</v>
      </c>
      <c r="L1315">
        <v>4.8600000000000003</v>
      </c>
    </row>
    <row r="1316" spans="1:12" x14ac:dyDescent="0.25">
      <c r="A1316" t="s">
        <v>1363</v>
      </c>
      <c r="B1316" s="1">
        <v>45439</v>
      </c>
      <c r="C1316" s="1">
        <v>45443</v>
      </c>
      <c r="D1316" t="s">
        <v>47</v>
      </c>
      <c r="E1316" t="s">
        <v>48</v>
      </c>
      <c r="F1316" t="s">
        <v>15</v>
      </c>
      <c r="G1316" t="s">
        <v>20</v>
      </c>
      <c r="H1316" t="s">
        <v>63</v>
      </c>
      <c r="I1316">
        <v>14</v>
      </c>
      <c r="J1316">
        <v>0.1</v>
      </c>
      <c r="K1316">
        <v>161.30000000000001</v>
      </c>
      <c r="L1316">
        <v>10.8</v>
      </c>
    </row>
    <row r="1317" spans="1:12" x14ac:dyDescent="0.25">
      <c r="A1317" t="s">
        <v>1364</v>
      </c>
      <c r="B1317" s="1">
        <v>45744</v>
      </c>
      <c r="C1317" s="1">
        <v>45748</v>
      </c>
      <c r="D1317" t="s">
        <v>23</v>
      </c>
      <c r="E1317" t="s">
        <v>24</v>
      </c>
      <c r="F1317" t="s">
        <v>29</v>
      </c>
      <c r="G1317" t="s">
        <v>20</v>
      </c>
      <c r="H1317" t="s">
        <v>60</v>
      </c>
      <c r="I1317">
        <v>4</v>
      </c>
      <c r="J1317">
        <v>0</v>
      </c>
      <c r="K1317">
        <v>442.99</v>
      </c>
      <c r="L1317">
        <v>5.7</v>
      </c>
    </row>
    <row r="1318" spans="1:12" x14ac:dyDescent="0.25">
      <c r="A1318" t="s">
        <v>1365</v>
      </c>
      <c r="B1318" s="1">
        <v>45916</v>
      </c>
      <c r="C1318" s="1">
        <v>45919</v>
      </c>
      <c r="D1318" t="s">
        <v>32</v>
      </c>
      <c r="E1318" t="s">
        <v>45</v>
      </c>
      <c r="F1318" t="s">
        <v>15</v>
      </c>
      <c r="G1318" t="s">
        <v>26</v>
      </c>
      <c r="H1318" t="s">
        <v>21</v>
      </c>
      <c r="I1318">
        <v>2</v>
      </c>
      <c r="J1318">
        <v>0.15</v>
      </c>
      <c r="K1318">
        <v>197.33</v>
      </c>
      <c r="L1318">
        <v>9.1</v>
      </c>
    </row>
    <row r="1319" spans="1:12" x14ac:dyDescent="0.25">
      <c r="A1319" t="s">
        <v>1366</v>
      </c>
      <c r="B1319" s="1">
        <v>45943</v>
      </c>
      <c r="C1319" s="1">
        <v>45944</v>
      </c>
      <c r="D1319" t="s">
        <v>47</v>
      </c>
      <c r="E1319" t="s">
        <v>48</v>
      </c>
      <c r="F1319" t="s">
        <v>25</v>
      </c>
      <c r="G1319" t="s">
        <v>16</v>
      </c>
      <c r="H1319" t="s">
        <v>51</v>
      </c>
      <c r="I1319">
        <v>8</v>
      </c>
      <c r="J1319">
        <v>0.25</v>
      </c>
      <c r="K1319">
        <v>108.27</v>
      </c>
      <c r="L1319">
        <v>8.1</v>
      </c>
    </row>
    <row r="1320" spans="1:12" x14ac:dyDescent="0.25">
      <c r="A1320" t="s">
        <v>1367</v>
      </c>
      <c r="B1320" s="1">
        <v>45626</v>
      </c>
      <c r="C1320" s="1">
        <v>45627</v>
      </c>
      <c r="D1320" t="s">
        <v>32</v>
      </c>
      <c r="E1320" t="s">
        <v>62</v>
      </c>
      <c r="F1320" t="s">
        <v>15</v>
      </c>
      <c r="G1320" t="s">
        <v>16</v>
      </c>
      <c r="H1320" t="s">
        <v>53</v>
      </c>
      <c r="I1320">
        <v>2</v>
      </c>
      <c r="J1320">
        <v>0.25</v>
      </c>
      <c r="K1320">
        <v>109.73</v>
      </c>
      <c r="L1320">
        <v>7</v>
      </c>
    </row>
    <row r="1321" spans="1:12" x14ac:dyDescent="0.25">
      <c r="A1321" t="s">
        <v>1368</v>
      </c>
      <c r="B1321" s="1">
        <v>45703</v>
      </c>
      <c r="C1321" s="1">
        <v>45708</v>
      </c>
      <c r="D1321" t="s">
        <v>13</v>
      </c>
      <c r="E1321" t="s">
        <v>36</v>
      </c>
      <c r="F1321" t="s">
        <v>29</v>
      </c>
      <c r="G1321" t="s">
        <v>16</v>
      </c>
      <c r="H1321" t="s">
        <v>51</v>
      </c>
      <c r="I1321">
        <v>4</v>
      </c>
      <c r="J1321">
        <v>0.05</v>
      </c>
      <c r="K1321">
        <v>51.25</v>
      </c>
      <c r="L1321">
        <v>3.78</v>
      </c>
    </row>
    <row r="1322" spans="1:12" x14ac:dyDescent="0.25">
      <c r="A1322" t="s">
        <v>1369</v>
      </c>
      <c r="B1322" s="1">
        <v>45999</v>
      </c>
      <c r="C1322" s="1">
        <v>46005</v>
      </c>
      <c r="D1322" t="s">
        <v>47</v>
      </c>
      <c r="E1322" t="s">
        <v>48</v>
      </c>
      <c r="F1322" t="s">
        <v>25</v>
      </c>
      <c r="G1322" t="s">
        <v>20</v>
      </c>
      <c r="H1322" t="s">
        <v>34</v>
      </c>
      <c r="I1322">
        <v>2</v>
      </c>
      <c r="J1322">
        <v>0</v>
      </c>
      <c r="K1322">
        <v>558.44000000000005</v>
      </c>
      <c r="L1322">
        <v>5.46</v>
      </c>
    </row>
    <row r="1323" spans="1:12" x14ac:dyDescent="0.25">
      <c r="A1323" t="s">
        <v>1370</v>
      </c>
      <c r="B1323" s="1">
        <v>45521</v>
      </c>
      <c r="C1323" s="1">
        <v>45525</v>
      </c>
      <c r="D1323" t="s">
        <v>13</v>
      </c>
      <c r="E1323" t="s">
        <v>36</v>
      </c>
      <c r="F1323" t="s">
        <v>25</v>
      </c>
      <c r="G1323" t="s">
        <v>26</v>
      </c>
      <c r="H1323" t="s">
        <v>17</v>
      </c>
      <c r="I1323">
        <v>2</v>
      </c>
      <c r="J1323">
        <v>0</v>
      </c>
      <c r="K1323">
        <v>231.66</v>
      </c>
      <c r="L1323">
        <v>7</v>
      </c>
    </row>
    <row r="1324" spans="1:12" x14ac:dyDescent="0.25">
      <c r="A1324" t="s">
        <v>1371</v>
      </c>
      <c r="B1324" s="1">
        <v>45355</v>
      </c>
      <c r="C1324" s="1">
        <v>45357</v>
      </c>
      <c r="D1324" t="s">
        <v>47</v>
      </c>
      <c r="E1324" t="s">
        <v>48</v>
      </c>
      <c r="F1324" t="s">
        <v>29</v>
      </c>
      <c r="G1324" t="s">
        <v>20</v>
      </c>
      <c r="H1324" t="s">
        <v>68</v>
      </c>
      <c r="I1324">
        <v>4</v>
      </c>
      <c r="J1324">
        <v>0</v>
      </c>
      <c r="K1324">
        <v>191.92</v>
      </c>
      <c r="L1324">
        <v>9.5</v>
      </c>
    </row>
    <row r="1325" spans="1:12" x14ac:dyDescent="0.25">
      <c r="A1325" t="s">
        <v>1372</v>
      </c>
      <c r="B1325" s="1">
        <v>45532</v>
      </c>
      <c r="C1325" s="1">
        <v>45534</v>
      </c>
      <c r="D1325" t="s">
        <v>23</v>
      </c>
      <c r="E1325" t="s">
        <v>43</v>
      </c>
      <c r="F1325" t="s">
        <v>15</v>
      </c>
      <c r="G1325" t="s">
        <v>26</v>
      </c>
      <c r="H1325" t="s">
        <v>17</v>
      </c>
      <c r="I1325">
        <v>1</v>
      </c>
      <c r="J1325">
        <v>0.2</v>
      </c>
      <c r="K1325">
        <v>90.27</v>
      </c>
      <c r="L1325">
        <v>5.75</v>
      </c>
    </row>
    <row r="1326" spans="1:12" x14ac:dyDescent="0.25">
      <c r="A1326" t="s">
        <v>1373</v>
      </c>
      <c r="B1326" s="1">
        <v>45708</v>
      </c>
      <c r="C1326" s="1">
        <v>45714</v>
      </c>
      <c r="D1326" t="s">
        <v>13</v>
      </c>
      <c r="E1326" t="s">
        <v>36</v>
      </c>
      <c r="F1326" t="s">
        <v>25</v>
      </c>
      <c r="G1326" t="s">
        <v>16</v>
      </c>
      <c r="H1326" t="s">
        <v>63</v>
      </c>
      <c r="I1326">
        <v>20</v>
      </c>
      <c r="J1326">
        <v>0.05</v>
      </c>
      <c r="K1326">
        <v>195.69</v>
      </c>
      <c r="L1326">
        <v>13.5</v>
      </c>
    </row>
    <row r="1327" spans="1:12" x14ac:dyDescent="0.25">
      <c r="A1327" t="s">
        <v>1374</v>
      </c>
      <c r="B1327" s="1">
        <v>45350</v>
      </c>
      <c r="C1327" s="1">
        <v>45351</v>
      </c>
      <c r="D1327" t="s">
        <v>32</v>
      </c>
      <c r="E1327" t="s">
        <v>45</v>
      </c>
      <c r="F1327" t="s">
        <v>25</v>
      </c>
      <c r="G1327" t="s">
        <v>20</v>
      </c>
      <c r="H1327" t="s">
        <v>53</v>
      </c>
      <c r="I1327">
        <v>3</v>
      </c>
      <c r="J1327">
        <v>0.2</v>
      </c>
      <c r="K1327">
        <v>118.97</v>
      </c>
      <c r="L1327">
        <v>8.25</v>
      </c>
    </row>
    <row r="1328" spans="1:12" x14ac:dyDescent="0.25">
      <c r="A1328" t="s">
        <v>1375</v>
      </c>
      <c r="B1328" s="1">
        <v>45751</v>
      </c>
      <c r="C1328" s="1">
        <v>45755</v>
      </c>
      <c r="D1328" t="s">
        <v>47</v>
      </c>
      <c r="E1328" t="s">
        <v>50</v>
      </c>
      <c r="F1328" t="s">
        <v>29</v>
      </c>
      <c r="G1328" t="s">
        <v>16</v>
      </c>
      <c r="H1328" t="s">
        <v>87</v>
      </c>
      <c r="I1328">
        <v>6</v>
      </c>
      <c r="J1328">
        <v>0.1</v>
      </c>
      <c r="K1328">
        <v>44.57</v>
      </c>
      <c r="L1328">
        <v>7.2</v>
      </c>
    </row>
    <row r="1329" spans="1:12" x14ac:dyDescent="0.25">
      <c r="A1329" t="s">
        <v>1376</v>
      </c>
      <c r="B1329" s="1">
        <v>45337</v>
      </c>
      <c r="C1329" s="1">
        <v>45339</v>
      </c>
      <c r="D1329" t="s">
        <v>47</v>
      </c>
      <c r="E1329" t="s">
        <v>71</v>
      </c>
      <c r="F1329" t="s">
        <v>15</v>
      </c>
      <c r="G1329" t="s">
        <v>16</v>
      </c>
      <c r="H1329" t="s">
        <v>68</v>
      </c>
      <c r="I1329">
        <v>3</v>
      </c>
      <c r="J1329">
        <v>0.1</v>
      </c>
      <c r="K1329">
        <v>120.48</v>
      </c>
      <c r="L1329">
        <v>8.25</v>
      </c>
    </row>
    <row r="1330" spans="1:12" x14ac:dyDescent="0.25">
      <c r="A1330" t="s">
        <v>1377</v>
      </c>
      <c r="B1330" s="1">
        <v>45506</v>
      </c>
      <c r="C1330" s="1">
        <v>45511</v>
      </c>
      <c r="D1330" t="s">
        <v>23</v>
      </c>
      <c r="E1330" t="s">
        <v>43</v>
      </c>
      <c r="F1330" t="s">
        <v>15</v>
      </c>
      <c r="G1330" t="s">
        <v>20</v>
      </c>
      <c r="H1330" t="s">
        <v>63</v>
      </c>
      <c r="I1330">
        <v>14</v>
      </c>
      <c r="J1330">
        <v>0.15</v>
      </c>
      <c r="K1330">
        <v>132.56</v>
      </c>
      <c r="L1330">
        <v>6.48</v>
      </c>
    </row>
    <row r="1331" spans="1:12" x14ac:dyDescent="0.25">
      <c r="A1331" t="s">
        <v>1378</v>
      </c>
      <c r="B1331" s="1">
        <v>46001</v>
      </c>
      <c r="C1331" s="1">
        <v>46003</v>
      </c>
      <c r="D1331" t="s">
        <v>13</v>
      </c>
      <c r="E1331" t="s">
        <v>36</v>
      </c>
      <c r="F1331" t="s">
        <v>25</v>
      </c>
      <c r="G1331" t="s">
        <v>16</v>
      </c>
      <c r="H1331" t="s">
        <v>68</v>
      </c>
      <c r="I1331">
        <v>1</v>
      </c>
      <c r="J1331">
        <v>0</v>
      </c>
      <c r="K1331">
        <v>70.2</v>
      </c>
      <c r="L1331">
        <v>5.75</v>
      </c>
    </row>
    <row r="1332" spans="1:12" x14ac:dyDescent="0.25">
      <c r="A1332" t="s">
        <v>1379</v>
      </c>
      <c r="B1332" s="1">
        <v>46020</v>
      </c>
      <c r="C1332" s="1">
        <v>46025</v>
      </c>
      <c r="D1332" t="s">
        <v>47</v>
      </c>
      <c r="E1332" t="s">
        <v>71</v>
      </c>
      <c r="F1332" t="s">
        <v>15</v>
      </c>
      <c r="G1332" t="s">
        <v>16</v>
      </c>
      <c r="H1332" t="s">
        <v>41</v>
      </c>
      <c r="I1332">
        <v>9</v>
      </c>
      <c r="J1332">
        <v>0.25</v>
      </c>
      <c r="K1332">
        <v>59.36</v>
      </c>
      <c r="L1332">
        <v>5.13</v>
      </c>
    </row>
    <row r="1333" spans="1:12" x14ac:dyDescent="0.25">
      <c r="A1333" t="s">
        <v>1380</v>
      </c>
      <c r="B1333" s="1">
        <v>45836</v>
      </c>
      <c r="C1333" s="1">
        <v>45840</v>
      </c>
      <c r="D1333" t="s">
        <v>13</v>
      </c>
      <c r="E1333" t="s">
        <v>14</v>
      </c>
      <c r="F1333" t="s">
        <v>29</v>
      </c>
      <c r="G1333" t="s">
        <v>26</v>
      </c>
      <c r="H1333" t="s">
        <v>65</v>
      </c>
      <c r="I1333">
        <v>2</v>
      </c>
      <c r="J1333">
        <v>0</v>
      </c>
      <c r="K1333">
        <v>574.26</v>
      </c>
      <c r="L1333">
        <v>9.1</v>
      </c>
    </row>
    <row r="1334" spans="1:12" x14ac:dyDescent="0.25">
      <c r="A1334" t="s">
        <v>1381</v>
      </c>
      <c r="B1334" s="1">
        <v>45976</v>
      </c>
      <c r="C1334" s="1">
        <v>45981</v>
      </c>
      <c r="D1334" t="s">
        <v>23</v>
      </c>
      <c r="E1334" t="s">
        <v>59</v>
      </c>
      <c r="F1334" t="s">
        <v>25</v>
      </c>
      <c r="G1334" t="s">
        <v>26</v>
      </c>
      <c r="H1334" t="s">
        <v>17</v>
      </c>
      <c r="I1334">
        <v>1</v>
      </c>
      <c r="J1334">
        <v>0.05</v>
      </c>
      <c r="K1334">
        <v>165.6</v>
      </c>
      <c r="L1334">
        <v>5.75</v>
      </c>
    </row>
    <row r="1335" spans="1:12" x14ac:dyDescent="0.25">
      <c r="A1335" t="s">
        <v>1382</v>
      </c>
      <c r="B1335" s="1">
        <v>45338</v>
      </c>
      <c r="C1335" s="1">
        <v>45339</v>
      </c>
      <c r="D1335" t="s">
        <v>32</v>
      </c>
      <c r="E1335" t="s">
        <v>33</v>
      </c>
      <c r="F1335" t="s">
        <v>29</v>
      </c>
      <c r="G1335" t="s">
        <v>20</v>
      </c>
      <c r="H1335" t="s">
        <v>65</v>
      </c>
      <c r="I1335">
        <v>1</v>
      </c>
      <c r="J1335">
        <v>0.1</v>
      </c>
      <c r="K1335">
        <v>227.47</v>
      </c>
      <c r="L1335">
        <v>4.08</v>
      </c>
    </row>
    <row r="1336" spans="1:12" x14ac:dyDescent="0.25">
      <c r="A1336" t="s">
        <v>1383</v>
      </c>
      <c r="B1336" s="1">
        <v>45347</v>
      </c>
      <c r="C1336" s="1">
        <v>45348</v>
      </c>
      <c r="D1336" t="s">
        <v>32</v>
      </c>
      <c r="E1336" t="s">
        <v>62</v>
      </c>
      <c r="F1336" t="s">
        <v>15</v>
      </c>
      <c r="G1336" t="s">
        <v>16</v>
      </c>
      <c r="H1336" t="s">
        <v>65</v>
      </c>
      <c r="I1336">
        <v>3</v>
      </c>
      <c r="J1336">
        <v>0</v>
      </c>
      <c r="K1336">
        <v>733.45</v>
      </c>
      <c r="L1336">
        <v>6.84</v>
      </c>
    </row>
    <row r="1337" spans="1:12" x14ac:dyDescent="0.25">
      <c r="A1337" t="s">
        <v>1384</v>
      </c>
      <c r="B1337" s="1">
        <v>45645</v>
      </c>
      <c r="C1337" s="1">
        <v>45646</v>
      </c>
      <c r="D1337" t="s">
        <v>47</v>
      </c>
      <c r="E1337" t="s">
        <v>71</v>
      </c>
      <c r="F1337" t="s">
        <v>25</v>
      </c>
      <c r="G1337" t="s">
        <v>20</v>
      </c>
      <c r="H1337" t="s">
        <v>53</v>
      </c>
      <c r="I1337">
        <v>4</v>
      </c>
      <c r="J1337">
        <v>0.25</v>
      </c>
      <c r="K1337">
        <v>251.01</v>
      </c>
      <c r="L1337">
        <v>9.5</v>
      </c>
    </row>
    <row r="1338" spans="1:12" x14ac:dyDescent="0.25">
      <c r="A1338" t="s">
        <v>1385</v>
      </c>
      <c r="B1338" s="1">
        <v>45300</v>
      </c>
      <c r="C1338" s="1">
        <v>45301</v>
      </c>
      <c r="D1338" t="s">
        <v>32</v>
      </c>
      <c r="E1338" t="s">
        <v>33</v>
      </c>
      <c r="F1338" t="s">
        <v>29</v>
      </c>
      <c r="G1338" t="s">
        <v>16</v>
      </c>
      <c r="H1338" t="s">
        <v>65</v>
      </c>
      <c r="I1338">
        <v>2</v>
      </c>
      <c r="J1338">
        <v>0</v>
      </c>
      <c r="K1338">
        <v>503.44</v>
      </c>
      <c r="L1338">
        <v>9.1</v>
      </c>
    </row>
    <row r="1339" spans="1:12" x14ac:dyDescent="0.25">
      <c r="A1339" t="s">
        <v>1386</v>
      </c>
      <c r="B1339" s="1">
        <v>45449</v>
      </c>
      <c r="C1339" s="1">
        <v>45450</v>
      </c>
      <c r="D1339" t="s">
        <v>32</v>
      </c>
      <c r="E1339" t="s">
        <v>45</v>
      </c>
      <c r="F1339" t="s">
        <v>25</v>
      </c>
      <c r="G1339" t="s">
        <v>16</v>
      </c>
      <c r="H1339" t="s">
        <v>39</v>
      </c>
      <c r="I1339">
        <v>2</v>
      </c>
      <c r="J1339">
        <v>0.1</v>
      </c>
      <c r="K1339">
        <v>365.59</v>
      </c>
      <c r="L1339">
        <v>4.2</v>
      </c>
    </row>
    <row r="1340" spans="1:12" x14ac:dyDescent="0.25">
      <c r="A1340" t="s">
        <v>1387</v>
      </c>
      <c r="B1340" s="1">
        <v>45796</v>
      </c>
      <c r="C1340" s="1">
        <v>45801</v>
      </c>
      <c r="D1340" t="s">
        <v>23</v>
      </c>
      <c r="E1340" t="s">
        <v>24</v>
      </c>
      <c r="F1340" t="s">
        <v>25</v>
      </c>
      <c r="G1340" t="s">
        <v>16</v>
      </c>
      <c r="H1340" t="s">
        <v>30</v>
      </c>
      <c r="I1340">
        <v>11</v>
      </c>
      <c r="J1340">
        <v>0</v>
      </c>
      <c r="K1340">
        <v>64.900000000000006</v>
      </c>
      <c r="L1340">
        <v>9.4499999999999993</v>
      </c>
    </row>
    <row r="1341" spans="1:12" x14ac:dyDescent="0.25">
      <c r="A1341" t="s">
        <v>1388</v>
      </c>
      <c r="B1341" s="1">
        <v>45791</v>
      </c>
      <c r="C1341" s="1">
        <v>45797</v>
      </c>
      <c r="D1341" t="s">
        <v>32</v>
      </c>
      <c r="E1341" t="s">
        <v>33</v>
      </c>
      <c r="F1341" t="s">
        <v>15</v>
      </c>
      <c r="G1341" t="s">
        <v>20</v>
      </c>
      <c r="H1341" t="s">
        <v>37</v>
      </c>
      <c r="I1341">
        <v>4</v>
      </c>
      <c r="J1341">
        <v>0</v>
      </c>
      <c r="K1341">
        <v>425.68</v>
      </c>
      <c r="L1341">
        <v>13.7</v>
      </c>
    </row>
    <row r="1342" spans="1:12" x14ac:dyDescent="0.25">
      <c r="A1342" t="s">
        <v>1389</v>
      </c>
      <c r="B1342" s="1">
        <v>45505</v>
      </c>
      <c r="C1342" s="1">
        <v>45511</v>
      </c>
      <c r="D1342" t="s">
        <v>13</v>
      </c>
      <c r="E1342" t="s">
        <v>36</v>
      </c>
      <c r="F1342" t="s">
        <v>25</v>
      </c>
      <c r="G1342" t="s">
        <v>20</v>
      </c>
      <c r="H1342" t="s">
        <v>68</v>
      </c>
      <c r="I1342">
        <v>4</v>
      </c>
      <c r="J1342">
        <v>0</v>
      </c>
      <c r="K1342">
        <v>200.8</v>
      </c>
      <c r="L1342">
        <v>5.7</v>
      </c>
    </row>
    <row r="1343" spans="1:12" x14ac:dyDescent="0.25">
      <c r="A1343" t="s">
        <v>1390</v>
      </c>
      <c r="B1343" s="1">
        <v>46016</v>
      </c>
      <c r="C1343" s="1">
        <v>46022</v>
      </c>
      <c r="D1343" t="s">
        <v>32</v>
      </c>
      <c r="E1343" t="s">
        <v>33</v>
      </c>
      <c r="F1343" t="s">
        <v>25</v>
      </c>
      <c r="G1343" t="s">
        <v>16</v>
      </c>
      <c r="H1343" t="s">
        <v>60</v>
      </c>
      <c r="I1343">
        <v>1</v>
      </c>
      <c r="J1343">
        <v>0</v>
      </c>
      <c r="K1343">
        <v>158.94999999999999</v>
      </c>
      <c r="L1343">
        <v>3.45</v>
      </c>
    </row>
    <row r="1344" spans="1:12" x14ac:dyDescent="0.25">
      <c r="A1344" t="s">
        <v>1391</v>
      </c>
      <c r="B1344" s="1">
        <v>45751</v>
      </c>
      <c r="C1344" s="1">
        <v>45753</v>
      </c>
      <c r="D1344" t="s">
        <v>13</v>
      </c>
      <c r="E1344" t="s">
        <v>14</v>
      </c>
      <c r="F1344" t="s">
        <v>15</v>
      </c>
      <c r="G1344" t="s">
        <v>20</v>
      </c>
      <c r="H1344" t="s">
        <v>17</v>
      </c>
      <c r="I1344">
        <v>3</v>
      </c>
      <c r="J1344">
        <v>0.1</v>
      </c>
      <c r="K1344">
        <v>340.99</v>
      </c>
      <c r="L1344">
        <v>8.25</v>
      </c>
    </row>
    <row r="1345" spans="1:12" x14ac:dyDescent="0.25">
      <c r="A1345" t="s">
        <v>1392</v>
      </c>
      <c r="B1345" s="1">
        <v>46003</v>
      </c>
      <c r="C1345" s="1">
        <v>46007</v>
      </c>
      <c r="D1345" t="s">
        <v>23</v>
      </c>
      <c r="E1345" t="s">
        <v>59</v>
      </c>
      <c r="F1345" t="s">
        <v>25</v>
      </c>
      <c r="G1345" t="s">
        <v>16</v>
      </c>
      <c r="H1345" t="s">
        <v>87</v>
      </c>
      <c r="I1345">
        <v>11</v>
      </c>
      <c r="J1345">
        <v>0</v>
      </c>
      <c r="K1345">
        <v>130.54</v>
      </c>
      <c r="L1345">
        <v>9.4499999999999993</v>
      </c>
    </row>
    <row r="1346" spans="1:12" x14ac:dyDescent="0.25">
      <c r="A1346" t="s">
        <v>1393</v>
      </c>
      <c r="B1346" s="1">
        <v>45586</v>
      </c>
      <c r="C1346" s="1">
        <v>45587</v>
      </c>
      <c r="D1346" t="s">
        <v>47</v>
      </c>
      <c r="E1346" t="s">
        <v>71</v>
      </c>
      <c r="F1346" t="s">
        <v>29</v>
      </c>
      <c r="G1346" t="s">
        <v>16</v>
      </c>
      <c r="H1346" t="s">
        <v>63</v>
      </c>
      <c r="I1346">
        <v>11</v>
      </c>
      <c r="J1346">
        <v>0.25</v>
      </c>
      <c r="K1346">
        <v>117.79</v>
      </c>
      <c r="L1346">
        <v>9.4499999999999993</v>
      </c>
    </row>
    <row r="1347" spans="1:12" x14ac:dyDescent="0.25">
      <c r="A1347" t="s">
        <v>1394</v>
      </c>
      <c r="B1347" s="1">
        <v>45349</v>
      </c>
      <c r="C1347" s="1">
        <v>45355</v>
      </c>
      <c r="D1347" t="s">
        <v>32</v>
      </c>
      <c r="E1347" t="s">
        <v>45</v>
      </c>
      <c r="F1347" t="s">
        <v>25</v>
      </c>
      <c r="G1347" t="s">
        <v>26</v>
      </c>
      <c r="H1347" t="s">
        <v>30</v>
      </c>
      <c r="I1347">
        <v>13</v>
      </c>
      <c r="J1347">
        <v>0.05</v>
      </c>
      <c r="K1347">
        <v>65.959999999999994</v>
      </c>
      <c r="L1347">
        <v>6.21</v>
      </c>
    </row>
    <row r="1348" spans="1:12" x14ac:dyDescent="0.25">
      <c r="A1348" t="s">
        <v>1395</v>
      </c>
      <c r="B1348" s="1">
        <v>45560</v>
      </c>
      <c r="C1348" s="1">
        <v>45562</v>
      </c>
      <c r="D1348" t="s">
        <v>32</v>
      </c>
      <c r="E1348" t="s">
        <v>33</v>
      </c>
      <c r="F1348" t="s">
        <v>29</v>
      </c>
      <c r="G1348" t="s">
        <v>26</v>
      </c>
      <c r="H1348" t="s">
        <v>27</v>
      </c>
      <c r="I1348">
        <v>9</v>
      </c>
      <c r="J1348">
        <v>0</v>
      </c>
      <c r="K1348">
        <v>280.55</v>
      </c>
      <c r="L1348">
        <v>8.5500000000000007</v>
      </c>
    </row>
    <row r="1349" spans="1:12" x14ac:dyDescent="0.25">
      <c r="A1349" t="s">
        <v>1396</v>
      </c>
      <c r="B1349" s="1">
        <v>45982</v>
      </c>
      <c r="C1349" s="1">
        <v>45983</v>
      </c>
      <c r="D1349" t="s">
        <v>13</v>
      </c>
      <c r="E1349" t="s">
        <v>36</v>
      </c>
      <c r="F1349" t="s">
        <v>29</v>
      </c>
      <c r="G1349" t="s">
        <v>20</v>
      </c>
      <c r="H1349" t="s">
        <v>65</v>
      </c>
      <c r="I1349">
        <v>7</v>
      </c>
      <c r="J1349">
        <v>0.2</v>
      </c>
      <c r="K1349">
        <v>2053.81</v>
      </c>
      <c r="L1349">
        <v>20.6</v>
      </c>
    </row>
    <row r="1350" spans="1:12" x14ac:dyDescent="0.25">
      <c r="A1350" t="s">
        <v>1397</v>
      </c>
      <c r="B1350" s="1">
        <v>45381</v>
      </c>
      <c r="C1350" s="1">
        <v>45383</v>
      </c>
      <c r="D1350" t="s">
        <v>47</v>
      </c>
      <c r="E1350" t="s">
        <v>71</v>
      </c>
      <c r="F1350" t="s">
        <v>25</v>
      </c>
      <c r="G1350" t="s">
        <v>20</v>
      </c>
      <c r="H1350" t="s">
        <v>87</v>
      </c>
      <c r="I1350">
        <v>11</v>
      </c>
      <c r="J1350">
        <v>0</v>
      </c>
      <c r="K1350">
        <v>87.41</v>
      </c>
      <c r="L1350">
        <v>5.67</v>
      </c>
    </row>
    <row r="1351" spans="1:12" x14ac:dyDescent="0.25">
      <c r="A1351" t="s">
        <v>1398</v>
      </c>
      <c r="B1351" s="1">
        <v>45843</v>
      </c>
      <c r="C1351" s="1">
        <v>45849</v>
      </c>
      <c r="D1351" t="s">
        <v>23</v>
      </c>
      <c r="E1351" t="s">
        <v>59</v>
      </c>
      <c r="F1351" t="s">
        <v>25</v>
      </c>
      <c r="G1351" t="s">
        <v>20</v>
      </c>
      <c r="H1351" t="s">
        <v>39</v>
      </c>
      <c r="I1351">
        <v>4</v>
      </c>
      <c r="J1351">
        <v>0.25</v>
      </c>
      <c r="K1351">
        <v>557.09</v>
      </c>
      <c r="L1351">
        <v>5.7</v>
      </c>
    </row>
    <row r="1352" spans="1:12" x14ac:dyDescent="0.25">
      <c r="A1352" t="s">
        <v>1399</v>
      </c>
      <c r="B1352" s="1">
        <v>45979</v>
      </c>
      <c r="C1352" s="1">
        <v>45984</v>
      </c>
      <c r="D1352" t="s">
        <v>47</v>
      </c>
      <c r="E1352" t="s">
        <v>48</v>
      </c>
      <c r="F1352" t="s">
        <v>25</v>
      </c>
      <c r="G1352" t="s">
        <v>26</v>
      </c>
      <c r="H1352" t="s">
        <v>39</v>
      </c>
      <c r="I1352">
        <v>4</v>
      </c>
      <c r="J1352">
        <v>0.25</v>
      </c>
      <c r="K1352">
        <v>767.89</v>
      </c>
      <c r="L1352">
        <v>5.7</v>
      </c>
    </row>
    <row r="1353" spans="1:12" x14ac:dyDescent="0.25">
      <c r="A1353" t="s">
        <v>1400</v>
      </c>
      <c r="B1353" s="1">
        <v>45488</v>
      </c>
      <c r="C1353" s="1">
        <v>45490</v>
      </c>
      <c r="D1353" t="s">
        <v>32</v>
      </c>
      <c r="E1353" t="s">
        <v>62</v>
      </c>
      <c r="F1353" t="s">
        <v>25</v>
      </c>
      <c r="G1353" t="s">
        <v>26</v>
      </c>
      <c r="H1353" t="s">
        <v>27</v>
      </c>
      <c r="I1353">
        <v>11</v>
      </c>
      <c r="J1353">
        <v>0</v>
      </c>
      <c r="K1353">
        <v>295.66000000000003</v>
      </c>
      <c r="L1353">
        <v>9.4499999999999993</v>
      </c>
    </row>
    <row r="1354" spans="1:12" x14ac:dyDescent="0.25">
      <c r="A1354" t="s">
        <v>1401</v>
      </c>
      <c r="B1354" s="1">
        <v>45609</v>
      </c>
      <c r="C1354" s="1">
        <v>45612</v>
      </c>
      <c r="D1354" t="s">
        <v>47</v>
      </c>
      <c r="E1354" t="s">
        <v>50</v>
      </c>
      <c r="F1354" t="s">
        <v>15</v>
      </c>
      <c r="G1354" t="s">
        <v>26</v>
      </c>
      <c r="H1354" t="s">
        <v>60</v>
      </c>
      <c r="I1354">
        <v>4</v>
      </c>
      <c r="J1354">
        <v>0</v>
      </c>
      <c r="K1354">
        <v>636.05999999999995</v>
      </c>
      <c r="L1354">
        <v>9.5</v>
      </c>
    </row>
    <row r="1355" spans="1:12" x14ac:dyDescent="0.25">
      <c r="A1355" t="s">
        <v>1402</v>
      </c>
      <c r="B1355" s="1">
        <v>45840</v>
      </c>
      <c r="C1355" s="1">
        <v>45846</v>
      </c>
      <c r="D1355" t="s">
        <v>23</v>
      </c>
      <c r="E1355" t="s">
        <v>24</v>
      </c>
      <c r="F1355" t="s">
        <v>15</v>
      </c>
      <c r="G1355" t="s">
        <v>26</v>
      </c>
      <c r="H1355" t="s">
        <v>51</v>
      </c>
      <c r="I1355">
        <v>13</v>
      </c>
      <c r="J1355">
        <v>0</v>
      </c>
      <c r="K1355">
        <v>177.15</v>
      </c>
      <c r="L1355">
        <v>6.21</v>
      </c>
    </row>
    <row r="1356" spans="1:12" x14ac:dyDescent="0.25">
      <c r="A1356" t="s">
        <v>1403</v>
      </c>
      <c r="B1356" s="1">
        <v>45999</v>
      </c>
      <c r="C1356" s="1">
        <v>46000</v>
      </c>
      <c r="D1356" t="s">
        <v>32</v>
      </c>
      <c r="E1356" t="s">
        <v>33</v>
      </c>
      <c r="F1356" t="s">
        <v>15</v>
      </c>
      <c r="G1356" t="s">
        <v>26</v>
      </c>
      <c r="H1356" t="s">
        <v>37</v>
      </c>
      <c r="I1356">
        <v>1</v>
      </c>
      <c r="J1356">
        <v>0</v>
      </c>
      <c r="K1356">
        <v>152.11000000000001</v>
      </c>
      <c r="L1356">
        <v>6.8</v>
      </c>
    </row>
    <row r="1357" spans="1:12" x14ac:dyDescent="0.25">
      <c r="A1357" t="s">
        <v>1404</v>
      </c>
      <c r="B1357" s="1">
        <v>45536</v>
      </c>
      <c r="C1357" s="1">
        <v>45537</v>
      </c>
      <c r="D1357" t="s">
        <v>47</v>
      </c>
      <c r="E1357" t="s">
        <v>71</v>
      </c>
      <c r="F1357" t="s">
        <v>29</v>
      </c>
      <c r="G1357" t="s">
        <v>26</v>
      </c>
      <c r="H1357" t="s">
        <v>63</v>
      </c>
      <c r="I1357">
        <v>8</v>
      </c>
      <c r="J1357">
        <v>0</v>
      </c>
      <c r="K1357">
        <v>106.47</v>
      </c>
      <c r="L1357">
        <v>4.8600000000000003</v>
      </c>
    </row>
    <row r="1358" spans="1:12" x14ac:dyDescent="0.25">
      <c r="A1358" t="s">
        <v>1405</v>
      </c>
      <c r="B1358" s="1">
        <v>45838</v>
      </c>
      <c r="C1358" s="1">
        <v>45842</v>
      </c>
      <c r="D1358" t="s">
        <v>32</v>
      </c>
      <c r="E1358" t="s">
        <v>62</v>
      </c>
      <c r="F1358" t="s">
        <v>25</v>
      </c>
      <c r="G1358" t="s">
        <v>16</v>
      </c>
      <c r="H1358" t="s">
        <v>39</v>
      </c>
      <c r="I1358">
        <v>2</v>
      </c>
      <c r="J1358">
        <v>0</v>
      </c>
      <c r="K1358">
        <v>404.62</v>
      </c>
      <c r="L1358">
        <v>7</v>
      </c>
    </row>
    <row r="1359" spans="1:12" x14ac:dyDescent="0.25">
      <c r="A1359" t="s">
        <v>1406</v>
      </c>
      <c r="B1359" s="1">
        <v>45838</v>
      </c>
      <c r="C1359" s="1">
        <v>45843</v>
      </c>
      <c r="D1359" t="s">
        <v>47</v>
      </c>
      <c r="E1359" t="s">
        <v>71</v>
      </c>
      <c r="F1359" t="s">
        <v>29</v>
      </c>
      <c r="G1359" t="s">
        <v>26</v>
      </c>
      <c r="H1359" t="s">
        <v>17</v>
      </c>
      <c r="I1359">
        <v>3</v>
      </c>
      <c r="J1359">
        <v>0.1</v>
      </c>
      <c r="K1359">
        <v>363.16</v>
      </c>
      <c r="L1359">
        <v>4.95</v>
      </c>
    </row>
    <row r="1360" spans="1:12" x14ac:dyDescent="0.25">
      <c r="A1360" t="s">
        <v>1407</v>
      </c>
      <c r="B1360" s="1">
        <v>45994</v>
      </c>
      <c r="C1360" s="1">
        <v>45997</v>
      </c>
      <c r="D1360" t="s">
        <v>23</v>
      </c>
      <c r="E1360" t="s">
        <v>43</v>
      </c>
      <c r="F1360" t="s">
        <v>29</v>
      </c>
      <c r="G1360" t="s">
        <v>26</v>
      </c>
      <c r="H1360" t="s">
        <v>17</v>
      </c>
      <c r="I1360">
        <v>1</v>
      </c>
      <c r="J1360">
        <v>0</v>
      </c>
      <c r="K1360">
        <v>186.81</v>
      </c>
      <c r="L1360">
        <v>5.75</v>
      </c>
    </row>
    <row r="1361" spans="1:12" x14ac:dyDescent="0.25">
      <c r="A1361" t="s">
        <v>1408</v>
      </c>
      <c r="B1361" s="1">
        <v>45542</v>
      </c>
      <c r="C1361" s="1">
        <v>45546</v>
      </c>
      <c r="D1361" t="s">
        <v>47</v>
      </c>
      <c r="E1361" t="s">
        <v>50</v>
      </c>
      <c r="F1361" t="s">
        <v>25</v>
      </c>
      <c r="G1361" t="s">
        <v>26</v>
      </c>
      <c r="H1361" t="s">
        <v>27</v>
      </c>
      <c r="I1361">
        <v>9</v>
      </c>
      <c r="J1361">
        <v>0</v>
      </c>
      <c r="K1361">
        <v>273</v>
      </c>
      <c r="L1361">
        <v>5.13</v>
      </c>
    </row>
    <row r="1362" spans="1:12" x14ac:dyDescent="0.25">
      <c r="A1362" t="s">
        <v>1409</v>
      </c>
      <c r="B1362" s="1">
        <v>45927</v>
      </c>
      <c r="C1362" s="1">
        <v>45933</v>
      </c>
      <c r="D1362" t="s">
        <v>13</v>
      </c>
      <c r="E1362" t="s">
        <v>19</v>
      </c>
      <c r="F1362" t="s">
        <v>15</v>
      </c>
      <c r="G1362" t="s">
        <v>26</v>
      </c>
      <c r="H1362" t="s">
        <v>53</v>
      </c>
      <c r="I1362">
        <v>4</v>
      </c>
      <c r="J1362">
        <v>0.1</v>
      </c>
      <c r="K1362">
        <v>209.28</v>
      </c>
      <c r="L1362">
        <v>9.5</v>
      </c>
    </row>
    <row r="1363" spans="1:12" x14ac:dyDescent="0.25">
      <c r="A1363" t="s">
        <v>1410</v>
      </c>
      <c r="B1363" s="1">
        <v>45537</v>
      </c>
      <c r="C1363" s="1">
        <v>45542</v>
      </c>
      <c r="D1363" t="s">
        <v>13</v>
      </c>
      <c r="E1363" t="s">
        <v>14</v>
      </c>
      <c r="F1363" t="s">
        <v>15</v>
      </c>
      <c r="G1363" t="s">
        <v>26</v>
      </c>
      <c r="H1363" t="s">
        <v>34</v>
      </c>
      <c r="I1363">
        <v>2</v>
      </c>
      <c r="J1363">
        <v>0.25</v>
      </c>
      <c r="K1363">
        <v>332.41</v>
      </c>
      <c r="L1363">
        <v>5.46</v>
      </c>
    </row>
    <row r="1364" spans="1:12" x14ac:dyDescent="0.25">
      <c r="A1364" t="s">
        <v>1411</v>
      </c>
      <c r="B1364" s="1">
        <v>45481</v>
      </c>
      <c r="C1364" s="1">
        <v>45484</v>
      </c>
      <c r="D1364" t="s">
        <v>32</v>
      </c>
      <c r="E1364" t="s">
        <v>62</v>
      </c>
      <c r="F1364" t="s">
        <v>29</v>
      </c>
      <c r="G1364" t="s">
        <v>20</v>
      </c>
      <c r="H1364" t="s">
        <v>34</v>
      </c>
      <c r="I1364">
        <v>1</v>
      </c>
      <c r="J1364">
        <v>0.05</v>
      </c>
      <c r="K1364">
        <v>183.06</v>
      </c>
      <c r="L1364">
        <v>6.8</v>
      </c>
    </row>
    <row r="1365" spans="1:12" x14ac:dyDescent="0.25">
      <c r="A1365" t="s">
        <v>1412</v>
      </c>
      <c r="B1365" s="1">
        <v>45594</v>
      </c>
      <c r="C1365" s="1">
        <v>45597</v>
      </c>
      <c r="D1365" t="s">
        <v>47</v>
      </c>
      <c r="E1365" t="s">
        <v>71</v>
      </c>
      <c r="F1365" t="s">
        <v>29</v>
      </c>
      <c r="G1365" t="s">
        <v>26</v>
      </c>
      <c r="H1365" t="s">
        <v>65</v>
      </c>
      <c r="I1365">
        <v>2</v>
      </c>
      <c r="J1365">
        <v>0</v>
      </c>
      <c r="K1365">
        <v>686.81</v>
      </c>
      <c r="L1365">
        <v>9.1</v>
      </c>
    </row>
    <row r="1366" spans="1:12" x14ac:dyDescent="0.25">
      <c r="A1366" t="s">
        <v>1413</v>
      </c>
      <c r="B1366" s="1">
        <v>45307</v>
      </c>
      <c r="C1366" s="1">
        <v>45310</v>
      </c>
      <c r="D1366" t="s">
        <v>32</v>
      </c>
      <c r="E1366" t="s">
        <v>45</v>
      </c>
      <c r="F1366" t="s">
        <v>29</v>
      </c>
      <c r="G1366" t="s">
        <v>20</v>
      </c>
      <c r="H1366" t="s">
        <v>65</v>
      </c>
      <c r="I1366">
        <v>1</v>
      </c>
      <c r="J1366">
        <v>0</v>
      </c>
      <c r="K1366">
        <v>247.17</v>
      </c>
      <c r="L1366">
        <v>4.08</v>
      </c>
    </row>
    <row r="1367" spans="1:12" x14ac:dyDescent="0.25">
      <c r="A1367" t="s">
        <v>1414</v>
      </c>
      <c r="B1367" s="1">
        <v>45433</v>
      </c>
      <c r="C1367" s="1">
        <v>45434</v>
      </c>
      <c r="D1367" t="s">
        <v>47</v>
      </c>
      <c r="E1367" t="s">
        <v>50</v>
      </c>
      <c r="F1367" t="s">
        <v>15</v>
      </c>
      <c r="G1367" t="s">
        <v>26</v>
      </c>
      <c r="H1367" t="s">
        <v>34</v>
      </c>
      <c r="I1367">
        <v>4</v>
      </c>
      <c r="J1367">
        <v>0.2</v>
      </c>
      <c r="K1367">
        <v>660.29</v>
      </c>
      <c r="L1367">
        <v>13.7</v>
      </c>
    </row>
    <row r="1368" spans="1:12" x14ac:dyDescent="0.25">
      <c r="A1368" t="s">
        <v>1415</v>
      </c>
      <c r="B1368" s="1">
        <v>45977</v>
      </c>
      <c r="C1368" s="1">
        <v>45983</v>
      </c>
      <c r="D1368" t="s">
        <v>23</v>
      </c>
      <c r="E1368" t="s">
        <v>24</v>
      </c>
      <c r="F1368" t="s">
        <v>29</v>
      </c>
      <c r="G1368" t="s">
        <v>20</v>
      </c>
      <c r="H1368" t="s">
        <v>27</v>
      </c>
      <c r="I1368">
        <v>6</v>
      </c>
      <c r="J1368">
        <v>0</v>
      </c>
      <c r="K1368">
        <v>221.36</v>
      </c>
      <c r="L1368">
        <v>4.32</v>
      </c>
    </row>
    <row r="1369" spans="1:12" x14ac:dyDescent="0.25">
      <c r="A1369" t="s">
        <v>1416</v>
      </c>
      <c r="B1369" s="1">
        <v>45839</v>
      </c>
      <c r="C1369" s="1">
        <v>45842</v>
      </c>
      <c r="D1369" t="s">
        <v>13</v>
      </c>
      <c r="E1369" t="s">
        <v>36</v>
      </c>
      <c r="F1369" t="s">
        <v>29</v>
      </c>
      <c r="G1369" t="s">
        <v>26</v>
      </c>
      <c r="H1369" t="s">
        <v>68</v>
      </c>
      <c r="I1369">
        <v>3</v>
      </c>
      <c r="J1369">
        <v>0</v>
      </c>
      <c r="K1369">
        <v>141.58000000000001</v>
      </c>
      <c r="L1369">
        <v>8.25</v>
      </c>
    </row>
    <row r="1370" spans="1:12" x14ac:dyDescent="0.25">
      <c r="A1370" t="s">
        <v>1417</v>
      </c>
      <c r="B1370" s="1">
        <v>45758</v>
      </c>
      <c r="C1370" s="1">
        <v>45764</v>
      </c>
      <c r="D1370" t="s">
        <v>47</v>
      </c>
      <c r="E1370" t="s">
        <v>71</v>
      </c>
      <c r="F1370" t="s">
        <v>29</v>
      </c>
      <c r="G1370" t="s">
        <v>16</v>
      </c>
      <c r="H1370" t="s">
        <v>65</v>
      </c>
      <c r="I1370">
        <v>1</v>
      </c>
      <c r="J1370">
        <v>0</v>
      </c>
      <c r="K1370">
        <v>265.47000000000003</v>
      </c>
      <c r="L1370">
        <v>6.8</v>
      </c>
    </row>
    <row r="1371" spans="1:12" x14ac:dyDescent="0.25">
      <c r="A1371" t="s">
        <v>1418</v>
      </c>
      <c r="B1371" s="1">
        <v>45500</v>
      </c>
      <c r="C1371" s="1">
        <v>45506</v>
      </c>
      <c r="D1371" t="s">
        <v>47</v>
      </c>
      <c r="E1371" t="s">
        <v>48</v>
      </c>
      <c r="F1371" t="s">
        <v>15</v>
      </c>
      <c r="G1371" t="s">
        <v>20</v>
      </c>
      <c r="H1371" t="s">
        <v>39</v>
      </c>
      <c r="I1371">
        <v>2</v>
      </c>
      <c r="J1371">
        <v>0</v>
      </c>
      <c r="K1371">
        <v>351.4</v>
      </c>
      <c r="L1371">
        <v>4.2</v>
      </c>
    </row>
    <row r="1372" spans="1:12" x14ac:dyDescent="0.25">
      <c r="A1372" t="s">
        <v>1419</v>
      </c>
      <c r="B1372" s="1">
        <v>45554</v>
      </c>
      <c r="C1372" s="1">
        <v>45555</v>
      </c>
      <c r="D1372" t="s">
        <v>13</v>
      </c>
      <c r="E1372" t="s">
        <v>19</v>
      </c>
      <c r="F1372" t="s">
        <v>29</v>
      </c>
      <c r="G1372" t="s">
        <v>16</v>
      </c>
      <c r="H1372" t="s">
        <v>51</v>
      </c>
      <c r="I1372">
        <v>4</v>
      </c>
      <c r="J1372">
        <v>0</v>
      </c>
      <c r="K1372">
        <v>62.23</v>
      </c>
      <c r="L1372">
        <v>6.3</v>
      </c>
    </row>
    <row r="1373" spans="1:12" x14ac:dyDescent="0.25">
      <c r="A1373" t="s">
        <v>1420</v>
      </c>
      <c r="B1373" s="1">
        <v>45506</v>
      </c>
      <c r="C1373" s="1">
        <v>45508</v>
      </c>
      <c r="D1373" t="s">
        <v>32</v>
      </c>
      <c r="E1373" t="s">
        <v>45</v>
      </c>
      <c r="F1373" t="s">
        <v>25</v>
      </c>
      <c r="G1373" t="s">
        <v>20</v>
      </c>
      <c r="H1373" t="s">
        <v>68</v>
      </c>
      <c r="I1373">
        <v>2</v>
      </c>
      <c r="J1373">
        <v>0</v>
      </c>
      <c r="K1373">
        <v>93.96</v>
      </c>
      <c r="L1373">
        <v>4.2</v>
      </c>
    </row>
    <row r="1374" spans="1:12" x14ac:dyDescent="0.25">
      <c r="A1374" t="s">
        <v>1421</v>
      </c>
      <c r="B1374" s="1">
        <v>45784</v>
      </c>
      <c r="C1374" s="1">
        <v>45788</v>
      </c>
      <c r="D1374" t="s">
        <v>13</v>
      </c>
      <c r="E1374" t="s">
        <v>19</v>
      </c>
      <c r="F1374" t="s">
        <v>15</v>
      </c>
      <c r="G1374" t="s">
        <v>20</v>
      </c>
      <c r="H1374" t="s">
        <v>17</v>
      </c>
      <c r="I1374">
        <v>4</v>
      </c>
      <c r="J1374">
        <v>0</v>
      </c>
      <c r="K1374">
        <v>526.91999999999996</v>
      </c>
      <c r="L1374">
        <v>5.7</v>
      </c>
    </row>
    <row r="1375" spans="1:12" x14ac:dyDescent="0.25">
      <c r="A1375" t="s">
        <v>1422</v>
      </c>
      <c r="B1375" s="1">
        <v>45514</v>
      </c>
      <c r="C1375" s="1">
        <v>45516</v>
      </c>
      <c r="D1375" t="s">
        <v>47</v>
      </c>
      <c r="E1375" t="s">
        <v>50</v>
      </c>
      <c r="F1375" t="s">
        <v>29</v>
      </c>
      <c r="G1375" t="s">
        <v>26</v>
      </c>
      <c r="H1375" t="s">
        <v>39</v>
      </c>
      <c r="I1375">
        <v>3</v>
      </c>
      <c r="J1375">
        <v>0.2</v>
      </c>
      <c r="K1375">
        <v>442.71</v>
      </c>
      <c r="L1375">
        <v>4.95</v>
      </c>
    </row>
    <row r="1376" spans="1:12" x14ac:dyDescent="0.25">
      <c r="A1376" t="s">
        <v>1423</v>
      </c>
      <c r="B1376" s="1">
        <v>45783</v>
      </c>
      <c r="C1376" s="1">
        <v>45789</v>
      </c>
      <c r="D1376" t="s">
        <v>23</v>
      </c>
      <c r="E1376" t="s">
        <v>24</v>
      </c>
      <c r="F1376" t="s">
        <v>29</v>
      </c>
      <c r="G1376" t="s">
        <v>26</v>
      </c>
      <c r="H1376" t="s">
        <v>34</v>
      </c>
      <c r="I1376">
        <v>2</v>
      </c>
      <c r="J1376">
        <v>0</v>
      </c>
      <c r="K1376">
        <v>398.24</v>
      </c>
      <c r="L1376">
        <v>5.46</v>
      </c>
    </row>
    <row r="1377" spans="1:12" x14ac:dyDescent="0.25">
      <c r="A1377" t="s">
        <v>1424</v>
      </c>
      <c r="B1377" s="1">
        <v>45837</v>
      </c>
      <c r="C1377" s="1">
        <v>45840</v>
      </c>
      <c r="D1377" t="s">
        <v>23</v>
      </c>
      <c r="E1377" t="s">
        <v>43</v>
      </c>
      <c r="F1377" t="s">
        <v>29</v>
      </c>
      <c r="G1377" t="s">
        <v>26</v>
      </c>
      <c r="H1377" t="s">
        <v>34</v>
      </c>
      <c r="I1377">
        <v>4</v>
      </c>
      <c r="J1377">
        <v>0.2</v>
      </c>
      <c r="K1377">
        <v>649.99</v>
      </c>
      <c r="L1377">
        <v>13.7</v>
      </c>
    </row>
    <row r="1378" spans="1:12" x14ac:dyDescent="0.25">
      <c r="A1378" t="s">
        <v>1425</v>
      </c>
      <c r="B1378" s="1">
        <v>45930</v>
      </c>
      <c r="C1378" s="1">
        <v>45932</v>
      </c>
      <c r="D1378" t="s">
        <v>32</v>
      </c>
      <c r="E1378" t="s">
        <v>33</v>
      </c>
      <c r="F1378" t="s">
        <v>29</v>
      </c>
      <c r="G1378" t="s">
        <v>16</v>
      </c>
      <c r="H1378" t="s">
        <v>17</v>
      </c>
      <c r="I1378">
        <v>4</v>
      </c>
      <c r="J1378">
        <v>0</v>
      </c>
      <c r="K1378">
        <v>524.4</v>
      </c>
      <c r="L1378">
        <v>9.5</v>
      </c>
    </row>
    <row r="1379" spans="1:12" x14ac:dyDescent="0.25">
      <c r="A1379" t="s">
        <v>1426</v>
      </c>
      <c r="B1379" s="1">
        <v>45295</v>
      </c>
      <c r="C1379" s="1">
        <v>45299</v>
      </c>
      <c r="D1379" t="s">
        <v>32</v>
      </c>
      <c r="E1379" t="s">
        <v>62</v>
      </c>
      <c r="F1379" t="s">
        <v>15</v>
      </c>
      <c r="G1379" t="s">
        <v>20</v>
      </c>
      <c r="H1379" t="s">
        <v>41</v>
      </c>
      <c r="I1379">
        <v>3</v>
      </c>
      <c r="J1379">
        <v>0.05</v>
      </c>
      <c r="K1379">
        <v>15.5</v>
      </c>
      <c r="L1379">
        <v>3.51</v>
      </c>
    </row>
    <row r="1380" spans="1:12" x14ac:dyDescent="0.25">
      <c r="A1380" t="s">
        <v>1427</v>
      </c>
      <c r="B1380" s="1">
        <v>45794</v>
      </c>
      <c r="C1380" s="1">
        <v>45796</v>
      </c>
      <c r="D1380" t="s">
        <v>23</v>
      </c>
      <c r="E1380" t="s">
        <v>59</v>
      </c>
      <c r="F1380" t="s">
        <v>15</v>
      </c>
      <c r="G1380" t="s">
        <v>26</v>
      </c>
      <c r="H1380" t="s">
        <v>51</v>
      </c>
      <c r="I1380">
        <v>13</v>
      </c>
      <c r="J1380">
        <v>0</v>
      </c>
      <c r="K1380">
        <v>206.56</v>
      </c>
      <c r="L1380">
        <v>6.21</v>
      </c>
    </row>
    <row r="1381" spans="1:12" x14ac:dyDescent="0.25">
      <c r="A1381" t="s">
        <v>1428</v>
      </c>
      <c r="B1381" s="1">
        <v>45653</v>
      </c>
      <c r="C1381" s="1">
        <v>45654</v>
      </c>
      <c r="D1381" t="s">
        <v>47</v>
      </c>
      <c r="E1381" t="s">
        <v>50</v>
      </c>
      <c r="F1381" t="s">
        <v>29</v>
      </c>
      <c r="G1381" t="s">
        <v>20</v>
      </c>
      <c r="H1381" t="s">
        <v>27</v>
      </c>
      <c r="I1381">
        <v>4</v>
      </c>
      <c r="J1381">
        <v>0</v>
      </c>
      <c r="K1381">
        <v>151.24</v>
      </c>
      <c r="L1381">
        <v>3.78</v>
      </c>
    </row>
    <row r="1382" spans="1:12" x14ac:dyDescent="0.25">
      <c r="A1382" t="s">
        <v>1429</v>
      </c>
      <c r="B1382" s="1">
        <v>45523</v>
      </c>
      <c r="C1382" s="1">
        <v>45524</v>
      </c>
      <c r="D1382" t="s">
        <v>32</v>
      </c>
      <c r="E1382" t="s">
        <v>45</v>
      </c>
      <c r="F1382" t="s">
        <v>25</v>
      </c>
      <c r="G1382" t="s">
        <v>26</v>
      </c>
      <c r="H1382" t="s">
        <v>87</v>
      </c>
      <c r="I1382">
        <v>11</v>
      </c>
      <c r="J1382">
        <v>0.05</v>
      </c>
      <c r="K1382">
        <v>84.12</v>
      </c>
      <c r="L1382">
        <v>9.4499999999999993</v>
      </c>
    </row>
    <row r="1383" spans="1:12" x14ac:dyDescent="0.25">
      <c r="A1383" t="s">
        <v>1430</v>
      </c>
      <c r="B1383" s="1">
        <v>45991</v>
      </c>
      <c r="C1383" s="1">
        <v>45995</v>
      </c>
      <c r="D1383" t="s">
        <v>13</v>
      </c>
      <c r="E1383" t="s">
        <v>19</v>
      </c>
      <c r="F1383" t="s">
        <v>29</v>
      </c>
      <c r="G1383" t="s">
        <v>20</v>
      </c>
      <c r="H1383" t="s">
        <v>41</v>
      </c>
      <c r="I1383">
        <v>23</v>
      </c>
      <c r="J1383">
        <v>0</v>
      </c>
      <c r="K1383">
        <v>197.59</v>
      </c>
      <c r="L1383">
        <v>14.85</v>
      </c>
    </row>
    <row r="1384" spans="1:12" x14ac:dyDescent="0.25">
      <c r="A1384" t="s">
        <v>1431</v>
      </c>
      <c r="B1384" s="1">
        <v>45300</v>
      </c>
      <c r="C1384" s="1">
        <v>45306</v>
      </c>
      <c r="D1384" t="s">
        <v>47</v>
      </c>
      <c r="E1384" t="s">
        <v>50</v>
      </c>
      <c r="F1384" t="s">
        <v>15</v>
      </c>
      <c r="G1384" t="s">
        <v>26</v>
      </c>
      <c r="H1384" t="s">
        <v>17</v>
      </c>
      <c r="I1384">
        <v>2</v>
      </c>
      <c r="J1384">
        <v>0.2</v>
      </c>
      <c r="K1384">
        <v>180</v>
      </c>
      <c r="L1384">
        <v>4.2</v>
      </c>
    </row>
    <row r="1385" spans="1:12" x14ac:dyDescent="0.25">
      <c r="A1385" t="s">
        <v>1432</v>
      </c>
      <c r="B1385" s="1">
        <v>45659</v>
      </c>
      <c r="C1385" s="1">
        <v>45661</v>
      </c>
      <c r="D1385" t="s">
        <v>13</v>
      </c>
      <c r="E1385" t="s">
        <v>36</v>
      </c>
      <c r="F1385" t="s">
        <v>25</v>
      </c>
      <c r="G1385" t="s">
        <v>20</v>
      </c>
      <c r="H1385" t="s">
        <v>34</v>
      </c>
      <c r="I1385">
        <v>1</v>
      </c>
      <c r="J1385">
        <v>0.05</v>
      </c>
      <c r="K1385">
        <v>173.97</v>
      </c>
      <c r="L1385">
        <v>4.08</v>
      </c>
    </row>
    <row r="1386" spans="1:12" x14ac:dyDescent="0.25">
      <c r="A1386" t="s">
        <v>1433</v>
      </c>
      <c r="B1386" s="1">
        <v>45386</v>
      </c>
      <c r="C1386" s="1">
        <v>45388</v>
      </c>
      <c r="D1386" t="s">
        <v>32</v>
      </c>
      <c r="E1386" t="s">
        <v>33</v>
      </c>
      <c r="F1386" t="s">
        <v>15</v>
      </c>
      <c r="G1386" t="s">
        <v>16</v>
      </c>
      <c r="H1386" t="s">
        <v>68</v>
      </c>
      <c r="I1386">
        <v>3</v>
      </c>
      <c r="J1386">
        <v>0.05</v>
      </c>
      <c r="K1386">
        <v>145.82</v>
      </c>
      <c r="L1386">
        <v>8.25</v>
      </c>
    </row>
    <row r="1387" spans="1:12" x14ac:dyDescent="0.25">
      <c r="A1387" t="s">
        <v>1434</v>
      </c>
      <c r="B1387" s="1">
        <v>45595</v>
      </c>
      <c r="C1387" s="1">
        <v>45597</v>
      </c>
      <c r="D1387" t="s">
        <v>13</v>
      </c>
      <c r="E1387" t="s">
        <v>19</v>
      </c>
      <c r="F1387" t="s">
        <v>15</v>
      </c>
      <c r="G1387" t="s">
        <v>16</v>
      </c>
      <c r="H1387" t="s">
        <v>63</v>
      </c>
      <c r="I1387">
        <v>14</v>
      </c>
      <c r="J1387">
        <v>0.25</v>
      </c>
      <c r="K1387">
        <v>146.12</v>
      </c>
      <c r="L1387">
        <v>6.48</v>
      </c>
    </row>
    <row r="1388" spans="1:12" x14ac:dyDescent="0.25">
      <c r="A1388" t="s">
        <v>1435</v>
      </c>
      <c r="B1388" s="1">
        <v>45925</v>
      </c>
      <c r="C1388" s="1">
        <v>45931</v>
      </c>
      <c r="D1388" t="s">
        <v>47</v>
      </c>
      <c r="E1388" t="s">
        <v>50</v>
      </c>
      <c r="F1388" t="s">
        <v>25</v>
      </c>
      <c r="G1388" t="s">
        <v>20</v>
      </c>
      <c r="H1388" t="s">
        <v>65</v>
      </c>
      <c r="I1388">
        <v>2</v>
      </c>
      <c r="J1388">
        <v>0.15</v>
      </c>
      <c r="K1388">
        <v>513.54999999999995</v>
      </c>
      <c r="L1388">
        <v>5.46</v>
      </c>
    </row>
    <row r="1389" spans="1:12" x14ac:dyDescent="0.25">
      <c r="A1389" t="s">
        <v>1436</v>
      </c>
      <c r="B1389" s="1">
        <v>46013</v>
      </c>
      <c r="C1389" s="1">
        <v>46014</v>
      </c>
      <c r="D1389" t="s">
        <v>47</v>
      </c>
      <c r="E1389" t="s">
        <v>71</v>
      </c>
      <c r="F1389" t="s">
        <v>15</v>
      </c>
      <c r="G1389" t="s">
        <v>16</v>
      </c>
      <c r="H1389" t="s">
        <v>68</v>
      </c>
      <c r="I1389">
        <v>4</v>
      </c>
      <c r="J1389">
        <v>0</v>
      </c>
      <c r="K1389">
        <v>300.41000000000003</v>
      </c>
      <c r="L1389">
        <v>9.5</v>
      </c>
    </row>
    <row r="1390" spans="1:12" x14ac:dyDescent="0.25">
      <c r="A1390" t="s">
        <v>1437</v>
      </c>
      <c r="B1390" s="1">
        <v>45949</v>
      </c>
      <c r="C1390" s="1">
        <v>45953</v>
      </c>
      <c r="D1390" t="s">
        <v>23</v>
      </c>
      <c r="E1390" t="s">
        <v>43</v>
      </c>
      <c r="F1390" t="s">
        <v>15</v>
      </c>
      <c r="G1390" t="s">
        <v>16</v>
      </c>
      <c r="H1390" t="s">
        <v>60</v>
      </c>
      <c r="I1390">
        <v>7</v>
      </c>
      <c r="J1390">
        <v>0.25</v>
      </c>
      <c r="K1390">
        <v>650.1</v>
      </c>
      <c r="L1390">
        <v>13.25</v>
      </c>
    </row>
    <row r="1391" spans="1:12" x14ac:dyDescent="0.25">
      <c r="A1391" t="s">
        <v>1438</v>
      </c>
      <c r="B1391" s="1">
        <v>45501</v>
      </c>
      <c r="C1391" s="1">
        <v>45505</v>
      </c>
      <c r="D1391" t="s">
        <v>47</v>
      </c>
      <c r="E1391" t="s">
        <v>48</v>
      </c>
      <c r="F1391" t="s">
        <v>29</v>
      </c>
      <c r="G1391" t="s">
        <v>26</v>
      </c>
      <c r="H1391" t="s">
        <v>21</v>
      </c>
      <c r="I1391">
        <v>2</v>
      </c>
      <c r="J1391">
        <v>0</v>
      </c>
      <c r="K1391">
        <v>199.99</v>
      </c>
      <c r="L1391">
        <v>5.46</v>
      </c>
    </row>
    <row r="1392" spans="1:12" x14ac:dyDescent="0.25">
      <c r="A1392" t="s">
        <v>1439</v>
      </c>
      <c r="B1392" s="1">
        <v>45882</v>
      </c>
      <c r="C1392" s="1">
        <v>45887</v>
      </c>
      <c r="D1392" t="s">
        <v>32</v>
      </c>
      <c r="E1392" t="s">
        <v>45</v>
      </c>
      <c r="F1392" t="s">
        <v>29</v>
      </c>
      <c r="G1392" t="s">
        <v>16</v>
      </c>
      <c r="H1392" t="s">
        <v>60</v>
      </c>
      <c r="I1392">
        <v>5</v>
      </c>
      <c r="J1392">
        <v>0</v>
      </c>
      <c r="K1392">
        <v>551.41999999999996</v>
      </c>
      <c r="L1392">
        <v>6.45</v>
      </c>
    </row>
    <row r="1393" spans="1:12" x14ac:dyDescent="0.25">
      <c r="A1393" t="s">
        <v>1440</v>
      </c>
      <c r="B1393" s="1">
        <v>45761</v>
      </c>
      <c r="C1393" s="1">
        <v>45767</v>
      </c>
      <c r="D1393" t="s">
        <v>23</v>
      </c>
      <c r="E1393" t="s">
        <v>59</v>
      </c>
      <c r="F1393" t="s">
        <v>29</v>
      </c>
      <c r="G1393" t="s">
        <v>16</v>
      </c>
      <c r="H1393" t="s">
        <v>53</v>
      </c>
      <c r="I1393">
        <v>5</v>
      </c>
      <c r="J1393">
        <v>0.25</v>
      </c>
      <c r="K1393">
        <v>212.06</v>
      </c>
      <c r="L1393">
        <v>10.75</v>
      </c>
    </row>
    <row r="1394" spans="1:12" x14ac:dyDescent="0.25">
      <c r="A1394" t="s">
        <v>1441</v>
      </c>
      <c r="B1394" s="1">
        <v>45307</v>
      </c>
      <c r="C1394" s="1">
        <v>45312</v>
      </c>
      <c r="D1394" t="s">
        <v>23</v>
      </c>
      <c r="E1394" t="s">
        <v>59</v>
      </c>
      <c r="F1394" t="s">
        <v>29</v>
      </c>
      <c r="G1394" t="s">
        <v>26</v>
      </c>
      <c r="H1394" t="s">
        <v>63</v>
      </c>
      <c r="I1394">
        <v>9</v>
      </c>
      <c r="J1394">
        <v>0.05</v>
      </c>
      <c r="K1394">
        <v>89.62</v>
      </c>
      <c r="L1394">
        <v>5.13</v>
      </c>
    </row>
    <row r="1395" spans="1:12" x14ac:dyDescent="0.25">
      <c r="A1395" t="s">
        <v>1442</v>
      </c>
      <c r="B1395" s="1">
        <v>45449</v>
      </c>
      <c r="C1395" s="1">
        <v>45455</v>
      </c>
      <c r="D1395" t="s">
        <v>32</v>
      </c>
      <c r="E1395" t="s">
        <v>45</v>
      </c>
      <c r="F1395" t="s">
        <v>29</v>
      </c>
      <c r="G1395" t="s">
        <v>20</v>
      </c>
      <c r="H1395" t="s">
        <v>17</v>
      </c>
      <c r="I1395">
        <v>1</v>
      </c>
      <c r="J1395">
        <v>0</v>
      </c>
      <c r="K1395">
        <v>124.95</v>
      </c>
      <c r="L1395">
        <v>3.45</v>
      </c>
    </row>
    <row r="1396" spans="1:12" x14ac:dyDescent="0.25">
      <c r="A1396" t="s">
        <v>1443</v>
      </c>
      <c r="B1396" s="1">
        <v>45452</v>
      </c>
      <c r="C1396" s="1">
        <v>45453</v>
      </c>
      <c r="D1396" t="s">
        <v>23</v>
      </c>
      <c r="E1396" t="s">
        <v>24</v>
      </c>
      <c r="F1396" t="s">
        <v>29</v>
      </c>
      <c r="G1396" t="s">
        <v>26</v>
      </c>
      <c r="H1396" t="s">
        <v>51</v>
      </c>
      <c r="I1396">
        <v>6</v>
      </c>
      <c r="J1396">
        <v>0</v>
      </c>
      <c r="K1396">
        <v>90.87</v>
      </c>
      <c r="L1396">
        <v>4.32</v>
      </c>
    </row>
    <row r="1397" spans="1:12" x14ac:dyDescent="0.25">
      <c r="A1397" t="s">
        <v>1444</v>
      </c>
      <c r="B1397" s="1">
        <v>45310</v>
      </c>
      <c r="C1397" s="1">
        <v>45314</v>
      </c>
      <c r="D1397" t="s">
        <v>13</v>
      </c>
      <c r="E1397" t="s">
        <v>14</v>
      </c>
      <c r="F1397" t="s">
        <v>29</v>
      </c>
      <c r="G1397" t="s">
        <v>20</v>
      </c>
      <c r="H1397" t="s">
        <v>65</v>
      </c>
      <c r="I1397">
        <v>1</v>
      </c>
      <c r="J1397">
        <v>0</v>
      </c>
      <c r="K1397">
        <v>260.42</v>
      </c>
      <c r="L1397">
        <v>6.8</v>
      </c>
    </row>
    <row r="1398" spans="1:12" x14ac:dyDescent="0.25">
      <c r="A1398" t="s">
        <v>1445</v>
      </c>
      <c r="B1398" s="1">
        <v>45866</v>
      </c>
      <c r="C1398" s="1">
        <v>45872</v>
      </c>
      <c r="D1398" t="s">
        <v>32</v>
      </c>
      <c r="E1398" t="s">
        <v>33</v>
      </c>
      <c r="F1398" t="s">
        <v>25</v>
      </c>
      <c r="G1398" t="s">
        <v>26</v>
      </c>
      <c r="H1398" t="s">
        <v>30</v>
      </c>
      <c r="I1398">
        <v>4</v>
      </c>
      <c r="J1398">
        <v>0</v>
      </c>
      <c r="K1398">
        <v>20.93</v>
      </c>
      <c r="L1398">
        <v>6.3</v>
      </c>
    </row>
    <row r="1399" spans="1:12" x14ac:dyDescent="0.25">
      <c r="A1399" t="s">
        <v>1446</v>
      </c>
      <c r="B1399" s="1">
        <v>45309</v>
      </c>
      <c r="C1399" s="1">
        <v>45313</v>
      </c>
      <c r="D1399" t="s">
        <v>13</v>
      </c>
      <c r="E1399" t="s">
        <v>14</v>
      </c>
      <c r="F1399" t="s">
        <v>25</v>
      </c>
      <c r="G1399" t="s">
        <v>16</v>
      </c>
      <c r="H1399" t="s">
        <v>34</v>
      </c>
      <c r="I1399">
        <v>3</v>
      </c>
      <c r="J1399">
        <v>0</v>
      </c>
      <c r="K1399">
        <v>566.48</v>
      </c>
      <c r="L1399">
        <v>6.84</v>
      </c>
    </row>
    <row r="1400" spans="1:12" x14ac:dyDescent="0.25">
      <c r="A1400" t="s">
        <v>1447</v>
      </c>
      <c r="B1400" s="1">
        <v>45395</v>
      </c>
      <c r="C1400" s="1">
        <v>45401</v>
      </c>
      <c r="D1400" t="s">
        <v>32</v>
      </c>
      <c r="E1400" t="s">
        <v>62</v>
      </c>
      <c r="F1400" t="s">
        <v>15</v>
      </c>
      <c r="G1400" t="s">
        <v>16</v>
      </c>
      <c r="H1400" t="s">
        <v>41</v>
      </c>
      <c r="I1400">
        <v>8</v>
      </c>
      <c r="J1400">
        <v>0.2</v>
      </c>
      <c r="K1400">
        <v>40.229999999999997</v>
      </c>
      <c r="L1400">
        <v>4.8600000000000003</v>
      </c>
    </row>
    <row r="1401" spans="1:12" x14ac:dyDescent="0.25">
      <c r="A1401" t="s">
        <v>1448</v>
      </c>
      <c r="B1401" s="1">
        <v>45467</v>
      </c>
      <c r="C1401" s="1">
        <v>45470</v>
      </c>
      <c r="D1401" t="s">
        <v>47</v>
      </c>
      <c r="E1401" t="s">
        <v>50</v>
      </c>
      <c r="F1401" t="s">
        <v>15</v>
      </c>
      <c r="G1401" t="s">
        <v>16</v>
      </c>
      <c r="H1401" t="s">
        <v>53</v>
      </c>
      <c r="I1401">
        <v>2</v>
      </c>
      <c r="J1401">
        <v>0</v>
      </c>
      <c r="K1401">
        <v>120.44</v>
      </c>
      <c r="L1401">
        <v>4.2</v>
      </c>
    </row>
    <row r="1402" spans="1:12" x14ac:dyDescent="0.25">
      <c r="A1402" t="s">
        <v>1449</v>
      </c>
      <c r="B1402" s="1">
        <v>45667</v>
      </c>
      <c r="C1402" s="1">
        <v>45673</v>
      </c>
      <c r="D1402" t="s">
        <v>13</v>
      </c>
      <c r="E1402" t="s">
        <v>14</v>
      </c>
      <c r="F1402" t="s">
        <v>15</v>
      </c>
      <c r="G1402" t="s">
        <v>16</v>
      </c>
      <c r="H1402" t="s">
        <v>30</v>
      </c>
      <c r="I1402">
        <v>14</v>
      </c>
      <c r="J1402">
        <v>0</v>
      </c>
      <c r="K1402">
        <v>70.930000000000007</v>
      </c>
      <c r="L1402">
        <v>6.48</v>
      </c>
    </row>
    <row r="1403" spans="1:12" x14ac:dyDescent="0.25">
      <c r="A1403" t="s">
        <v>1450</v>
      </c>
      <c r="B1403" s="1">
        <v>45815</v>
      </c>
      <c r="C1403" s="1">
        <v>45820</v>
      </c>
      <c r="D1403" t="s">
        <v>13</v>
      </c>
      <c r="E1403" t="s">
        <v>19</v>
      </c>
      <c r="F1403" t="s">
        <v>29</v>
      </c>
      <c r="G1403" t="s">
        <v>20</v>
      </c>
      <c r="H1403" t="s">
        <v>17</v>
      </c>
      <c r="I1403">
        <v>1</v>
      </c>
      <c r="J1403">
        <v>0</v>
      </c>
      <c r="K1403">
        <v>129.21</v>
      </c>
      <c r="L1403">
        <v>3.45</v>
      </c>
    </row>
    <row r="1404" spans="1:12" x14ac:dyDescent="0.25">
      <c r="A1404" t="s">
        <v>1451</v>
      </c>
      <c r="B1404" s="1">
        <v>45812</v>
      </c>
      <c r="C1404" s="1">
        <v>45818</v>
      </c>
      <c r="D1404" t="s">
        <v>23</v>
      </c>
      <c r="E1404" t="s">
        <v>59</v>
      </c>
      <c r="F1404" t="s">
        <v>25</v>
      </c>
      <c r="G1404" t="s">
        <v>20</v>
      </c>
      <c r="H1404" t="s">
        <v>87</v>
      </c>
      <c r="I1404">
        <v>3</v>
      </c>
      <c r="J1404">
        <v>0.2</v>
      </c>
      <c r="K1404">
        <v>20.59</v>
      </c>
      <c r="L1404">
        <v>3.51</v>
      </c>
    </row>
    <row r="1405" spans="1:12" x14ac:dyDescent="0.25">
      <c r="A1405" t="s">
        <v>1452</v>
      </c>
      <c r="B1405" s="1">
        <v>45726</v>
      </c>
      <c r="C1405" s="1">
        <v>45730</v>
      </c>
      <c r="D1405" t="s">
        <v>23</v>
      </c>
      <c r="E1405" t="s">
        <v>24</v>
      </c>
      <c r="F1405" t="s">
        <v>15</v>
      </c>
      <c r="G1405" t="s">
        <v>20</v>
      </c>
      <c r="H1405" t="s">
        <v>63</v>
      </c>
      <c r="I1405">
        <v>4</v>
      </c>
      <c r="J1405">
        <v>0.05</v>
      </c>
      <c r="K1405">
        <v>43.34</v>
      </c>
      <c r="L1405">
        <v>3.78</v>
      </c>
    </row>
    <row r="1406" spans="1:12" x14ac:dyDescent="0.25">
      <c r="A1406" t="s">
        <v>1453</v>
      </c>
      <c r="B1406" s="1">
        <v>45799</v>
      </c>
      <c r="C1406" s="1">
        <v>45801</v>
      </c>
      <c r="D1406" t="s">
        <v>13</v>
      </c>
      <c r="E1406" t="s">
        <v>36</v>
      </c>
      <c r="F1406" t="s">
        <v>29</v>
      </c>
      <c r="G1406" t="s">
        <v>16</v>
      </c>
      <c r="H1406" t="s">
        <v>30</v>
      </c>
      <c r="I1406">
        <v>3</v>
      </c>
      <c r="J1406">
        <v>0.1</v>
      </c>
      <c r="K1406">
        <v>15.96</v>
      </c>
      <c r="L1406">
        <v>5.85</v>
      </c>
    </row>
    <row r="1407" spans="1:12" x14ac:dyDescent="0.25">
      <c r="A1407" t="s">
        <v>1454</v>
      </c>
      <c r="B1407" s="1">
        <v>45813</v>
      </c>
      <c r="C1407" s="1">
        <v>45814</v>
      </c>
      <c r="D1407" t="s">
        <v>13</v>
      </c>
      <c r="E1407" t="s">
        <v>36</v>
      </c>
      <c r="F1407" t="s">
        <v>25</v>
      </c>
      <c r="G1407" t="s">
        <v>26</v>
      </c>
      <c r="H1407" t="s">
        <v>41</v>
      </c>
      <c r="I1407">
        <v>3</v>
      </c>
      <c r="J1407">
        <v>0</v>
      </c>
      <c r="K1407">
        <v>18.489999999999998</v>
      </c>
      <c r="L1407">
        <v>3.51</v>
      </c>
    </row>
    <row r="1408" spans="1:12" x14ac:dyDescent="0.25">
      <c r="A1408" t="s">
        <v>1455</v>
      </c>
      <c r="B1408" s="1">
        <v>45800</v>
      </c>
      <c r="C1408" s="1">
        <v>45806</v>
      </c>
      <c r="D1408" t="s">
        <v>13</v>
      </c>
      <c r="E1408" t="s">
        <v>36</v>
      </c>
      <c r="F1408" t="s">
        <v>25</v>
      </c>
      <c r="G1408" t="s">
        <v>20</v>
      </c>
      <c r="H1408" t="s">
        <v>37</v>
      </c>
      <c r="I1408">
        <v>2</v>
      </c>
      <c r="J1408">
        <v>0.25</v>
      </c>
      <c r="K1408">
        <v>159.29</v>
      </c>
      <c r="L1408">
        <v>9.1</v>
      </c>
    </row>
    <row r="1409" spans="1:12" x14ac:dyDescent="0.25">
      <c r="A1409" t="s">
        <v>1456</v>
      </c>
      <c r="B1409" s="1">
        <v>45353</v>
      </c>
      <c r="C1409" s="1">
        <v>45357</v>
      </c>
      <c r="D1409" t="s">
        <v>13</v>
      </c>
      <c r="E1409" t="s">
        <v>19</v>
      </c>
      <c r="F1409" t="s">
        <v>15</v>
      </c>
      <c r="G1409" t="s">
        <v>16</v>
      </c>
      <c r="H1409" t="s">
        <v>87</v>
      </c>
      <c r="I1409">
        <v>5</v>
      </c>
      <c r="J1409">
        <v>0.1</v>
      </c>
      <c r="K1409">
        <v>36.049999999999997</v>
      </c>
      <c r="L1409">
        <v>6.75</v>
      </c>
    </row>
    <row r="1410" spans="1:12" x14ac:dyDescent="0.25">
      <c r="A1410" t="s">
        <v>1457</v>
      </c>
      <c r="B1410" s="1">
        <v>45941</v>
      </c>
      <c r="C1410" s="1">
        <v>45946</v>
      </c>
      <c r="D1410" t="s">
        <v>13</v>
      </c>
      <c r="E1410" t="s">
        <v>19</v>
      </c>
      <c r="F1410" t="s">
        <v>25</v>
      </c>
      <c r="G1410" t="s">
        <v>26</v>
      </c>
      <c r="H1410" t="s">
        <v>37</v>
      </c>
      <c r="I1410">
        <v>4</v>
      </c>
      <c r="J1410">
        <v>0</v>
      </c>
      <c r="K1410">
        <v>480.4</v>
      </c>
      <c r="L1410">
        <v>8.2200000000000006</v>
      </c>
    </row>
    <row r="1411" spans="1:12" x14ac:dyDescent="0.25">
      <c r="A1411" t="s">
        <v>1458</v>
      </c>
      <c r="B1411" s="1">
        <v>45531</v>
      </c>
      <c r="C1411" s="1">
        <v>45532</v>
      </c>
      <c r="D1411" t="s">
        <v>32</v>
      </c>
      <c r="E1411" t="s">
        <v>45</v>
      </c>
      <c r="F1411" t="s">
        <v>25</v>
      </c>
      <c r="G1411" t="s">
        <v>16</v>
      </c>
      <c r="H1411" t="s">
        <v>34</v>
      </c>
      <c r="I1411">
        <v>1</v>
      </c>
      <c r="J1411">
        <v>0</v>
      </c>
      <c r="K1411">
        <v>185.08</v>
      </c>
      <c r="L1411">
        <v>6.8</v>
      </c>
    </row>
    <row r="1412" spans="1:12" x14ac:dyDescent="0.25">
      <c r="A1412" t="s">
        <v>1459</v>
      </c>
      <c r="B1412" s="1">
        <v>45827</v>
      </c>
      <c r="C1412" s="1">
        <v>45828</v>
      </c>
      <c r="D1412" t="s">
        <v>47</v>
      </c>
      <c r="E1412" t="s">
        <v>50</v>
      </c>
      <c r="F1412" t="s">
        <v>29</v>
      </c>
      <c r="G1412" t="s">
        <v>26</v>
      </c>
      <c r="H1412" t="s">
        <v>21</v>
      </c>
      <c r="I1412">
        <v>3</v>
      </c>
      <c r="J1412">
        <v>0.1</v>
      </c>
      <c r="K1412">
        <v>321.48</v>
      </c>
      <c r="L1412">
        <v>11.4</v>
      </c>
    </row>
    <row r="1413" spans="1:12" x14ac:dyDescent="0.25">
      <c r="A1413" t="s">
        <v>1460</v>
      </c>
      <c r="B1413" s="1">
        <v>45929</v>
      </c>
      <c r="C1413" s="1">
        <v>45930</v>
      </c>
      <c r="D1413" t="s">
        <v>13</v>
      </c>
      <c r="E1413" t="s">
        <v>14</v>
      </c>
      <c r="F1413" t="s">
        <v>25</v>
      </c>
      <c r="G1413" t="s">
        <v>16</v>
      </c>
      <c r="H1413" t="s">
        <v>34</v>
      </c>
      <c r="I1413">
        <v>5</v>
      </c>
      <c r="J1413">
        <v>0</v>
      </c>
      <c r="K1413">
        <v>1157.74</v>
      </c>
      <c r="L1413">
        <v>16</v>
      </c>
    </row>
    <row r="1414" spans="1:12" x14ac:dyDescent="0.25">
      <c r="A1414" t="s">
        <v>1461</v>
      </c>
      <c r="B1414" s="1">
        <v>45878</v>
      </c>
      <c r="C1414" s="1">
        <v>45879</v>
      </c>
      <c r="D1414" t="s">
        <v>32</v>
      </c>
      <c r="E1414" t="s">
        <v>45</v>
      </c>
      <c r="F1414" t="s">
        <v>15</v>
      </c>
      <c r="G1414" t="s">
        <v>26</v>
      </c>
      <c r="H1414" t="s">
        <v>60</v>
      </c>
      <c r="I1414">
        <v>3</v>
      </c>
      <c r="J1414">
        <v>0</v>
      </c>
      <c r="K1414">
        <v>305.39</v>
      </c>
      <c r="L1414">
        <v>8.25</v>
      </c>
    </row>
    <row r="1415" spans="1:12" x14ac:dyDescent="0.25">
      <c r="A1415" t="s">
        <v>1462</v>
      </c>
      <c r="B1415" s="1">
        <v>45314</v>
      </c>
      <c r="C1415" s="1">
        <v>45318</v>
      </c>
      <c r="D1415" t="s">
        <v>13</v>
      </c>
      <c r="E1415" t="s">
        <v>36</v>
      </c>
      <c r="F1415" t="s">
        <v>15</v>
      </c>
      <c r="G1415" t="s">
        <v>26</v>
      </c>
      <c r="H1415" t="s">
        <v>34</v>
      </c>
      <c r="I1415">
        <v>1</v>
      </c>
      <c r="J1415">
        <v>0</v>
      </c>
      <c r="K1415">
        <v>186.5</v>
      </c>
      <c r="L1415">
        <v>4.08</v>
      </c>
    </row>
    <row r="1416" spans="1:12" x14ac:dyDescent="0.25">
      <c r="A1416" t="s">
        <v>1463</v>
      </c>
      <c r="B1416" s="1">
        <v>45484</v>
      </c>
      <c r="C1416" s="1">
        <v>45486</v>
      </c>
      <c r="D1416" t="s">
        <v>32</v>
      </c>
      <c r="E1416" t="s">
        <v>62</v>
      </c>
      <c r="F1416" t="s">
        <v>29</v>
      </c>
      <c r="G1416" t="s">
        <v>20</v>
      </c>
      <c r="H1416" t="s">
        <v>87</v>
      </c>
      <c r="I1416">
        <v>4</v>
      </c>
      <c r="J1416">
        <v>0</v>
      </c>
      <c r="K1416">
        <v>30.19</v>
      </c>
      <c r="L1416">
        <v>3.78</v>
      </c>
    </row>
    <row r="1417" spans="1:12" x14ac:dyDescent="0.25">
      <c r="A1417" t="s">
        <v>1464</v>
      </c>
      <c r="B1417" s="1">
        <v>45490</v>
      </c>
      <c r="C1417" s="1">
        <v>45496</v>
      </c>
      <c r="D1417" t="s">
        <v>32</v>
      </c>
      <c r="E1417" t="s">
        <v>62</v>
      </c>
      <c r="F1417" t="s">
        <v>29</v>
      </c>
      <c r="G1417" t="s">
        <v>20</v>
      </c>
      <c r="H1417" t="s">
        <v>60</v>
      </c>
      <c r="I1417">
        <v>1</v>
      </c>
      <c r="J1417">
        <v>0</v>
      </c>
      <c r="K1417">
        <v>100.68</v>
      </c>
      <c r="L1417">
        <v>5.75</v>
      </c>
    </row>
    <row r="1418" spans="1:12" x14ac:dyDescent="0.25">
      <c r="A1418" t="s">
        <v>1465</v>
      </c>
      <c r="B1418" s="1">
        <v>45702</v>
      </c>
      <c r="C1418" s="1">
        <v>45707</v>
      </c>
      <c r="D1418" t="s">
        <v>13</v>
      </c>
      <c r="E1418" t="s">
        <v>36</v>
      </c>
      <c r="F1418" t="s">
        <v>15</v>
      </c>
      <c r="G1418" t="s">
        <v>20</v>
      </c>
      <c r="H1418" t="s">
        <v>39</v>
      </c>
      <c r="I1418">
        <v>4</v>
      </c>
      <c r="J1418">
        <v>0</v>
      </c>
      <c r="K1418">
        <v>696.4</v>
      </c>
      <c r="L1418">
        <v>9.5</v>
      </c>
    </row>
    <row r="1419" spans="1:12" x14ac:dyDescent="0.25">
      <c r="A1419" t="s">
        <v>1466</v>
      </c>
      <c r="B1419" s="1">
        <v>45403</v>
      </c>
      <c r="C1419" s="1">
        <v>45405</v>
      </c>
      <c r="D1419" t="s">
        <v>23</v>
      </c>
      <c r="E1419" t="s">
        <v>59</v>
      </c>
      <c r="F1419" t="s">
        <v>29</v>
      </c>
      <c r="G1419" t="s">
        <v>20</v>
      </c>
      <c r="H1419" t="s">
        <v>21</v>
      </c>
      <c r="I1419">
        <v>3</v>
      </c>
      <c r="J1419">
        <v>0</v>
      </c>
      <c r="K1419">
        <v>339.12</v>
      </c>
      <c r="L1419">
        <v>6.84</v>
      </c>
    </row>
    <row r="1420" spans="1:12" x14ac:dyDescent="0.25">
      <c r="A1420" t="s">
        <v>1467</v>
      </c>
      <c r="B1420" s="1">
        <v>45363</v>
      </c>
      <c r="C1420" s="1">
        <v>45366</v>
      </c>
      <c r="D1420" t="s">
        <v>13</v>
      </c>
      <c r="E1420" t="s">
        <v>36</v>
      </c>
      <c r="F1420" t="s">
        <v>15</v>
      </c>
      <c r="G1420" t="s">
        <v>20</v>
      </c>
      <c r="H1420" t="s">
        <v>63</v>
      </c>
      <c r="I1420">
        <v>14</v>
      </c>
      <c r="J1420">
        <v>0.05</v>
      </c>
      <c r="K1420">
        <v>156.56</v>
      </c>
      <c r="L1420">
        <v>6.48</v>
      </c>
    </row>
    <row r="1421" spans="1:12" x14ac:dyDescent="0.25">
      <c r="A1421" t="s">
        <v>1468</v>
      </c>
      <c r="B1421" s="1">
        <v>45307</v>
      </c>
      <c r="C1421" s="1">
        <v>45312</v>
      </c>
      <c r="D1421" t="s">
        <v>47</v>
      </c>
      <c r="E1421" t="s">
        <v>71</v>
      </c>
      <c r="F1421" t="s">
        <v>29</v>
      </c>
      <c r="G1421" t="s">
        <v>20</v>
      </c>
      <c r="H1421" t="s">
        <v>60</v>
      </c>
      <c r="I1421">
        <v>4</v>
      </c>
      <c r="J1421">
        <v>0</v>
      </c>
      <c r="K1421">
        <v>409.16</v>
      </c>
      <c r="L1421">
        <v>9.5</v>
      </c>
    </row>
    <row r="1422" spans="1:12" x14ac:dyDescent="0.25">
      <c r="A1422" t="s">
        <v>1469</v>
      </c>
      <c r="B1422" s="1">
        <v>45751</v>
      </c>
      <c r="C1422" s="1">
        <v>45752</v>
      </c>
      <c r="D1422" t="s">
        <v>13</v>
      </c>
      <c r="E1422" t="s">
        <v>19</v>
      </c>
      <c r="F1422" t="s">
        <v>15</v>
      </c>
      <c r="G1422" t="s">
        <v>16</v>
      </c>
      <c r="H1422" t="s">
        <v>39</v>
      </c>
      <c r="I1422">
        <v>4</v>
      </c>
      <c r="J1422">
        <v>0</v>
      </c>
      <c r="K1422">
        <v>779.08</v>
      </c>
      <c r="L1422">
        <v>5.7</v>
      </c>
    </row>
    <row r="1423" spans="1:12" x14ac:dyDescent="0.25">
      <c r="A1423" t="s">
        <v>1470</v>
      </c>
      <c r="B1423" s="1">
        <v>45888</v>
      </c>
      <c r="C1423" s="1">
        <v>45892</v>
      </c>
      <c r="D1423" t="s">
        <v>23</v>
      </c>
      <c r="E1423" t="s">
        <v>43</v>
      </c>
      <c r="F1423" t="s">
        <v>29</v>
      </c>
      <c r="G1423" t="s">
        <v>26</v>
      </c>
      <c r="H1423" t="s">
        <v>41</v>
      </c>
      <c r="I1423">
        <v>23</v>
      </c>
      <c r="J1423">
        <v>0.1</v>
      </c>
      <c r="K1423">
        <v>122.49</v>
      </c>
      <c r="L1423">
        <v>14.85</v>
      </c>
    </row>
    <row r="1424" spans="1:12" x14ac:dyDescent="0.25">
      <c r="A1424" t="s">
        <v>1471</v>
      </c>
      <c r="B1424" s="1">
        <v>45295</v>
      </c>
      <c r="C1424" s="1">
        <v>45299</v>
      </c>
      <c r="D1424" t="s">
        <v>47</v>
      </c>
      <c r="E1424" t="s">
        <v>50</v>
      </c>
      <c r="F1424" t="s">
        <v>15</v>
      </c>
      <c r="G1424" t="s">
        <v>26</v>
      </c>
      <c r="H1424" t="s">
        <v>60</v>
      </c>
      <c r="I1424">
        <v>3</v>
      </c>
      <c r="J1424">
        <v>0</v>
      </c>
      <c r="K1424">
        <v>301.26</v>
      </c>
      <c r="L1424">
        <v>4.95</v>
      </c>
    </row>
    <row r="1425" spans="1:12" x14ac:dyDescent="0.25">
      <c r="A1425" t="s">
        <v>1472</v>
      </c>
      <c r="B1425" s="1">
        <v>45808</v>
      </c>
      <c r="C1425" s="1">
        <v>45810</v>
      </c>
      <c r="D1425" t="s">
        <v>47</v>
      </c>
      <c r="E1425" t="s">
        <v>48</v>
      </c>
      <c r="F1425" t="s">
        <v>15</v>
      </c>
      <c r="G1425" t="s">
        <v>20</v>
      </c>
      <c r="H1425" t="s">
        <v>21</v>
      </c>
      <c r="I1425">
        <v>4</v>
      </c>
      <c r="J1425">
        <v>0</v>
      </c>
      <c r="K1425">
        <v>434.06</v>
      </c>
      <c r="L1425">
        <v>13.7</v>
      </c>
    </row>
    <row r="1426" spans="1:12" x14ac:dyDescent="0.25">
      <c r="A1426" t="s">
        <v>1473</v>
      </c>
      <c r="B1426" s="1">
        <v>45587</v>
      </c>
      <c r="C1426" s="1">
        <v>45592</v>
      </c>
      <c r="D1426" t="s">
        <v>47</v>
      </c>
      <c r="E1426" t="s">
        <v>50</v>
      </c>
      <c r="F1426" t="s">
        <v>15</v>
      </c>
      <c r="G1426" t="s">
        <v>16</v>
      </c>
      <c r="H1426" t="s">
        <v>27</v>
      </c>
      <c r="I1426">
        <v>14</v>
      </c>
      <c r="J1426">
        <v>0</v>
      </c>
      <c r="K1426">
        <v>434.98</v>
      </c>
      <c r="L1426">
        <v>6.48</v>
      </c>
    </row>
    <row r="1427" spans="1:12" x14ac:dyDescent="0.25">
      <c r="A1427" t="s">
        <v>1474</v>
      </c>
      <c r="B1427" s="1">
        <v>45414</v>
      </c>
      <c r="C1427" s="1">
        <v>45415</v>
      </c>
      <c r="D1427" t="s">
        <v>47</v>
      </c>
      <c r="E1427" t="s">
        <v>71</v>
      </c>
      <c r="F1427" t="s">
        <v>15</v>
      </c>
      <c r="G1427" t="s">
        <v>16</v>
      </c>
      <c r="H1427" t="s">
        <v>34</v>
      </c>
      <c r="I1427">
        <v>2</v>
      </c>
      <c r="J1427">
        <v>0</v>
      </c>
      <c r="K1427">
        <v>417.78</v>
      </c>
      <c r="L1427">
        <v>9.1</v>
      </c>
    </row>
    <row r="1428" spans="1:12" x14ac:dyDescent="0.25">
      <c r="A1428" t="s">
        <v>1475</v>
      </c>
      <c r="B1428" s="1">
        <v>46004</v>
      </c>
      <c r="C1428" s="1">
        <v>46007</v>
      </c>
      <c r="D1428" t="s">
        <v>47</v>
      </c>
      <c r="E1428" t="s">
        <v>71</v>
      </c>
      <c r="F1428" t="s">
        <v>15</v>
      </c>
      <c r="G1428" t="s">
        <v>20</v>
      </c>
      <c r="H1428" t="s">
        <v>34</v>
      </c>
      <c r="I1428">
        <v>4</v>
      </c>
      <c r="J1428">
        <v>0.15</v>
      </c>
      <c r="K1428">
        <v>949.46</v>
      </c>
      <c r="L1428">
        <v>13.7</v>
      </c>
    </row>
    <row r="1429" spans="1:12" x14ac:dyDescent="0.25">
      <c r="A1429" t="s">
        <v>1476</v>
      </c>
      <c r="B1429" s="1">
        <v>45982</v>
      </c>
      <c r="C1429" s="1">
        <v>45988</v>
      </c>
      <c r="D1429" t="s">
        <v>23</v>
      </c>
      <c r="E1429" t="s">
        <v>43</v>
      </c>
      <c r="F1429" t="s">
        <v>15</v>
      </c>
      <c r="G1429" t="s">
        <v>26</v>
      </c>
      <c r="H1429" t="s">
        <v>30</v>
      </c>
      <c r="I1429">
        <v>11</v>
      </c>
      <c r="J1429">
        <v>0</v>
      </c>
      <c r="K1429">
        <v>87.04</v>
      </c>
      <c r="L1429">
        <v>9.4499999999999993</v>
      </c>
    </row>
    <row r="1430" spans="1:12" x14ac:dyDescent="0.25">
      <c r="A1430" t="s">
        <v>1477</v>
      </c>
      <c r="B1430" s="1">
        <v>45861</v>
      </c>
      <c r="C1430" s="1">
        <v>45866</v>
      </c>
      <c r="D1430" t="s">
        <v>13</v>
      </c>
      <c r="E1430" t="s">
        <v>19</v>
      </c>
      <c r="F1430" t="s">
        <v>29</v>
      </c>
      <c r="G1430" t="s">
        <v>16</v>
      </c>
      <c r="H1430" t="s">
        <v>37</v>
      </c>
      <c r="I1430">
        <v>4</v>
      </c>
      <c r="J1430">
        <v>0</v>
      </c>
      <c r="K1430">
        <v>382.59</v>
      </c>
      <c r="L1430">
        <v>8.2200000000000006</v>
      </c>
    </row>
    <row r="1431" spans="1:12" x14ac:dyDescent="0.25">
      <c r="A1431" t="s">
        <v>1478</v>
      </c>
      <c r="B1431" s="1">
        <v>45573</v>
      </c>
      <c r="C1431" s="1">
        <v>45577</v>
      </c>
      <c r="D1431" t="s">
        <v>13</v>
      </c>
      <c r="E1431" t="s">
        <v>19</v>
      </c>
      <c r="F1431" t="s">
        <v>15</v>
      </c>
      <c r="G1431" t="s">
        <v>26</v>
      </c>
      <c r="H1431" t="s">
        <v>21</v>
      </c>
      <c r="I1431">
        <v>1</v>
      </c>
      <c r="J1431">
        <v>0</v>
      </c>
      <c r="K1431">
        <v>135.87</v>
      </c>
      <c r="L1431">
        <v>4.08</v>
      </c>
    </row>
    <row r="1432" spans="1:12" x14ac:dyDescent="0.25">
      <c r="A1432" t="s">
        <v>1479</v>
      </c>
      <c r="B1432" s="1">
        <v>46011</v>
      </c>
      <c r="C1432" s="1">
        <v>46012</v>
      </c>
      <c r="D1432" t="s">
        <v>32</v>
      </c>
      <c r="E1432" t="s">
        <v>62</v>
      </c>
      <c r="F1432" t="s">
        <v>29</v>
      </c>
      <c r="G1432" t="s">
        <v>26</v>
      </c>
      <c r="H1432" t="s">
        <v>41</v>
      </c>
      <c r="I1432">
        <v>9</v>
      </c>
      <c r="J1432">
        <v>0.15</v>
      </c>
      <c r="K1432">
        <v>63.05</v>
      </c>
      <c r="L1432">
        <v>5.13</v>
      </c>
    </row>
    <row r="1433" spans="1:12" x14ac:dyDescent="0.25">
      <c r="A1433" t="s">
        <v>1480</v>
      </c>
      <c r="B1433" s="1">
        <v>45350</v>
      </c>
      <c r="C1433" s="1">
        <v>45355</v>
      </c>
      <c r="D1433" t="s">
        <v>13</v>
      </c>
      <c r="E1433" t="s">
        <v>36</v>
      </c>
      <c r="F1433" t="s">
        <v>29</v>
      </c>
      <c r="G1433" t="s">
        <v>26</v>
      </c>
      <c r="H1433" t="s">
        <v>65</v>
      </c>
      <c r="I1433">
        <v>1</v>
      </c>
      <c r="J1433">
        <v>0</v>
      </c>
      <c r="K1433">
        <v>270.33</v>
      </c>
      <c r="L1433">
        <v>4.08</v>
      </c>
    </row>
    <row r="1434" spans="1:12" x14ac:dyDescent="0.25">
      <c r="A1434" t="s">
        <v>1481</v>
      </c>
      <c r="B1434" s="1">
        <v>45660</v>
      </c>
      <c r="C1434" s="1">
        <v>45666</v>
      </c>
      <c r="D1434" t="s">
        <v>47</v>
      </c>
      <c r="E1434" t="s">
        <v>50</v>
      </c>
      <c r="F1434" t="s">
        <v>15</v>
      </c>
      <c r="G1434" t="s">
        <v>20</v>
      </c>
      <c r="H1434" t="s">
        <v>41</v>
      </c>
      <c r="I1434">
        <v>11</v>
      </c>
      <c r="J1434">
        <v>0.25</v>
      </c>
      <c r="K1434">
        <v>43.29</v>
      </c>
      <c r="L1434">
        <v>9.4499999999999993</v>
      </c>
    </row>
    <row r="1435" spans="1:12" x14ac:dyDescent="0.25">
      <c r="A1435" t="s">
        <v>1482</v>
      </c>
      <c r="B1435" s="1">
        <v>45397</v>
      </c>
      <c r="C1435" s="1">
        <v>45403</v>
      </c>
      <c r="D1435" t="s">
        <v>23</v>
      </c>
      <c r="E1435" t="s">
        <v>59</v>
      </c>
      <c r="F1435" t="s">
        <v>29</v>
      </c>
      <c r="G1435" t="s">
        <v>20</v>
      </c>
      <c r="H1435" t="s">
        <v>63</v>
      </c>
      <c r="I1435">
        <v>11</v>
      </c>
      <c r="J1435">
        <v>0.2</v>
      </c>
      <c r="K1435">
        <v>109.11</v>
      </c>
      <c r="L1435">
        <v>5.67</v>
      </c>
    </row>
    <row r="1436" spans="1:12" x14ac:dyDescent="0.25">
      <c r="A1436" t="s">
        <v>1483</v>
      </c>
      <c r="B1436" s="1">
        <v>45603</v>
      </c>
      <c r="C1436" s="1">
        <v>45609</v>
      </c>
      <c r="D1436" t="s">
        <v>23</v>
      </c>
      <c r="E1436" t="s">
        <v>24</v>
      </c>
      <c r="F1436" t="s">
        <v>15</v>
      </c>
      <c r="G1436" t="s">
        <v>26</v>
      </c>
      <c r="H1436" t="s">
        <v>68</v>
      </c>
      <c r="I1436">
        <v>4</v>
      </c>
      <c r="J1436">
        <v>0.05</v>
      </c>
      <c r="K1436">
        <v>254</v>
      </c>
      <c r="L1436">
        <v>9.5</v>
      </c>
    </row>
    <row r="1437" spans="1:12" x14ac:dyDescent="0.25">
      <c r="A1437" t="s">
        <v>1484</v>
      </c>
      <c r="B1437" s="1">
        <v>45846</v>
      </c>
      <c r="C1437" s="1">
        <v>45852</v>
      </c>
      <c r="D1437" t="s">
        <v>32</v>
      </c>
      <c r="E1437" t="s">
        <v>33</v>
      </c>
      <c r="F1437" t="s">
        <v>29</v>
      </c>
      <c r="G1437" t="s">
        <v>20</v>
      </c>
      <c r="H1437" t="s">
        <v>30</v>
      </c>
      <c r="I1437">
        <v>14</v>
      </c>
      <c r="J1437">
        <v>0</v>
      </c>
      <c r="K1437">
        <v>73.95</v>
      </c>
      <c r="L1437">
        <v>6.48</v>
      </c>
    </row>
    <row r="1438" spans="1:12" x14ac:dyDescent="0.25">
      <c r="A1438" t="s">
        <v>1485</v>
      </c>
      <c r="B1438" s="1">
        <v>45924</v>
      </c>
      <c r="C1438" s="1">
        <v>45925</v>
      </c>
      <c r="D1438" t="s">
        <v>23</v>
      </c>
      <c r="E1438" t="s">
        <v>43</v>
      </c>
      <c r="F1438" t="s">
        <v>25</v>
      </c>
      <c r="G1438" t="s">
        <v>16</v>
      </c>
      <c r="H1438" t="s">
        <v>30</v>
      </c>
      <c r="I1438">
        <v>16</v>
      </c>
      <c r="J1438">
        <v>0.05</v>
      </c>
      <c r="K1438">
        <v>93.78</v>
      </c>
      <c r="L1438">
        <v>11.7</v>
      </c>
    </row>
    <row r="1439" spans="1:12" x14ac:dyDescent="0.25">
      <c r="A1439" t="s">
        <v>1486</v>
      </c>
      <c r="B1439" s="1">
        <v>45664</v>
      </c>
      <c r="C1439" s="1">
        <v>45665</v>
      </c>
      <c r="D1439" t="s">
        <v>23</v>
      </c>
      <c r="E1439" t="s">
        <v>24</v>
      </c>
      <c r="F1439" t="s">
        <v>29</v>
      </c>
      <c r="G1439" t="s">
        <v>26</v>
      </c>
      <c r="H1439" t="s">
        <v>21</v>
      </c>
      <c r="I1439">
        <v>3</v>
      </c>
      <c r="J1439">
        <v>0</v>
      </c>
      <c r="K1439">
        <v>286.22000000000003</v>
      </c>
      <c r="L1439">
        <v>6.84</v>
      </c>
    </row>
    <row r="1440" spans="1:12" x14ac:dyDescent="0.25">
      <c r="A1440" t="s">
        <v>1487</v>
      </c>
      <c r="B1440" s="1">
        <v>45464</v>
      </c>
      <c r="C1440" s="1">
        <v>45466</v>
      </c>
      <c r="D1440" t="s">
        <v>32</v>
      </c>
      <c r="E1440" t="s">
        <v>62</v>
      </c>
      <c r="F1440" t="s">
        <v>25</v>
      </c>
      <c r="G1440" t="s">
        <v>20</v>
      </c>
      <c r="H1440" t="s">
        <v>51</v>
      </c>
      <c r="I1440">
        <v>12</v>
      </c>
      <c r="J1440">
        <v>0</v>
      </c>
      <c r="K1440">
        <v>183.68</v>
      </c>
      <c r="L1440">
        <v>5.94</v>
      </c>
    </row>
    <row r="1441" spans="1:12" x14ac:dyDescent="0.25">
      <c r="A1441" t="s">
        <v>1488</v>
      </c>
      <c r="B1441" s="1">
        <v>45876</v>
      </c>
      <c r="C1441" s="1">
        <v>45882</v>
      </c>
      <c r="D1441" t="s">
        <v>32</v>
      </c>
      <c r="E1441" t="s">
        <v>45</v>
      </c>
      <c r="F1441" t="s">
        <v>25</v>
      </c>
      <c r="G1441" t="s">
        <v>16</v>
      </c>
      <c r="H1441" t="s">
        <v>21</v>
      </c>
      <c r="I1441">
        <v>4</v>
      </c>
      <c r="J1441">
        <v>0</v>
      </c>
      <c r="K1441">
        <v>411.14</v>
      </c>
      <c r="L1441">
        <v>8.2200000000000006</v>
      </c>
    </row>
    <row r="1442" spans="1:12" x14ac:dyDescent="0.25">
      <c r="A1442" t="s">
        <v>1489</v>
      </c>
      <c r="B1442" s="1">
        <v>45819</v>
      </c>
      <c r="C1442" s="1">
        <v>45823</v>
      </c>
      <c r="D1442" t="s">
        <v>47</v>
      </c>
      <c r="E1442" t="s">
        <v>50</v>
      </c>
      <c r="F1442" t="s">
        <v>15</v>
      </c>
      <c r="G1442" t="s">
        <v>20</v>
      </c>
      <c r="H1442" t="s">
        <v>68</v>
      </c>
      <c r="I1442">
        <v>1</v>
      </c>
      <c r="J1442">
        <v>0.15</v>
      </c>
      <c r="K1442">
        <v>44.79</v>
      </c>
      <c r="L1442">
        <v>5.75</v>
      </c>
    </row>
    <row r="1443" spans="1:12" x14ac:dyDescent="0.25">
      <c r="A1443" t="s">
        <v>1490</v>
      </c>
      <c r="B1443" s="1">
        <v>45654</v>
      </c>
      <c r="C1443" s="1">
        <v>45658</v>
      </c>
      <c r="D1443" t="s">
        <v>23</v>
      </c>
      <c r="E1443" t="s">
        <v>59</v>
      </c>
      <c r="F1443" t="s">
        <v>25</v>
      </c>
      <c r="G1443" t="s">
        <v>26</v>
      </c>
      <c r="H1443" t="s">
        <v>87</v>
      </c>
      <c r="I1443">
        <v>12</v>
      </c>
      <c r="J1443">
        <v>0</v>
      </c>
      <c r="K1443">
        <v>140.41999999999999</v>
      </c>
      <c r="L1443">
        <v>5.94</v>
      </c>
    </row>
    <row r="1444" spans="1:12" x14ac:dyDescent="0.25">
      <c r="A1444" t="s">
        <v>1491</v>
      </c>
      <c r="B1444" s="1">
        <v>45968</v>
      </c>
      <c r="C1444" s="1">
        <v>45974</v>
      </c>
      <c r="D1444" t="s">
        <v>32</v>
      </c>
      <c r="E1444" t="s">
        <v>62</v>
      </c>
      <c r="F1444" t="s">
        <v>15</v>
      </c>
      <c r="G1444" t="s">
        <v>16</v>
      </c>
      <c r="H1444" t="s">
        <v>68</v>
      </c>
      <c r="I1444">
        <v>2</v>
      </c>
      <c r="J1444">
        <v>0</v>
      </c>
      <c r="K1444">
        <v>140.71</v>
      </c>
      <c r="L1444">
        <v>7</v>
      </c>
    </row>
    <row r="1445" spans="1:12" x14ac:dyDescent="0.25">
      <c r="A1445" t="s">
        <v>1492</v>
      </c>
      <c r="B1445" s="1">
        <v>45601</v>
      </c>
      <c r="C1445" s="1">
        <v>45603</v>
      </c>
      <c r="D1445" t="s">
        <v>32</v>
      </c>
      <c r="E1445" t="s">
        <v>45</v>
      </c>
      <c r="F1445" t="s">
        <v>25</v>
      </c>
      <c r="G1445" t="s">
        <v>16</v>
      </c>
      <c r="H1445" t="s">
        <v>41</v>
      </c>
      <c r="I1445">
        <v>3</v>
      </c>
      <c r="J1445">
        <v>0.2</v>
      </c>
      <c r="K1445">
        <v>20.02</v>
      </c>
      <c r="L1445">
        <v>3.51</v>
      </c>
    </row>
    <row r="1446" spans="1:12" x14ac:dyDescent="0.25">
      <c r="A1446" t="s">
        <v>1493</v>
      </c>
      <c r="B1446" s="1">
        <v>45343</v>
      </c>
      <c r="C1446" s="1">
        <v>45345</v>
      </c>
      <c r="D1446" t="s">
        <v>47</v>
      </c>
      <c r="E1446" t="s">
        <v>48</v>
      </c>
      <c r="F1446" t="s">
        <v>15</v>
      </c>
      <c r="G1446" t="s">
        <v>26</v>
      </c>
      <c r="H1446" t="s">
        <v>34</v>
      </c>
      <c r="I1446">
        <v>1</v>
      </c>
      <c r="J1446">
        <v>0.15</v>
      </c>
      <c r="K1446">
        <v>163.46</v>
      </c>
      <c r="L1446">
        <v>4.08</v>
      </c>
    </row>
    <row r="1447" spans="1:12" x14ac:dyDescent="0.25">
      <c r="A1447" t="s">
        <v>1494</v>
      </c>
      <c r="B1447" s="1">
        <v>45501</v>
      </c>
      <c r="C1447" s="1">
        <v>45502</v>
      </c>
      <c r="D1447" t="s">
        <v>47</v>
      </c>
      <c r="E1447" t="s">
        <v>48</v>
      </c>
      <c r="F1447" t="s">
        <v>29</v>
      </c>
      <c r="G1447" t="s">
        <v>20</v>
      </c>
      <c r="H1447" t="s">
        <v>37</v>
      </c>
      <c r="I1447">
        <v>1</v>
      </c>
      <c r="J1447">
        <v>0</v>
      </c>
      <c r="K1447">
        <v>100.05</v>
      </c>
      <c r="L1447">
        <v>4.08</v>
      </c>
    </row>
    <row r="1448" spans="1:12" x14ac:dyDescent="0.25">
      <c r="A1448" t="s">
        <v>1495</v>
      </c>
      <c r="B1448" s="1">
        <v>45915</v>
      </c>
      <c r="C1448" s="1">
        <v>45917</v>
      </c>
      <c r="D1448" t="s">
        <v>13</v>
      </c>
      <c r="E1448" t="s">
        <v>36</v>
      </c>
      <c r="F1448" t="s">
        <v>15</v>
      </c>
      <c r="G1448" t="s">
        <v>16</v>
      </c>
      <c r="H1448" t="s">
        <v>37</v>
      </c>
      <c r="I1448">
        <v>3</v>
      </c>
      <c r="J1448">
        <v>0</v>
      </c>
      <c r="K1448">
        <v>355.7</v>
      </c>
      <c r="L1448">
        <v>11.4</v>
      </c>
    </row>
    <row r="1449" spans="1:12" x14ac:dyDescent="0.25">
      <c r="A1449" t="s">
        <v>1496</v>
      </c>
      <c r="B1449" s="1">
        <v>45921</v>
      </c>
      <c r="C1449" s="1">
        <v>45927</v>
      </c>
      <c r="D1449" t="s">
        <v>13</v>
      </c>
      <c r="E1449" t="s">
        <v>36</v>
      </c>
      <c r="F1449" t="s">
        <v>29</v>
      </c>
      <c r="G1449" t="s">
        <v>20</v>
      </c>
      <c r="H1449" t="s">
        <v>53</v>
      </c>
      <c r="I1449">
        <v>4</v>
      </c>
      <c r="J1449">
        <v>0</v>
      </c>
      <c r="K1449">
        <v>252.2</v>
      </c>
      <c r="L1449">
        <v>5.7</v>
      </c>
    </row>
    <row r="1450" spans="1:12" x14ac:dyDescent="0.25">
      <c r="A1450" t="s">
        <v>1497</v>
      </c>
      <c r="B1450" s="1">
        <v>45386</v>
      </c>
      <c r="C1450" s="1">
        <v>45388</v>
      </c>
      <c r="D1450" t="s">
        <v>32</v>
      </c>
      <c r="E1450" t="s">
        <v>45</v>
      </c>
      <c r="F1450" t="s">
        <v>15</v>
      </c>
      <c r="G1450" t="s">
        <v>16</v>
      </c>
      <c r="H1450" t="s">
        <v>68</v>
      </c>
      <c r="I1450">
        <v>2</v>
      </c>
      <c r="J1450">
        <v>0</v>
      </c>
      <c r="K1450">
        <v>102.78</v>
      </c>
      <c r="L1450">
        <v>4.2</v>
      </c>
    </row>
    <row r="1451" spans="1:12" x14ac:dyDescent="0.25">
      <c r="A1451" t="s">
        <v>1498</v>
      </c>
      <c r="B1451" s="1">
        <v>45578</v>
      </c>
      <c r="C1451" s="1">
        <v>45580</v>
      </c>
      <c r="D1451" t="s">
        <v>23</v>
      </c>
      <c r="E1451" t="s">
        <v>24</v>
      </c>
      <c r="F1451" t="s">
        <v>29</v>
      </c>
      <c r="G1451" t="s">
        <v>26</v>
      </c>
      <c r="H1451" t="s">
        <v>68</v>
      </c>
      <c r="I1451">
        <v>1</v>
      </c>
      <c r="J1451">
        <v>0.25</v>
      </c>
      <c r="K1451">
        <v>47.52</v>
      </c>
      <c r="L1451">
        <v>5.75</v>
      </c>
    </row>
    <row r="1452" spans="1:12" x14ac:dyDescent="0.25">
      <c r="A1452" t="s">
        <v>1499</v>
      </c>
      <c r="B1452" s="1">
        <v>45312</v>
      </c>
      <c r="C1452" s="1">
        <v>45314</v>
      </c>
      <c r="D1452" t="s">
        <v>47</v>
      </c>
      <c r="E1452" t="s">
        <v>71</v>
      </c>
      <c r="F1452" t="s">
        <v>29</v>
      </c>
      <c r="G1452" t="s">
        <v>20</v>
      </c>
      <c r="H1452" t="s">
        <v>17</v>
      </c>
      <c r="I1452">
        <v>2</v>
      </c>
      <c r="J1452">
        <v>0</v>
      </c>
      <c r="K1452">
        <v>212.43</v>
      </c>
      <c r="L1452">
        <v>4.2</v>
      </c>
    </row>
    <row r="1453" spans="1:12" x14ac:dyDescent="0.25">
      <c r="A1453" t="s">
        <v>1500</v>
      </c>
      <c r="B1453" s="1">
        <v>45757</v>
      </c>
      <c r="C1453" s="1">
        <v>45760</v>
      </c>
      <c r="D1453" t="s">
        <v>23</v>
      </c>
      <c r="E1453" t="s">
        <v>59</v>
      </c>
      <c r="F1453" t="s">
        <v>25</v>
      </c>
      <c r="G1453" t="s">
        <v>26</v>
      </c>
      <c r="H1453" t="s">
        <v>63</v>
      </c>
      <c r="I1453">
        <v>6</v>
      </c>
      <c r="J1453">
        <v>0</v>
      </c>
      <c r="K1453">
        <v>73.67</v>
      </c>
      <c r="L1453">
        <v>4.32</v>
      </c>
    </row>
    <row r="1454" spans="1:12" x14ac:dyDescent="0.25">
      <c r="A1454" t="s">
        <v>1501</v>
      </c>
      <c r="B1454" s="1">
        <v>45810</v>
      </c>
      <c r="C1454" s="1">
        <v>45812</v>
      </c>
      <c r="D1454" t="s">
        <v>23</v>
      </c>
      <c r="E1454" t="s">
        <v>43</v>
      </c>
      <c r="F1454" t="s">
        <v>15</v>
      </c>
      <c r="G1454" t="s">
        <v>16</v>
      </c>
      <c r="H1454" t="s">
        <v>63</v>
      </c>
      <c r="I1454">
        <v>12</v>
      </c>
      <c r="J1454">
        <v>0</v>
      </c>
      <c r="K1454">
        <v>157.03</v>
      </c>
      <c r="L1454">
        <v>5.94</v>
      </c>
    </row>
    <row r="1455" spans="1:12" x14ac:dyDescent="0.25">
      <c r="A1455" t="s">
        <v>1502</v>
      </c>
      <c r="B1455" s="1">
        <v>45382</v>
      </c>
      <c r="C1455" s="1">
        <v>45385</v>
      </c>
      <c r="D1455" t="s">
        <v>47</v>
      </c>
      <c r="E1455" t="s">
        <v>50</v>
      </c>
      <c r="F1455" t="s">
        <v>15</v>
      </c>
      <c r="G1455" t="s">
        <v>26</v>
      </c>
      <c r="H1455" t="s">
        <v>39</v>
      </c>
      <c r="I1455">
        <v>2</v>
      </c>
      <c r="J1455">
        <v>0</v>
      </c>
      <c r="K1455">
        <v>355.49</v>
      </c>
      <c r="L1455">
        <v>4.2</v>
      </c>
    </row>
    <row r="1456" spans="1:12" x14ac:dyDescent="0.25">
      <c r="A1456" t="s">
        <v>1503</v>
      </c>
      <c r="B1456" s="1">
        <v>45875</v>
      </c>
      <c r="C1456" s="1">
        <v>45876</v>
      </c>
      <c r="D1456" t="s">
        <v>13</v>
      </c>
      <c r="E1456" t="s">
        <v>19</v>
      </c>
      <c r="F1456" t="s">
        <v>25</v>
      </c>
      <c r="G1456" t="s">
        <v>20</v>
      </c>
      <c r="H1456" t="s">
        <v>53</v>
      </c>
      <c r="I1456">
        <v>2</v>
      </c>
      <c r="J1456">
        <v>0.15</v>
      </c>
      <c r="K1456">
        <v>89.54</v>
      </c>
      <c r="L1456">
        <v>7</v>
      </c>
    </row>
    <row r="1457" spans="1:12" x14ac:dyDescent="0.25">
      <c r="A1457" t="s">
        <v>1504</v>
      </c>
      <c r="B1457" s="1">
        <v>45632</v>
      </c>
      <c r="C1457" s="1">
        <v>45635</v>
      </c>
      <c r="D1457" t="s">
        <v>13</v>
      </c>
      <c r="E1457" t="s">
        <v>36</v>
      </c>
      <c r="F1457" t="s">
        <v>15</v>
      </c>
      <c r="G1457" t="s">
        <v>16</v>
      </c>
      <c r="H1457" t="s">
        <v>60</v>
      </c>
      <c r="I1457">
        <v>1</v>
      </c>
      <c r="J1457">
        <v>0</v>
      </c>
      <c r="K1457">
        <v>165.6</v>
      </c>
      <c r="L1457">
        <v>3.45</v>
      </c>
    </row>
    <row r="1458" spans="1:12" x14ac:dyDescent="0.25">
      <c r="A1458" t="s">
        <v>1505</v>
      </c>
      <c r="B1458" s="1">
        <v>45438</v>
      </c>
      <c r="C1458" s="1">
        <v>45444</v>
      </c>
      <c r="D1458" t="s">
        <v>23</v>
      </c>
      <c r="E1458" t="s">
        <v>24</v>
      </c>
      <c r="F1458" t="s">
        <v>29</v>
      </c>
      <c r="G1458" t="s">
        <v>26</v>
      </c>
      <c r="H1458" t="s">
        <v>39</v>
      </c>
      <c r="I1458">
        <v>7</v>
      </c>
      <c r="J1458">
        <v>0</v>
      </c>
      <c r="K1458">
        <v>1344.01</v>
      </c>
      <c r="L1458">
        <v>7.95</v>
      </c>
    </row>
    <row r="1459" spans="1:12" x14ac:dyDescent="0.25">
      <c r="A1459" t="s">
        <v>1506</v>
      </c>
      <c r="B1459" s="1">
        <v>45774</v>
      </c>
      <c r="C1459" s="1">
        <v>45780</v>
      </c>
      <c r="D1459" t="s">
        <v>23</v>
      </c>
      <c r="E1459" t="s">
        <v>59</v>
      </c>
      <c r="F1459" t="s">
        <v>29</v>
      </c>
      <c r="G1459" t="s">
        <v>26</v>
      </c>
      <c r="H1459" t="s">
        <v>60</v>
      </c>
      <c r="I1459">
        <v>2</v>
      </c>
      <c r="J1459">
        <v>0</v>
      </c>
      <c r="K1459">
        <v>216.95</v>
      </c>
      <c r="L1459">
        <v>7</v>
      </c>
    </row>
    <row r="1460" spans="1:12" x14ac:dyDescent="0.25">
      <c r="A1460" t="s">
        <v>1507</v>
      </c>
      <c r="B1460" s="1">
        <v>45592</v>
      </c>
      <c r="C1460" s="1">
        <v>45594</v>
      </c>
      <c r="D1460" t="s">
        <v>47</v>
      </c>
      <c r="E1460" t="s">
        <v>48</v>
      </c>
      <c r="F1460" t="s">
        <v>25</v>
      </c>
      <c r="G1460" t="s">
        <v>26</v>
      </c>
      <c r="H1460" t="s">
        <v>65</v>
      </c>
      <c r="I1460">
        <v>2</v>
      </c>
      <c r="J1460">
        <v>0.25</v>
      </c>
      <c r="K1460">
        <v>497.11</v>
      </c>
      <c r="L1460">
        <v>5.46</v>
      </c>
    </row>
    <row r="1461" spans="1:12" x14ac:dyDescent="0.25">
      <c r="A1461" t="s">
        <v>1508</v>
      </c>
      <c r="B1461" s="1">
        <v>45644</v>
      </c>
      <c r="C1461" s="1">
        <v>45645</v>
      </c>
      <c r="D1461" t="s">
        <v>32</v>
      </c>
      <c r="E1461" t="s">
        <v>62</v>
      </c>
      <c r="F1461" t="s">
        <v>29</v>
      </c>
      <c r="G1461" t="s">
        <v>16</v>
      </c>
      <c r="H1461" t="s">
        <v>30</v>
      </c>
      <c r="I1461">
        <v>10</v>
      </c>
      <c r="J1461">
        <v>0</v>
      </c>
      <c r="K1461">
        <v>90.2</v>
      </c>
      <c r="L1461">
        <v>5.4</v>
      </c>
    </row>
    <row r="1462" spans="1:12" x14ac:dyDescent="0.25">
      <c r="A1462" t="s">
        <v>1509</v>
      </c>
      <c r="B1462" s="1">
        <v>45666</v>
      </c>
      <c r="C1462" s="1">
        <v>45668</v>
      </c>
      <c r="D1462" t="s">
        <v>23</v>
      </c>
      <c r="E1462" t="s">
        <v>59</v>
      </c>
      <c r="F1462" t="s">
        <v>15</v>
      </c>
      <c r="G1462" t="s">
        <v>16</v>
      </c>
      <c r="H1462" t="s">
        <v>68</v>
      </c>
      <c r="I1462">
        <v>4</v>
      </c>
      <c r="J1462">
        <v>0.25</v>
      </c>
      <c r="K1462">
        <v>137.34</v>
      </c>
      <c r="L1462">
        <v>5.7</v>
      </c>
    </row>
    <row r="1463" spans="1:12" x14ac:dyDescent="0.25">
      <c r="A1463" t="s">
        <v>1510</v>
      </c>
      <c r="B1463" s="1">
        <v>45876</v>
      </c>
      <c r="C1463" s="1">
        <v>45879</v>
      </c>
      <c r="D1463" t="s">
        <v>23</v>
      </c>
      <c r="E1463" t="s">
        <v>43</v>
      </c>
      <c r="F1463" t="s">
        <v>25</v>
      </c>
      <c r="G1463" t="s">
        <v>16</v>
      </c>
      <c r="H1463" t="s">
        <v>60</v>
      </c>
      <c r="I1463">
        <v>5</v>
      </c>
      <c r="J1463">
        <v>0.15</v>
      </c>
      <c r="K1463">
        <v>470.01</v>
      </c>
      <c r="L1463">
        <v>6.45</v>
      </c>
    </row>
    <row r="1464" spans="1:12" x14ac:dyDescent="0.25">
      <c r="A1464" t="s">
        <v>1511</v>
      </c>
      <c r="B1464" s="1">
        <v>45965</v>
      </c>
      <c r="C1464" s="1">
        <v>45967</v>
      </c>
      <c r="D1464" t="s">
        <v>47</v>
      </c>
      <c r="E1464" t="s">
        <v>50</v>
      </c>
      <c r="F1464" t="s">
        <v>25</v>
      </c>
      <c r="G1464" t="s">
        <v>26</v>
      </c>
      <c r="H1464" t="s">
        <v>27</v>
      </c>
      <c r="I1464">
        <v>11</v>
      </c>
      <c r="J1464">
        <v>0.05</v>
      </c>
      <c r="K1464">
        <v>395.64</v>
      </c>
      <c r="L1464">
        <v>5.67</v>
      </c>
    </row>
    <row r="1465" spans="1:12" x14ac:dyDescent="0.25">
      <c r="A1465" t="s">
        <v>1512</v>
      </c>
      <c r="B1465" s="1">
        <v>45878</v>
      </c>
      <c r="C1465" s="1">
        <v>45884</v>
      </c>
      <c r="D1465" t="s">
        <v>47</v>
      </c>
      <c r="E1465" t="s">
        <v>50</v>
      </c>
      <c r="F1465" t="s">
        <v>15</v>
      </c>
      <c r="G1465" t="s">
        <v>16</v>
      </c>
      <c r="H1465" t="s">
        <v>53</v>
      </c>
      <c r="I1465">
        <v>4</v>
      </c>
      <c r="J1465">
        <v>0.15</v>
      </c>
      <c r="K1465">
        <v>185.56</v>
      </c>
      <c r="L1465">
        <v>5.7</v>
      </c>
    </row>
    <row r="1466" spans="1:12" x14ac:dyDescent="0.25">
      <c r="A1466" t="s">
        <v>1513</v>
      </c>
      <c r="B1466" s="1">
        <v>45435</v>
      </c>
      <c r="C1466" s="1">
        <v>45438</v>
      </c>
      <c r="D1466" t="s">
        <v>47</v>
      </c>
      <c r="E1466" t="s">
        <v>71</v>
      </c>
      <c r="F1466" t="s">
        <v>25</v>
      </c>
      <c r="G1466" t="s">
        <v>26</v>
      </c>
      <c r="H1466" t="s">
        <v>34</v>
      </c>
      <c r="I1466">
        <v>3</v>
      </c>
      <c r="J1466">
        <v>0</v>
      </c>
      <c r="K1466">
        <v>661.73</v>
      </c>
      <c r="L1466">
        <v>11.4</v>
      </c>
    </row>
    <row r="1467" spans="1:12" x14ac:dyDescent="0.25">
      <c r="A1467" t="s">
        <v>1514</v>
      </c>
      <c r="B1467" s="1">
        <v>45971</v>
      </c>
      <c r="C1467" s="1">
        <v>45975</v>
      </c>
      <c r="D1467" t="s">
        <v>47</v>
      </c>
      <c r="E1467" t="s">
        <v>71</v>
      </c>
      <c r="F1467" t="s">
        <v>15</v>
      </c>
      <c r="G1467" t="s">
        <v>16</v>
      </c>
      <c r="H1467" t="s">
        <v>39</v>
      </c>
      <c r="I1467">
        <v>3</v>
      </c>
      <c r="J1467">
        <v>0.05</v>
      </c>
      <c r="K1467">
        <v>771.28</v>
      </c>
      <c r="L1467">
        <v>8.25</v>
      </c>
    </row>
    <row r="1468" spans="1:12" x14ac:dyDescent="0.25">
      <c r="A1468" t="s">
        <v>1515</v>
      </c>
      <c r="B1468" s="1">
        <v>45914</v>
      </c>
      <c r="C1468" s="1">
        <v>45915</v>
      </c>
      <c r="D1468" t="s">
        <v>47</v>
      </c>
      <c r="E1468" t="s">
        <v>50</v>
      </c>
      <c r="F1468" t="s">
        <v>15</v>
      </c>
      <c r="G1468" t="s">
        <v>20</v>
      </c>
      <c r="H1468" t="s">
        <v>53</v>
      </c>
      <c r="I1468">
        <v>1</v>
      </c>
      <c r="J1468">
        <v>0.15</v>
      </c>
      <c r="K1468">
        <v>52.99</v>
      </c>
      <c r="L1468">
        <v>3.45</v>
      </c>
    </row>
    <row r="1469" spans="1:12" x14ac:dyDescent="0.25">
      <c r="A1469" t="s">
        <v>1516</v>
      </c>
      <c r="B1469" s="1">
        <v>45729</v>
      </c>
      <c r="C1469" s="1">
        <v>45734</v>
      </c>
      <c r="D1469" t="s">
        <v>47</v>
      </c>
      <c r="E1469" t="s">
        <v>50</v>
      </c>
      <c r="F1469" t="s">
        <v>15</v>
      </c>
      <c r="G1469" t="s">
        <v>16</v>
      </c>
      <c r="H1469" t="s">
        <v>60</v>
      </c>
      <c r="I1469">
        <v>3</v>
      </c>
      <c r="J1469">
        <v>0.1</v>
      </c>
      <c r="K1469">
        <v>275.83999999999997</v>
      </c>
      <c r="L1469">
        <v>8.25</v>
      </c>
    </row>
    <row r="1470" spans="1:12" x14ac:dyDescent="0.25">
      <c r="A1470" t="s">
        <v>1517</v>
      </c>
      <c r="B1470" s="1">
        <v>45760</v>
      </c>
      <c r="C1470" s="1">
        <v>45765</v>
      </c>
      <c r="D1470" t="s">
        <v>23</v>
      </c>
      <c r="E1470" t="s">
        <v>59</v>
      </c>
      <c r="F1470" t="s">
        <v>15</v>
      </c>
      <c r="G1470" t="s">
        <v>16</v>
      </c>
      <c r="H1470" t="s">
        <v>27</v>
      </c>
      <c r="I1470">
        <v>11</v>
      </c>
      <c r="J1470">
        <v>0</v>
      </c>
      <c r="K1470">
        <v>316.60000000000002</v>
      </c>
      <c r="L1470">
        <v>5.67</v>
      </c>
    </row>
    <row r="1471" spans="1:12" x14ac:dyDescent="0.25">
      <c r="A1471" t="s">
        <v>1518</v>
      </c>
      <c r="B1471" s="1">
        <v>45609</v>
      </c>
      <c r="C1471" s="1">
        <v>45613</v>
      </c>
      <c r="D1471" t="s">
        <v>23</v>
      </c>
      <c r="E1471" t="s">
        <v>24</v>
      </c>
      <c r="F1471" t="s">
        <v>25</v>
      </c>
      <c r="G1471" t="s">
        <v>20</v>
      </c>
      <c r="H1471" t="s">
        <v>63</v>
      </c>
      <c r="I1471">
        <v>5</v>
      </c>
      <c r="J1471">
        <v>0</v>
      </c>
      <c r="K1471">
        <v>86.71</v>
      </c>
      <c r="L1471">
        <v>6.75</v>
      </c>
    </row>
    <row r="1472" spans="1:12" x14ac:dyDescent="0.25">
      <c r="A1472" t="s">
        <v>1519</v>
      </c>
      <c r="B1472" s="1">
        <v>45900</v>
      </c>
      <c r="C1472" s="1">
        <v>45901</v>
      </c>
      <c r="D1472" t="s">
        <v>32</v>
      </c>
      <c r="E1472" t="s">
        <v>62</v>
      </c>
      <c r="F1472" t="s">
        <v>29</v>
      </c>
      <c r="G1472" t="s">
        <v>16</v>
      </c>
      <c r="H1472" t="s">
        <v>60</v>
      </c>
      <c r="I1472">
        <v>3</v>
      </c>
      <c r="J1472">
        <v>0</v>
      </c>
      <c r="K1472">
        <v>324.81</v>
      </c>
      <c r="L1472">
        <v>8.25</v>
      </c>
    </row>
    <row r="1473" spans="1:12" x14ac:dyDescent="0.25">
      <c r="A1473" t="s">
        <v>1520</v>
      </c>
      <c r="B1473" s="1">
        <v>45976</v>
      </c>
      <c r="C1473" s="1">
        <v>45979</v>
      </c>
      <c r="D1473" t="s">
        <v>13</v>
      </c>
      <c r="E1473" t="s">
        <v>19</v>
      </c>
      <c r="F1473" t="s">
        <v>25</v>
      </c>
      <c r="G1473" t="s">
        <v>16</v>
      </c>
      <c r="H1473" t="s">
        <v>63</v>
      </c>
      <c r="I1473">
        <v>7</v>
      </c>
      <c r="J1473">
        <v>0</v>
      </c>
      <c r="K1473">
        <v>108.22</v>
      </c>
      <c r="L1473">
        <v>7.65</v>
      </c>
    </row>
    <row r="1474" spans="1:12" x14ac:dyDescent="0.25">
      <c r="A1474" t="s">
        <v>1521</v>
      </c>
      <c r="B1474" s="1">
        <v>45945</v>
      </c>
      <c r="C1474" s="1">
        <v>45951</v>
      </c>
      <c r="D1474" t="s">
        <v>32</v>
      </c>
      <c r="E1474" t="s">
        <v>45</v>
      </c>
      <c r="F1474" t="s">
        <v>25</v>
      </c>
      <c r="G1474" t="s">
        <v>20</v>
      </c>
      <c r="H1474" t="s">
        <v>39</v>
      </c>
      <c r="I1474">
        <v>4</v>
      </c>
      <c r="J1474">
        <v>0</v>
      </c>
      <c r="K1474">
        <v>939.91</v>
      </c>
      <c r="L1474">
        <v>5.7</v>
      </c>
    </row>
    <row r="1475" spans="1:12" x14ac:dyDescent="0.25">
      <c r="A1475" t="s">
        <v>1522</v>
      </c>
      <c r="B1475" s="1">
        <v>45739</v>
      </c>
      <c r="C1475" s="1">
        <v>45741</v>
      </c>
      <c r="D1475" t="s">
        <v>13</v>
      </c>
      <c r="E1475" t="s">
        <v>14</v>
      </c>
      <c r="F1475" t="s">
        <v>25</v>
      </c>
      <c r="G1475" t="s">
        <v>26</v>
      </c>
      <c r="H1475" t="s">
        <v>53</v>
      </c>
      <c r="I1475">
        <v>4</v>
      </c>
      <c r="J1475">
        <v>0</v>
      </c>
      <c r="K1475">
        <v>221.67</v>
      </c>
      <c r="L1475">
        <v>9.5</v>
      </c>
    </row>
    <row r="1476" spans="1:12" x14ac:dyDescent="0.25">
      <c r="A1476" t="s">
        <v>1523</v>
      </c>
      <c r="B1476" s="1">
        <v>45447</v>
      </c>
      <c r="C1476" s="1">
        <v>45453</v>
      </c>
      <c r="D1476" t="s">
        <v>32</v>
      </c>
      <c r="E1476" t="s">
        <v>33</v>
      </c>
      <c r="F1476" t="s">
        <v>29</v>
      </c>
      <c r="G1476" t="s">
        <v>20</v>
      </c>
      <c r="H1476" t="s">
        <v>30</v>
      </c>
      <c r="I1476">
        <v>6</v>
      </c>
      <c r="J1476">
        <v>0.15</v>
      </c>
      <c r="K1476">
        <v>31.91</v>
      </c>
      <c r="L1476">
        <v>4.32</v>
      </c>
    </row>
    <row r="1477" spans="1:12" x14ac:dyDescent="0.25">
      <c r="A1477" t="s">
        <v>1524</v>
      </c>
      <c r="B1477" s="1">
        <v>45811</v>
      </c>
      <c r="C1477" s="1">
        <v>45817</v>
      </c>
      <c r="D1477" t="s">
        <v>47</v>
      </c>
      <c r="E1477" t="s">
        <v>48</v>
      </c>
      <c r="F1477" t="s">
        <v>25</v>
      </c>
      <c r="G1477" t="s">
        <v>20</v>
      </c>
      <c r="H1477" t="s">
        <v>60</v>
      </c>
      <c r="I1477">
        <v>4</v>
      </c>
      <c r="J1477">
        <v>0.05</v>
      </c>
      <c r="K1477">
        <v>460.96</v>
      </c>
      <c r="L1477">
        <v>9.5</v>
      </c>
    </row>
    <row r="1478" spans="1:12" x14ac:dyDescent="0.25">
      <c r="A1478" t="s">
        <v>1525</v>
      </c>
      <c r="B1478" s="1">
        <v>45923</v>
      </c>
      <c r="C1478" s="1">
        <v>45928</v>
      </c>
      <c r="D1478" t="s">
        <v>47</v>
      </c>
      <c r="E1478" t="s">
        <v>71</v>
      </c>
      <c r="F1478" t="s">
        <v>25</v>
      </c>
      <c r="G1478" t="s">
        <v>20</v>
      </c>
      <c r="H1478" t="s">
        <v>21</v>
      </c>
      <c r="I1478">
        <v>4</v>
      </c>
      <c r="J1478">
        <v>0</v>
      </c>
      <c r="K1478">
        <v>480.77</v>
      </c>
      <c r="L1478">
        <v>8.2200000000000006</v>
      </c>
    </row>
    <row r="1479" spans="1:12" x14ac:dyDescent="0.25">
      <c r="A1479" t="s">
        <v>1526</v>
      </c>
      <c r="B1479" s="1">
        <v>45865</v>
      </c>
      <c r="C1479" s="1">
        <v>45866</v>
      </c>
      <c r="D1479" t="s">
        <v>13</v>
      </c>
      <c r="E1479" t="s">
        <v>36</v>
      </c>
      <c r="F1479" t="s">
        <v>29</v>
      </c>
      <c r="G1479" t="s">
        <v>26</v>
      </c>
      <c r="H1479" t="s">
        <v>63</v>
      </c>
      <c r="I1479">
        <v>8</v>
      </c>
      <c r="J1479">
        <v>0.15</v>
      </c>
      <c r="K1479">
        <v>80.41</v>
      </c>
      <c r="L1479">
        <v>8.1</v>
      </c>
    </row>
    <row r="1480" spans="1:12" x14ac:dyDescent="0.25">
      <c r="A1480" t="s">
        <v>1527</v>
      </c>
      <c r="B1480" s="1">
        <v>45669</v>
      </c>
      <c r="C1480" s="1">
        <v>45672</v>
      </c>
      <c r="D1480" t="s">
        <v>13</v>
      </c>
      <c r="E1480" t="s">
        <v>14</v>
      </c>
      <c r="F1480" t="s">
        <v>29</v>
      </c>
      <c r="G1480" t="s">
        <v>20</v>
      </c>
      <c r="H1480" t="s">
        <v>21</v>
      </c>
      <c r="I1480">
        <v>3</v>
      </c>
      <c r="J1480">
        <v>0.05</v>
      </c>
      <c r="K1480">
        <v>292.83999999999997</v>
      </c>
      <c r="L1480">
        <v>6.84</v>
      </c>
    </row>
    <row r="1481" spans="1:12" x14ac:dyDescent="0.25">
      <c r="A1481" t="s">
        <v>1528</v>
      </c>
      <c r="B1481" s="1">
        <v>45493</v>
      </c>
      <c r="C1481" s="1">
        <v>45498</v>
      </c>
      <c r="D1481" t="s">
        <v>32</v>
      </c>
      <c r="E1481" t="s">
        <v>33</v>
      </c>
      <c r="F1481" t="s">
        <v>29</v>
      </c>
      <c r="G1481" t="s">
        <v>16</v>
      </c>
      <c r="H1481" t="s">
        <v>34</v>
      </c>
      <c r="I1481">
        <v>1</v>
      </c>
      <c r="J1481">
        <v>0</v>
      </c>
      <c r="K1481">
        <v>180.79</v>
      </c>
      <c r="L1481">
        <v>6.8</v>
      </c>
    </row>
    <row r="1482" spans="1:12" x14ac:dyDescent="0.25">
      <c r="A1482" t="s">
        <v>1529</v>
      </c>
      <c r="B1482" s="1">
        <v>45341</v>
      </c>
      <c r="C1482" s="1">
        <v>45344</v>
      </c>
      <c r="D1482" t="s">
        <v>13</v>
      </c>
      <c r="E1482" t="s">
        <v>14</v>
      </c>
      <c r="F1482" t="s">
        <v>29</v>
      </c>
      <c r="G1482" t="s">
        <v>20</v>
      </c>
      <c r="H1482" t="s">
        <v>37</v>
      </c>
      <c r="I1482">
        <v>2</v>
      </c>
      <c r="J1482">
        <v>0.25</v>
      </c>
      <c r="K1482">
        <v>149.4</v>
      </c>
      <c r="L1482">
        <v>9.1</v>
      </c>
    </row>
    <row r="1483" spans="1:12" x14ac:dyDescent="0.25">
      <c r="A1483" t="s">
        <v>1530</v>
      </c>
      <c r="B1483" s="1">
        <v>45325</v>
      </c>
      <c r="C1483" s="1">
        <v>45331</v>
      </c>
      <c r="D1483" t="s">
        <v>32</v>
      </c>
      <c r="E1483" t="s">
        <v>45</v>
      </c>
      <c r="F1483" t="s">
        <v>25</v>
      </c>
      <c r="G1483" t="s">
        <v>16</v>
      </c>
      <c r="H1483" t="s">
        <v>60</v>
      </c>
      <c r="I1483">
        <v>2</v>
      </c>
      <c r="J1483">
        <v>0</v>
      </c>
      <c r="K1483">
        <v>208.08</v>
      </c>
      <c r="L1483">
        <v>4.2</v>
      </c>
    </row>
    <row r="1484" spans="1:12" x14ac:dyDescent="0.25">
      <c r="A1484" t="s">
        <v>1531</v>
      </c>
      <c r="B1484" s="1">
        <v>45753</v>
      </c>
      <c r="C1484" s="1">
        <v>45757</v>
      </c>
      <c r="D1484" t="s">
        <v>32</v>
      </c>
      <c r="E1484" t="s">
        <v>33</v>
      </c>
      <c r="F1484" t="s">
        <v>25</v>
      </c>
      <c r="G1484" t="s">
        <v>26</v>
      </c>
      <c r="H1484" t="s">
        <v>34</v>
      </c>
      <c r="I1484">
        <v>1</v>
      </c>
      <c r="J1484">
        <v>0</v>
      </c>
      <c r="K1484">
        <v>199.7</v>
      </c>
      <c r="L1484">
        <v>6.8</v>
      </c>
    </row>
    <row r="1485" spans="1:12" x14ac:dyDescent="0.25">
      <c r="A1485" t="s">
        <v>1532</v>
      </c>
      <c r="B1485" s="1">
        <v>45763</v>
      </c>
      <c r="C1485" s="1">
        <v>45765</v>
      </c>
      <c r="D1485" t="s">
        <v>47</v>
      </c>
      <c r="E1485" t="s">
        <v>48</v>
      </c>
      <c r="F1485" t="s">
        <v>29</v>
      </c>
      <c r="G1485" t="s">
        <v>16</v>
      </c>
      <c r="H1485" t="s">
        <v>27</v>
      </c>
      <c r="I1485">
        <v>10</v>
      </c>
      <c r="J1485">
        <v>0.05</v>
      </c>
      <c r="K1485">
        <v>244.97</v>
      </c>
      <c r="L1485">
        <v>9</v>
      </c>
    </row>
    <row r="1486" spans="1:12" x14ac:dyDescent="0.25">
      <c r="A1486" t="s">
        <v>1533</v>
      </c>
      <c r="B1486" s="1">
        <v>45621</v>
      </c>
      <c r="C1486" s="1">
        <v>45623</v>
      </c>
      <c r="D1486" t="s">
        <v>32</v>
      </c>
      <c r="E1486" t="s">
        <v>33</v>
      </c>
      <c r="F1486" t="s">
        <v>15</v>
      </c>
      <c r="G1486" t="s">
        <v>16</v>
      </c>
      <c r="H1486" t="s">
        <v>17</v>
      </c>
      <c r="I1486">
        <v>4</v>
      </c>
      <c r="J1486">
        <v>0</v>
      </c>
      <c r="K1486">
        <v>655.97</v>
      </c>
      <c r="L1486">
        <v>5.7</v>
      </c>
    </row>
    <row r="1487" spans="1:12" x14ac:dyDescent="0.25">
      <c r="A1487" t="s">
        <v>1534</v>
      </c>
      <c r="B1487" s="1">
        <v>45810</v>
      </c>
      <c r="C1487" s="1">
        <v>45814</v>
      </c>
      <c r="D1487" t="s">
        <v>47</v>
      </c>
      <c r="E1487" t="s">
        <v>48</v>
      </c>
      <c r="F1487" t="s">
        <v>15</v>
      </c>
      <c r="G1487" t="s">
        <v>20</v>
      </c>
      <c r="H1487" t="s">
        <v>41</v>
      </c>
      <c r="I1487">
        <v>23</v>
      </c>
      <c r="J1487">
        <v>0.1</v>
      </c>
      <c r="K1487">
        <v>134.97</v>
      </c>
      <c r="L1487">
        <v>8.91</v>
      </c>
    </row>
    <row r="1488" spans="1:12" x14ac:dyDescent="0.25">
      <c r="A1488" t="s">
        <v>1535</v>
      </c>
      <c r="B1488" s="1">
        <v>45978</v>
      </c>
      <c r="C1488" s="1">
        <v>45984</v>
      </c>
      <c r="D1488" t="s">
        <v>23</v>
      </c>
      <c r="E1488" t="s">
        <v>24</v>
      </c>
      <c r="F1488" t="s">
        <v>15</v>
      </c>
      <c r="G1488" t="s">
        <v>20</v>
      </c>
      <c r="H1488" t="s">
        <v>37</v>
      </c>
      <c r="I1488">
        <v>1</v>
      </c>
      <c r="J1488">
        <v>0.15</v>
      </c>
      <c r="K1488">
        <v>128.15</v>
      </c>
      <c r="L1488">
        <v>6.8</v>
      </c>
    </row>
    <row r="1489" spans="1:12" x14ac:dyDescent="0.25">
      <c r="A1489" t="s">
        <v>1536</v>
      </c>
      <c r="B1489" s="1">
        <v>45317</v>
      </c>
      <c r="C1489" s="1">
        <v>45323</v>
      </c>
      <c r="D1489" t="s">
        <v>23</v>
      </c>
      <c r="E1489" t="s">
        <v>59</v>
      </c>
      <c r="F1489" t="s">
        <v>15</v>
      </c>
      <c r="G1489" t="s">
        <v>26</v>
      </c>
      <c r="H1489" t="s">
        <v>27</v>
      </c>
      <c r="I1489">
        <v>4</v>
      </c>
      <c r="J1489">
        <v>0</v>
      </c>
      <c r="K1489">
        <v>92.36</v>
      </c>
      <c r="L1489">
        <v>6.3</v>
      </c>
    </row>
    <row r="1490" spans="1:12" x14ac:dyDescent="0.25">
      <c r="A1490" t="s">
        <v>1537</v>
      </c>
      <c r="B1490" s="1">
        <v>45661</v>
      </c>
      <c r="C1490" s="1">
        <v>45667</v>
      </c>
      <c r="D1490" t="s">
        <v>13</v>
      </c>
      <c r="E1490" t="s">
        <v>14</v>
      </c>
      <c r="F1490" t="s">
        <v>29</v>
      </c>
      <c r="G1490" t="s">
        <v>16</v>
      </c>
      <c r="H1490" t="s">
        <v>60</v>
      </c>
      <c r="I1490">
        <v>2</v>
      </c>
      <c r="J1490">
        <v>0</v>
      </c>
      <c r="K1490">
        <v>208.15</v>
      </c>
      <c r="L1490">
        <v>4.2</v>
      </c>
    </row>
    <row r="1491" spans="1:12" x14ac:dyDescent="0.25">
      <c r="A1491" t="s">
        <v>1538</v>
      </c>
      <c r="B1491" s="1">
        <v>45981</v>
      </c>
      <c r="C1491" s="1">
        <v>45982</v>
      </c>
      <c r="D1491" t="s">
        <v>32</v>
      </c>
      <c r="E1491" t="s">
        <v>33</v>
      </c>
      <c r="F1491" t="s">
        <v>15</v>
      </c>
      <c r="G1491" t="s">
        <v>16</v>
      </c>
      <c r="H1491" t="s">
        <v>51</v>
      </c>
      <c r="I1491">
        <v>22</v>
      </c>
      <c r="J1491">
        <v>0.15</v>
      </c>
      <c r="K1491">
        <v>393.06</v>
      </c>
      <c r="L1491">
        <v>8.64</v>
      </c>
    </row>
    <row r="1492" spans="1:12" x14ac:dyDescent="0.25">
      <c r="A1492" t="s">
        <v>1539</v>
      </c>
      <c r="B1492" s="1">
        <v>45824</v>
      </c>
      <c r="C1492" s="1">
        <v>45827</v>
      </c>
      <c r="D1492" t="s">
        <v>47</v>
      </c>
      <c r="E1492" t="s">
        <v>48</v>
      </c>
      <c r="F1492" t="s">
        <v>25</v>
      </c>
      <c r="G1492" t="s">
        <v>20</v>
      </c>
      <c r="H1492" t="s">
        <v>65</v>
      </c>
      <c r="I1492">
        <v>1</v>
      </c>
      <c r="J1492">
        <v>0.2</v>
      </c>
      <c r="K1492">
        <v>228.93</v>
      </c>
      <c r="L1492">
        <v>4.08</v>
      </c>
    </row>
    <row r="1493" spans="1:12" x14ac:dyDescent="0.25">
      <c r="A1493" t="s">
        <v>1540</v>
      </c>
      <c r="B1493" s="1">
        <v>45677</v>
      </c>
      <c r="C1493" s="1">
        <v>45680</v>
      </c>
      <c r="D1493" t="s">
        <v>13</v>
      </c>
      <c r="E1493" t="s">
        <v>36</v>
      </c>
      <c r="F1493" t="s">
        <v>29</v>
      </c>
      <c r="G1493" t="s">
        <v>16</v>
      </c>
      <c r="H1493" t="s">
        <v>87</v>
      </c>
      <c r="I1493">
        <v>14</v>
      </c>
      <c r="J1493">
        <v>0.2</v>
      </c>
      <c r="K1493">
        <v>83.95</v>
      </c>
      <c r="L1493">
        <v>10.8</v>
      </c>
    </row>
    <row r="1494" spans="1:12" x14ac:dyDescent="0.25">
      <c r="A1494" t="s">
        <v>1541</v>
      </c>
      <c r="B1494" s="1">
        <v>45548</v>
      </c>
      <c r="C1494" s="1">
        <v>45552</v>
      </c>
      <c r="D1494" t="s">
        <v>23</v>
      </c>
      <c r="E1494" t="s">
        <v>59</v>
      </c>
      <c r="F1494" t="s">
        <v>15</v>
      </c>
      <c r="G1494" t="s">
        <v>26</v>
      </c>
      <c r="H1494" t="s">
        <v>34</v>
      </c>
      <c r="I1494">
        <v>2</v>
      </c>
      <c r="J1494">
        <v>0</v>
      </c>
      <c r="K1494">
        <v>467.98</v>
      </c>
      <c r="L1494">
        <v>5.46</v>
      </c>
    </row>
    <row r="1495" spans="1:12" x14ac:dyDescent="0.25">
      <c r="A1495" t="s">
        <v>1542</v>
      </c>
      <c r="B1495" s="1">
        <v>45658</v>
      </c>
      <c r="C1495" s="1">
        <v>45664</v>
      </c>
      <c r="D1495" t="s">
        <v>23</v>
      </c>
      <c r="E1495" t="s">
        <v>43</v>
      </c>
      <c r="F1495" t="s">
        <v>29</v>
      </c>
      <c r="G1495" t="s">
        <v>16</v>
      </c>
      <c r="H1495" t="s">
        <v>63</v>
      </c>
      <c r="I1495">
        <v>14</v>
      </c>
      <c r="J1495">
        <v>0.2</v>
      </c>
      <c r="K1495">
        <v>122.24</v>
      </c>
      <c r="L1495">
        <v>10.8</v>
      </c>
    </row>
    <row r="1496" spans="1:12" x14ac:dyDescent="0.25">
      <c r="A1496" t="s">
        <v>1543</v>
      </c>
      <c r="B1496" s="1">
        <v>45817</v>
      </c>
      <c r="C1496" s="1">
        <v>45821</v>
      </c>
      <c r="D1496" t="s">
        <v>23</v>
      </c>
      <c r="E1496" t="s">
        <v>59</v>
      </c>
      <c r="F1496" t="s">
        <v>29</v>
      </c>
      <c r="G1496" t="s">
        <v>16</v>
      </c>
      <c r="H1496" t="s">
        <v>17</v>
      </c>
      <c r="I1496">
        <v>3</v>
      </c>
      <c r="J1496">
        <v>0</v>
      </c>
      <c r="K1496">
        <v>395.84</v>
      </c>
      <c r="L1496">
        <v>4.95</v>
      </c>
    </row>
    <row r="1497" spans="1:12" x14ac:dyDescent="0.25">
      <c r="A1497" t="s">
        <v>1544</v>
      </c>
      <c r="B1497" s="1">
        <v>45444</v>
      </c>
      <c r="C1497" s="1">
        <v>45447</v>
      </c>
      <c r="D1497" t="s">
        <v>23</v>
      </c>
      <c r="E1497" t="s">
        <v>43</v>
      </c>
      <c r="F1497" t="s">
        <v>25</v>
      </c>
      <c r="G1497" t="s">
        <v>20</v>
      </c>
      <c r="H1497" t="s">
        <v>53</v>
      </c>
      <c r="I1497">
        <v>2</v>
      </c>
      <c r="J1497">
        <v>0.15</v>
      </c>
      <c r="K1497">
        <v>98.78</v>
      </c>
      <c r="L1497">
        <v>4.2</v>
      </c>
    </row>
    <row r="1498" spans="1:12" x14ac:dyDescent="0.25">
      <c r="A1498" t="s">
        <v>1545</v>
      </c>
      <c r="B1498" s="1">
        <v>45552</v>
      </c>
      <c r="C1498" s="1">
        <v>45556</v>
      </c>
      <c r="D1498" t="s">
        <v>32</v>
      </c>
      <c r="E1498" t="s">
        <v>62</v>
      </c>
      <c r="F1498" t="s">
        <v>29</v>
      </c>
      <c r="G1498" t="s">
        <v>20</v>
      </c>
      <c r="H1498" t="s">
        <v>37</v>
      </c>
      <c r="I1498">
        <v>3</v>
      </c>
      <c r="J1498">
        <v>0.25</v>
      </c>
      <c r="K1498">
        <v>270.7</v>
      </c>
      <c r="L1498">
        <v>6.84</v>
      </c>
    </row>
    <row r="1499" spans="1:12" x14ac:dyDescent="0.25">
      <c r="A1499" t="s">
        <v>1546</v>
      </c>
      <c r="B1499" s="1">
        <v>45572</v>
      </c>
      <c r="C1499" s="1">
        <v>45576</v>
      </c>
      <c r="D1499" t="s">
        <v>47</v>
      </c>
      <c r="E1499" t="s">
        <v>50</v>
      </c>
      <c r="F1499" t="s">
        <v>25</v>
      </c>
      <c r="G1499" t="s">
        <v>20</v>
      </c>
      <c r="H1499" t="s">
        <v>37</v>
      </c>
      <c r="I1499">
        <v>1</v>
      </c>
      <c r="J1499">
        <v>0</v>
      </c>
      <c r="K1499">
        <v>119.66</v>
      </c>
      <c r="L1499">
        <v>6.8</v>
      </c>
    </row>
    <row r="1500" spans="1:12" x14ac:dyDescent="0.25">
      <c r="A1500" t="s">
        <v>1547</v>
      </c>
      <c r="B1500" s="1">
        <v>45548</v>
      </c>
      <c r="C1500" s="1">
        <v>45553</v>
      </c>
      <c r="D1500" t="s">
        <v>23</v>
      </c>
      <c r="E1500" t="s">
        <v>43</v>
      </c>
      <c r="F1500" t="s">
        <v>15</v>
      </c>
      <c r="G1500" t="s">
        <v>26</v>
      </c>
      <c r="H1500" t="s">
        <v>34</v>
      </c>
      <c r="I1500">
        <v>1</v>
      </c>
      <c r="J1500">
        <v>0.05</v>
      </c>
      <c r="K1500">
        <v>202.62</v>
      </c>
      <c r="L1500">
        <v>6.8</v>
      </c>
    </row>
    <row r="1501" spans="1:12" x14ac:dyDescent="0.25">
      <c r="A1501" t="s">
        <v>1548</v>
      </c>
      <c r="B1501" s="1">
        <v>45613</v>
      </c>
      <c r="C1501" s="1">
        <v>45619</v>
      </c>
      <c r="D1501" t="s">
        <v>13</v>
      </c>
      <c r="E1501" t="s">
        <v>19</v>
      </c>
      <c r="F1501" t="s">
        <v>25</v>
      </c>
      <c r="G1501" t="s">
        <v>26</v>
      </c>
      <c r="H1501" t="s">
        <v>17</v>
      </c>
      <c r="I1501">
        <v>2</v>
      </c>
      <c r="J1501">
        <v>0</v>
      </c>
      <c r="K1501">
        <v>350.67</v>
      </c>
      <c r="L1501">
        <v>7</v>
      </c>
    </row>
    <row r="1502" spans="1:12" x14ac:dyDescent="0.25">
      <c r="A1502" t="s">
        <v>1549</v>
      </c>
      <c r="B1502" s="1">
        <v>45697</v>
      </c>
      <c r="C1502" s="1">
        <v>45702</v>
      </c>
      <c r="D1502" t="s">
        <v>32</v>
      </c>
      <c r="E1502" t="s">
        <v>33</v>
      </c>
      <c r="F1502" t="s">
        <v>15</v>
      </c>
      <c r="G1502" t="s">
        <v>16</v>
      </c>
      <c r="H1502" t="s">
        <v>17</v>
      </c>
      <c r="I1502">
        <v>4</v>
      </c>
      <c r="J1502">
        <v>0</v>
      </c>
      <c r="K1502">
        <v>470.59</v>
      </c>
      <c r="L1502">
        <v>5.7</v>
      </c>
    </row>
    <row r="1503" spans="1:12" x14ac:dyDescent="0.25">
      <c r="A1503" t="s">
        <v>1550</v>
      </c>
      <c r="B1503" s="1">
        <v>45871</v>
      </c>
      <c r="C1503" s="1">
        <v>45876</v>
      </c>
      <c r="D1503" t="s">
        <v>23</v>
      </c>
      <c r="E1503" t="s">
        <v>59</v>
      </c>
      <c r="F1503" t="s">
        <v>29</v>
      </c>
      <c r="G1503" t="s">
        <v>26</v>
      </c>
      <c r="H1503" t="s">
        <v>68</v>
      </c>
      <c r="I1503">
        <v>7</v>
      </c>
      <c r="J1503">
        <v>0.2</v>
      </c>
      <c r="K1503">
        <v>276.17</v>
      </c>
      <c r="L1503">
        <v>7.95</v>
      </c>
    </row>
    <row r="1504" spans="1:12" x14ac:dyDescent="0.25">
      <c r="A1504" t="s">
        <v>1551</v>
      </c>
      <c r="B1504" s="1">
        <v>45475</v>
      </c>
      <c r="C1504" s="1">
        <v>45481</v>
      </c>
      <c r="D1504" t="s">
        <v>13</v>
      </c>
      <c r="E1504" t="s">
        <v>19</v>
      </c>
      <c r="F1504" t="s">
        <v>15</v>
      </c>
      <c r="G1504" t="s">
        <v>26</v>
      </c>
      <c r="H1504" t="s">
        <v>21</v>
      </c>
      <c r="I1504">
        <v>2</v>
      </c>
      <c r="J1504">
        <v>0.15</v>
      </c>
      <c r="K1504">
        <v>171.9</v>
      </c>
      <c r="L1504">
        <v>9.1</v>
      </c>
    </row>
    <row r="1505" spans="1:12" x14ac:dyDescent="0.25">
      <c r="A1505" t="s">
        <v>1552</v>
      </c>
      <c r="B1505" s="1">
        <v>45359</v>
      </c>
      <c r="C1505" s="1">
        <v>45362</v>
      </c>
      <c r="D1505" t="s">
        <v>23</v>
      </c>
      <c r="E1505" t="s">
        <v>43</v>
      </c>
      <c r="F1505" t="s">
        <v>25</v>
      </c>
      <c r="G1505" t="s">
        <v>20</v>
      </c>
      <c r="H1505" t="s">
        <v>30</v>
      </c>
      <c r="I1505">
        <v>14</v>
      </c>
      <c r="J1505">
        <v>0</v>
      </c>
      <c r="K1505">
        <v>76.98</v>
      </c>
      <c r="L1505">
        <v>6.48</v>
      </c>
    </row>
    <row r="1506" spans="1:12" x14ac:dyDescent="0.25">
      <c r="A1506" t="s">
        <v>1553</v>
      </c>
      <c r="B1506" s="1">
        <v>45786</v>
      </c>
      <c r="C1506" s="1">
        <v>45787</v>
      </c>
      <c r="D1506" t="s">
        <v>23</v>
      </c>
      <c r="E1506" t="s">
        <v>24</v>
      </c>
      <c r="F1506" t="s">
        <v>25</v>
      </c>
      <c r="G1506" t="s">
        <v>26</v>
      </c>
      <c r="H1506" t="s">
        <v>87</v>
      </c>
      <c r="I1506">
        <v>9</v>
      </c>
      <c r="J1506">
        <v>0.25</v>
      </c>
      <c r="K1506">
        <v>56.01</v>
      </c>
      <c r="L1506">
        <v>5.13</v>
      </c>
    </row>
    <row r="1507" spans="1:12" x14ac:dyDescent="0.25">
      <c r="A1507" t="s">
        <v>1554</v>
      </c>
      <c r="B1507" s="1">
        <v>45294</v>
      </c>
      <c r="C1507" s="1">
        <v>45300</v>
      </c>
      <c r="D1507" t="s">
        <v>47</v>
      </c>
      <c r="E1507" t="s">
        <v>48</v>
      </c>
      <c r="F1507" t="s">
        <v>15</v>
      </c>
      <c r="G1507" t="s">
        <v>20</v>
      </c>
      <c r="H1507" t="s">
        <v>37</v>
      </c>
      <c r="I1507">
        <v>4</v>
      </c>
      <c r="J1507">
        <v>0.15</v>
      </c>
      <c r="K1507">
        <v>309.77999999999997</v>
      </c>
      <c r="L1507">
        <v>8.2200000000000006</v>
      </c>
    </row>
    <row r="1508" spans="1:12" x14ac:dyDescent="0.25">
      <c r="A1508" t="s">
        <v>1555</v>
      </c>
      <c r="B1508" s="1">
        <v>45795</v>
      </c>
      <c r="C1508" s="1">
        <v>45796</v>
      </c>
      <c r="D1508" t="s">
        <v>13</v>
      </c>
      <c r="E1508" t="s">
        <v>19</v>
      </c>
      <c r="F1508" t="s">
        <v>25</v>
      </c>
      <c r="G1508" t="s">
        <v>26</v>
      </c>
      <c r="H1508" t="s">
        <v>37</v>
      </c>
      <c r="I1508">
        <v>4</v>
      </c>
      <c r="J1508">
        <v>0.15</v>
      </c>
      <c r="K1508">
        <v>394.02</v>
      </c>
      <c r="L1508">
        <v>13.7</v>
      </c>
    </row>
    <row r="1509" spans="1:12" x14ac:dyDescent="0.25">
      <c r="A1509" t="s">
        <v>1556</v>
      </c>
      <c r="B1509" s="1">
        <v>45809</v>
      </c>
      <c r="C1509" s="1">
        <v>45811</v>
      </c>
      <c r="D1509" t="s">
        <v>23</v>
      </c>
      <c r="E1509" t="s">
        <v>24</v>
      </c>
      <c r="F1509" t="s">
        <v>25</v>
      </c>
      <c r="G1509" t="s">
        <v>20</v>
      </c>
      <c r="H1509" t="s">
        <v>30</v>
      </c>
      <c r="I1509">
        <v>6</v>
      </c>
      <c r="J1509">
        <v>0</v>
      </c>
      <c r="K1509">
        <v>37.340000000000003</v>
      </c>
      <c r="L1509">
        <v>4.32</v>
      </c>
    </row>
    <row r="1510" spans="1:12" x14ac:dyDescent="0.25">
      <c r="A1510" t="s">
        <v>1557</v>
      </c>
      <c r="B1510" s="1">
        <v>45564</v>
      </c>
      <c r="C1510" s="1">
        <v>45567</v>
      </c>
      <c r="D1510" t="s">
        <v>47</v>
      </c>
      <c r="E1510" t="s">
        <v>48</v>
      </c>
      <c r="F1510" t="s">
        <v>25</v>
      </c>
      <c r="G1510" t="s">
        <v>26</v>
      </c>
      <c r="H1510" t="s">
        <v>87</v>
      </c>
      <c r="I1510">
        <v>7</v>
      </c>
      <c r="J1510">
        <v>0</v>
      </c>
      <c r="K1510">
        <v>59.51</v>
      </c>
      <c r="L1510">
        <v>7.65</v>
      </c>
    </row>
    <row r="1511" spans="1:12" x14ac:dyDescent="0.25">
      <c r="A1511" t="s">
        <v>1558</v>
      </c>
      <c r="B1511" s="1">
        <v>46011</v>
      </c>
      <c r="C1511" s="1">
        <v>46013</v>
      </c>
      <c r="D1511" t="s">
        <v>13</v>
      </c>
      <c r="E1511" t="s">
        <v>36</v>
      </c>
      <c r="F1511" t="s">
        <v>15</v>
      </c>
      <c r="G1511" t="s">
        <v>16</v>
      </c>
      <c r="H1511" t="s">
        <v>34</v>
      </c>
      <c r="I1511">
        <v>2</v>
      </c>
      <c r="J1511">
        <v>0</v>
      </c>
      <c r="K1511">
        <v>567.57000000000005</v>
      </c>
      <c r="L1511">
        <v>9.1</v>
      </c>
    </row>
    <row r="1512" spans="1:12" x14ac:dyDescent="0.25">
      <c r="A1512" t="s">
        <v>1559</v>
      </c>
      <c r="B1512" s="1">
        <v>45770</v>
      </c>
      <c r="C1512" s="1">
        <v>45773</v>
      </c>
      <c r="D1512" t="s">
        <v>23</v>
      </c>
      <c r="E1512" t="s">
        <v>43</v>
      </c>
      <c r="F1512" t="s">
        <v>29</v>
      </c>
      <c r="G1512" t="s">
        <v>26</v>
      </c>
      <c r="H1512" t="s">
        <v>17</v>
      </c>
      <c r="I1512">
        <v>2</v>
      </c>
      <c r="J1512">
        <v>0.05</v>
      </c>
      <c r="K1512">
        <v>235.31</v>
      </c>
      <c r="L1512">
        <v>4.2</v>
      </c>
    </row>
    <row r="1513" spans="1:12" x14ac:dyDescent="0.25">
      <c r="A1513" t="s">
        <v>1560</v>
      </c>
      <c r="B1513" s="1">
        <v>45640</v>
      </c>
      <c r="C1513" s="1">
        <v>45646</v>
      </c>
      <c r="D1513" t="s">
        <v>13</v>
      </c>
      <c r="E1513" t="s">
        <v>36</v>
      </c>
      <c r="F1513" t="s">
        <v>29</v>
      </c>
      <c r="G1513" t="s">
        <v>16</v>
      </c>
      <c r="H1513" t="s">
        <v>27</v>
      </c>
      <c r="I1513">
        <v>7</v>
      </c>
      <c r="J1513">
        <v>0.05</v>
      </c>
      <c r="K1513">
        <v>276.83999999999997</v>
      </c>
      <c r="L1513">
        <v>4.59</v>
      </c>
    </row>
    <row r="1514" spans="1:12" x14ac:dyDescent="0.25">
      <c r="A1514" t="s">
        <v>1561</v>
      </c>
      <c r="B1514" s="1">
        <v>45743</v>
      </c>
      <c r="C1514" s="1">
        <v>45746</v>
      </c>
      <c r="D1514" t="s">
        <v>47</v>
      </c>
      <c r="E1514" t="s">
        <v>50</v>
      </c>
      <c r="F1514" t="s">
        <v>29</v>
      </c>
      <c r="G1514" t="s">
        <v>16</v>
      </c>
      <c r="H1514" t="s">
        <v>53</v>
      </c>
      <c r="I1514">
        <v>2</v>
      </c>
      <c r="J1514">
        <v>0</v>
      </c>
      <c r="K1514">
        <v>109.41</v>
      </c>
      <c r="L1514">
        <v>4.2</v>
      </c>
    </row>
    <row r="1515" spans="1:12" x14ac:dyDescent="0.25">
      <c r="A1515" t="s">
        <v>1562</v>
      </c>
      <c r="B1515" s="1">
        <v>45342</v>
      </c>
      <c r="C1515" s="1">
        <v>45343</v>
      </c>
      <c r="D1515" t="s">
        <v>47</v>
      </c>
      <c r="E1515" t="s">
        <v>48</v>
      </c>
      <c r="F1515" t="s">
        <v>15</v>
      </c>
      <c r="G1515" t="s">
        <v>16</v>
      </c>
      <c r="H1515" t="s">
        <v>27</v>
      </c>
      <c r="I1515">
        <v>11</v>
      </c>
      <c r="J1515">
        <v>0.1</v>
      </c>
      <c r="K1515">
        <v>258.69</v>
      </c>
      <c r="L1515">
        <v>5.67</v>
      </c>
    </row>
    <row r="1516" spans="1:12" x14ac:dyDescent="0.25">
      <c r="A1516" t="s">
        <v>1563</v>
      </c>
      <c r="B1516" s="1">
        <v>45827</v>
      </c>
      <c r="C1516" s="1">
        <v>45831</v>
      </c>
      <c r="D1516" t="s">
        <v>47</v>
      </c>
      <c r="E1516" t="s">
        <v>50</v>
      </c>
      <c r="F1516" t="s">
        <v>25</v>
      </c>
      <c r="G1516" t="s">
        <v>16</v>
      </c>
      <c r="H1516" t="s">
        <v>39</v>
      </c>
      <c r="I1516">
        <v>4</v>
      </c>
      <c r="J1516">
        <v>0</v>
      </c>
      <c r="K1516">
        <v>772.59</v>
      </c>
      <c r="L1516">
        <v>9.5</v>
      </c>
    </row>
    <row r="1517" spans="1:12" x14ac:dyDescent="0.25">
      <c r="A1517" t="s">
        <v>1564</v>
      </c>
      <c r="B1517" s="1">
        <v>45489</v>
      </c>
      <c r="C1517" s="1">
        <v>45493</v>
      </c>
      <c r="D1517" t="s">
        <v>23</v>
      </c>
      <c r="E1517" t="s">
        <v>24</v>
      </c>
      <c r="F1517" t="s">
        <v>15</v>
      </c>
      <c r="G1517" t="s">
        <v>16</v>
      </c>
      <c r="H1517" t="s">
        <v>68</v>
      </c>
      <c r="I1517">
        <v>4</v>
      </c>
      <c r="J1517">
        <v>0.2</v>
      </c>
      <c r="K1517">
        <v>146.77000000000001</v>
      </c>
      <c r="L1517">
        <v>5.7</v>
      </c>
    </row>
    <row r="1518" spans="1:12" x14ac:dyDescent="0.25">
      <c r="A1518" t="s">
        <v>1565</v>
      </c>
      <c r="B1518" s="1">
        <v>45787</v>
      </c>
      <c r="C1518" s="1">
        <v>45793</v>
      </c>
      <c r="D1518" t="s">
        <v>13</v>
      </c>
      <c r="E1518" t="s">
        <v>14</v>
      </c>
      <c r="F1518" t="s">
        <v>29</v>
      </c>
      <c r="G1518" t="s">
        <v>26</v>
      </c>
      <c r="H1518" t="s">
        <v>30</v>
      </c>
      <c r="I1518">
        <v>9</v>
      </c>
      <c r="J1518">
        <v>0.2</v>
      </c>
      <c r="K1518">
        <v>45.89</v>
      </c>
      <c r="L1518">
        <v>5.13</v>
      </c>
    </row>
    <row r="1519" spans="1:12" x14ac:dyDescent="0.25">
      <c r="A1519" t="s">
        <v>1566</v>
      </c>
      <c r="B1519" s="1">
        <v>45994</v>
      </c>
      <c r="C1519" s="1">
        <v>45996</v>
      </c>
      <c r="D1519" t="s">
        <v>23</v>
      </c>
      <c r="E1519" t="s">
        <v>24</v>
      </c>
      <c r="F1519" t="s">
        <v>29</v>
      </c>
      <c r="G1519" t="s">
        <v>26</v>
      </c>
      <c r="H1519" t="s">
        <v>51</v>
      </c>
      <c r="I1519">
        <v>11</v>
      </c>
      <c r="J1519">
        <v>0.05</v>
      </c>
      <c r="K1519">
        <v>221.03</v>
      </c>
      <c r="L1519">
        <v>9.4499999999999993</v>
      </c>
    </row>
    <row r="1520" spans="1:12" x14ac:dyDescent="0.25">
      <c r="A1520" t="s">
        <v>1567</v>
      </c>
      <c r="B1520" s="1">
        <v>45763</v>
      </c>
      <c r="C1520" s="1">
        <v>45765</v>
      </c>
      <c r="D1520" t="s">
        <v>13</v>
      </c>
      <c r="E1520" t="s">
        <v>19</v>
      </c>
      <c r="F1520" t="s">
        <v>29</v>
      </c>
      <c r="G1520" t="s">
        <v>16</v>
      </c>
      <c r="H1520" t="s">
        <v>65</v>
      </c>
      <c r="I1520">
        <v>4</v>
      </c>
      <c r="J1520">
        <v>0.2</v>
      </c>
      <c r="K1520">
        <v>876.09</v>
      </c>
      <c r="L1520">
        <v>13.7</v>
      </c>
    </row>
    <row r="1521" spans="1:12" x14ac:dyDescent="0.25">
      <c r="A1521" t="s">
        <v>1568</v>
      </c>
      <c r="B1521" s="1">
        <v>45431</v>
      </c>
      <c r="C1521" s="1">
        <v>45436</v>
      </c>
      <c r="D1521" t="s">
        <v>13</v>
      </c>
      <c r="E1521" t="s">
        <v>14</v>
      </c>
      <c r="F1521" t="s">
        <v>29</v>
      </c>
      <c r="G1521" t="s">
        <v>20</v>
      </c>
      <c r="H1521" t="s">
        <v>21</v>
      </c>
      <c r="I1521">
        <v>4</v>
      </c>
      <c r="J1521">
        <v>0.2</v>
      </c>
      <c r="K1521">
        <v>346.88</v>
      </c>
      <c r="L1521">
        <v>13.7</v>
      </c>
    </row>
    <row r="1522" spans="1:12" x14ac:dyDescent="0.25">
      <c r="A1522" t="s">
        <v>1569</v>
      </c>
      <c r="B1522" s="1">
        <v>45608</v>
      </c>
      <c r="C1522" s="1">
        <v>45613</v>
      </c>
      <c r="D1522" t="s">
        <v>13</v>
      </c>
      <c r="E1522" t="s">
        <v>36</v>
      </c>
      <c r="F1522" t="s">
        <v>29</v>
      </c>
      <c r="G1522" t="s">
        <v>20</v>
      </c>
      <c r="H1522" t="s">
        <v>53</v>
      </c>
      <c r="I1522">
        <v>4</v>
      </c>
      <c r="J1522">
        <v>0.2</v>
      </c>
      <c r="K1522">
        <v>257.88</v>
      </c>
      <c r="L1522">
        <v>9.5</v>
      </c>
    </row>
    <row r="1523" spans="1:12" x14ac:dyDescent="0.25">
      <c r="A1523" t="s">
        <v>1570</v>
      </c>
      <c r="B1523" s="1">
        <v>45419</v>
      </c>
      <c r="C1523" s="1">
        <v>45424</v>
      </c>
      <c r="D1523" t="s">
        <v>13</v>
      </c>
      <c r="E1523" t="s">
        <v>14</v>
      </c>
      <c r="F1523" t="s">
        <v>15</v>
      </c>
      <c r="G1523" t="s">
        <v>16</v>
      </c>
      <c r="H1523" t="s">
        <v>41</v>
      </c>
      <c r="I1523">
        <v>9</v>
      </c>
      <c r="J1523">
        <v>0.15</v>
      </c>
      <c r="K1523">
        <v>49.28</v>
      </c>
      <c r="L1523">
        <v>5.13</v>
      </c>
    </row>
    <row r="1524" spans="1:12" x14ac:dyDescent="0.25">
      <c r="A1524" t="s">
        <v>1571</v>
      </c>
      <c r="B1524" s="1">
        <v>45480</v>
      </c>
      <c r="C1524" s="1">
        <v>45483</v>
      </c>
      <c r="D1524" t="s">
        <v>13</v>
      </c>
      <c r="E1524" t="s">
        <v>19</v>
      </c>
      <c r="F1524" t="s">
        <v>29</v>
      </c>
      <c r="G1524" t="s">
        <v>26</v>
      </c>
      <c r="H1524" t="s">
        <v>17</v>
      </c>
      <c r="I1524">
        <v>3</v>
      </c>
      <c r="J1524">
        <v>0</v>
      </c>
      <c r="K1524">
        <v>340.26</v>
      </c>
      <c r="L1524">
        <v>8.25</v>
      </c>
    </row>
    <row r="1525" spans="1:12" x14ac:dyDescent="0.25">
      <c r="A1525" t="s">
        <v>1572</v>
      </c>
      <c r="B1525" s="1">
        <v>45835</v>
      </c>
      <c r="C1525" s="1">
        <v>45840</v>
      </c>
      <c r="D1525" t="s">
        <v>23</v>
      </c>
      <c r="E1525" t="s">
        <v>43</v>
      </c>
      <c r="F1525" t="s">
        <v>29</v>
      </c>
      <c r="G1525" t="s">
        <v>26</v>
      </c>
      <c r="H1525" t="s">
        <v>60</v>
      </c>
      <c r="I1525">
        <v>3</v>
      </c>
      <c r="J1525">
        <v>0.15</v>
      </c>
      <c r="K1525">
        <v>281.82</v>
      </c>
      <c r="L1525">
        <v>4.95</v>
      </c>
    </row>
    <row r="1526" spans="1:12" x14ac:dyDescent="0.25">
      <c r="A1526" t="s">
        <v>1573</v>
      </c>
      <c r="B1526" s="1">
        <v>45592</v>
      </c>
      <c r="C1526" s="1">
        <v>45593</v>
      </c>
      <c r="D1526" t="s">
        <v>13</v>
      </c>
      <c r="E1526" t="s">
        <v>14</v>
      </c>
      <c r="F1526" t="s">
        <v>29</v>
      </c>
      <c r="G1526" t="s">
        <v>26</v>
      </c>
      <c r="H1526" t="s">
        <v>39</v>
      </c>
      <c r="I1526">
        <v>1</v>
      </c>
      <c r="J1526">
        <v>0</v>
      </c>
      <c r="K1526">
        <v>234.45</v>
      </c>
      <c r="L1526">
        <v>3.45</v>
      </c>
    </row>
    <row r="1527" spans="1:12" x14ac:dyDescent="0.25">
      <c r="A1527" t="s">
        <v>1574</v>
      </c>
      <c r="B1527" s="1">
        <v>45353</v>
      </c>
      <c r="C1527" s="1">
        <v>45356</v>
      </c>
      <c r="D1527" t="s">
        <v>23</v>
      </c>
      <c r="E1527" t="s">
        <v>59</v>
      </c>
      <c r="F1527" t="s">
        <v>25</v>
      </c>
      <c r="G1527" t="s">
        <v>16</v>
      </c>
      <c r="H1527" t="s">
        <v>37</v>
      </c>
      <c r="I1527">
        <v>4</v>
      </c>
      <c r="J1527">
        <v>0.05</v>
      </c>
      <c r="K1527">
        <v>384.97</v>
      </c>
      <c r="L1527">
        <v>13.7</v>
      </c>
    </row>
    <row r="1528" spans="1:12" x14ac:dyDescent="0.25">
      <c r="A1528" t="s">
        <v>1575</v>
      </c>
      <c r="B1528" s="1">
        <v>45608</v>
      </c>
      <c r="C1528" s="1">
        <v>45609</v>
      </c>
      <c r="D1528" t="s">
        <v>47</v>
      </c>
      <c r="E1528" t="s">
        <v>71</v>
      </c>
      <c r="F1528" t="s">
        <v>25</v>
      </c>
      <c r="G1528" t="s">
        <v>26</v>
      </c>
      <c r="H1528" t="s">
        <v>41</v>
      </c>
      <c r="I1528">
        <v>13</v>
      </c>
      <c r="J1528">
        <v>0</v>
      </c>
      <c r="K1528">
        <v>109.48</v>
      </c>
      <c r="L1528">
        <v>10.35</v>
      </c>
    </row>
    <row r="1529" spans="1:12" x14ac:dyDescent="0.25">
      <c r="A1529" t="s">
        <v>1576</v>
      </c>
      <c r="B1529" s="1">
        <v>45336</v>
      </c>
      <c r="C1529" s="1">
        <v>45338</v>
      </c>
      <c r="D1529" t="s">
        <v>32</v>
      </c>
      <c r="E1529" t="s">
        <v>62</v>
      </c>
      <c r="F1529" t="s">
        <v>15</v>
      </c>
      <c r="G1529" t="s">
        <v>16</v>
      </c>
      <c r="H1529" t="s">
        <v>87</v>
      </c>
      <c r="I1529">
        <v>9</v>
      </c>
      <c r="J1529">
        <v>0.1</v>
      </c>
      <c r="K1529">
        <v>64.06</v>
      </c>
      <c r="L1529">
        <v>5.13</v>
      </c>
    </row>
    <row r="1530" spans="1:12" x14ac:dyDescent="0.25">
      <c r="A1530" t="s">
        <v>1577</v>
      </c>
      <c r="B1530" s="1">
        <v>45496</v>
      </c>
      <c r="C1530" s="1">
        <v>45502</v>
      </c>
      <c r="D1530" t="s">
        <v>13</v>
      </c>
      <c r="E1530" t="s">
        <v>19</v>
      </c>
      <c r="F1530" t="s">
        <v>25</v>
      </c>
      <c r="G1530" t="s">
        <v>20</v>
      </c>
      <c r="H1530" t="s">
        <v>53</v>
      </c>
      <c r="I1530">
        <v>7</v>
      </c>
      <c r="J1530">
        <v>0.25</v>
      </c>
      <c r="K1530">
        <v>277.43</v>
      </c>
      <c r="L1530">
        <v>13.25</v>
      </c>
    </row>
    <row r="1531" spans="1:12" x14ac:dyDescent="0.25">
      <c r="A1531" t="s">
        <v>1578</v>
      </c>
      <c r="B1531" s="1">
        <v>45860</v>
      </c>
      <c r="C1531" s="1">
        <v>45864</v>
      </c>
      <c r="D1531" t="s">
        <v>23</v>
      </c>
      <c r="E1531" t="s">
        <v>24</v>
      </c>
      <c r="F1531" t="s">
        <v>15</v>
      </c>
      <c r="G1531" t="s">
        <v>26</v>
      </c>
      <c r="H1531" t="s">
        <v>34</v>
      </c>
      <c r="I1531">
        <v>1</v>
      </c>
      <c r="J1531">
        <v>0</v>
      </c>
      <c r="K1531">
        <v>183.51</v>
      </c>
      <c r="L1531">
        <v>4.08</v>
      </c>
    </row>
    <row r="1532" spans="1:12" x14ac:dyDescent="0.25">
      <c r="A1532" t="s">
        <v>1579</v>
      </c>
      <c r="B1532" s="1">
        <v>46019</v>
      </c>
      <c r="C1532" s="1">
        <v>46022</v>
      </c>
      <c r="D1532" t="s">
        <v>47</v>
      </c>
      <c r="E1532" t="s">
        <v>48</v>
      </c>
      <c r="F1532" t="s">
        <v>15</v>
      </c>
      <c r="G1532" t="s">
        <v>20</v>
      </c>
      <c r="H1532" t="s">
        <v>51</v>
      </c>
      <c r="I1532">
        <v>11</v>
      </c>
      <c r="J1532">
        <v>0</v>
      </c>
      <c r="K1532">
        <v>243.02</v>
      </c>
      <c r="L1532">
        <v>5.67</v>
      </c>
    </row>
    <row r="1533" spans="1:12" x14ac:dyDescent="0.25">
      <c r="A1533" t="s">
        <v>1580</v>
      </c>
      <c r="B1533" s="1">
        <v>45714</v>
      </c>
      <c r="C1533" s="1">
        <v>45716</v>
      </c>
      <c r="D1533" t="s">
        <v>23</v>
      </c>
      <c r="E1533" t="s">
        <v>43</v>
      </c>
      <c r="F1533" t="s">
        <v>25</v>
      </c>
      <c r="G1533" t="s">
        <v>20</v>
      </c>
      <c r="H1533" t="s">
        <v>34</v>
      </c>
      <c r="I1533">
        <v>3</v>
      </c>
      <c r="J1533">
        <v>0</v>
      </c>
      <c r="K1533">
        <v>570.64</v>
      </c>
      <c r="L1533">
        <v>11.4</v>
      </c>
    </row>
    <row r="1534" spans="1:12" x14ac:dyDescent="0.25">
      <c r="A1534" t="s">
        <v>1581</v>
      </c>
      <c r="B1534" s="1">
        <v>45788</v>
      </c>
      <c r="C1534" s="1">
        <v>45792</v>
      </c>
      <c r="D1534" t="s">
        <v>23</v>
      </c>
      <c r="E1534" t="s">
        <v>59</v>
      </c>
      <c r="F1534" t="s">
        <v>15</v>
      </c>
      <c r="G1534" t="s">
        <v>16</v>
      </c>
      <c r="H1534" t="s">
        <v>51</v>
      </c>
      <c r="I1534">
        <v>16</v>
      </c>
      <c r="J1534">
        <v>0</v>
      </c>
      <c r="K1534">
        <v>252.16</v>
      </c>
      <c r="L1534">
        <v>11.7</v>
      </c>
    </row>
    <row r="1535" spans="1:12" x14ac:dyDescent="0.25">
      <c r="A1535" t="s">
        <v>1582</v>
      </c>
      <c r="B1535" s="1">
        <v>45475</v>
      </c>
      <c r="C1535" s="1">
        <v>45480</v>
      </c>
      <c r="D1535" t="s">
        <v>13</v>
      </c>
      <c r="E1535" t="s">
        <v>14</v>
      </c>
      <c r="F1535" t="s">
        <v>25</v>
      </c>
      <c r="G1535" t="s">
        <v>26</v>
      </c>
      <c r="H1535" t="s">
        <v>34</v>
      </c>
      <c r="I1535">
        <v>2</v>
      </c>
      <c r="J1535">
        <v>0</v>
      </c>
      <c r="K1535">
        <v>383.65</v>
      </c>
      <c r="L1535">
        <v>5.46</v>
      </c>
    </row>
    <row r="1536" spans="1:12" x14ac:dyDescent="0.25">
      <c r="A1536" t="s">
        <v>1583</v>
      </c>
      <c r="B1536" s="1">
        <v>45634</v>
      </c>
      <c r="C1536" s="1">
        <v>45637</v>
      </c>
      <c r="D1536" t="s">
        <v>32</v>
      </c>
      <c r="E1536" t="s">
        <v>33</v>
      </c>
      <c r="F1536" t="s">
        <v>25</v>
      </c>
      <c r="G1536" t="s">
        <v>16</v>
      </c>
      <c r="H1536" t="s">
        <v>37</v>
      </c>
      <c r="I1536">
        <v>3</v>
      </c>
      <c r="J1536">
        <v>0.2</v>
      </c>
      <c r="K1536">
        <v>374.81</v>
      </c>
      <c r="L1536">
        <v>11.4</v>
      </c>
    </row>
    <row r="1537" spans="1:12" x14ac:dyDescent="0.25">
      <c r="A1537" t="s">
        <v>1584</v>
      </c>
      <c r="B1537" s="1">
        <v>45583</v>
      </c>
      <c r="C1537" s="1">
        <v>45585</v>
      </c>
      <c r="D1537" t="s">
        <v>32</v>
      </c>
      <c r="E1537" t="s">
        <v>45</v>
      </c>
      <c r="F1537" t="s">
        <v>25</v>
      </c>
      <c r="G1537" t="s">
        <v>16</v>
      </c>
      <c r="H1537" t="s">
        <v>41</v>
      </c>
      <c r="I1537">
        <v>10</v>
      </c>
      <c r="J1537">
        <v>0.1</v>
      </c>
      <c r="K1537">
        <v>67.52</v>
      </c>
      <c r="L1537">
        <v>9</v>
      </c>
    </row>
    <row r="1538" spans="1:12" x14ac:dyDescent="0.25">
      <c r="A1538" t="s">
        <v>1585</v>
      </c>
      <c r="B1538" s="1">
        <v>46012</v>
      </c>
      <c r="C1538" s="1">
        <v>46018</v>
      </c>
      <c r="D1538" t="s">
        <v>47</v>
      </c>
      <c r="E1538" t="s">
        <v>48</v>
      </c>
      <c r="F1538" t="s">
        <v>29</v>
      </c>
      <c r="G1538" t="s">
        <v>26</v>
      </c>
      <c r="H1538" t="s">
        <v>34</v>
      </c>
      <c r="I1538">
        <v>4</v>
      </c>
      <c r="J1538">
        <v>0.15</v>
      </c>
      <c r="K1538">
        <v>977.93</v>
      </c>
      <c r="L1538">
        <v>8.2200000000000006</v>
      </c>
    </row>
    <row r="1539" spans="1:12" x14ac:dyDescent="0.25">
      <c r="A1539" t="s">
        <v>1586</v>
      </c>
      <c r="B1539" s="1">
        <v>45706</v>
      </c>
      <c r="C1539" s="1">
        <v>45709</v>
      </c>
      <c r="D1539" t="s">
        <v>47</v>
      </c>
      <c r="E1539" t="s">
        <v>50</v>
      </c>
      <c r="F1539" t="s">
        <v>25</v>
      </c>
      <c r="G1539" t="s">
        <v>20</v>
      </c>
      <c r="H1539" t="s">
        <v>34</v>
      </c>
      <c r="I1539">
        <v>1</v>
      </c>
      <c r="J1539">
        <v>0</v>
      </c>
      <c r="K1539">
        <v>185.4</v>
      </c>
      <c r="L1539">
        <v>6.8</v>
      </c>
    </row>
    <row r="1540" spans="1:12" x14ac:dyDescent="0.25">
      <c r="A1540" t="s">
        <v>1587</v>
      </c>
      <c r="B1540" s="1">
        <v>45550</v>
      </c>
      <c r="C1540" s="1">
        <v>45555</v>
      </c>
      <c r="D1540" t="s">
        <v>47</v>
      </c>
      <c r="E1540" t="s">
        <v>71</v>
      </c>
      <c r="F1540" t="s">
        <v>15</v>
      </c>
      <c r="G1540" t="s">
        <v>26</v>
      </c>
      <c r="H1540" t="s">
        <v>30</v>
      </c>
      <c r="I1540">
        <v>6</v>
      </c>
      <c r="J1540">
        <v>0.1</v>
      </c>
      <c r="K1540">
        <v>34.1</v>
      </c>
      <c r="L1540">
        <v>7.2</v>
      </c>
    </row>
    <row r="1541" spans="1:12" x14ac:dyDescent="0.25">
      <c r="A1541" t="s">
        <v>1588</v>
      </c>
      <c r="B1541" s="1">
        <v>45353</v>
      </c>
      <c r="C1541" s="1">
        <v>45354</v>
      </c>
      <c r="D1541" t="s">
        <v>23</v>
      </c>
      <c r="E1541" t="s">
        <v>59</v>
      </c>
      <c r="F1541" t="s">
        <v>15</v>
      </c>
      <c r="G1541" t="s">
        <v>20</v>
      </c>
      <c r="H1541" t="s">
        <v>34</v>
      </c>
      <c r="I1541">
        <v>2</v>
      </c>
      <c r="J1541">
        <v>0</v>
      </c>
      <c r="K1541">
        <v>366.75</v>
      </c>
      <c r="L1541">
        <v>5.46</v>
      </c>
    </row>
    <row r="1542" spans="1:12" x14ac:dyDescent="0.25">
      <c r="A1542" t="s">
        <v>1589</v>
      </c>
      <c r="B1542" s="1">
        <v>45792</v>
      </c>
      <c r="C1542" s="1">
        <v>45795</v>
      </c>
      <c r="D1542" t="s">
        <v>13</v>
      </c>
      <c r="E1542" t="s">
        <v>36</v>
      </c>
      <c r="F1542" t="s">
        <v>29</v>
      </c>
      <c r="G1542" t="s">
        <v>26</v>
      </c>
      <c r="H1542" t="s">
        <v>53</v>
      </c>
      <c r="I1542">
        <v>2</v>
      </c>
      <c r="J1542">
        <v>0.15</v>
      </c>
      <c r="K1542">
        <v>94.3</v>
      </c>
      <c r="L1542">
        <v>7</v>
      </c>
    </row>
    <row r="1543" spans="1:12" x14ac:dyDescent="0.25">
      <c r="A1543" t="s">
        <v>1590</v>
      </c>
      <c r="B1543" s="1">
        <v>45386</v>
      </c>
      <c r="C1543" s="1">
        <v>45389</v>
      </c>
      <c r="D1543" t="s">
        <v>47</v>
      </c>
      <c r="E1543" t="s">
        <v>50</v>
      </c>
      <c r="F1543" t="s">
        <v>25</v>
      </c>
      <c r="G1543" t="s">
        <v>26</v>
      </c>
      <c r="H1543" t="s">
        <v>68</v>
      </c>
      <c r="I1543">
        <v>3</v>
      </c>
      <c r="J1543">
        <v>0.1</v>
      </c>
      <c r="K1543">
        <v>142.11000000000001</v>
      </c>
      <c r="L1543">
        <v>4.95</v>
      </c>
    </row>
    <row r="1544" spans="1:12" x14ac:dyDescent="0.25">
      <c r="A1544" t="s">
        <v>1591</v>
      </c>
      <c r="B1544" s="1">
        <v>45549</v>
      </c>
      <c r="C1544" s="1">
        <v>45550</v>
      </c>
      <c r="D1544" t="s">
        <v>47</v>
      </c>
      <c r="E1544" t="s">
        <v>71</v>
      </c>
      <c r="F1544" t="s">
        <v>25</v>
      </c>
      <c r="G1544" t="s">
        <v>16</v>
      </c>
      <c r="H1544" t="s">
        <v>53</v>
      </c>
      <c r="I1544">
        <v>1</v>
      </c>
      <c r="J1544">
        <v>0.25</v>
      </c>
      <c r="K1544">
        <v>45.31</v>
      </c>
      <c r="L1544">
        <v>5.75</v>
      </c>
    </row>
    <row r="1545" spans="1:12" x14ac:dyDescent="0.25">
      <c r="A1545" t="s">
        <v>1592</v>
      </c>
      <c r="B1545" s="1">
        <v>45605</v>
      </c>
      <c r="C1545" s="1">
        <v>45608</v>
      </c>
      <c r="D1545" t="s">
        <v>47</v>
      </c>
      <c r="E1545" t="s">
        <v>71</v>
      </c>
      <c r="F1545" t="s">
        <v>25</v>
      </c>
      <c r="G1545" t="s">
        <v>26</v>
      </c>
      <c r="H1545" t="s">
        <v>37</v>
      </c>
      <c r="I1545">
        <v>1</v>
      </c>
      <c r="J1545">
        <v>0</v>
      </c>
      <c r="K1545">
        <v>151.27000000000001</v>
      </c>
      <c r="L1545">
        <v>4.08</v>
      </c>
    </row>
    <row r="1546" spans="1:12" x14ac:dyDescent="0.25">
      <c r="A1546" t="s">
        <v>1593</v>
      </c>
      <c r="B1546" s="1">
        <v>45647</v>
      </c>
      <c r="C1546" s="1">
        <v>45652</v>
      </c>
      <c r="D1546" t="s">
        <v>23</v>
      </c>
      <c r="E1546" t="s">
        <v>24</v>
      </c>
      <c r="F1546" t="s">
        <v>15</v>
      </c>
      <c r="G1546" t="s">
        <v>20</v>
      </c>
      <c r="H1546" t="s">
        <v>41</v>
      </c>
      <c r="I1546">
        <v>16</v>
      </c>
      <c r="J1546">
        <v>0</v>
      </c>
      <c r="K1546">
        <v>136.38</v>
      </c>
      <c r="L1546">
        <v>11.7</v>
      </c>
    </row>
    <row r="1547" spans="1:12" x14ac:dyDescent="0.25">
      <c r="A1547" t="s">
        <v>1594</v>
      </c>
      <c r="B1547" s="1">
        <v>45406</v>
      </c>
      <c r="C1547" s="1">
        <v>45412</v>
      </c>
      <c r="D1547" t="s">
        <v>23</v>
      </c>
      <c r="E1547" t="s">
        <v>59</v>
      </c>
      <c r="F1547" t="s">
        <v>29</v>
      </c>
      <c r="G1547" t="s">
        <v>26</v>
      </c>
      <c r="H1547" t="s">
        <v>87</v>
      </c>
      <c r="I1547">
        <v>10</v>
      </c>
      <c r="J1547">
        <v>0</v>
      </c>
      <c r="K1547">
        <v>83.61</v>
      </c>
      <c r="L1547">
        <v>9</v>
      </c>
    </row>
    <row r="1548" spans="1:12" x14ac:dyDescent="0.25">
      <c r="A1548" t="s">
        <v>1595</v>
      </c>
      <c r="B1548" s="1">
        <v>45548</v>
      </c>
      <c r="C1548" s="1">
        <v>45554</v>
      </c>
      <c r="D1548" t="s">
        <v>23</v>
      </c>
      <c r="E1548" t="s">
        <v>24</v>
      </c>
      <c r="F1548" t="s">
        <v>25</v>
      </c>
      <c r="G1548" t="s">
        <v>26</v>
      </c>
      <c r="H1548" t="s">
        <v>41</v>
      </c>
      <c r="I1548">
        <v>14</v>
      </c>
      <c r="J1548">
        <v>0.25</v>
      </c>
      <c r="K1548">
        <v>65.5</v>
      </c>
      <c r="L1548">
        <v>10.8</v>
      </c>
    </row>
    <row r="1549" spans="1:12" x14ac:dyDescent="0.25">
      <c r="A1549" t="s">
        <v>1596</v>
      </c>
      <c r="B1549" s="1">
        <v>45810</v>
      </c>
      <c r="C1549" s="1">
        <v>45816</v>
      </c>
      <c r="D1549" t="s">
        <v>23</v>
      </c>
      <c r="E1549" t="s">
        <v>59</v>
      </c>
      <c r="F1549" t="s">
        <v>25</v>
      </c>
      <c r="G1549" t="s">
        <v>20</v>
      </c>
      <c r="H1549" t="s">
        <v>87</v>
      </c>
      <c r="I1549">
        <v>5</v>
      </c>
      <c r="J1549">
        <v>0.25</v>
      </c>
      <c r="K1549">
        <v>32.03</v>
      </c>
      <c r="L1549">
        <v>4.05</v>
      </c>
    </row>
    <row r="1550" spans="1:12" x14ac:dyDescent="0.25">
      <c r="A1550" t="s">
        <v>1597</v>
      </c>
      <c r="B1550" s="1">
        <v>45908</v>
      </c>
      <c r="C1550" s="1">
        <v>45913</v>
      </c>
      <c r="D1550" t="s">
        <v>13</v>
      </c>
      <c r="E1550" t="s">
        <v>19</v>
      </c>
      <c r="F1550" t="s">
        <v>25</v>
      </c>
      <c r="G1550" t="s">
        <v>16</v>
      </c>
      <c r="H1550" t="s">
        <v>30</v>
      </c>
      <c r="I1550">
        <v>10</v>
      </c>
      <c r="J1550">
        <v>0</v>
      </c>
      <c r="K1550">
        <v>67.31</v>
      </c>
      <c r="L1550">
        <v>5.4</v>
      </c>
    </row>
    <row r="1551" spans="1:12" x14ac:dyDescent="0.25">
      <c r="A1551" t="s">
        <v>1598</v>
      </c>
      <c r="B1551" s="1">
        <v>45397</v>
      </c>
      <c r="C1551" s="1">
        <v>45398</v>
      </c>
      <c r="D1551" t="s">
        <v>47</v>
      </c>
      <c r="E1551" t="s">
        <v>50</v>
      </c>
      <c r="F1551" t="s">
        <v>29</v>
      </c>
      <c r="G1551" t="s">
        <v>20</v>
      </c>
      <c r="H1551" t="s">
        <v>39</v>
      </c>
      <c r="I1551">
        <v>1</v>
      </c>
      <c r="J1551">
        <v>0.05</v>
      </c>
      <c r="K1551">
        <v>183.4</v>
      </c>
      <c r="L1551">
        <v>3.45</v>
      </c>
    </row>
    <row r="1552" spans="1:12" x14ac:dyDescent="0.25">
      <c r="A1552" t="s">
        <v>1599</v>
      </c>
      <c r="B1552" s="1">
        <v>45787</v>
      </c>
      <c r="C1552" s="1">
        <v>45789</v>
      </c>
      <c r="D1552" t="s">
        <v>13</v>
      </c>
      <c r="E1552" t="s">
        <v>19</v>
      </c>
      <c r="F1552" t="s">
        <v>29</v>
      </c>
      <c r="G1552" t="s">
        <v>26</v>
      </c>
      <c r="H1552" t="s">
        <v>65</v>
      </c>
      <c r="I1552">
        <v>2</v>
      </c>
      <c r="J1552">
        <v>0.15</v>
      </c>
      <c r="K1552">
        <v>508.14</v>
      </c>
      <c r="L1552">
        <v>5.46</v>
      </c>
    </row>
    <row r="1553" spans="1:12" x14ac:dyDescent="0.25">
      <c r="A1553" t="s">
        <v>1600</v>
      </c>
      <c r="B1553" s="1">
        <v>45663</v>
      </c>
      <c r="C1553" s="1">
        <v>45664</v>
      </c>
      <c r="D1553" t="s">
        <v>23</v>
      </c>
      <c r="E1553" t="s">
        <v>59</v>
      </c>
      <c r="F1553" t="s">
        <v>25</v>
      </c>
      <c r="G1553" t="s">
        <v>16</v>
      </c>
      <c r="H1553" t="s">
        <v>34</v>
      </c>
      <c r="I1553">
        <v>3</v>
      </c>
      <c r="J1553">
        <v>0.25</v>
      </c>
      <c r="K1553">
        <v>390.17</v>
      </c>
      <c r="L1553">
        <v>6.84</v>
      </c>
    </row>
    <row r="1554" spans="1:12" x14ac:dyDescent="0.25">
      <c r="A1554" t="s">
        <v>1601</v>
      </c>
      <c r="B1554" s="1">
        <v>45609</v>
      </c>
      <c r="C1554" s="1">
        <v>45614</v>
      </c>
      <c r="D1554" t="s">
        <v>47</v>
      </c>
      <c r="E1554" t="s">
        <v>48</v>
      </c>
      <c r="F1554" t="s">
        <v>29</v>
      </c>
      <c r="G1554" t="s">
        <v>20</v>
      </c>
      <c r="H1554" t="s">
        <v>39</v>
      </c>
      <c r="I1554">
        <v>1</v>
      </c>
      <c r="J1554">
        <v>0</v>
      </c>
      <c r="K1554">
        <v>260.24</v>
      </c>
      <c r="L1554">
        <v>3.45</v>
      </c>
    </row>
    <row r="1555" spans="1:12" x14ac:dyDescent="0.25">
      <c r="A1555" t="s">
        <v>1602</v>
      </c>
      <c r="B1555" s="1">
        <v>45719</v>
      </c>
      <c r="C1555" s="1">
        <v>45724</v>
      </c>
      <c r="D1555" t="s">
        <v>23</v>
      </c>
      <c r="E1555" t="s">
        <v>43</v>
      </c>
      <c r="F1555" t="s">
        <v>15</v>
      </c>
      <c r="G1555" t="s">
        <v>26</v>
      </c>
      <c r="H1555" t="s">
        <v>30</v>
      </c>
      <c r="I1555">
        <v>7</v>
      </c>
      <c r="J1555">
        <v>0</v>
      </c>
      <c r="K1555">
        <v>40.270000000000003</v>
      </c>
      <c r="L1555">
        <v>4.59</v>
      </c>
    </row>
    <row r="1556" spans="1:12" x14ac:dyDescent="0.25">
      <c r="A1556" t="s">
        <v>1603</v>
      </c>
      <c r="B1556" s="1">
        <v>45327</v>
      </c>
      <c r="C1556" s="1">
        <v>45331</v>
      </c>
      <c r="D1556" t="s">
        <v>13</v>
      </c>
      <c r="E1556" t="s">
        <v>14</v>
      </c>
      <c r="F1556" t="s">
        <v>25</v>
      </c>
      <c r="G1556" t="s">
        <v>16</v>
      </c>
      <c r="H1556" t="s">
        <v>51</v>
      </c>
      <c r="I1556">
        <v>9</v>
      </c>
      <c r="J1556">
        <v>0</v>
      </c>
      <c r="K1556">
        <v>124.38</v>
      </c>
      <c r="L1556">
        <v>8.5500000000000007</v>
      </c>
    </row>
    <row r="1557" spans="1:12" x14ac:dyDescent="0.25">
      <c r="A1557" t="s">
        <v>1604</v>
      </c>
      <c r="B1557" s="1">
        <v>45459</v>
      </c>
      <c r="C1557" s="1">
        <v>45463</v>
      </c>
      <c r="D1557" t="s">
        <v>32</v>
      </c>
      <c r="E1557" t="s">
        <v>33</v>
      </c>
      <c r="F1557" t="s">
        <v>25</v>
      </c>
      <c r="G1557" t="s">
        <v>16</v>
      </c>
      <c r="H1557" t="s">
        <v>63</v>
      </c>
      <c r="I1557">
        <v>3</v>
      </c>
      <c r="J1557">
        <v>0</v>
      </c>
      <c r="K1557">
        <v>37.58</v>
      </c>
      <c r="L1557">
        <v>5.85</v>
      </c>
    </row>
    <row r="1558" spans="1:12" x14ac:dyDescent="0.25">
      <c r="A1558" t="s">
        <v>1605</v>
      </c>
      <c r="B1558" s="1">
        <v>45508</v>
      </c>
      <c r="C1558" s="1">
        <v>45511</v>
      </c>
      <c r="D1558" t="s">
        <v>32</v>
      </c>
      <c r="E1558" t="s">
        <v>33</v>
      </c>
      <c r="F1558" t="s">
        <v>25</v>
      </c>
      <c r="G1558" t="s">
        <v>16</v>
      </c>
      <c r="H1558" t="s">
        <v>39</v>
      </c>
      <c r="I1558">
        <v>3</v>
      </c>
      <c r="J1558">
        <v>0</v>
      </c>
      <c r="K1558">
        <v>519.5</v>
      </c>
      <c r="L1558">
        <v>4.95</v>
      </c>
    </row>
    <row r="1559" spans="1:12" x14ac:dyDescent="0.25">
      <c r="A1559" t="s">
        <v>1606</v>
      </c>
      <c r="B1559" s="1">
        <v>45892</v>
      </c>
      <c r="C1559" s="1">
        <v>45897</v>
      </c>
      <c r="D1559" t="s">
        <v>47</v>
      </c>
      <c r="E1559" t="s">
        <v>50</v>
      </c>
      <c r="F1559" t="s">
        <v>29</v>
      </c>
      <c r="G1559" t="s">
        <v>26</v>
      </c>
      <c r="H1559" t="s">
        <v>37</v>
      </c>
      <c r="I1559">
        <v>4</v>
      </c>
      <c r="J1559">
        <v>0</v>
      </c>
      <c r="K1559">
        <v>427.12</v>
      </c>
      <c r="L1559">
        <v>13.7</v>
      </c>
    </row>
    <row r="1560" spans="1:12" x14ac:dyDescent="0.25">
      <c r="A1560" t="s">
        <v>1607</v>
      </c>
      <c r="B1560" s="1">
        <v>45435</v>
      </c>
      <c r="C1560" s="1">
        <v>45438</v>
      </c>
      <c r="D1560" t="s">
        <v>13</v>
      </c>
      <c r="E1560" t="s">
        <v>19</v>
      </c>
      <c r="F1560" t="s">
        <v>29</v>
      </c>
      <c r="G1560" t="s">
        <v>26</v>
      </c>
      <c r="H1560" t="s">
        <v>30</v>
      </c>
      <c r="I1560">
        <v>10</v>
      </c>
      <c r="J1560">
        <v>0.05</v>
      </c>
      <c r="K1560">
        <v>60.09</v>
      </c>
      <c r="L1560">
        <v>5.4</v>
      </c>
    </row>
    <row r="1561" spans="1:12" x14ac:dyDescent="0.25">
      <c r="A1561" t="s">
        <v>1608</v>
      </c>
      <c r="B1561" s="1">
        <v>45419</v>
      </c>
      <c r="C1561" s="1">
        <v>45424</v>
      </c>
      <c r="D1561" t="s">
        <v>23</v>
      </c>
      <c r="E1561" t="s">
        <v>59</v>
      </c>
      <c r="F1561" t="s">
        <v>29</v>
      </c>
      <c r="G1561" t="s">
        <v>26</v>
      </c>
      <c r="H1561" t="s">
        <v>34</v>
      </c>
      <c r="I1561">
        <v>1</v>
      </c>
      <c r="J1561">
        <v>0</v>
      </c>
      <c r="K1561">
        <v>207.88</v>
      </c>
      <c r="L1561">
        <v>4.08</v>
      </c>
    </row>
    <row r="1562" spans="1:12" x14ac:dyDescent="0.25">
      <c r="A1562" t="s">
        <v>1609</v>
      </c>
      <c r="B1562" s="1">
        <v>45698</v>
      </c>
      <c r="C1562" s="1">
        <v>45700</v>
      </c>
      <c r="D1562" t="s">
        <v>13</v>
      </c>
      <c r="E1562" t="s">
        <v>19</v>
      </c>
      <c r="F1562" t="s">
        <v>25</v>
      </c>
      <c r="G1562" t="s">
        <v>16</v>
      </c>
      <c r="H1562" t="s">
        <v>39</v>
      </c>
      <c r="I1562">
        <v>3</v>
      </c>
      <c r="J1562">
        <v>0</v>
      </c>
      <c r="K1562">
        <v>539.4</v>
      </c>
      <c r="L1562">
        <v>8.25</v>
      </c>
    </row>
    <row r="1563" spans="1:12" x14ac:dyDescent="0.25">
      <c r="A1563" t="s">
        <v>1610</v>
      </c>
      <c r="B1563" s="1">
        <v>45630</v>
      </c>
      <c r="C1563" s="1">
        <v>45634</v>
      </c>
      <c r="D1563" t="s">
        <v>13</v>
      </c>
      <c r="E1563" t="s">
        <v>19</v>
      </c>
      <c r="F1563" t="s">
        <v>15</v>
      </c>
      <c r="G1563" t="s">
        <v>16</v>
      </c>
      <c r="H1563" t="s">
        <v>65</v>
      </c>
      <c r="I1563">
        <v>4</v>
      </c>
      <c r="J1563">
        <v>0.1</v>
      </c>
      <c r="K1563">
        <v>1434.41</v>
      </c>
      <c r="L1563">
        <v>8.2200000000000006</v>
      </c>
    </row>
    <row r="1564" spans="1:12" x14ac:dyDescent="0.25">
      <c r="A1564" t="s">
        <v>1611</v>
      </c>
      <c r="B1564" s="1">
        <v>45529</v>
      </c>
      <c r="C1564" s="1">
        <v>45530</v>
      </c>
      <c r="D1564" t="s">
        <v>23</v>
      </c>
      <c r="E1564" t="s">
        <v>43</v>
      </c>
      <c r="F1564" t="s">
        <v>15</v>
      </c>
      <c r="G1564" t="s">
        <v>16</v>
      </c>
      <c r="H1564" t="s">
        <v>53</v>
      </c>
      <c r="I1564">
        <v>3</v>
      </c>
      <c r="J1564">
        <v>0</v>
      </c>
      <c r="K1564">
        <v>161.09</v>
      </c>
      <c r="L1564">
        <v>4.95</v>
      </c>
    </row>
    <row r="1565" spans="1:12" x14ac:dyDescent="0.25">
      <c r="A1565" t="s">
        <v>1612</v>
      </c>
      <c r="B1565" s="1">
        <v>45627</v>
      </c>
      <c r="C1565" s="1">
        <v>45629</v>
      </c>
      <c r="D1565" t="s">
        <v>13</v>
      </c>
      <c r="E1565" t="s">
        <v>36</v>
      </c>
      <c r="F1565" t="s">
        <v>15</v>
      </c>
      <c r="G1565" t="s">
        <v>16</v>
      </c>
      <c r="H1565" t="s">
        <v>21</v>
      </c>
      <c r="I1565">
        <v>1</v>
      </c>
      <c r="J1565">
        <v>0.05</v>
      </c>
      <c r="K1565">
        <v>159.22</v>
      </c>
      <c r="L1565">
        <v>4.08</v>
      </c>
    </row>
    <row r="1566" spans="1:12" x14ac:dyDescent="0.25">
      <c r="A1566" t="s">
        <v>1613</v>
      </c>
      <c r="B1566" s="1">
        <v>45722</v>
      </c>
      <c r="C1566" s="1">
        <v>45727</v>
      </c>
      <c r="D1566" t="s">
        <v>13</v>
      </c>
      <c r="E1566" t="s">
        <v>36</v>
      </c>
      <c r="F1566" t="s">
        <v>25</v>
      </c>
      <c r="G1566" t="s">
        <v>16</v>
      </c>
      <c r="H1566" t="s">
        <v>21</v>
      </c>
      <c r="I1566">
        <v>1</v>
      </c>
      <c r="J1566">
        <v>0</v>
      </c>
      <c r="K1566">
        <v>99.98</v>
      </c>
      <c r="L1566">
        <v>6.8</v>
      </c>
    </row>
    <row r="1567" spans="1:12" x14ac:dyDescent="0.25">
      <c r="A1567" t="s">
        <v>1614</v>
      </c>
      <c r="B1567" s="1">
        <v>45938</v>
      </c>
      <c r="C1567" s="1">
        <v>45944</v>
      </c>
      <c r="D1567" t="s">
        <v>13</v>
      </c>
      <c r="E1567" t="s">
        <v>19</v>
      </c>
      <c r="F1567" t="s">
        <v>25</v>
      </c>
      <c r="G1567" t="s">
        <v>26</v>
      </c>
      <c r="H1567" t="s">
        <v>60</v>
      </c>
      <c r="I1567">
        <v>1</v>
      </c>
      <c r="J1567">
        <v>0.25</v>
      </c>
      <c r="K1567">
        <v>95.07</v>
      </c>
      <c r="L1567">
        <v>3.45</v>
      </c>
    </row>
    <row r="1568" spans="1:12" x14ac:dyDescent="0.25">
      <c r="A1568" t="s">
        <v>1615</v>
      </c>
      <c r="B1568" s="1">
        <v>45633</v>
      </c>
      <c r="C1568" s="1">
        <v>45639</v>
      </c>
      <c r="D1568" t="s">
        <v>32</v>
      </c>
      <c r="E1568" t="s">
        <v>45</v>
      </c>
      <c r="F1568" t="s">
        <v>25</v>
      </c>
      <c r="G1568" t="s">
        <v>26</v>
      </c>
      <c r="H1568" t="s">
        <v>34</v>
      </c>
      <c r="I1568">
        <v>1</v>
      </c>
      <c r="J1568">
        <v>0</v>
      </c>
      <c r="K1568">
        <v>305.29000000000002</v>
      </c>
      <c r="L1568">
        <v>4.08</v>
      </c>
    </row>
    <row r="1569" spans="1:12" x14ac:dyDescent="0.25">
      <c r="A1569" t="s">
        <v>1616</v>
      </c>
      <c r="B1569" s="1">
        <v>45456</v>
      </c>
      <c r="C1569" s="1">
        <v>45462</v>
      </c>
      <c r="D1569" t="s">
        <v>23</v>
      </c>
      <c r="E1569" t="s">
        <v>59</v>
      </c>
      <c r="F1569" t="s">
        <v>29</v>
      </c>
      <c r="G1569" t="s">
        <v>26</v>
      </c>
      <c r="H1569" t="s">
        <v>30</v>
      </c>
      <c r="I1569">
        <v>4</v>
      </c>
      <c r="J1569">
        <v>0</v>
      </c>
      <c r="K1569">
        <v>23.67</v>
      </c>
      <c r="L1569">
        <v>6.3</v>
      </c>
    </row>
    <row r="1570" spans="1:12" x14ac:dyDescent="0.25">
      <c r="A1570" t="s">
        <v>1617</v>
      </c>
      <c r="B1570" s="1">
        <v>45753</v>
      </c>
      <c r="C1570" s="1">
        <v>45755</v>
      </c>
      <c r="D1570" t="s">
        <v>47</v>
      </c>
      <c r="E1570" t="s">
        <v>71</v>
      </c>
      <c r="F1570" t="s">
        <v>15</v>
      </c>
      <c r="G1570" t="s">
        <v>20</v>
      </c>
      <c r="H1570" t="s">
        <v>68</v>
      </c>
      <c r="I1570">
        <v>3</v>
      </c>
      <c r="J1570">
        <v>0</v>
      </c>
      <c r="K1570">
        <v>143.57</v>
      </c>
      <c r="L1570">
        <v>8.25</v>
      </c>
    </row>
    <row r="1571" spans="1:12" x14ac:dyDescent="0.25">
      <c r="A1571" t="s">
        <v>1618</v>
      </c>
      <c r="B1571" s="1">
        <v>45707</v>
      </c>
      <c r="C1571" s="1">
        <v>45711</v>
      </c>
      <c r="D1571" t="s">
        <v>47</v>
      </c>
      <c r="E1571" t="s">
        <v>71</v>
      </c>
      <c r="F1571" t="s">
        <v>25</v>
      </c>
      <c r="G1571" t="s">
        <v>20</v>
      </c>
      <c r="H1571" t="s">
        <v>53</v>
      </c>
      <c r="I1571">
        <v>2</v>
      </c>
      <c r="J1571">
        <v>0</v>
      </c>
      <c r="K1571">
        <v>97.53</v>
      </c>
      <c r="L1571">
        <v>4.2</v>
      </c>
    </row>
    <row r="1572" spans="1:12" x14ac:dyDescent="0.25">
      <c r="A1572" t="s">
        <v>1619</v>
      </c>
      <c r="B1572" s="1">
        <v>45302</v>
      </c>
      <c r="C1572" s="1">
        <v>45304</v>
      </c>
      <c r="D1572" t="s">
        <v>13</v>
      </c>
      <c r="E1572" t="s">
        <v>19</v>
      </c>
      <c r="F1572" t="s">
        <v>29</v>
      </c>
      <c r="G1572" t="s">
        <v>16</v>
      </c>
      <c r="H1572" t="s">
        <v>65</v>
      </c>
      <c r="I1572">
        <v>1</v>
      </c>
      <c r="J1572">
        <v>0</v>
      </c>
      <c r="K1572">
        <v>261.94</v>
      </c>
      <c r="L1572">
        <v>4.08</v>
      </c>
    </row>
    <row r="1573" spans="1:12" x14ac:dyDescent="0.25">
      <c r="A1573" t="s">
        <v>1620</v>
      </c>
      <c r="B1573" s="1">
        <v>45780</v>
      </c>
      <c r="C1573" s="1">
        <v>45786</v>
      </c>
      <c r="D1573" t="s">
        <v>13</v>
      </c>
      <c r="E1573" t="s">
        <v>19</v>
      </c>
      <c r="F1573" t="s">
        <v>15</v>
      </c>
      <c r="G1573" t="s">
        <v>16</v>
      </c>
      <c r="H1573" t="s">
        <v>17</v>
      </c>
      <c r="I1573">
        <v>4</v>
      </c>
      <c r="J1573">
        <v>0.05</v>
      </c>
      <c r="K1573">
        <v>497.73</v>
      </c>
      <c r="L1573">
        <v>9.5</v>
      </c>
    </row>
    <row r="1574" spans="1:12" x14ac:dyDescent="0.25">
      <c r="A1574" t="s">
        <v>1621</v>
      </c>
      <c r="B1574" s="1">
        <v>45928</v>
      </c>
      <c r="C1574" s="1">
        <v>45929</v>
      </c>
      <c r="D1574" t="s">
        <v>47</v>
      </c>
      <c r="E1574" t="s">
        <v>48</v>
      </c>
      <c r="F1574" t="s">
        <v>25</v>
      </c>
      <c r="G1574" t="s">
        <v>26</v>
      </c>
      <c r="H1574" t="s">
        <v>21</v>
      </c>
      <c r="I1574">
        <v>1</v>
      </c>
      <c r="J1574">
        <v>0</v>
      </c>
      <c r="K1574">
        <v>117.4</v>
      </c>
      <c r="L1574">
        <v>4.08</v>
      </c>
    </row>
    <row r="1575" spans="1:12" x14ac:dyDescent="0.25">
      <c r="A1575" t="s">
        <v>1622</v>
      </c>
      <c r="B1575" s="1">
        <v>45965</v>
      </c>
      <c r="C1575" s="1">
        <v>45966</v>
      </c>
      <c r="D1575" t="s">
        <v>47</v>
      </c>
      <c r="E1575" t="s">
        <v>48</v>
      </c>
      <c r="F1575" t="s">
        <v>25</v>
      </c>
      <c r="G1575" t="s">
        <v>26</v>
      </c>
      <c r="H1575" t="s">
        <v>34</v>
      </c>
      <c r="I1575">
        <v>1</v>
      </c>
      <c r="J1575">
        <v>0</v>
      </c>
      <c r="K1575">
        <v>264.82</v>
      </c>
      <c r="L1575">
        <v>4.08</v>
      </c>
    </row>
    <row r="1576" spans="1:12" x14ac:dyDescent="0.25">
      <c r="A1576" t="s">
        <v>1623</v>
      </c>
      <c r="B1576" s="1">
        <v>45682</v>
      </c>
      <c r="C1576" s="1">
        <v>45686</v>
      </c>
      <c r="D1576" t="s">
        <v>47</v>
      </c>
      <c r="E1576" t="s">
        <v>71</v>
      </c>
      <c r="F1576" t="s">
        <v>25</v>
      </c>
      <c r="G1576" t="s">
        <v>16</v>
      </c>
      <c r="H1576" t="s">
        <v>68</v>
      </c>
      <c r="I1576">
        <v>4</v>
      </c>
      <c r="J1576">
        <v>0.15</v>
      </c>
      <c r="K1576">
        <v>161</v>
      </c>
      <c r="L1576">
        <v>5.7</v>
      </c>
    </row>
    <row r="1577" spans="1:12" x14ac:dyDescent="0.25">
      <c r="A1577" t="s">
        <v>1624</v>
      </c>
      <c r="B1577" s="1">
        <v>45596</v>
      </c>
      <c r="C1577" s="1">
        <v>45601</v>
      </c>
      <c r="D1577" t="s">
        <v>13</v>
      </c>
      <c r="E1577" t="s">
        <v>19</v>
      </c>
      <c r="F1577" t="s">
        <v>25</v>
      </c>
      <c r="G1577" t="s">
        <v>26</v>
      </c>
      <c r="H1577" t="s">
        <v>63</v>
      </c>
      <c r="I1577">
        <v>14</v>
      </c>
      <c r="J1577">
        <v>0</v>
      </c>
      <c r="K1577">
        <v>197.79</v>
      </c>
      <c r="L1577">
        <v>10.8</v>
      </c>
    </row>
    <row r="1578" spans="1:12" x14ac:dyDescent="0.25">
      <c r="A1578" t="s">
        <v>1625</v>
      </c>
      <c r="B1578" s="1">
        <v>45749</v>
      </c>
      <c r="C1578" s="1">
        <v>45752</v>
      </c>
      <c r="D1578" t="s">
        <v>23</v>
      </c>
      <c r="E1578" t="s">
        <v>59</v>
      </c>
      <c r="F1578" t="s">
        <v>15</v>
      </c>
      <c r="G1578" t="s">
        <v>20</v>
      </c>
      <c r="H1578" t="s">
        <v>65</v>
      </c>
      <c r="I1578">
        <v>1</v>
      </c>
      <c r="J1578">
        <v>0.1</v>
      </c>
      <c r="K1578">
        <v>257.87</v>
      </c>
      <c r="L1578">
        <v>4.08</v>
      </c>
    </row>
    <row r="1579" spans="1:12" x14ac:dyDescent="0.25">
      <c r="A1579" t="s">
        <v>1626</v>
      </c>
      <c r="B1579" s="1">
        <v>45819</v>
      </c>
      <c r="C1579" s="1">
        <v>45821</v>
      </c>
      <c r="D1579" t="s">
        <v>23</v>
      </c>
      <c r="E1579" t="s">
        <v>59</v>
      </c>
      <c r="F1579" t="s">
        <v>29</v>
      </c>
      <c r="G1579" t="s">
        <v>16</v>
      </c>
      <c r="H1579" t="s">
        <v>27</v>
      </c>
      <c r="I1579">
        <v>8</v>
      </c>
      <c r="J1579">
        <v>0.1</v>
      </c>
      <c r="K1579">
        <v>209.83</v>
      </c>
      <c r="L1579">
        <v>8.1</v>
      </c>
    </row>
    <row r="1580" spans="1:12" x14ac:dyDescent="0.25">
      <c r="A1580" t="s">
        <v>1627</v>
      </c>
      <c r="B1580" s="1">
        <v>45515</v>
      </c>
      <c r="C1580" s="1">
        <v>45519</v>
      </c>
      <c r="D1580" t="s">
        <v>23</v>
      </c>
      <c r="E1580" t="s">
        <v>43</v>
      </c>
      <c r="F1580" t="s">
        <v>15</v>
      </c>
      <c r="G1580" t="s">
        <v>26</v>
      </c>
      <c r="H1580" t="s">
        <v>27</v>
      </c>
      <c r="I1580">
        <v>12</v>
      </c>
      <c r="J1580">
        <v>0</v>
      </c>
      <c r="K1580">
        <v>303.56</v>
      </c>
      <c r="L1580">
        <v>5.94</v>
      </c>
    </row>
    <row r="1581" spans="1:12" x14ac:dyDescent="0.25">
      <c r="A1581" t="s">
        <v>1628</v>
      </c>
      <c r="B1581" s="1">
        <v>45606</v>
      </c>
      <c r="C1581" s="1">
        <v>45612</v>
      </c>
      <c r="D1581" t="s">
        <v>47</v>
      </c>
      <c r="E1581" t="s">
        <v>50</v>
      </c>
      <c r="F1581" t="s">
        <v>29</v>
      </c>
      <c r="G1581" t="s">
        <v>26</v>
      </c>
      <c r="H1581" t="s">
        <v>65</v>
      </c>
      <c r="I1581">
        <v>3</v>
      </c>
      <c r="J1581">
        <v>0.2</v>
      </c>
      <c r="K1581">
        <v>902.22</v>
      </c>
      <c r="L1581">
        <v>11.4</v>
      </c>
    </row>
    <row r="1582" spans="1:12" x14ac:dyDescent="0.25">
      <c r="A1582" t="s">
        <v>1629</v>
      </c>
      <c r="B1582" s="1">
        <v>45778</v>
      </c>
      <c r="C1582" s="1">
        <v>45781</v>
      </c>
      <c r="D1582" t="s">
        <v>47</v>
      </c>
      <c r="E1582" t="s">
        <v>71</v>
      </c>
      <c r="F1582" t="s">
        <v>15</v>
      </c>
      <c r="G1582" t="s">
        <v>16</v>
      </c>
      <c r="H1582" t="s">
        <v>27</v>
      </c>
      <c r="I1582">
        <v>3</v>
      </c>
      <c r="J1582">
        <v>0</v>
      </c>
      <c r="K1582">
        <v>85.62</v>
      </c>
      <c r="L1582">
        <v>5.85</v>
      </c>
    </row>
    <row r="1583" spans="1:12" x14ac:dyDescent="0.25">
      <c r="A1583" t="s">
        <v>1630</v>
      </c>
      <c r="B1583" s="1">
        <v>45865</v>
      </c>
      <c r="C1583" s="1">
        <v>45871</v>
      </c>
      <c r="D1583" t="s">
        <v>32</v>
      </c>
      <c r="E1583" t="s">
        <v>45</v>
      </c>
      <c r="F1583" t="s">
        <v>25</v>
      </c>
      <c r="G1583" t="s">
        <v>26</v>
      </c>
      <c r="H1583" t="s">
        <v>63</v>
      </c>
      <c r="I1583">
        <v>11</v>
      </c>
      <c r="J1583">
        <v>0</v>
      </c>
      <c r="K1583">
        <v>116.03</v>
      </c>
      <c r="L1583">
        <v>9.4499999999999993</v>
      </c>
    </row>
    <row r="1584" spans="1:12" x14ac:dyDescent="0.25">
      <c r="A1584" t="s">
        <v>1631</v>
      </c>
      <c r="B1584" s="1">
        <v>45602</v>
      </c>
      <c r="C1584" s="1">
        <v>45608</v>
      </c>
      <c r="D1584" t="s">
        <v>32</v>
      </c>
      <c r="E1584" t="s">
        <v>33</v>
      </c>
      <c r="F1584" t="s">
        <v>29</v>
      </c>
      <c r="G1584" t="s">
        <v>26</v>
      </c>
      <c r="H1584" t="s">
        <v>51</v>
      </c>
      <c r="I1584">
        <v>8</v>
      </c>
      <c r="J1584">
        <v>0</v>
      </c>
      <c r="K1584">
        <v>159.55000000000001</v>
      </c>
      <c r="L1584">
        <v>8.1</v>
      </c>
    </row>
    <row r="1585" spans="1:12" x14ac:dyDescent="0.25">
      <c r="A1585" t="s">
        <v>1632</v>
      </c>
      <c r="B1585" s="1">
        <v>45615</v>
      </c>
      <c r="C1585" s="1">
        <v>45616</v>
      </c>
      <c r="D1585" t="s">
        <v>13</v>
      </c>
      <c r="E1585" t="s">
        <v>14</v>
      </c>
      <c r="F1585" t="s">
        <v>25</v>
      </c>
      <c r="G1585" t="s">
        <v>26</v>
      </c>
      <c r="H1585" t="s">
        <v>60</v>
      </c>
      <c r="I1585">
        <v>7</v>
      </c>
      <c r="J1585">
        <v>0.1</v>
      </c>
      <c r="K1585">
        <v>1014.26</v>
      </c>
      <c r="L1585">
        <v>7.95</v>
      </c>
    </row>
    <row r="1586" spans="1:12" x14ac:dyDescent="0.25">
      <c r="A1586" t="s">
        <v>1633</v>
      </c>
      <c r="B1586" s="1">
        <v>45691</v>
      </c>
      <c r="C1586" s="1">
        <v>45695</v>
      </c>
      <c r="D1586" t="s">
        <v>47</v>
      </c>
      <c r="E1586" t="s">
        <v>71</v>
      </c>
      <c r="F1586" t="s">
        <v>15</v>
      </c>
      <c r="G1586" t="s">
        <v>26</v>
      </c>
      <c r="H1586" t="s">
        <v>17</v>
      </c>
      <c r="I1586">
        <v>4</v>
      </c>
      <c r="J1586">
        <v>0.05</v>
      </c>
      <c r="K1586">
        <v>425.53</v>
      </c>
      <c r="L1586">
        <v>9.5</v>
      </c>
    </row>
    <row r="1587" spans="1:12" x14ac:dyDescent="0.25">
      <c r="A1587" t="s">
        <v>1634</v>
      </c>
      <c r="B1587" s="1">
        <v>45542</v>
      </c>
      <c r="C1587" s="1">
        <v>45543</v>
      </c>
      <c r="D1587" t="s">
        <v>47</v>
      </c>
      <c r="E1587" t="s">
        <v>50</v>
      </c>
      <c r="F1587" t="s">
        <v>29</v>
      </c>
      <c r="G1587" t="s">
        <v>26</v>
      </c>
      <c r="H1587" t="s">
        <v>63</v>
      </c>
      <c r="I1587">
        <v>10</v>
      </c>
      <c r="J1587">
        <v>0</v>
      </c>
      <c r="K1587">
        <v>133.69999999999999</v>
      </c>
      <c r="L1587">
        <v>5.4</v>
      </c>
    </row>
    <row r="1588" spans="1:12" x14ac:dyDescent="0.25">
      <c r="A1588" t="s">
        <v>1635</v>
      </c>
      <c r="B1588" s="1">
        <v>45838</v>
      </c>
      <c r="C1588" s="1">
        <v>45843</v>
      </c>
      <c r="D1588" t="s">
        <v>47</v>
      </c>
      <c r="E1588" t="s">
        <v>71</v>
      </c>
      <c r="F1588" t="s">
        <v>29</v>
      </c>
      <c r="G1588" t="s">
        <v>16</v>
      </c>
      <c r="H1588" t="s">
        <v>17</v>
      </c>
      <c r="I1588">
        <v>3</v>
      </c>
      <c r="J1588">
        <v>0</v>
      </c>
      <c r="K1588">
        <v>374.53</v>
      </c>
      <c r="L1588">
        <v>4.95</v>
      </c>
    </row>
    <row r="1589" spans="1:12" x14ac:dyDescent="0.25">
      <c r="A1589" t="s">
        <v>1636</v>
      </c>
      <c r="B1589" s="1">
        <v>45985</v>
      </c>
      <c r="C1589" s="1">
        <v>45988</v>
      </c>
      <c r="D1589" t="s">
        <v>23</v>
      </c>
      <c r="E1589" t="s">
        <v>24</v>
      </c>
      <c r="F1589" t="s">
        <v>15</v>
      </c>
      <c r="G1589" t="s">
        <v>20</v>
      </c>
      <c r="H1589" t="s">
        <v>21</v>
      </c>
      <c r="I1589">
        <v>2</v>
      </c>
      <c r="J1589">
        <v>0</v>
      </c>
      <c r="K1589">
        <v>314.92</v>
      </c>
      <c r="L1589">
        <v>9.1</v>
      </c>
    </row>
    <row r="1590" spans="1:12" x14ac:dyDescent="0.25">
      <c r="A1590" t="s">
        <v>1637</v>
      </c>
      <c r="B1590" s="1">
        <v>45593</v>
      </c>
      <c r="C1590" s="1">
        <v>45597</v>
      </c>
      <c r="D1590" t="s">
        <v>47</v>
      </c>
      <c r="E1590" t="s">
        <v>71</v>
      </c>
      <c r="F1590" t="s">
        <v>15</v>
      </c>
      <c r="G1590" t="s">
        <v>26</v>
      </c>
      <c r="H1590" t="s">
        <v>37</v>
      </c>
      <c r="I1590">
        <v>4</v>
      </c>
      <c r="J1590">
        <v>0.1</v>
      </c>
      <c r="K1590">
        <v>470.18</v>
      </c>
      <c r="L1590">
        <v>8.2200000000000006</v>
      </c>
    </row>
    <row r="1591" spans="1:12" x14ac:dyDescent="0.25">
      <c r="A1591" t="s">
        <v>1638</v>
      </c>
      <c r="B1591" s="1">
        <v>45814</v>
      </c>
      <c r="C1591" s="1">
        <v>45820</v>
      </c>
      <c r="D1591" t="s">
        <v>23</v>
      </c>
      <c r="E1591" t="s">
        <v>43</v>
      </c>
      <c r="F1591" t="s">
        <v>15</v>
      </c>
      <c r="G1591" t="s">
        <v>16</v>
      </c>
      <c r="H1591" t="s">
        <v>87</v>
      </c>
      <c r="I1591">
        <v>3</v>
      </c>
      <c r="J1591">
        <v>0.15</v>
      </c>
      <c r="K1591">
        <v>22</v>
      </c>
      <c r="L1591">
        <v>3.51</v>
      </c>
    </row>
    <row r="1592" spans="1:12" x14ac:dyDescent="0.25">
      <c r="A1592" t="s">
        <v>1639</v>
      </c>
      <c r="B1592" s="1">
        <v>45537</v>
      </c>
      <c r="C1592" s="1">
        <v>45538</v>
      </c>
      <c r="D1592" t="s">
        <v>32</v>
      </c>
      <c r="E1592" t="s">
        <v>45</v>
      </c>
      <c r="F1592" t="s">
        <v>25</v>
      </c>
      <c r="G1592" t="s">
        <v>26</v>
      </c>
      <c r="H1592" t="s">
        <v>60</v>
      </c>
      <c r="I1592">
        <v>4</v>
      </c>
      <c r="J1592">
        <v>0</v>
      </c>
      <c r="K1592">
        <v>493.04</v>
      </c>
      <c r="L1592">
        <v>5.7</v>
      </c>
    </row>
    <row r="1593" spans="1:12" x14ac:dyDescent="0.25">
      <c r="A1593" t="s">
        <v>1640</v>
      </c>
      <c r="B1593" s="1">
        <v>45520</v>
      </c>
      <c r="C1593" s="1">
        <v>45523</v>
      </c>
      <c r="D1593" t="s">
        <v>47</v>
      </c>
      <c r="E1593" t="s">
        <v>48</v>
      </c>
      <c r="F1593" t="s">
        <v>29</v>
      </c>
      <c r="G1593" t="s">
        <v>16</v>
      </c>
      <c r="H1593" t="s">
        <v>21</v>
      </c>
      <c r="I1593">
        <v>3</v>
      </c>
      <c r="J1593">
        <v>0.15</v>
      </c>
      <c r="K1593">
        <v>272.67</v>
      </c>
      <c r="L1593">
        <v>6.84</v>
      </c>
    </row>
    <row r="1594" spans="1:12" x14ac:dyDescent="0.25">
      <c r="A1594" t="s">
        <v>1641</v>
      </c>
      <c r="B1594" s="1">
        <v>45975</v>
      </c>
      <c r="C1594" s="1">
        <v>45976</v>
      </c>
      <c r="D1594" t="s">
        <v>13</v>
      </c>
      <c r="E1594" t="s">
        <v>19</v>
      </c>
      <c r="F1594" t="s">
        <v>25</v>
      </c>
      <c r="G1594" t="s">
        <v>20</v>
      </c>
      <c r="H1594" t="s">
        <v>30</v>
      </c>
      <c r="I1594">
        <v>8</v>
      </c>
      <c r="J1594">
        <v>0.2</v>
      </c>
      <c r="K1594">
        <v>53.34</v>
      </c>
      <c r="L1594">
        <v>4.8600000000000003</v>
      </c>
    </row>
    <row r="1595" spans="1:12" x14ac:dyDescent="0.25">
      <c r="A1595" t="s">
        <v>1642</v>
      </c>
      <c r="B1595" s="1">
        <v>45818</v>
      </c>
      <c r="C1595" s="1">
        <v>45822</v>
      </c>
      <c r="D1595" t="s">
        <v>13</v>
      </c>
      <c r="E1595" t="s">
        <v>36</v>
      </c>
      <c r="F1595" t="s">
        <v>15</v>
      </c>
      <c r="G1595" t="s">
        <v>20</v>
      </c>
      <c r="H1595" t="s">
        <v>30</v>
      </c>
      <c r="I1595">
        <v>12</v>
      </c>
      <c r="J1595">
        <v>0</v>
      </c>
      <c r="K1595">
        <v>79.58</v>
      </c>
      <c r="L1595">
        <v>5.94</v>
      </c>
    </row>
    <row r="1596" spans="1:12" x14ac:dyDescent="0.25">
      <c r="A1596" t="s">
        <v>1643</v>
      </c>
      <c r="B1596" s="1">
        <v>45506</v>
      </c>
      <c r="C1596" s="1">
        <v>45508</v>
      </c>
      <c r="D1596" t="s">
        <v>13</v>
      </c>
      <c r="E1596" t="s">
        <v>14</v>
      </c>
      <c r="F1596" t="s">
        <v>29</v>
      </c>
      <c r="G1596" t="s">
        <v>16</v>
      </c>
      <c r="H1596" t="s">
        <v>27</v>
      </c>
      <c r="I1596">
        <v>14</v>
      </c>
      <c r="J1596">
        <v>0</v>
      </c>
      <c r="K1596">
        <v>373.15</v>
      </c>
      <c r="L1596">
        <v>6.48</v>
      </c>
    </row>
    <row r="1597" spans="1:12" x14ac:dyDescent="0.25">
      <c r="A1597" t="s">
        <v>1644</v>
      </c>
      <c r="B1597" s="1">
        <v>45671</v>
      </c>
      <c r="C1597" s="1">
        <v>45674</v>
      </c>
      <c r="D1597" t="s">
        <v>47</v>
      </c>
      <c r="E1597" t="s">
        <v>71</v>
      </c>
      <c r="F1597" t="s">
        <v>15</v>
      </c>
      <c r="G1597" t="s">
        <v>16</v>
      </c>
      <c r="H1597" t="s">
        <v>63</v>
      </c>
      <c r="I1597">
        <v>8</v>
      </c>
      <c r="J1597">
        <v>0.25</v>
      </c>
      <c r="K1597">
        <v>62.79</v>
      </c>
      <c r="L1597">
        <v>8.1</v>
      </c>
    </row>
    <row r="1598" spans="1:12" x14ac:dyDescent="0.25">
      <c r="A1598" t="s">
        <v>1645</v>
      </c>
      <c r="B1598" s="1">
        <v>45741</v>
      </c>
      <c r="C1598" s="1">
        <v>45745</v>
      </c>
      <c r="D1598" t="s">
        <v>13</v>
      </c>
      <c r="E1598" t="s">
        <v>19</v>
      </c>
      <c r="F1598" t="s">
        <v>25</v>
      </c>
      <c r="G1598" t="s">
        <v>16</v>
      </c>
      <c r="H1598" t="s">
        <v>51</v>
      </c>
      <c r="I1598">
        <v>3</v>
      </c>
      <c r="J1598">
        <v>0.2</v>
      </c>
      <c r="K1598">
        <v>32.65</v>
      </c>
      <c r="L1598">
        <v>3.51</v>
      </c>
    </row>
    <row r="1599" spans="1:12" x14ac:dyDescent="0.25">
      <c r="A1599" t="s">
        <v>1646</v>
      </c>
      <c r="B1599" s="1">
        <v>45360</v>
      </c>
      <c r="C1599" s="1">
        <v>45362</v>
      </c>
      <c r="D1599" t="s">
        <v>13</v>
      </c>
      <c r="E1599" t="s">
        <v>36</v>
      </c>
      <c r="F1599" t="s">
        <v>29</v>
      </c>
      <c r="G1599" t="s">
        <v>16</v>
      </c>
      <c r="H1599" t="s">
        <v>34</v>
      </c>
      <c r="I1599">
        <v>1</v>
      </c>
      <c r="J1599">
        <v>0</v>
      </c>
      <c r="K1599">
        <v>193.3</v>
      </c>
      <c r="L1599">
        <v>4.08</v>
      </c>
    </row>
    <row r="1600" spans="1:12" x14ac:dyDescent="0.25">
      <c r="A1600" t="s">
        <v>1647</v>
      </c>
      <c r="B1600" s="1">
        <v>45633</v>
      </c>
      <c r="C1600" s="1">
        <v>45637</v>
      </c>
      <c r="D1600" t="s">
        <v>47</v>
      </c>
      <c r="E1600" t="s">
        <v>50</v>
      </c>
      <c r="F1600" t="s">
        <v>29</v>
      </c>
      <c r="G1600" t="s">
        <v>16</v>
      </c>
      <c r="H1600" t="s">
        <v>30</v>
      </c>
      <c r="I1600">
        <v>22</v>
      </c>
      <c r="J1600">
        <v>0.2</v>
      </c>
      <c r="K1600">
        <v>157.22</v>
      </c>
      <c r="L1600">
        <v>8.64</v>
      </c>
    </row>
    <row r="1601" spans="1:12" x14ac:dyDescent="0.25">
      <c r="A1601" t="s">
        <v>1648</v>
      </c>
      <c r="B1601" s="1">
        <v>45304</v>
      </c>
      <c r="C1601" s="1">
        <v>45310</v>
      </c>
      <c r="D1601" t="s">
        <v>32</v>
      </c>
      <c r="E1601" t="s">
        <v>45</v>
      </c>
      <c r="F1601" t="s">
        <v>15</v>
      </c>
      <c r="G1601" t="s">
        <v>26</v>
      </c>
      <c r="H1601" t="s">
        <v>60</v>
      </c>
      <c r="I1601">
        <v>2</v>
      </c>
      <c r="J1601">
        <v>0.05</v>
      </c>
      <c r="K1601">
        <v>190.04</v>
      </c>
      <c r="L1601">
        <v>4.2</v>
      </c>
    </row>
    <row r="1602" spans="1:12" x14ac:dyDescent="0.25">
      <c r="A1602" t="s">
        <v>1649</v>
      </c>
      <c r="B1602" s="1">
        <v>45307</v>
      </c>
      <c r="C1602" s="1">
        <v>45311</v>
      </c>
      <c r="D1602" t="s">
        <v>32</v>
      </c>
      <c r="E1602" t="s">
        <v>33</v>
      </c>
      <c r="F1602" t="s">
        <v>15</v>
      </c>
      <c r="G1602" t="s">
        <v>26</v>
      </c>
      <c r="H1602" t="s">
        <v>63</v>
      </c>
      <c r="I1602">
        <v>25</v>
      </c>
      <c r="J1602">
        <v>0</v>
      </c>
      <c r="K1602">
        <v>261.48</v>
      </c>
      <c r="L1602">
        <v>15.75</v>
      </c>
    </row>
    <row r="1603" spans="1:12" x14ac:dyDescent="0.25">
      <c r="A1603" t="s">
        <v>1650</v>
      </c>
      <c r="B1603" s="1">
        <v>45895</v>
      </c>
      <c r="C1603" s="1">
        <v>45898</v>
      </c>
      <c r="D1603" t="s">
        <v>13</v>
      </c>
      <c r="E1603" t="s">
        <v>14</v>
      </c>
      <c r="F1603" t="s">
        <v>25</v>
      </c>
      <c r="G1603" t="s">
        <v>26</v>
      </c>
      <c r="H1603" t="s">
        <v>17</v>
      </c>
      <c r="I1603">
        <v>3</v>
      </c>
      <c r="J1603">
        <v>0.2</v>
      </c>
      <c r="K1603">
        <v>288.27</v>
      </c>
      <c r="L1603">
        <v>8.25</v>
      </c>
    </row>
    <row r="1604" spans="1:12" x14ac:dyDescent="0.25">
      <c r="A1604" t="s">
        <v>1651</v>
      </c>
      <c r="B1604" s="1">
        <v>45874</v>
      </c>
      <c r="C1604" s="1">
        <v>45877</v>
      </c>
      <c r="D1604" t="s">
        <v>23</v>
      </c>
      <c r="E1604" t="s">
        <v>24</v>
      </c>
      <c r="F1604" t="s">
        <v>15</v>
      </c>
      <c r="G1604" t="s">
        <v>20</v>
      </c>
      <c r="H1604" t="s">
        <v>87</v>
      </c>
      <c r="I1604">
        <v>9</v>
      </c>
      <c r="J1604">
        <v>0</v>
      </c>
      <c r="K1604">
        <v>69.930000000000007</v>
      </c>
      <c r="L1604">
        <v>5.13</v>
      </c>
    </row>
    <row r="1605" spans="1:12" x14ac:dyDescent="0.25">
      <c r="A1605" t="s">
        <v>1652</v>
      </c>
      <c r="B1605" s="1">
        <v>45585</v>
      </c>
      <c r="C1605" s="1">
        <v>45587</v>
      </c>
      <c r="D1605" t="s">
        <v>13</v>
      </c>
      <c r="E1605" t="s">
        <v>36</v>
      </c>
      <c r="F1605" t="s">
        <v>15</v>
      </c>
      <c r="G1605" t="s">
        <v>26</v>
      </c>
      <c r="H1605" t="s">
        <v>17</v>
      </c>
      <c r="I1605">
        <v>4</v>
      </c>
      <c r="J1605">
        <v>0</v>
      </c>
      <c r="K1605">
        <v>560.96</v>
      </c>
      <c r="L1605">
        <v>9.5</v>
      </c>
    </row>
    <row r="1606" spans="1:12" x14ac:dyDescent="0.25">
      <c r="A1606" t="s">
        <v>1653</v>
      </c>
      <c r="B1606" s="1">
        <v>45744</v>
      </c>
      <c r="C1606" s="1">
        <v>45748</v>
      </c>
      <c r="D1606" t="s">
        <v>47</v>
      </c>
      <c r="E1606" t="s">
        <v>48</v>
      </c>
      <c r="F1606" t="s">
        <v>25</v>
      </c>
      <c r="G1606" t="s">
        <v>16</v>
      </c>
      <c r="H1606" t="s">
        <v>34</v>
      </c>
      <c r="I1606">
        <v>1</v>
      </c>
      <c r="J1606">
        <v>0.1</v>
      </c>
      <c r="K1606">
        <v>171.73</v>
      </c>
      <c r="L1606">
        <v>4.08</v>
      </c>
    </row>
    <row r="1607" spans="1:12" x14ac:dyDescent="0.25">
      <c r="A1607" t="s">
        <v>1654</v>
      </c>
      <c r="B1607" s="1">
        <v>45320</v>
      </c>
      <c r="C1607" s="1">
        <v>45324</v>
      </c>
      <c r="D1607" t="s">
        <v>32</v>
      </c>
      <c r="E1607" t="s">
        <v>62</v>
      </c>
      <c r="F1607" t="s">
        <v>25</v>
      </c>
      <c r="G1607" t="s">
        <v>26</v>
      </c>
      <c r="H1607" t="s">
        <v>60</v>
      </c>
      <c r="I1607">
        <v>1</v>
      </c>
      <c r="J1607">
        <v>0</v>
      </c>
      <c r="K1607">
        <v>98.77</v>
      </c>
      <c r="L1607">
        <v>5.75</v>
      </c>
    </row>
    <row r="1608" spans="1:12" x14ac:dyDescent="0.25">
      <c r="A1608" t="s">
        <v>1655</v>
      </c>
      <c r="B1608" s="1">
        <v>46002</v>
      </c>
      <c r="C1608" s="1">
        <v>46006</v>
      </c>
      <c r="D1608" t="s">
        <v>47</v>
      </c>
      <c r="E1608" t="s">
        <v>48</v>
      </c>
      <c r="F1608" t="s">
        <v>15</v>
      </c>
      <c r="G1608" t="s">
        <v>20</v>
      </c>
      <c r="H1608" t="s">
        <v>41</v>
      </c>
      <c r="I1608">
        <v>25</v>
      </c>
      <c r="J1608">
        <v>0</v>
      </c>
      <c r="K1608">
        <v>213.23</v>
      </c>
      <c r="L1608">
        <v>15.75</v>
      </c>
    </row>
    <row r="1609" spans="1:12" x14ac:dyDescent="0.25">
      <c r="A1609" t="s">
        <v>1656</v>
      </c>
      <c r="B1609" s="1">
        <v>45295</v>
      </c>
      <c r="C1609" s="1">
        <v>45296</v>
      </c>
      <c r="D1609" t="s">
        <v>47</v>
      </c>
      <c r="E1609" t="s">
        <v>50</v>
      </c>
      <c r="F1609" t="s">
        <v>29</v>
      </c>
      <c r="G1609" t="s">
        <v>16</v>
      </c>
      <c r="H1609" t="s">
        <v>34</v>
      </c>
      <c r="I1609">
        <v>2</v>
      </c>
      <c r="J1609">
        <v>0</v>
      </c>
      <c r="K1609">
        <v>346.03</v>
      </c>
      <c r="L1609">
        <v>5.46</v>
      </c>
    </row>
    <row r="1610" spans="1:12" x14ac:dyDescent="0.25">
      <c r="A1610" t="s">
        <v>1657</v>
      </c>
      <c r="B1610" s="1">
        <v>45318</v>
      </c>
      <c r="C1610" s="1">
        <v>45323</v>
      </c>
      <c r="D1610" t="s">
        <v>13</v>
      </c>
      <c r="E1610" t="s">
        <v>36</v>
      </c>
      <c r="F1610" t="s">
        <v>29</v>
      </c>
      <c r="G1610" t="s">
        <v>16</v>
      </c>
      <c r="H1610" t="s">
        <v>39</v>
      </c>
      <c r="I1610">
        <v>4</v>
      </c>
      <c r="J1610">
        <v>0</v>
      </c>
      <c r="K1610">
        <v>649.9</v>
      </c>
      <c r="L1610">
        <v>5.7</v>
      </c>
    </row>
    <row r="1611" spans="1:12" x14ac:dyDescent="0.25">
      <c r="A1611" t="s">
        <v>1658</v>
      </c>
      <c r="B1611" s="1">
        <v>45554</v>
      </c>
      <c r="C1611" s="1">
        <v>45559</v>
      </c>
      <c r="D1611" t="s">
        <v>13</v>
      </c>
      <c r="E1611" t="s">
        <v>14</v>
      </c>
      <c r="F1611" t="s">
        <v>15</v>
      </c>
      <c r="G1611" t="s">
        <v>20</v>
      </c>
      <c r="H1611" t="s">
        <v>68</v>
      </c>
      <c r="I1611">
        <v>2</v>
      </c>
      <c r="J1611">
        <v>0.15</v>
      </c>
      <c r="K1611">
        <v>98.65</v>
      </c>
      <c r="L1611">
        <v>4.2</v>
      </c>
    </row>
    <row r="1612" spans="1:12" x14ac:dyDescent="0.25">
      <c r="A1612" t="s">
        <v>1659</v>
      </c>
      <c r="B1612" s="1">
        <v>45749</v>
      </c>
      <c r="C1612" s="1">
        <v>45753</v>
      </c>
      <c r="D1612" t="s">
        <v>23</v>
      </c>
      <c r="E1612" t="s">
        <v>24</v>
      </c>
      <c r="F1612" t="s">
        <v>15</v>
      </c>
      <c r="G1612" t="s">
        <v>16</v>
      </c>
      <c r="H1612" t="s">
        <v>53</v>
      </c>
      <c r="I1612">
        <v>2</v>
      </c>
      <c r="J1612">
        <v>0</v>
      </c>
      <c r="K1612">
        <v>105.26</v>
      </c>
      <c r="L1612">
        <v>7</v>
      </c>
    </row>
    <row r="1613" spans="1:12" x14ac:dyDescent="0.25">
      <c r="A1613" t="s">
        <v>1660</v>
      </c>
      <c r="B1613" s="1">
        <v>45723</v>
      </c>
      <c r="C1613" s="1">
        <v>45728</v>
      </c>
      <c r="D1613" t="s">
        <v>32</v>
      </c>
      <c r="E1613" t="s">
        <v>33</v>
      </c>
      <c r="F1613" t="s">
        <v>15</v>
      </c>
      <c r="G1613" t="s">
        <v>16</v>
      </c>
      <c r="H1613" t="s">
        <v>27</v>
      </c>
      <c r="I1613">
        <v>10</v>
      </c>
      <c r="J1613">
        <v>0</v>
      </c>
      <c r="K1613">
        <v>268.39999999999998</v>
      </c>
      <c r="L1613">
        <v>5.4</v>
      </c>
    </row>
    <row r="1614" spans="1:12" x14ac:dyDescent="0.25">
      <c r="A1614" t="s">
        <v>1661</v>
      </c>
      <c r="B1614" s="1">
        <v>45599</v>
      </c>
      <c r="C1614" s="1">
        <v>45602</v>
      </c>
      <c r="D1614" t="s">
        <v>23</v>
      </c>
      <c r="E1614" t="s">
        <v>24</v>
      </c>
      <c r="F1614" t="s">
        <v>25</v>
      </c>
      <c r="G1614" t="s">
        <v>16</v>
      </c>
      <c r="H1614" t="s">
        <v>21</v>
      </c>
      <c r="I1614">
        <v>3</v>
      </c>
      <c r="J1614">
        <v>0.25</v>
      </c>
      <c r="K1614">
        <v>327.94</v>
      </c>
      <c r="L1614">
        <v>11.4</v>
      </c>
    </row>
    <row r="1615" spans="1:12" x14ac:dyDescent="0.25">
      <c r="A1615" t="s">
        <v>1662</v>
      </c>
      <c r="B1615" s="1">
        <v>45625</v>
      </c>
      <c r="C1615" s="1">
        <v>45628</v>
      </c>
      <c r="D1615" t="s">
        <v>47</v>
      </c>
      <c r="E1615" t="s">
        <v>50</v>
      </c>
      <c r="F1615" t="s">
        <v>25</v>
      </c>
      <c r="G1615" t="s">
        <v>20</v>
      </c>
      <c r="H1615" t="s">
        <v>60</v>
      </c>
      <c r="I1615">
        <v>1</v>
      </c>
      <c r="J1615">
        <v>0</v>
      </c>
      <c r="K1615">
        <v>157.96</v>
      </c>
      <c r="L1615">
        <v>5.75</v>
      </c>
    </row>
    <row r="1616" spans="1:12" x14ac:dyDescent="0.25">
      <c r="A1616" t="s">
        <v>1663</v>
      </c>
      <c r="B1616" s="1">
        <v>45471</v>
      </c>
      <c r="C1616" s="1">
        <v>45475</v>
      </c>
      <c r="D1616" t="s">
        <v>13</v>
      </c>
      <c r="E1616" t="s">
        <v>14</v>
      </c>
      <c r="F1616" t="s">
        <v>15</v>
      </c>
      <c r="G1616" t="s">
        <v>20</v>
      </c>
      <c r="H1616" t="s">
        <v>17</v>
      </c>
      <c r="I1616">
        <v>3</v>
      </c>
      <c r="J1616">
        <v>0.25</v>
      </c>
      <c r="K1616">
        <v>300.45</v>
      </c>
      <c r="L1616">
        <v>4.95</v>
      </c>
    </row>
    <row r="1617" spans="1:12" x14ac:dyDescent="0.25">
      <c r="A1617" t="s">
        <v>1664</v>
      </c>
      <c r="B1617" s="1">
        <v>45624</v>
      </c>
      <c r="C1617" s="1">
        <v>45629</v>
      </c>
      <c r="D1617" t="s">
        <v>23</v>
      </c>
      <c r="E1617" t="s">
        <v>59</v>
      </c>
      <c r="F1617" t="s">
        <v>25</v>
      </c>
      <c r="G1617" t="s">
        <v>16</v>
      </c>
      <c r="H1617" t="s">
        <v>53</v>
      </c>
      <c r="I1617">
        <v>4</v>
      </c>
      <c r="J1617">
        <v>0</v>
      </c>
      <c r="K1617">
        <v>290.94</v>
      </c>
      <c r="L1617">
        <v>5.7</v>
      </c>
    </row>
    <row r="1618" spans="1:12" x14ac:dyDescent="0.25">
      <c r="A1618" t="s">
        <v>1665</v>
      </c>
      <c r="B1618" s="1">
        <v>45968</v>
      </c>
      <c r="C1618" s="1">
        <v>45970</v>
      </c>
      <c r="D1618" t="s">
        <v>32</v>
      </c>
      <c r="E1618" t="s">
        <v>45</v>
      </c>
      <c r="F1618" t="s">
        <v>25</v>
      </c>
      <c r="G1618" t="s">
        <v>20</v>
      </c>
      <c r="H1618" t="s">
        <v>41</v>
      </c>
      <c r="I1618">
        <v>14</v>
      </c>
      <c r="J1618">
        <v>0.05</v>
      </c>
      <c r="K1618">
        <v>106.71</v>
      </c>
      <c r="L1618">
        <v>6.48</v>
      </c>
    </row>
    <row r="1619" spans="1:12" x14ac:dyDescent="0.25">
      <c r="A1619" t="s">
        <v>1666</v>
      </c>
      <c r="B1619" s="1">
        <v>45656</v>
      </c>
      <c r="C1619" s="1">
        <v>45657</v>
      </c>
      <c r="D1619" t="s">
        <v>13</v>
      </c>
      <c r="E1619" t="s">
        <v>19</v>
      </c>
      <c r="F1619" t="s">
        <v>15</v>
      </c>
      <c r="G1619" t="s">
        <v>16</v>
      </c>
      <c r="H1619" t="s">
        <v>37</v>
      </c>
      <c r="I1619">
        <v>4</v>
      </c>
      <c r="J1619">
        <v>0.15</v>
      </c>
      <c r="K1619">
        <v>543.09</v>
      </c>
      <c r="L1619">
        <v>8.2200000000000006</v>
      </c>
    </row>
    <row r="1620" spans="1:12" x14ac:dyDescent="0.25">
      <c r="A1620" t="s">
        <v>1667</v>
      </c>
      <c r="B1620" s="1">
        <v>45446</v>
      </c>
      <c r="C1620" s="1">
        <v>45449</v>
      </c>
      <c r="D1620" t="s">
        <v>13</v>
      </c>
      <c r="E1620" t="s">
        <v>14</v>
      </c>
      <c r="F1620" t="s">
        <v>15</v>
      </c>
      <c r="G1620" t="s">
        <v>16</v>
      </c>
      <c r="H1620" t="s">
        <v>68</v>
      </c>
      <c r="I1620">
        <v>4</v>
      </c>
      <c r="J1620">
        <v>0</v>
      </c>
      <c r="K1620">
        <v>217.07</v>
      </c>
      <c r="L1620">
        <v>9.5</v>
      </c>
    </row>
    <row r="1621" spans="1:12" x14ac:dyDescent="0.25">
      <c r="A1621" t="s">
        <v>1668</v>
      </c>
      <c r="B1621" s="1">
        <v>45595</v>
      </c>
      <c r="C1621" s="1">
        <v>45596</v>
      </c>
      <c r="D1621" t="s">
        <v>47</v>
      </c>
      <c r="E1621" t="s">
        <v>71</v>
      </c>
      <c r="F1621" t="s">
        <v>25</v>
      </c>
      <c r="G1621" t="s">
        <v>26</v>
      </c>
      <c r="H1621" t="s">
        <v>51</v>
      </c>
      <c r="I1621">
        <v>10</v>
      </c>
      <c r="J1621">
        <v>0.1</v>
      </c>
      <c r="K1621">
        <v>151.44</v>
      </c>
      <c r="L1621">
        <v>5.4</v>
      </c>
    </row>
    <row r="1622" spans="1:12" x14ac:dyDescent="0.25">
      <c r="A1622" t="s">
        <v>1669</v>
      </c>
      <c r="B1622" s="1">
        <v>45578</v>
      </c>
      <c r="C1622" s="1">
        <v>45580</v>
      </c>
      <c r="D1622" t="s">
        <v>47</v>
      </c>
      <c r="E1622" t="s">
        <v>71</v>
      </c>
      <c r="F1622" t="s">
        <v>29</v>
      </c>
      <c r="G1622" t="s">
        <v>20</v>
      </c>
      <c r="H1622" t="s">
        <v>63</v>
      </c>
      <c r="I1622">
        <v>10</v>
      </c>
      <c r="J1622">
        <v>0.2</v>
      </c>
      <c r="K1622">
        <v>110.31</v>
      </c>
      <c r="L1622">
        <v>5.4</v>
      </c>
    </row>
    <row r="1623" spans="1:12" x14ac:dyDescent="0.25">
      <c r="A1623" t="s">
        <v>1670</v>
      </c>
      <c r="B1623" s="1">
        <v>45618</v>
      </c>
      <c r="C1623" s="1">
        <v>45622</v>
      </c>
      <c r="D1623" t="s">
        <v>32</v>
      </c>
      <c r="E1623" t="s">
        <v>45</v>
      </c>
      <c r="F1623" t="s">
        <v>29</v>
      </c>
      <c r="G1623" t="s">
        <v>26</v>
      </c>
      <c r="H1623" t="s">
        <v>17</v>
      </c>
      <c r="I1623">
        <v>7</v>
      </c>
      <c r="J1623">
        <v>0.05</v>
      </c>
      <c r="K1623">
        <v>1137.8399999999999</v>
      </c>
      <c r="L1623">
        <v>7.95</v>
      </c>
    </row>
    <row r="1624" spans="1:12" x14ac:dyDescent="0.25">
      <c r="A1624" t="s">
        <v>1671</v>
      </c>
      <c r="B1624" s="1">
        <v>45792</v>
      </c>
      <c r="C1624" s="1">
        <v>45796</v>
      </c>
      <c r="D1624" t="s">
        <v>47</v>
      </c>
      <c r="E1624" t="s">
        <v>48</v>
      </c>
      <c r="F1624" t="s">
        <v>29</v>
      </c>
      <c r="G1624" t="s">
        <v>26</v>
      </c>
      <c r="H1624" t="s">
        <v>68</v>
      </c>
      <c r="I1624">
        <v>1</v>
      </c>
      <c r="J1624">
        <v>0</v>
      </c>
      <c r="K1624">
        <v>52.66</v>
      </c>
      <c r="L1624">
        <v>3.45</v>
      </c>
    </row>
    <row r="1625" spans="1:12" x14ac:dyDescent="0.25">
      <c r="A1625" t="s">
        <v>1672</v>
      </c>
      <c r="B1625" s="1">
        <v>45611</v>
      </c>
      <c r="C1625" s="1">
        <v>45613</v>
      </c>
      <c r="D1625" t="s">
        <v>32</v>
      </c>
      <c r="E1625" t="s">
        <v>33</v>
      </c>
      <c r="F1625" t="s">
        <v>29</v>
      </c>
      <c r="G1625" t="s">
        <v>20</v>
      </c>
      <c r="H1625" t="s">
        <v>17</v>
      </c>
      <c r="I1625">
        <v>3</v>
      </c>
      <c r="J1625">
        <v>0</v>
      </c>
      <c r="K1625">
        <v>512.89</v>
      </c>
      <c r="L1625">
        <v>4.95</v>
      </c>
    </row>
    <row r="1626" spans="1:12" x14ac:dyDescent="0.25">
      <c r="A1626" t="s">
        <v>1673</v>
      </c>
      <c r="B1626" s="1">
        <v>45582</v>
      </c>
      <c r="C1626" s="1">
        <v>45587</v>
      </c>
      <c r="D1626" t="s">
        <v>13</v>
      </c>
      <c r="E1626" t="s">
        <v>36</v>
      </c>
      <c r="F1626" t="s">
        <v>15</v>
      </c>
      <c r="G1626" t="s">
        <v>26</v>
      </c>
      <c r="H1626" t="s">
        <v>37</v>
      </c>
      <c r="I1626">
        <v>1</v>
      </c>
      <c r="J1626">
        <v>0</v>
      </c>
      <c r="K1626">
        <v>122.8</v>
      </c>
      <c r="L1626">
        <v>6.8</v>
      </c>
    </row>
    <row r="1627" spans="1:12" x14ac:dyDescent="0.25">
      <c r="A1627" t="s">
        <v>1674</v>
      </c>
      <c r="B1627" s="1">
        <v>45601</v>
      </c>
      <c r="C1627" s="1">
        <v>45603</v>
      </c>
      <c r="D1627" t="s">
        <v>23</v>
      </c>
      <c r="E1627" t="s">
        <v>59</v>
      </c>
      <c r="F1627" t="s">
        <v>15</v>
      </c>
      <c r="G1627" t="s">
        <v>16</v>
      </c>
      <c r="H1627" t="s">
        <v>51</v>
      </c>
      <c r="I1627">
        <v>9</v>
      </c>
      <c r="J1627">
        <v>0</v>
      </c>
      <c r="K1627">
        <v>179.02</v>
      </c>
      <c r="L1627">
        <v>8.5500000000000007</v>
      </c>
    </row>
    <row r="1628" spans="1:12" x14ac:dyDescent="0.25">
      <c r="A1628" t="s">
        <v>1675</v>
      </c>
      <c r="B1628" s="1">
        <v>45489</v>
      </c>
      <c r="C1628" s="1">
        <v>45495</v>
      </c>
      <c r="D1628" t="s">
        <v>32</v>
      </c>
      <c r="E1628" t="s">
        <v>33</v>
      </c>
      <c r="F1628" t="s">
        <v>15</v>
      </c>
      <c r="G1628" t="s">
        <v>26</v>
      </c>
      <c r="H1628" t="s">
        <v>41</v>
      </c>
      <c r="I1628">
        <v>12</v>
      </c>
      <c r="J1628">
        <v>0</v>
      </c>
      <c r="K1628">
        <v>69.930000000000007</v>
      </c>
      <c r="L1628">
        <v>5.94</v>
      </c>
    </row>
    <row r="1629" spans="1:12" x14ac:dyDescent="0.25">
      <c r="A1629" t="s">
        <v>1676</v>
      </c>
      <c r="B1629" s="1">
        <v>45709</v>
      </c>
      <c r="C1629" s="1">
        <v>45710</v>
      </c>
      <c r="D1629" t="s">
        <v>23</v>
      </c>
      <c r="E1629" t="s">
        <v>24</v>
      </c>
      <c r="F1629" t="s">
        <v>29</v>
      </c>
      <c r="G1629" t="s">
        <v>16</v>
      </c>
      <c r="H1629" t="s">
        <v>37</v>
      </c>
      <c r="I1629">
        <v>2</v>
      </c>
      <c r="J1629">
        <v>0</v>
      </c>
      <c r="K1629">
        <v>190.6</v>
      </c>
      <c r="L1629">
        <v>9.1</v>
      </c>
    </row>
    <row r="1630" spans="1:12" x14ac:dyDescent="0.25">
      <c r="A1630" t="s">
        <v>1677</v>
      </c>
      <c r="B1630" s="1">
        <v>45778</v>
      </c>
      <c r="C1630" s="1">
        <v>45782</v>
      </c>
      <c r="D1630" t="s">
        <v>47</v>
      </c>
      <c r="E1630" t="s">
        <v>50</v>
      </c>
      <c r="F1630" t="s">
        <v>15</v>
      </c>
      <c r="G1630" t="s">
        <v>16</v>
      </c>
      <c r="H1630" t="s">
        <v>21</v>
      </c>
      <c r="I1630">
        <v>5</v>
      </c>
      <c r="J1630">
        <v>0.25</v>
      </c>
      <c r="K1630">
        <v>431.53</v>
      </c>
      <c r="L1630">
        <v>16</v>
      </c>
    </row>
    <row r="1631" spans="1:12" x14ac:dyDescent="0.25">
      <c r="A1631" t="s">
        <v>1678</v>
      </c>
      <c r="B1631" s="1">
        <v>45364</v>
      </c>
      <c r="C1631" s="1">
        <v>45367</v>
      </c>
      <c r="D1631" t="s">
        <v>32</v>
      </c>
      <c r="E1631" t="s">
        <v>45</v>
      </c>
      <c r="F1631" t="s">
        <v>29</v>
      </c>
      <c r="G1631" t="s">
        <v>20</v>
      </c>
      <c r="H1631" t="s">
        <v>30</v>
      </c>
      <c r="I1631">
        <v>3</v>
      </c>
      <c r="J1631">
        <v>0</v>
      </c>
      <c r="K1631">
        <v>17.989999999999998</v>
      </c>
      <c r="L1631">
        <v>5.85</v>
      </c>
    </row>
    <row r="1632" spans="1:12" x14ac:dyDescent="0.25">
      <c r="A1632" t="s">
        <v>1679</v>
      </c>
      <c r="B1632" s="1">
        <v>45835</v>
      </c>
      <c r="C1632" s="1">
        <v>45838</v>
      </c>
      <c r="D1632" t="s">
        <v>13</v>
      </c>
      <c r="E1632" t="s">
        <v>36</v>
      </c>
      <c r="F1632" t="s">
        <v>29</v>
      </c>
      <c r="G1632" t="s">
        <v>20</v>
      </c>
      <c r="H1632" t="s">
        <v>30</v>
      </c>
      <c r="I1632">
        <v>6</v>
      </c>
      <c r="J1632">
        <v>0.15</v>
      </c>
      <c r="K1632">
        <v>32.159999999999997</v>
      </c>
      <c r="L1632">
        <v>7.2</v>
      </c>
    </row>
    <row r="1633" spans="1:12" x14ac:dyDescent="0.25">
      <c r="A1633" t="s">
        <v>1680</v>
      </c>
      <c r="B1633" s="1">
        <v>45462</v>
      </c>
      <c r="C1633" s="1">
        <v>45463</v>
      </c>
      <c r="D1633" t="s">
        <v>13</v>
      </c>
      <c r="E1633" t="s">
        <v>19</v>
      </c>
      <c r="F1633" t="s">
        <v>25</v>
      </c>
      <c r="G1633" t="s">
        <v>16</v>
      </c>
      <c r="H1633" t="s">
        <v>87</v>
      </c>
      <c r="I1633">
        <v>4</v>
      </c>
      <c r="J1633">
        <v>0.2</v>
      </c>
      <c r="K1633">
        <v>28.73</v>
      </c>
      <c r="L1633">
        <v>6.3</v>
      </c>
    </row>
    <row r="1634" spans="1:12" x14ac:dyDescent="0.25">
      <c r="A1634" t="s">
        <v>1681</v>
      </c>
      <c r="B1634" s="1">
        <v>45296</v>
      </c>
      <c r="C1634" s="1">
        <v>45297</v>
      </c>
      <c r="D1634" t="s">
        <v>47</v>
      </c>
      <c r="E1634" t="s">
        <v>71</v>
      </c>
      <c r="F1634" t="s">
        <v>15</v>
      </c>
      <c r="G1634" t="s">
        <v>20</v>
      </c>
      <c r="H1634" t="s">
        <v>17</v>
      </c>
      <c r="I1634">
        <v>3</v>
      </c>
      <c r="J1634">
        <v>0.1</v>
      </c>
      <c r="K1634">
        <v>298.73</v>
      </c>
      <c r="L1634">
        <v>4.95</v>
      </c>
    </row>
    <row r="1635" spans="1:12" x14ac:dyDescent="0.25">
      <c r="A1635" t="s">
        <v>1682</v>
      </c>
      <c r="B1635" s="1">
        <v>45301</v>
      </c>
      <c r="C1635" s="1">
        <v>45305</v>
      </c>
      <c r="D1635" t="s">
        <v>32</v>
      </c>
      <c r="E1635" t="s">
        <v>45</v>
      </c>
      <c r="F1635" t="s">
        <v>15</v>
      </c>
      <c r="G1635" t="s">
        <v>16</v>
      </c>
      <c r="H1635" t="s">
        <v>27</v>
      </c>
      <c r="I1635">
        <v>5</v>
      </c>
      <c r="J1635">
        <v>0.15</v>
      </c>
      <c r="K1635">
        <v>102.13</v>
      </c>
      <c r="L1635">
        <v>4.05</v>
      </c>
    </row>
    <row r="1636" spans="1:12" x14ac:dyDescent="0.25">
      <c r="A1636" t="s">
        <v>1683</v>
      </c>
      <c r="B1636" s="1">
        <v>45855</v>
      </c>
      <c r="C1636" s="1">
        <v>45858</v>
      </c>
      <c r="D1636" t="s">
        <v>23</v>
      </c>
      <c r="E1636" t="s">
        <v>24</v>
      </c>
      <c r="F1636" t="s">
        <v>15</v>
      </c>
      <c r="G1636" t="s">
        <v>16</v>
      </c>
      <c r="H1636" t="s">
        <v>30</v>
      </c>
      <c r="I1636">
        <v>8</v>
      </c>
      <c r="J1636">
        <v>0</v>
      </c>
      <c r="K1636">
        <v>45.02</v>
      </c>
      <c r="L1636">
        <v>4.8600000000000003</v>
      </c>
    </row>
    <row r="1637" spans="1:12" x14ac:dyDescent="0.25">
      <c r="A1637" t="s">
        <v>1684</v>
      </c>
      <c r="B1637" s="1">
        <v>45546</v>
      </c>
      <c r="C1637" s="1">
        <v>45551</v>
      </c>
      <c r="D1637" t="s">
        <v>32</v>
      </c>
      <c r="E1637" t="s">
        <v>33</v>
      </c>
      <c r="F1637" t="s">
        <v>25</v>
      </c>
      <c r="G1637" t="s">
        <v>20</v>
      </c>
      <c r="H1637" t="s">
        <v>65</v>
      </c>
      <c r="I1637">
        <v>1</v>
      </c>
      <c r="J1637">
        <v>0.05</v>
      </c>
      <c r="K1637">
        <v>281.22000000000003</v>
      </c>
      <c r="L1637">
        <v>6.8</v>
      </c>
    </row>
    <row r="1638" spans="1:12" x14ac:dyDescent="0.25">
      <c r="A1638" t="s">
        <v>1685</v>
      </c>
      <c r="B1638" s="1">
        <v>45723</v>
      </c>
      <c r="C1638" s="1">
        <v>45727</v>
      </c>
      <c r="D1638" t="s">
        <v>13</v>
      </c>
      <c r="E1638" t="s">
        <v>36</v>
      </c>
      <c r="F1638" t="s">
        <v>15</v>
      </c>
      <c r="G1638" t="s">
        <v>16</v>
      </c>
      <c r="H1638" t="s">
        <v>51</v>
      </c>
      <c r="I1638">
        <v>9</v>
      </c>
      <c r="J1638">
        <v>0.05</v>
      </c>
      <c r="K1638">
        <v>117.91</v>
      </c>
      <c r="L1638">
        <v>8.5500000000000007</v>
      </c>
    </row>
    <row r="1639" spans="1:12" x14ac:dyDescent="0.25">
      <c r="A1639" t="s">
        <v>1686</v>
      </c>
      <c r="B1639" s="1">
        <v>45819</v>
      </c>
      <c r="C1639" s="1">
        <v>45822</v>
      </c>
      <c r="D1639" t="s">
        <v>23</v>
      </c>
      <c r="E1639" t="s">
        <v>24</v>
      </c>
      <c r="F1639" t="s">
        <v>15</v>
      </c>
      <c r="G1639" t="s">
        <v>26</v>
      </c>
      <c r="H1639" t="s">
        <v>41</v>
      </c>
      <c r="I1639">
        <v>11</v>
      </c>
      <c r="J1639">
        <v>0.05</v>
      </c>
      <c r="K1639">
        <v>63.41</v>
      </c>
      <c r="L1639">
        <v>5.67</v>
      </c>
    </row>
    <row r="1640" spans="1:12" x14ac:dyDescent="0.25">
      <c r="A1640" t="s">
        <v>1687</v>
      </c>
      <c r="B1640" s="1">
        <v>45558</v>
      </c>
      <c r="C1640" s="1">
        <v>45563</v>
      </c>
      <c r="D1640" t="s">
        <v>23</v>
      </c>
      <c r="E1640" t="s">
        <v>43</v>
      </c>
      <c r="F1640" t="s">
        <v>15</v>
      </c>
      <c r="G1640" t="s">
        <v>20</v>
      </c>
      <c r="H1640" t="s">
        <v>87</v>
      </c>
      <c r="I1640">
        <v>7</v>
      </c>
      <c r="J1640">
        <v>0</v>
      </c>
      <c r="K1640">
        <v>62.64</v>
      </c>
      <c r="L1640">
        <v>4.59</v>
      </c>
    </row>
    <row r="1641" spans="1:12" x14ac:dyDescent="0.25">
      <c r="A1641" t="s">
        <v>1688</v>
      </c>
      <c r="B1641" s="1">
        <v>45553</v>
      </c>
      <c r="C1641" s="1">
        <v>45557</v>
      </c>
      <c r="D1641" t="s">
        <v>32</v>
      </c>
      <c r="E1641" t="s">
        <v>45</v>
      </c>
      <c r="F1641" t="s">
        <v>25</v>
      </c>
      <c r="G1641" t="s">
        <v>26</v>
      </c>
      <c r="H1641" t="s">
        <v>27</v>
      </c>
      <c r="I1641">
        <v>4</v>
      </c>
      <c r="J1641">
        <v>0.2</v>
      </c>
      <c r="K1641">
        <v>98.66</v>
      </c>
      <c r="L1641">
        <v>6.3</v>
      </c>
    </row>
    <row r="1642" spans="1:12" x14ac:dyDescent="0.25">
      <c r="A1642" t="s">
        <v>1689</v>
      </c>
      <c r="B1642" s="1">
        <v>45957</v>
      </c>
      <c r="C1642" s="1">
        <v>45958</v>
      </c>
      <c r="D1642" t="s">
        <v>47</v>
      </c>
      <c r="E1642" t="s">
        <v>71</v>
      </c>
      <c r="F1642" t="s">
        <v>15</v>
      </c>
      <c r="G1642" t="s">
        <v>16</v>
      </c>
      <c r="H1642" t="s">
        <v>63</v>
      </c>
      <c r="I1642">
        <v>9</v>
      </c>
      <c r="J1642">
        <v>0</v>
      </c>
      <c r="K1642">
        <v>129.13</v>
      </c>
      <c r="L1642">
        <v>8.5500000000000007</v>
      </c>
    </row>
    <row r="1643" spans="1:12" x14ac:dyDescent="0.25">
      <c r="A1643" t="s">
        <v>1690</v>
      </c>
      <c r="B1643" s="1">
        <v>45568</v>
      </c>
      <c r="C1643" s="1">
        <v>45571</v>
      </c>
      <c r="D1643" t="s">
        <v>13</v>
      </c>
      <c r="E1643" t="s">
        <v>19</v>
      </c>
      <c r="F1643" t="s">
        <v>25</v>
      </c>
      <c r="G1643" t="s">
        <v>20</v>
      </c>
      <c r="H1643" t="s">
        <v>37</v>
      </c>
      <c r="I1643">
        <v>2</v>
      </c>
      <c r="J1643">
        <v>0</v>
      </c>
      <c r="K1643">
        <v>248.54</v>
      </c>
      <c r="L1643">
        <v>5.46</v>
      </c>
    </row>
    <row r="1644" spans="1:12" x14ac:dyDescent="0.25">
      <c r="A1644" t="s">
        <v>1691</v>
      </c>
      <c r="B1644" s="1">
        <v>45751</v>
      </c>
      <c r="C1644" s="1">
        <v>45754</v>
      </c>
      <c r="D1644" t="s">
        <v>23</v>
      </c>
      <c r="E1644" t="s">
        <v>59</v>
      </c>
      <c r="F1644" t="s">
        <v>25</v>
      </c>
      <c r="G1644" t="s">
        <v>20</v>
      </c>
      <c r="H1644" t="s">
        <v>87</v>
      </c>
      <c r="I1644">
        <v>12</v>
      </c>
      <c r="J1644">
        <v>0.2</v>
      </c>
      <c r="K1644">
        <v>80.23</v>
      </c>
      <c r="L1644">
        <v>9.9</v>
      </c>
    </row>
    <row r="1645" spans="1:12" x14ac:dyDescent="0.25">
      <c r="A1645" t="s">
        <v>1692</v>
      </c>
      <c r="B1645" s="1">
        <v>45924</v>
      </c>
      <c r="C1645" s="1">
        <v>45929</v>
      </c>
      <c r="D1645" t="s">
        <v>13</v>
      </c>
      <c r="E1645" t="s">
        <v>14</v>
      </c>
      <c r="F1645" t="s">
        <v>15</v>
      </c>
      <c r="G1645" t="s">
        <v>20</v>
      </c>
      <c r="H1645" t="s">
        <v>63</v>
      </c>
      <c r="I1645">
        <v>10</v>
      </c>
      <c r="J1645">
        <v>0</v>
      </c>
      <c r="K1645">
        <v>135.12</v>
      </c>
      <c r="L1645">
        <v>5.4</v>
      </c>
    </row>
    <row r="1646" spans="1:12" x14ac:dyDescent="0.25">
      <c r="A1646" t="s">
        <v>1693</v>
      </c>
      <c r="B1646" s="1">
        <v>45482</v>
      </c>
      <c r="C1646" s="1">
        <v>45483</v>
      </c>
      <c r="D1646" t="s">
        <v>32</v>
      </c>
      <c r="E1646" t="s">
        <v>62</v>
      </c>
      <c r="F1646" t="s">
        <v>25</v>
      </c>
      <c r="G1646" t="s">
        <v>26</v>
      </c>
      <c r="H1646" t="s">
        <v>65</v>
      </c>
      <c r="I1646">
        <v>2</v>
      </c>
      <c r="J1646">
        <v>0</v>
      </c>
      <c r="K1646">
        <v>529.78</v>
      </c>
      <c r="L1646">
        <v>9.1</v>
      </c>
    </row>
    <row r="1647" spans="1:12" x14ac:dyDescent="0.25">
      <c r="A1647" t="s">
        <v>1694</v>
      </c>
      <c r="B1647" s="1">
        <v>45856</v>
      </c>
      <c r="C1647" s="1">
        <v>45862</v>
      </c>
      <c r="D1647" t="s">
        <v>32</v>
      </c>
      <c r="E1647" t="s">
        <v>62</v>
      </c>
      <c r="F1647" t="s">
        <v>25</v>
      </c>
      <c r="G1647" t="s">
        <v>20</v>
      </c>
      <c r="H1647" t="s">
        <v>63</v>
      </c>
      <c r="I1647">
        <v>5</v>
      </c>
      <c r="J1647">
        <v>0</v>
      </c>
      <c r="K1647">
        <v>54.79</v>
      </c>
      <c r="L1647">
        <v>6.75</v>
      </c>
    </row>
    <row r="1648" spans="1:12" x14ac:dyDescent="0.25">
      <c r="A1648" t="s">
        <v>1695</v>
      </c>
      <c r="B1648" s="1">
        <v>45410</v>
      </c>
      <c r="C1648" s="1">
        <v>45415</v>
      </c>
      <c r="D1648" t="s">
        <v>32</v>
      </c>
      <c r="E1648" t="s">
        <v>45</v>
      </c>
      <c r="F1648" t="s">
        <v>29</v>
      </c>
      <c r="G1648" t="s">
        <v>20</v>
      </c>
      <c r="H1648" t="s">
        <v>63</v>
      </c>
      <c r="I1648">
        <v>9</v>
      </c>
      <c r="J1648">
        <v>0.2</v>
      </c>
      <c r="K1648">
        <v>84.7</v>
      </c>
      <c r="L1648">
        <v>8.5500000000000007</v>
      </c>
    </row>
    <row r="1649" spans="1:12" x14ac:dyDescent="0.25">
      <c r="A1649" t="s">
        <v>1696</v>
      </c>
      <c r="B1649" s="1">
        <v>45694</v>
      </c>
      <c r="C1649" s="1">
        <v>45695</v>
      </c>
      <c r="D1649" t="s">
        <v>13</v>
      </c>
      <c r="E1649" t="s">
        <v>14</v>
      </c>
      <c r="F1649" t="s">
        <v>15</v>
      </c>
      <c r="G1649" t="s">
        <v>16</v>
      </c>
      <c r="H1649" t="s">
        <v>65</v>
      </c>
      <c r="I1649">
        <v>4</v>
      </c>
      <c r="J1649">
        <v>0</v>
      </c>
      <c r="K1649">
        <v>1041.3399999999999</v>
      </c>
      <c r="L1649">
        <v>8.2200000000000006</v>
      </c>
    </row>
    <row r="1650" spans="1:12" x14ac:dyDescent="0.25">
      <c r="A1650" t="s">
        <v>1697</v>
      </c>
      <c r="B1650" s="1">
        <v>45766</v>
      </c>
      <c r="C1650" s="1">
        <v>45772</v>
      </c>
      <c r="D1650" t="s">
        <v>23</v>
      </c>
      <c r="E1650" t="s">
        <v>43</v>
      </c>
      <c r="F1650" t="s">
        <v>29</v>
      </c>
      <c r="G1650" t="s">
        <v>26</v>
      </c>
      <c r="H1650" t="s">
        <v>21</v>
      </c>
      <c r="I1650">
        <v>2</v>
      </c>
      <c r="J1650">
        <v>0.1</v>
      </c>
      <c r="K1650">
        <v>204.06</v>
      </c>
      <c r="L1650">
        <v>9.1</v>
      </c>
    </row>
    <row r="1651" spans="1:12" x14ac:dyDescent="0.25">
      <c r="A1651" t="s">
        <v>1698</v>
      </c>
      <c r="B1651" s="1">
        <v>45406</v>
      </c>
      <c r="C1651" s="1">
        <v>45407</v>
      </c>
      <c r="D1651" t="s">
        <v>23</v>
      </c>
      <c r="E1651" t="s">
        <v>24</v>
      </c>
      <c r="F1651" t="s">
        <v>15</v>
      </c>
      <c r="G1651" t="s">
        <v>20</v>
      </c>
      <c r="H1651" t="s">
        <v>41</v>
      </c>
      <c r="I1651">
        <v>8</v>
      </c>
      <c r="J1651">
        <v>0.25</v>
      </c>
      <c r="K1651">
        <v>37.840000000000003</v>
      </c>
      <c r="L1651">
        <v>8.1</v>
      </c>
    </row>
    <row r="1652" spans="1:12" x14ac:dyDescent="0.25">
      <c r="A1652" t="s">
        <v>1699</v>
      </c>
      <c r="B1652" s="1">
        <v>45303</v>
      </c>
      <c r="C1652" s="1">
        <v>45306</v>
      </c>
      <c r="D1652" t="s">
        <v>47</v>
      </c>
      <c r="E1652" t="s">
        <v>48</v>
      </c>
      <c r="F1652" t="s">
        <v>15</v>
      </c>
      <c r="G1652" t="s">
        <v>16</v>
      </c>
      <c r="H1652" t="s">
        <v>41</v>
      </c>
      <c r="I1652">
        <v>7</v>
      </c>
      <c r="J1652">
        <v>0.25</v>
      </c>
      <c r="K1652">
        <v>26.99</v>
      </c>
      <c r="L1652">
        <v>4.59</v>
      </c>
    </row>
    <row r="1653" spans="1:12" x14ac:dyDescent="0.25">
      <c r="A1653" t="s">
        <v>1700</v>
      </c>
      <c r="B1653" s="1">
        <v>45703</v>
      </c>
      <c r="C1653" s="1">
        <v>45705</v>
      </c>
      <c r="D1653" t="s">
        <v>47</v>
      </c>
      <c r="E1653" t="s">
        <v>48</v>
      </c>
      <c r="F1653" t="s">
        <v>25</v>
      </c>
      <c r="G1653" t="s">
        <v>16</v>
      </c>
      <c r="H1653" t="s">
        <v>30</v>
      </c>
      <c r="I1653">
        <v>12</v>
      </c>
      <c r="J1653">
        <v>0.25</v>
      </c>
      <c r="K1653">
        <v>47.66</v>
      </c>
      <c r="L1653">
        <v>9.9</v>
      </c>
    </row>
    <row r="1654" spans="1:12" x14ac:dyDescent="0.25">
      <c r="A1654" t="s">
        <v>1701</v>
      </c>
      <c r="B1654" s="1">
        <v>45699</v>
      </c>
      <c r="C1654" s="1">
        <v>45704</v>
      </c>
      <c r="D1654" t="s">
        <v>13</v>
      </c>
      <c r="E1654" t="s">
        <v>36</v>
      </c>
      <c r="F1654" t="s">
        <v>15</v>
      </c>
      <c r="G1654" t="s">
        <v>26</v>
      </c>
      <c r="H1654" t="s">
        <v>39</v>
      </c>
      <c r="I1654">
        <v>2</v>
      </c>
      <c r="J1654">
        <v>0.25</v>
      </c>
      <c r="K1654">
        <v>266.47000000000003</v>
      </c>
      <c r="L1654">
        <v>7</v>
      </c>
    </row>
    <row r="1655" spans="1:12" x14ac:dyDescent="0.25">
      <c r="A1655" t="s">
        <v>1702</v>
      </c>
      <c r="B1655" s="1">
        <v>45834</v>
      </c>
      <c r="C1655" s="1">
        <v>45839</v>
      </c>
      <c r="D1655" t="s">
        <v>32</v>
      </c>
      <c r="E1655" t="s">
        <v>62</v>
      </c>
      <c r="F1655" t="s">
        <v>25</v>
      </c>
      <c r="G1655" t="s">
        <v>20</v>
      </c>
      <c r="H1655" t="s">
        <v>68</v>
      </c>
      <c r="I1655">
        <v>2</v>
      </c>
      <c r="J1655">
        <v>0</v>
      </c>
      <c r="K1655">
        <v>112.05</v>
      </c>
      <c r="L1655">
        <v>4.2</v>
      </c>
    </row>
    <row r="1656" spans="1:12" x14ac:dyDescent="0.25">
      <c r="A1656" t="s">
        <v>1703</v>
      </c>
      <c r="B1656" s="1">
        <v>45470</v>
      </c>
      <c r="C1656" s="1">
        <v>45473</v>
      </c>
      <c r="D1656" t="s">
        <v>13</v>
      </c>
      <c r="E1656" t="s">
        <v>19</v>
      </c>
      <c r="F1656" t="s">
        <v>15</v>
      </c>
      <c r="G1656" t="s">
        <v>16</v>
      </c>
      <c r="H1656" t="s">
        <v>68</v>
      </c>
      <c r="I1656">
        <v>4</v>
      </c>
      <c r="J1656">
        <v>0.2</v>
      </c>
      <c r="K1656">
        <v>179.87</v>
      </c>
      <c r="L1656">
        <v>5.7</v>
      </c>
    </row>
    <row r="1657" spans="1:12" x14ac:dyDescent="0.25">
      <c r="A1657" t="s">
        <v>1704</v>
      </c>
      <c r="B1657" s="1">
        <v>45862</v>
      </c>
      <c r="C1657" s="1">
        <v>45864</v>
      </c>
      <c r="D1657" t="s">
        <v>47</v>
      </c>
      <c r="E1657" t="s">
        <v>48</v>
      </c>
      <c r="F1657" t="s">
        <v>25</v>
      </c>
      <c r="G1657" t="s">
        <v>20</v>
      </c>
      <c r="H1657" t="s">
        <v>21</v>
      </c>
      <c r="I1657">
        <v>1</v>
      </c>
      <c r="J1657">
        <v>0.25</v>
      </c>
      <c r="K1657">
        <v>79.239999999999995</v>
      </c>
      <c r="L1657">
        <v>6.8</v>
      </c>
    </row>
    <row r="1658" spans="1:12" x14ac:dyDescent="0.25">
      <c r="A1658" t="s">
        <v>1705</v>
      </c>
      <c r="B1658" s="1">
        <v>45820</v>
      </c>
      <c r="C1658" s="1">
        <v>45822</v>
      </c>
      <c r="D1658" t="s">
        <v>23</v>
      </c>
      <c r="E1658" t="s">
        <v>59</v>
      </c>
      <c r="F1658" t="s">
        <v>29</v>
      </c>
      <c r="G1658" t="s">
        <v>20</v>
      </c>
      <c r="H1658" t="s">
        <v>30</v>
      </c>
      <c r="I1658">
        <v>13</v>
      </c>
      <c r="J1658">
        <v>0.05</v>
      </c>
      <c r="K1658">
        <v>77.510000000000005</v>
      </c>
      <c r="L1658">
        <v>6.21</v>
      </c>
    </row>
    <row r="1659" spans="1:12" x14ac:dyDescent="0.25">
      <c r="A1659" t="s">
        <v>1706</v>
      </c>
      <c r="B1659" s="1">
        <v>45978</v>
      </c>
      <c r="C1659" s="1">
        <v>45984</v>
      </c>
      <c r="D1659" t="s">
        <v>47</v>
      </c>
      <c r="E1659" t="s">
        <v>48</v>
      </c>
      <c r="F1659" t="s">
        <v>29</v>
      </c>
      <c r="G1659" t="s">
        <v>20</v>
      </c>
      <c r="H1659" t="s">
        <v>39</v>
      </c>
      <c r="I1659">
        <v>1</v>
      </c>
      <c r="J1659">
        <v>0.05</v>
      </c>
      <c r="K1659">
        <v>255.67</v>
      </c>
      <c r="L1659">
        <v>5.75</v>
      </c>
    </row>
    <row r="1660" spans="1:12" x14ac:dyDescent="0.25">
      <c r="A1660" t="s">
        <v>1707</v>
      </c>
      <c r="B1660" s="1">
        <v>45964</v>
      </c>
      <c r="C1660" s="1">
        <v>45965</v>
      </c>
      <c r="D1660" t="s">
        <v>13</v>
      </c>
      <c r="E1660" t="s">
        <v>19</v>
      </c>
      <c r="F1660" t="s">
        <v>25</v>
      </c>
      <c r="G1660" t="s">
        <v>16</v>
      </c>
      <c r="H1660" t="s">
        <v>53</v>
      </c>
      <c r="I1660">
        <v>3</v>
      </c>
      <c r="J1660">
        <v>0</v>
      </c>
      <c r="K1660">
        <v>220.11</v>
      </c>
      <c r="L1660">
        <v>8.25</v>
      </c>
    </row>
    <row r="1661" spans="1:12" x14ac:dyDescent="0.25">
      <c r="A1661" t="s">
        <v>1708</v>
      </c>
      <c r="B1661" s="1">
        <v>45884</v>
      </c>
      <c r="C1661" s="1">
        <v>45886</v>
      </c>
      <c r="D1661" t="s">
        <v>23</v>
      </c>
      <c r="E1661" t="s">
        <v>59</v>
      </c>
      <c r="F1661" t="s">
        <v>29</v>
      </c>
      <c r="G1661" t="s">
        <v>26</v>
      </c>
      <c r="H1661" t="s">
        <v>39</v>
      </c>
      <c r="I1661">
        <v>4</v>
      </c>
      <c r="J1661">
        <v>0.25</v>
      </c>
      <c r="K1661">
        <v>546.99</v>
      </c>
      <c r="L1661">
        <v>5.7</v>
      </c>
    </row>
    <row r="1662" spans="1:12" x14ac:dyDescent="0.25">
      <c r="A1662" t="s">
        <v>1709</v>
      </c>
      <c r="B1662" s="1">
        <v>45545</v>
      </c>
      <c r="C1662" s="1">
        <v>45547</v>
      </c>
      <c r="D1662" t="s">
        <v>23</v>
      </c>
      <c r="E1662" t="s">
        <v>43</v>
      </c>
      <c r="F1662" t="s">
        <v>29</v>
      </c>
      <c r="G1662" t="s">
        <v>16</v>
      </c>
      <c r="H1662" t="s">
        <v>30</v>
      </c>
      <c r="I1662">
        <v>5</v>
      </c>
      <c r="J1662">
        <v>0.25</v>
      </c>
      <c r="K1662">
        <v>24.76</v>
      </c>
      <c r="L1662">
        <v>6.75</v>
      </c>
    </row>
    <row r="1663" spans="1:12" x14ac:dyDescent="0.25">
      <c r="A1663" t="s">
        <v>1710</v>
      </c>
      <c r="B1663" s="1">
        <v>45342</v>
      </c>
      <c r="C1663" s="1">
        <v>45348</v>
      </c>
      <c r="D1663" t="s">
        <v>13</v>
      </c>
      <c r="E1663" t="s">
        <v>36</v>
      </c>
      <c r="F1663" t="s">
        <v>25</v>
      </c>
      <c r="G1663" t="s">
        <v>16</v>
      </c>
      <c r="H1663" t="s">
        <v>68</v>
      </c>
      <c r="I1663">
        <v>2</v>
      </c>
      <c r="J1663">
        <v>0</v>
      </c>
      <c r="K1663">
        <v>90.25</v>
      </c>
      <c r="L1663">
        <v>7</v>
      </c>
    </row>
    <row r="1664" spans="1:12" x14ac:dyDescent="0.25">
      <c r="A1664" t="s">
        <v>1711</v>
      </c>
      <c r="B1664" s="1">
        <v>45475</v>
      </c>
      <c r="C1664" s="1">
        <v>45476</v>
      </c>
      <c r="D1664" t="s">
        <v>23</v>
      </c>
      <c r="E1664" t="s">
        <v>43</v>
      </c>
      <c r="F1664" t="s">
        <v>29</v>
      </c>
      <c r="G1664" t="s">
        <v>26</v>
      </c>
      <c r="H1664" t="s">
        <v>68</v>
      </c>
      <c r="I1664">
        <v>4</v>
      </c>
      <c r="J1664">
        <v>0.15</v>
      </c>
      <c r="K1664">
        <v>152.12</v>
      </c>
      <c r="L1664">
        <v>9.5</v>
      </c>
    </row>
    <row r="1665" spans="1:12" x14ac:dyDescent="0.25">
      <c r="A1665" t="s">
        <v>1712</v>
      </c>
      <c r="B1665" s="1">
        <v>45787</v>
      </c>
      <c r="C1665" s="1">
        <v>45790</v>
      </c>
      <c r="D1665" t="s">
        <v>13</v>
      </c>
      <c r="E1665" t="s">
        <v>36</v>
      </c>
      <c r="F1665" t="s">
        <v>25</v>
      </c>
      <c r="G1665" t="s">
        <v>16</v>
      </c>
      <c r="H1665" t="s">
        <v>51</v>
      </c>
      <c r="I1665">
        <v>5</v>
      </c>
      <c r="J1665">
        <v>0.05</v>
      </c>
      <c r="K1665">
        <v>67.959999999999994</v>
      </c>
      <c r="L1665">
        <v>4.05</v>
      </c>
    </row>
    <row r="1666" spans="1:12" x14ac:dyDescent="0.25">
      <c r="A1666" t="s">
        <v>1713</v>
      </c>
      <c r="B1666" s="1">
        <v>45794</v>
      </c>
      <c r="C1666" s="1">
        <v>45800</v>
      </c>
      <c r="D1666" t="s">
        <v>13</v>
      </c>
      <c r="E1666" t="s">
        <v>36</v>
      </c>
      <c r="F1666" t="s">
        <v>29</v>
      </c>
      <c r="G1666" t="s">
        <v>26</v>
      </c>
      <c r="H1666" t="s">
        <v>34</v>
      </c>
      <c r="I1666">
        <v>1</v>
      </c>
      <c r="J1666">
        <v>0.1</v>
      </c>
      <c r="K1666">
        <v>183.16</v>
      </c>
      <c r="L1666">
        <v>4.08</v>
      </c>
    </row>
    <row r="1667" spans="1:12" x14ac:dyDescent="0.25">
      <c r="A1667" t="s">
        <v>1714</v>
      </c>
      <c r="B1667" s="1">
        <v>45992</v>
      </c>
      <c r="C1667" s="1">
        <v>45994</v>
      </c>
      <c r="D1667" t="s">
        <v>13</v>
      </c>
      <c r="E1667" t="s">
        <v>36</v>
      </c>
      <c r="F1667" t="s">
        <v>15</v>
      </c>
      <c r="G1667" t="s">
        <v>26</v>
      </c>
      <c r="H1667" t="s">
        <v>63</v>
      </c>
      <c r="I1667">
        <v>8</v>
      </c>
      <c r="J1667">
        <v>0</v>
      </c>
      <c r="K1667">
        <v>131.04</v>
      </c>
      <c r="L1667">
        <v>8.1</v>
      </c>
    </row>
    <row r="1668" spans="1:12" x14ac:dyDescent="0.25">
      <c r="A1668" t="s">
        <v>1715</v>
      </c>
      <c r="B1668" s="1">
        <v>45628</v>
      </c>
      <c r="C1668" s="1">
        <v>45629</v>
      </c>
      <c r="D1668" t="s">
        <v>13</v>
      </c>
      <c r="E1668" t="s">
        <v>14</v>
      </c>
      <c r="F1668" t="s">
        <v>25</v>
      </c>
      <c r="G1668" t="s">
        <v>26</v>
      </c>
      <c r="H1668" t="s">
        <v>65</v>
      </c>
      <c r="I1668">
        <v>1</v>
      </c>
      <c r="J1668">
        <v>0.2</v>
      </c>
      <c r="K1668">
        <v>329.46</v>
      </c>
      <c r="L1668">
        <v>4.08</v>
      </c>
    </row>
    <row r="1669" spans="1:12" x14ac:dyDescent="0.25">
      <c r="A1669" t="s">
        <v>1716</v>
      </c>
      <c r="B1669" s="1">
        <v>45798</v>
      </c>
      <c r="C1669" s="1">
        <v>45804</v>
      </c>
      <c r="D1669" t="s">
        <v>32</v>
      </c>
      <c r="E1669" t="s">
        <v>33</v>
      </c>
      <c r="F1669" t="s">
        <v>29</v>
      </c>
      <c r="G1669" t="s">
        <v>20</v>
      </c>
      <c r="H1669" t="s">
        <v>27</v>
      </c>
      <c r="I1669">
        <v>5</v>
      </c>
      <c r="J1669">
        <v>0</v>
      </c>
      <c r="K1669">
        <v>140.22999999999999</v>
      </c>
      <c r="L1669">
        <v>4.05</v>
      </c>
    </row>
    <row r="1670" spans="1:12" x14ac:dyDescent="0.25">
      <c r="A1670" t="s">
        <v>1717</v>
      </c>
      <c r="B1670" s="1">
        <v>46003</v>
      </c>
      <c r="C1670" s="1">
        <v>46006</v>
      </c>
      <c r="D1670" t="s">
        <v>47</v>
      </c>
      <c r="E1670" t="s">
        <v>50</v>
      </c>
      <c r="F1670" t="s">
        <v>15</v>
      </c>
      <c r="G1670" t="s">
        <v>20</v>
      </c>
      <c r="H1670" t="s">
        <v>30</v>
      </c>
      <c r="I1670">
        <v>5</v>
      </c>
      <c r="J1670">
        <v>0</v>
      </c>
      <c r="K1670">
        <v>43.24</v>
      </c>
      <c r="L1670">
        <v>4.05</v>
      </c>
    </row>
    <row r="1671" spans="1:12" x14ac:dyDescent="0.25">
      <c r="A1671" t="s">
        <v>1718</v>
      </c>
      <c r="B1671" s="1">
        <v>45351</v>
      </c>
      <c r="C1671" s="1">
        <v>45355</v>
      </c>
      <c r="D1671" t="s">
        <v>32</v>
      </c>
      <c r="E1671" t="s">
        <v>33</v>
      </c>
      <c r="F1671" t="s">
        <v>25</v>
      </c>
      <c r="G1671" t="s">
        <v>20</v>
      </c>
      <c r="H1671" t="s">
        <v>68</v>
      </c>
      <c r="I1671">
        <v>4</v>
      </c>
      <c r="J1671">
        <v>0</v>
      </c>
      <c r="K1671">
        <v>192.56</v>
      </c>
      <c r="L1671">
        <v>5.7</v>
      </c>
    </row>
    <row r="1672" spans="1:12" x14ac:dyDescent="0.25">
      <c r="A1672" t="s">
        <v>1719</v>
      </c>
      <c r="B1672" s="1">
        <v>45993</v>
      </c>
      <c r="C1672" s="1">
        <v>45994</v>
      </c>
      <c r="D1672" t="s">
        <v>23</v>
      </c>
      <c r="E1672" t="s">
        <v>24</v>
      </c>
      <c r="F1672" t="s">
        <v>25</v>
      </c>
      <c r="G1672" t="s">
        <v>16</v>
      </c>
      <c r="H1672" t="s">
        <v>51</v>
      </c>
      <c r="I1672">
        <v>6</v>
      </c>
      <c r="J1672">
        <v>0</v>
      </c>
      <c r="K1672">
        <v>122.26</v>
      </c>
      <c r="L1672">
        <v>7.2</v>
      </c>
    </row>
    <row r="1673" spans="1:12" x14ac:dyDescent="0.25">
      <c r="A1673" t="s">
        <v>1720</v>
      </c>
      <c r="B1673" s="1">
        <v>45786</v>
      </c>
      <c r="C1673" s="1">
        <v>45788</v>
      </c>
      <c r="D1673" t="s">
        <v>47</v>
      </c>
      <c r="E1673" t="s">
        <v>71</v>
      </c>
      <c r="F1673" t="s">
        <v>25</v>
      </c>
      <c r="G1673" t="s">
        <v>20</v>
      </c>
      <c r="H1673" t="s">
        <v>41</v>
      </c>
      <c r="I1673">
        <v>12</v>
      </c>
      <c r="J1673">
        <v>0</v>
      </c>
      <c r="K1673">
        <v>73.36</v>
      </c>
      <c r="L1673">
        <v>9.9</v>
      </c>
    </row>
    <row r="1674" spans="1:12" x14ac:dyDescent="0.25">
      <c r="A1674" t="s">
        <v>1721</v>
      </c>
      <c r="B1674" s="1">
        <v>45737</v>
      </c>
      <c r="C1674" s="1">
        <v>45740</v>
      </c>
      <c r="D1674" t="s">
        <v>47</v>
      </c>
      <c r="E1674" t="s">
        <v>48</v>
      </c>
      <c r="F1674" t="s">
        <v>29</v>
      </c>
      <c r="G1674" t="s">
        <v>26</v>
      </c>
      <c r="H1674" t="s">
        <v>37</v>
      </c>
      <c r="I1674">
        <v>1</v>
      </c>
      <c r="J1674">
        <v>0.15</v>
      </c>
      <c r="K1674">
        <v>85.06</v>
      </c>
      <c r="L1674">
        <v>4.08</v>
      </c>
    </row>
    <row r="1675" spans="1:12" x14ac:dyDescent="0.25">
      <c r="A1675" t="s">
        <v>1722</v>
      </c>
      <c r="B1675" s="1">
        <v>45373</v>
      </c>
      <c r="C1675" s="1">
        <v>45377</v>
      </c>
      <c r="D1675" t="s">
        <v>13</v>
      </c>
      <c r="E1675" t="s">
        <v>19</v>
      </c>
      <c r="F1675" t="s">
        <v>25</v>
      </c>
      <c r="G1675" t="s">
        <v>20</v>
      </c>
      <c r="H1675" t="s">
        <v>39</v>
      </c>
      <c r="I1675">
        <v>3</v>
      </c>
      <c r="J1675">
        <v>0</v>
      </c>
      <c r="K1675">
        <v>532.92999999999995</v>
      </c>
      <c r="L1675">
        <v>8.25</v>
      </c>
    </row>
    <row r="1676" spans="1:12" x14ac:dyDescent="0.25">
      <c r="A1676" t="s">
        <v>1723</v>
      </c>
      <c r="B1676" s="1">
        <v>45905</v>
      </c>
      <c r="C1676" s="1">
        <v>45907</v>
      </c>
      <c r="D1676" t="s">
        <v>47</v>
      </c>
      <c r="E1676" t="s">
        <v>71</v>
      </c>
      <c r="F1676" t="s">
        <v>29</v>
      </c>
      <c r="G1676" t="s">
        <v>16</v>
      </c>
      <c r="H1676" t="s">
        <v>87</v>
      </c>
      <c r="I1676">
        <v>7</v>
      </c>
      <c r="J1676">
        <v>0</v>
      </c>
      <c r="K1676">
        <v>61.53</v>
      </c>
      <c r="L1676">
        <v>7.65</v>
      </c>
    </row>
    <row r="1677" spans="1:12" x14ac:dyDescent="0.25">
      <c r="A1677" t="s">
        <v>1724</v>
      </c>
      <c r="B1677" s="1">
        <v>45584</v>
      </c>
      <c r="C1677" s="1">
        <v>45589</v>
      </c>
      <c r="D1677" t="s">
        <v>32</v>
      </c>
      <c r="E1677" t="s">
        <v>45</v>
      </c>
      <c r="F1677" t="s">
        <v>25</v>
      </c>
      <c r="G1677" t="s">
        <v>16</v>
      </c>
      <c r="H1677" t="s">
        <v>63</v>
      </c>
      <c r="I1677">
        <v>14</v>
      </c>
      <c r="J1677">
        <v>0</v>
      </c>
      <c r="K1677">
        <v>204.6</v>
      </c>
      <c r="L1677">
        <v>10.8</v>
      </c>
    </row>
    <row r="1678" spans="1:12" x14ac:dyDescent="0.25">
      <c r="A1678" t="s">
        <v>1725</v>
      </c>
      <c r="B1678" s="1">
        <v>45314</v>
      </c>
      <c r="C1678" s="1">
        <v>45316</v>
      </c>
      <c r="D1678" t="s">
        <v>13</v>
      </c>
      <c r="E1678" t="s">
        <v>36</v>
      </c>
      <c r="F1678" t="s">
        <v>25</v>
      </c>
      <c r="G1678" t="s">
        <v>20</v>
      </c>
      <c r="H1678" t="s">
        <v>30</v>
      </c>
      <c r="I1678">
        <v>20</v>
      </c>
      <c r="J1678">
        <v>0</v>
      </c>
      <c r="K1678">
        <v>101.61</v>
      </c>
      <c r="L1678">
        <v>8.1</v>
      </c>
    </row>
    <row r="1679" spans="1:12" x14ac:dyDescent="0.25">
      <c r="A1679" t="s">
        <v>1726</v>
      </c>
      <c r="B1679" s="1">
        <v>45698</v>
      </c>
      <c r="C1679" s="1">
        <v>45701</v>
      </c>
      <c r="D1679" t="s">
        <v>47</v>
      </c>
      <c r="E1679" t="s">
        <v>50</v>
      </c>
      <c r="F1679" t="s">
        <v>29</v>
      </c>
      <c r="G1679" t="s">
        <v>16</v>
      </c>
      <c r="H1679" t="s">
        <v>37</v>
      </c>
      <c r="I1679">
        <v>2</v>
      </c>
      <c r="J1679">
        <v>0</v>
      </c>
      <c r="K1679">
        <v>186.3</v>
      </c>
      <c r="L1679">
        <v>5.46</v>
      </c>
    </row>
    <row r="1680" spans="1:12" x14ac:dyDescent="0.25">
      <c r="A1680" t="s">
        <v>1727</v>
      </c>
      <c r="B1680" s="1">
        <v>45968</v>
      </c>
      <c r="C1680" s="1">
        <v>45971</v>
      </c>
      <c r="D1680" t="s">
        <v>13</v>
      </c>
      <c r="E1680" t="s">
        <v>14</v>
      </c>
      <c r="F1680" t="s">
        <v>25</v>
      </c>
      <c r="G1680" t="s">
        <v>20</v>
      </c>
      <c r="H1680" t="s">
        <v>63</v>
      </c>
      <c r="I1680">
        <v>9</v>
      </c>
      <c r="J1680">
        <v>0.1</v>
      </c>
      <c r="K1680">
        <v>125.51</v>
      </c>
      <c r="L1680">
        <v>5.13</v>
      </c>
    </row>
    <row r="1681" spans="1:12" x14ac:dyDescent="0.25">
      <c r="A1681" t="s">
        <v>1728</v>
      </c>
      <c r="B1681" s="1">
        <v>45827</v>
      </c>
      <c r="C1681" s="1">
        <v>45831</v>
      </c>
      <c r="D1681" t="s">
        <v>47</v>
      </c>
      <c r="E1681" t="s">
        <v>48</v>
      </c>
      <c r="F1681" t="s">
        <v>15</v>
      </c>
      <c r="G1681" t="s">
        <v>16</v>
      </c>
      <c r="H1681" t="s">
        <v>65</v>
      </c>
      <c r="I1681">
        <v>3</v>
      </c>
      <c r="J1681">
        <v>0.2</v>
      </c>
      <c r="K1681">
        <v>722.85</v>
      </c>
      <c r="L1681">
        <v>11.4</v>
      </c>
    </row>
    <row r="1682" spans="1:12" x14ac:dyDescent="0.25">
      <c r="A1682" t="s">
        <v>1729</v>
      </c>
      <c r="B1682" s="1">
        <v>45416</v>
      </c>
      <c r="C1682" s="1">
        <v>45418</v>
      </c>
      <c r="D1682" t="s">
        <v>23</v>
      </c>
      <c r="E1682" t="s">
        <v>43</v>
      </c>
      <c r="F1682" t="s">
        <v>15</v>
      </c>
      <c r="G1682" t="s">
        <v>26</v>
      </c>
      <c r="H1682" t="s">
        <v>87</v>
      </c>
      <c r="I1682">
        <v>11</v>
      </c>
      <c r="J1682">
        <v>0.05</v>
      </c>
      <c r="K1682">
        <v>92.96</v>
      </c>
      <c r="L1682">
        <v>5.67</v>
      </c>
    </row>
    <row r="1683" spans="1:12" x14ac:dyDescent="0.25">
      <c r="A1683" t="s">
        <v>1730</v>
      </c>
      <c r="B1683" s="1">
        <v>45550</v>
      </c>
      <c r="C1683" s="1">
        <v>45555</v>
      </c>
      <c r="D1683" t="s">
        <v>47</v>
      </c>
      <c r="E1683" t="s">
        <v>48</v>
      </c>
      <c r="F1683" t="s">
        <v>15</v>
      </c>
      <c r="G1683" t="s">
        <v>16</v>
      </c>
      <c r="H1683" t="s">
        <v>30</v>
      </c>
      <c r="I1683">
        <v>11</v>
      </c>
      <c r="J1683">
        <v>0</v>
      </c>
      <c r="K1683">
        <v>69.44</v>
      </c>
      <c r="L1683">
        <v>5.67</v>
      </c>
    </row>
    <row r="1684" spans="1:12" x14ac:dyDescent="0.25">
      <c r="A1684" t="s">
        <v>1731</v>
      </c>
      <c r="B1684" s="1">
        <v>45351</v>
      </c>
      <c r="C1684" s="1">
        <v>45352</v>
      </c>
      <c r="D1684" t="s">
        <v>47</v>
      </c>
      <c r="E1684" t="s">
        <v>71</v>
      </c>
      <c r="F1684" t="s">
        <v>15</v>
      </c>
      <c r="G1684" t="s">
        <v>26</v>
      </c>
      <c r="H1684" t="s">
        <v>87</v>
      </c>
      <c r="I1684">
        <v>20</v>
      </c>
      <c r="J1684">
        <v>0</v>
      </c>
      <c r="K1684">
        <v>157.63999999999999</v>
      </c>
      <c r="L1684">
        <v>8.1</v>
      </c>
    </row>
    <row r="1685" spans="1:12" x14ac:dyDescent="0.25">
      <c r="A1685" t="s">
        <v>1732</v>
      </c>
      <c r="B1685" s="1">
        <v>45625</v>
      </c>
      <c r="C1685" s="1">
        <v>45627</v>
      </c>
      <c r="D1685" t="s">
        <v>47</v>
      </c>
      <c r="E1685" t="s">
        <v>48</v>
      </c>
      <c r="F1685" t="s">
        <v>29</v>
      </c>
      <c r="G1685" t="s">
        <v>20</v>
      </c>
      <c r="H1685" t="s">
        <v>21</v>
      </c>
      <c r="I1685">
        <v>3</v>
      </c>
      <c r="J1685">
        <v>0</v>
      </c>
      <c r="K1685">
        <v>479.3</v>
      </c>
      <c r="L1685">
        <v>6.84</v>
      </c>
    </row>
    <row r="1686" spans="1:12" x14ac:dyDescent="0.25">
      <c r="A1686" t="s">
        <v>1733</v>
      </c>
      <c r="B1686" s="1">
        <v>45974</v>
      </c>
      <c r="C1686" s="1">
        <v>45978</v>
      </c>
      <c r="D1686" t="s">
        <v>13</v>
      </c>
      <c r="E1686" t="s">
        <v>14</v>
      </c>
      <c r="F1686" t="s">
        <v>29</v>
      </c>
      <c r="G1686" t="s">
        <v>20</v>
      </c>
      <c r="H1686" t="s">
        <v>53</v>
      </c>
      <c r="I1686">
        <v>2</v>
      </c>
      <c r="J1686">
        <v>0.25</v>
      </c>
      <c r="K1686">
        <v>115.51</v>
      </c>
      <c r="L1686">
        <v>7</v>
      </c>
    </row>
    <row r="1687" spans="1:12" x14ac:dyDescent="0.25">
      <c r="A1687" t="s">
        <v>1734</v>
      </c>
      <c r="B1687" s="1">
        <v>45488</v>
      </c>
      <c r="C1687" s="1">
        <v>45490</v>
      </c>
      <c r="D1687" t="s">
        <v>13</v>
      </c>
      <c r="E1687" t="s">
        <v>36</v>
      </c>
      <c r="F1687" t="s">
        <v>15</v>
      </c>
      <c r="G1687" t="s">
        <v>16</v>
      </c>
      <c r="H1687" t="s">
        <v>68</v>
      </c>
      <c r="I1687">
        <v>1</v>
      </c>
      <c r="J1687">
        <v>0</v>
      </c>
      <c r="K1687">
        <v>49.9</v>
      </c>
      <c r="L1687">
        <v>5.75</v>
      </c>
    </row>
    <row r="1688" spans="1:12" x14ac:dyDescent="0.25">
      <c r="A1688" t="s">
        <v>1735</v>
      </c>
      <c r="B1688" s="1">
        <v>45661</v>
      </c>
      <c r="C1688" s="1">
        <v>45666</v>
      </c>
      <c r="D1688" t="s">
        <v>47</v>
      </c>
      <c r="E1688" t="s">
        <v>48</v>
      </c>
      <c r="F1688" t="s">
        <v>29</v>
      </c>
      <c r="G1688" t="s">
        <v>26</v>
      </c>
      <c r="H1688" t="s">
        <v>17</v>
      </c>
      <c r="I1688">
        <v>1</v>
      </c>
      <c r="J1688">
        <v>0</v>
      </c>
      <c r="K1688">
        <v>115.14</v>
      </c>
      <c r="L1688">
        <v>5.75</v>
      </c>
    </row>
    <row r="1689" spans="1:12" x14ac:dyDescent="0.25">
      <c r="A1689" t="s">
        <v>1736</v>
      </c>
      <c r="B1689" s="1">
        <v>45415</v>
      </c>
      <c r="C1689" s="1">
        <v>45420</v>
      </c>
      <c r="D1689" t="s">
        <v>13</v>
      </c>
      <c r="E1689" t="s">
        <v>19</v>
      </c>
      <c r="F1689" t="s">
        <v>29</v>
      </c>
      <c r="G1689" t="s">
        <v>26</v>
      </c>
      <c r="H1689" t="s">
        <v>34</v>
      </c>
      <c r="I1689">
        <v>4</v>
      </c>
      <c r="J1689">
        <v>0</v>
      </c>
      <c r="K1689">
        <v>827.8</v>
      </c>
      <c r="L1689">
        <v>13.7</v>
      </c>
    </row>
    <row r="1690" spans="1:12" x14ac:dyDescent="0.25">
      <c r="A1690" t="s">
        <v>1737</v>
      </c>
      <c r="B1690" s="1">
        <v>45328</v>
      </c>
      <c r="C1690" s="1">
        <v>45333</v>
      </c>
      <c r="D1690" t="s">
        <v>13</v>
      </c>
      <c r="E1690" t="s">
        <v>14</v>
      </c>
      <c r="F1690" t="s">
        <v>25</v>
      </c>
      <c r="G1690" t="s">
        <v>26</v>
      </c>
      <c r="H1690" t="s">
        <v>60</v>
      </c>
      <c r="I1690">
        <v>4</v>
      </c>
      <c r="J1690">
        <v>0</v>
      </c>
      <c r="K1690">
        <v>387.47</v>
      </c>
      <c r="L1690">
        <v>9.5</v>
      </c>
    </row>
    <row r="1691" spans="1:12" x14ac:dyDescent="0.25">
      <c r="A1691" t="s">
        <v>1738</v>
      </c>
      <c r="B1691" s="1">
        <v>45503</v>
      </c>
      <c r="C1691" s="1">
        <v>45504</v>
      </c>
      <c r="D1691" t="s">
        <v>13</v>
      </c>
      <c r="E1691" t="s">
        <v>14</v>
      </c>
      <c r="F1691" t="s">
        <v>29</v>
      </c>
      <c r="G1691" t="s">
        <v>26</v>
      </c>
      <c r="H1691" t="s">
        <v>37</v>
      </c>
      <c r="I1691">
        <v>4</v>
      </c>
      <c r="J1691">
        <v>0.25</v>
      </c>
      <c r="K1691">
        <v>309.33</v>
      </c>
      <c r="L1691">
        <v>8.2200000000000006</v>
      </c>
    </row>
    <row r="1692" spans="1:12" x14ac:dyDescent="0.25">
      <c r="A1692" t="s">
        <v>1739</v>
      </c>
      <c r="B1692" s="1">
        <v>45619</v>
      </c>
      <c r="C1692" s="1">
        <v>45623</v>
      </c>
      <c r="D1692" t="s">
        <v>47</v>
      </c>
      <c r="E1692" t="s">
        <v>50</v>
      </c>
      <c r="F1692" t="s">
        <v>15</v>
      </c>
      <c r="G1692" t="s">
        <v>26</v>
      </c>
      <c r="H1692" t="s">
        <v>34</v>
      </c>
      <c r="I1692">
        <v>2</v>
      </c>
      <c r="J1692">
        <v>0</v>
      </c>
      <c r="K1692">
        <v>563.92999999999995</v>
      </c>
      <c r="L1692">
        <v>9.1</v>
      </c>
    </row>
    <row r="1693" spans="1:12" x14ac:dyDescent="0.25">
      <c r="A1693" t="s">
        <v>1740</v>
      </c>
      <c r="B1693" s="1">
        <v>45709</v>
      </c>
      <c r="C1693" s="1">
        <v>45715</v>
      </c>
      <c r="D1693" t="s">
        <v>23</v>
      </c>
      <c r="E1693" t="s">
        <v>59</v>
      </c>
      <c r="F1693" t="s">
        <v>29</v>
      </c>
      <c r="G1693" t="s">
        <v>26</v>
      </c>
      <c r="H1693" t="s">
        <v>53</v>
      </c>
      <c r="I1693">
        <v>3</v>
      </c>
      <c r="J1693">
        <v>0.15</v>
      </c>
      <c r="K1693">
        <v>136.47999999999999</v>
      </c>
      <c r="L1693">
        <v>8.25</v>
      </c>
    </row>
    <row r="1694" spans="1:12" x14ac:dyDescent="0.25">
      <c r="A1694" t="s">
        <v>1741</v>
      </c>
      <c r="B1694" s="1">
        <v>45341</v>
      </c>
      <c r="C1694" s="1">
        <v>45344</v>
      </c>
      <c r="D1694" t="s">
        <v>32</v>
      </c>
      <c r="E1694" t="s">
        <v>45</v>
      </c>
      <c r="F1694" t="s">
        <v>25</v>
      </c>
      <c r="G1694" t="s">
        <v>20</v>
      </c>
      <c r="H1694" t="s">
        <v>87</v>
      </c>
      <c r="I1694">
        <v>4</v>
      </c>
      <c r="J1694">
        <v>0.25</v>
      </c>
      <c r="K1694">
        <v>21.24</v>
      </c>
      <c r="L1694">
        <v>6.3</v>
      </c>
    </row>
    <row r="1695" spans="1:12" x14ac:dyDescent="0.25">
      <c r="A1695" t="s">
        <v>1742</v>
      </c>
      <c r="B1695" s="1">
        <v>45973</v>
      </c>
      <c r="C1695" s="1">
        <v>45976</v>
      </c>
      <c r="D1695" t="s">
        <v>13</v>
      </c>
      <c r="E1695" t="s">
        <v>14</v>
      </c>
      <c r="F1695" t="s">
        <v>25</v>
      </c>
      <c r="G1695" t="s">
        <v>16</v>
      </c>
      <c r="H1695" t="s">
        <v>30</v>
      </c>
      <c r="I1695">
        <v>12</v>
      </c>
      <c r="J1695">
        <v>0.25</v>
      </c>
      <c r="K1695">
        <v>77.34</v>
      </c>
      <c r="L1695">
        <v>5.94</v>
      </c>
    </row>
    <row r="1696" spans="1:12" x14ac:dyDescent="0.25">
      <c r="A1696" t="s">
        <v>1743</v>
      </c>
      <c r="B1696" s="1">
        <v>45530</v>
      </c>
      <c r="C1696" s="1">
        <v>45536</v>
      </c>
      <c r="D1696" t="s">
        <v>47</v>
      </c>
      <c r="E1696" t="s">
        <v>48</v>
      </c>
      <c r="F1696" t="s">
        <v>29</v>
      </c>
      <c r="G1696" t="s">
        <v>16</v>
      </c>
      <c r="H1696" t="s">
        <v>51</v>
      </c>
      <c r="I1696">
        <v>12</v>
      </c>
      <c r="J1696">
        <v>0.05</v>
      </c>
      <c r="K1696">
        <v>165.42</v>
      </c>
      <c r="L1696">
        <v>9.9</v>
      </c>
    </row>
    <row r="1697" spans="1:12" x14ac:dyDescent="0.25">
      <c r="A1697" t="s">
        <v>1744</v>
      </c>
      <c r="B1697" s="1">
        <v>45298</v>
      </c>
      <c r="C1697" s="1">
        <v>45302</v>
      </c>
      <c r="D1697" t="s">
        <v>47</v>
      </c>
      <c r="E1697" t="s">
        <v>48</v>
      </c>
      <c r="F1697" t="s">
        <v>29</v>
      </c>
      <c r="G1697" t="s">
        <v>26</v>
      </c>
      <c r="H1697" t="s">
        <v>60</v>
      </c>
      <c r="I1697">
        <v>4</v>
      </c>
      <c r="J1697">
        <v>0.05</v>
      </c>
      <c r="K1697">
        <v>386.73</v>
      </c>
      <c r="L1697">
        <v>9.5</v>
      </c>
    </row>
    <row r="1698" spans="1:12" x14ac:dyDescent="0.25">
      <c r="A1698" t="s">
        <v>1745</v>
      </c>
      <c r="B1698" s="1">
        <v>45356</v>
      </c>
      <c r="C1698" s="1">
        <v>45358</v>
      </c>
      <c r="D1698" t="s">
        <v>32</v>
      </c>
      <c r="E1698" t="s">
        <v>45</v>
      </c>
      <c r="F1698" t="s">
        <v>29</v>
      </c>
      <c r="G1698" t="s">
        <v>16</v>
      </c>
      <c r="H1698" t="s">
        <v>34</v>
      </c>
      <c r="I1698">
        <v>2</v>
      </c>
      <c r="J1698">
        <v>0.15</v>
      </c>
      <c r="K1698">
        <v>310.36</v>
      </c>
      <c r="L1698">
        <v>9.1</v>
      </c>
    </row>
    <row r="1699" spans="1:12" x14ac:dyDescent="0.25">
      <c r="A1699" t="s">
        <v>1746</v>
      </c>
      <c r="B1699" s="1">
        <v>45402</v>
      </c>
      <c r="C1699" s="1">
        <v>45404</v>
      </c>
      <c r="D1699" t="s">
        <v>47</v>
      </c>
      <c r="E1699" t="s">
        <v>48</v>
      </c>
      <c r="F1699" t="s">
        <v>25</v>
      </c>
      <c r="G1699" t="s">
        <v>26</v>
      </c>
      <c r="H1699" t="s">
        <v>60</v>
      </c>
      <c r="I1699">
        <v>3</v>
      </c>
      <c r="J1699">
        <v>0</v>
      </c>
      <c r="K1699">
        <v>337.75</v>
      </c>
      <c r="L1699">
        <v>4.95</v>
      </c>
    </row>
    <row r="1700" spans="1:12" x14ac:dyDescent="0.25">
      <c r="A1700" t="s">
        <v>1747</v>
      </c>
      <c r="B1700" s="1">
        <v>45454</v>
      </c>
      <c r="C1700" s="1">
        <v>45460</v>
      </c>
      <c r="D1700" t="s">
        <v>13</v>
      </c>
      <c r="E1700" t="s">
        <v>36</v>
      </c>
      <c r="F1700" t="s">
        <v>15</v>
      </c>
      <c r="G1700" t="s">
        <v>26</v>
      </c>
      <c r="H1700" t="s">
        <v>41</v>
      </c>
      <c r="I1700">
        <v>4</v>
      </c>
      <c r="J1700">
        <v>0.25</v>
      </c>
      <c r="K1700">
        <v>18.2</v>
      </c>
      <c r="L1700">
        <v>6.3</v>
      </c>
    </row>
    <row r="1701" spans="1:12" x14ac:dyDescent="0.25">
      <c r="A1701" t="s">
        <v>1748</v>
      </c>
      <c r="B1701" s="1">
        <v>45696</v>
      </c>
      <c r="C1701" s="1">
        <v>45698</v>
      </c>
      <c r="D1701" t="s">
        <v>47</v>
      </c>
      <c r="E1701" t="s">
        <v>50</v>
      </c>
      <c r="F1701" t="s">
        <v>25</v>
      </c>
      <c r="G1701" t="s">
        <v>16</v>
      </c>
      <c r="H1701" t="s">
        <v>51</v>
      </c>
      <c r="I1701">
        <v>10</v>
      </c>
      <c r="J1701">
        <v>0</v>
      </c>
      <c r="K1701">
        <v>130.68</v>
      </c>
      <c r="L1701">
        <v>5.4</v>
      </c>
    </row>
    <row r="1702" spans="1:12" x14ac:dyDescent="0.25">
      <c r="A1702" t="s">
        <v>1749</v>
      </c>
      <c r="B1702" s="1">
        <v>45883</v>
      </c>
      <c r="C1702" s="1">
        <v>45885</v>
      </c>
      <c r="D1702" t="s">
        <v>32</v>
      </c>
      <c r="E1702" t="s">
        <v>62</v>
      </c>
      <c r="F1702" t="s">
        <v>29</v>
      </c>
      <c r="G1702" t="s">
        <v>16</v>
      </c>
      <c r="H1702" t="s">
        <v>68</v>
      </c>
      <c r="I1702">
        <v>4</v>
      </c>
      <c r="J1702">
        <v>0</v>
      </c>
      <c r="K1702">
        <v>185.41</v>
      </c>
      <c r="L1702">
        <v>9.5</v>
      </c>
    </row>
    <row r="1703" spans="1:12" x14ac:dyDescent="0.25">
      <c r="A1703" t="s">
        <v>1750</v>
      </c>
      <c r="B1703" s="1">
        <v>45916</v>
      </c>
      <c r="C1703" s="1">
        <v>45918</v>
      </c>
      <c r="D1703" t="s">
        <v>13</v>
      </c>
      <c r="E1703" t="s">
        <v>36</v>
      </c>
      <c r="F1703" t="s">
        <v>15</v>
      </c>
      <c r="G1703" t="s">
        <v>26</v>
      </c>
      <c r="H1703" t="s">
        <v>21</v>
      </c>
      <c r="I1703">
        <v>4</v>
      </c>
      <c r="J1703">
        <v>0.15</v>
      </c>
      <c r="K1703">
        <v>431.49</v>
      </c>
      <c r="L1703">
        <v>13.7</v>
      </c>
    </row>
    <row r="1704" spans="1:12" x14ac:dyDescent="0.25">
      <c r="A1704" t="s">
        <v>1751</v>
      </c>
      <c r="B1704" s="1">
        <v>45490</v>
      </c>
      <c r="C1704" s="1">
        <v>45496</v>
      </c>
      <c r="D1704" t="s">
        <v>47</v>
      </c>
      <c r="E1704" t="s">
        <v>48</v>
      </c>
      <c r="F1704" t="s">
        <v>15</v>
      </c>
      <c r="G1704" t="s">
        <v>26</v>
      </c>
      <c r="H1704" t="s">
        <v>27</v>
      </c>
      <c r="I1704">
        <v>7</v>
      </c>
      <c r="J1704">
        <v>0</v>
      </c>
      <c r="K1704">
        <v>172.59</v>
      </c>
      <c r="L1704">
        <v>7.65</v>
      </c>
    </row>
    <row r="1705" spans="1:12" x14ac:dyDescent="0.25">
      <c r="A1705" t="s">
        <v>1752</v>
      </c>
      <c r="B1705" s="1">
        <v>45849</v>
      </c>
      <c r="C1705" s="1">
        <v>45855</v>
      </c>
      <c r="D1705" t="s">
        <v>47</v>
      </c>
      <c r="E1705" t="s">
        <v>50</v>
      </c>
      <c r="F1705" t="s">
        <v>25</v>
      </c>
      <c r="G1705" t="s">
        <v>20</v>
      </c>
      <c r="H1705" t="s">
        <v>63</v>
      </c>
      <c r="I1705">
        <v>9</v>
      </c>
      <c r="J1705">
        <v>0</v>
      </c>
      <c r="K1705">
        <v>102.31</v>
      </c>
      <c r="L1705">
        <v>5.13</v>
      </c>
    </row>
    <row r="1706" spans="1:12" x14ac:dyDescent="0.25">
      <c r="A1706" t="s">
        <v>1753</v>
      </c>
      <c r="B1706" s="1">
        <v>45701</v>
      </c>
      <c r="C1706" s="1">
        <v>45706</v>
      </c>
      <c r="D1706" t="s">
        <v>32</v>
      </c>
      <c r="E1706" t="s">
        <v>33</v>
      </c>
      <c r="F1706" t="s">
        <v>25</v>
      </c>
      <c r="G1706" t="s">
        <v>16</v>
      </c>
      <c r="H1706" t="s">
        <v>41</v>
      </c>
      <c r="I1706">
        <v>7</v>
      </c>
      <c r="J1706">
        <v>0</v>
      </c>
      <c r="K1706">
        <v>39.770000000000003</v>
      </c>
      <c r="L1706">
        <v>4.59</v>
      </c>
    </row>
    <row r="1707" spans="1:12" x14ac:dyDescent="0.25">
      <c r="A1707" t="s">
        <v>1754</v>
      </c>
      <c r="B1707" s="1">
        <v>45443</v>
      </c>
      <c r="C1707" s="1">
        <v>45444</v>
      </c>
      <c r="D1707" t="s">
        <v>47</v>
      </c>
      <c r="E1707" t="s">
        <v>48</v>
      </c>
      <c r="F1707" t="s">
        <v>15</v>
      </c>
      <c r="G1707" t="s">
        <v>16</v>
      </c>
      <c r="H1707" t="s">
        <v>17</v>
      </c>
      <c r="I1707">
        <v>1</v>
      </c>
      <c r="J1707">
        <v>0</v>
      </c>
      <c r="K1707">
        <v>132.47999999999999</v>
      </c>
      <c r="L1707">
        <v>3.45</v>
      </c>
    </row>
    <row r="1708" spans="1:12" x14ac:dyDescent="0.25">
      <c r="A1708" t="s">
        <v>1755</v>
      </c>
      <c r="B1708" s="1">
        <v>45846</v>
      </c>
      <c r="C1708" s="1">
        <v>45852</v>
      </c>
      <c r="D1708" t="s">
        <v>47</v>
      </c>
      <c r="E1708" t="s">
        <v>48</v>
      </c>
      <c r="F1708" t="s">
        <v>29</v>
      </c>
      <c r="G1708" t="s">
        <v>20</v>
      </c>
      <c r="H1708" t="s">
        <v>30</v>
      </c>
      <c r="I1708">
        <v>13</v>
      </c>
      <c r="J1708">
        <v>0</v>
      </c>
      <c r="K1708">
        <v>75.31</v>
      </c>
      <c r="L1708">
        <v>10.35</v>
      </c>
    </row>
    <row r="1709" spans="1:12" x14ac:dyDescent="0.25">
      <c r="A1709" t="s">
        <v>1756</v>
      </c>
      <c r="B1709" s="1">
        <v>45497</v>
      </c>
      <c r="C1709" s="1">
        <v>45498</v>
      </c>
      <c r="D1709" t="s">
        <v>32</v>
      </c>
      <c r="E1709" t="s">
        <v>45</v>
      </c>
      <c r="F1709" t="s">
        <v>25</v>
      </c>
      <c r="G1709" t="s">
        <v>26</v>
      </c>
      <c r="H1709" t="s">
        <v>41</v>
      </c>
      <c r="I1709">
        <v>14</v>
      </c>
      <c r="J1709">
        <v>0.2</v>
      </c>
      <c r="K1709">
        <v>64.36</v>
      </c>
      <c r="L1709">
        <v>6.48</v>
      </c>
    </row>
    <row r="1710" spans="1:12" x14ac:dyDescent="0.25">
      <c r="A1710" t="s">
        <v>1757</v>
      </c>
      <c r="B1710" s="1">
        <v>45599</v>
      </c>
      <c r="C1710" s="1">
        <v>45602</v>
      </c>
      <c r="D1710" t="s">
        <v>47</v>
      </c>
      <c r="E1710" t="s">
        <v>48</v>
      </c>
      <c r="F1710" t="s">
        <v>15</v>
      </c>
      <c r="G1710" t="s">
        <v>26</v>
      </c>
      <c r="H1710" t="s">
        <v>17</v>
      </c>
      <c r="I1710">
        <v>3</v>
      </c>
      <c r="J1710">
        <v>0</v>
      </c>
      <c r="K1710">
        <v>505.49</v>
      </c>
      <c r="L1710">
        <v>8.25</v>
      </c>
    </row>
    <row r="1711" spans="1:12" x14ac:dyDescent="0.25">
      <c r="A1711" t="s">
        <v>1758</v>
      </c>
      <c r="B1711" s="1">
        <v>45338</v>
      </c>
      <c r="C1711" s="1">
        <v>45339</v>
      </c>
      <c r="D1711" t="s">
        <v>23</v>
      </c>
      <c r="E1711" t="s">
        <v>24</v>
      </c>
      <c r="F1711" t="s">
        <v>29</v>
      </c>
      <c r="G1711" t="s">
        <v>16</v>
      </c>
      <c r="H1711" t="s">
        <v>68</v>
      </c>
      <c r="I1711">
        <v>1</v>
      </c>
      <c r="J1711">
        <v>0.25</v>
      </c>
      <c r="K1711">
        <v>36.85</v>
      </c>
      <c r="L1711">
        <v>3.45</v>
      </c>
    </row>
    <row r="1712" spans="1:12" x14ac:dyDescent="0.25">
      <c r="A1712" t="s">
        <v>1759</v>
      </c>
      <c r="B1712" s="1">
        <v>45433</v>
      </c>
      <c r="C1712" s="1">
        <v>45435</v>
      </c>
      <c r="D1712" t="s">
        <v>32</v>
      </c>
      <c r="E1712" t="s">
        <v>33</v>
      </c>
      <c r="F1712" t="s">
        <v>29</v>
      </c>
      <c r="G1712" t="s">
        <v>20</v>
      </c>
      <c r="H1712" t="s">
        <v>53</v>
      </c>
      <c r="I1712">
        <v>3</v>
      </c>
      <c r="J1712">
        <v>0.2</v>
      </c>
      <c r="K1712">
        <v>130.24</v>
      </c>
      <c r="L1712">
        <v>4.95</v>
      </c>
    </row>
    <row r="1713" spans="1:12" x14ac:dyDescent="0.25">
      <c r="A1713" t="s">
        <v>1760</v>
      </c>
      <c r="B1713" s="1">
        <v>45961</v>
      </c>
      <c r="C1713" s="1">
        <v>45962</v>
      </c>
      <c r="D1713" t="s">
        <v>32</v>
      </c>
      <c r="E1713" t="s">
        <v>45</v>
      </c>
      <c r="F1713" t="s">
        <v>29</v>
      </c>
      <c r="G1713" t="s">
        <v>26</v>
      </c>
      <c r="H1713" t="s">
        <v>87</v>
      </c>
      <c r="I1713">
        <v>10</v>
      </c>
      <c r="J1713">
        <v>0</v>
      </c>
      <c r="K1713">
        <v>99.66</v>
      </c>
      <c r="L1713">
        <v>9</v>
      </c>
    </row>
    <row r="1714" spans="1:12" x14ac:dyDescent="0.25">
      <c r="A1714" t="s">
        <v>1761</v>
      </c>
      <c r="B1714" s="1">
        <v>45341</v>
      </c>
      <c r="C1714" s="1">
        <v>45347</v>
      </c>
      <c r="D1714" t="s">
        <v>13</v>
      </c>
      <c r="E1714" t="s">
        <v>14</v>
      </c>
      <c r="F1714" t="s">
        <v>25</v>
      </c>
      <c r="G1714" t="s">
        <v>20</v>
      </c>
      <c r="H1714" t="s">
        <v>27</v>
      </c>
      <c r="I1714">
        <v>12</v>
      </c>
      <c r="J1714">
        <v>0</v>
      </c>
      <c r="K1714">
        <v>316.56</v>
      </c>
      <c r="L1714">
        <v>9.9</v>
      </c>
    </row>
    <row r="1715" spans="1:12" x14ac:dyDescent="0.25">
      <c r="A1715" t="s">
        <v>1762</v>
      </c>
      <c r="B1715" s="1">
        <v>45970</v>
      </c>
      <c r="C1715" s="1">
        <v>45971</v>
      </c>
      <c r="D1715" t="s">
        <v>13</v>
      </c>
      <c r="E1715" t="s">
        <v>14</v>
      </c>
      <c r="F1715" t="s">
        <v>15</v>
      </c>
      <c r="G1715" t="s">
        <v>16</v>
      </c>
      <c r="H1715" t="s">
        <v>63</v>
      </c>
      <c r="I1715">
        <v>12</v>
      </c>
      <c r="J1715">
        <v>0</v>
      </c>
      <c r="K1715">
        <v>187.67</v>
      </c>
      <c r="L1715">
        <v>9.9</v>
      </c>
    </row>
    <row r="1716" spans="1:12" x14ac:dyDescent="0.25">
      <c r="A1716" t="s">
        <v>1763</v>
      </c>
      <c r="B1716" s="1">
        <v>45641</v>
      </c>
      <c r="C1716" s="1">
        <v>45647</v>
      </c>
      <c r="D1716" t="s">
        <v>13</v>
      </c>
      <c r="E1716" t="s">
        <v>14</v>
      </c>
      <c r="F1716" t="s">
        <v>25</v>
      </c>
      <c r="G1716" t="s">
        <v>16</v>
      </c>
      <c r="H1716" t="s">
        <v>68</v>
      </c>
      <c r="I1716">
        <v>3</v>
      </c>
      <c r="J1716">
        <v>0</v>
      </c>
      <c r="K1716">
        <v>231.6</v>
      </c>
      <c r="L1716">
        <v>4.95</v>
      </c>
    </row>
    <row r="1717" spans="1:12" x14ac:dyDescent="0.25">
      <c r="A1717" t="s">
        <v>1764</v>
      </c>
      <c r="B1717" s="1">
        <v>45771</v>
      </c>
      <c r="C1717" s="1">
        <v>45776</v>
      </c>
      <c r="D1717" t="s">
        <v>47</v>
      </c>
      <c r="E1717" t="s">
        <v>50</v>
      </c>
      <c r="F1717" t="s">
        <v>15</v>
      </c>
      <c r="G1717" t="s">
        <v>16</v>
      </c>
      <c r="H1717" t="s">
        <v>87</v>
      </c>
      <c r="I1717">
        <v>9</v>
      </c>
      <c r="J1717">
        <v>0.15</v>
      </c>
      <c r="K1717">
        <v>64.91</v>
      </c>
      <c r="L1717">
        <v>5.13</v>
      </c>
    </row>
    <row r="1718" spans="1:12" x14ac:dyDescent="0.25">
      <c r="A1718" t="s">
        <v>1765</v>
      </c>
      <c r="B1718" s="1">
        <v>45656</v>
      </c>
      <c r="C1718" s="1">
        <v>45659</v>
      </c>
      <c r="D1718" t="s">
        <v>13</v>
      </c>
      <c r="E1718" t="s">
        <v>14</v>
      </c>
      <c r="F1718" t="s">
        <v>15</v>
      </c>
      <c r="G1718" t="s">
        <v>26</v>
      </c>
      <c r="H1718" t="s">
        <v>87</v>
      </c>
      <c r="I1718">
        <v>20</v>
      </c>
      <c r="J1718">
        <v>0</v>
      </c>
      <c r="K1718">
        <v>233.91</v>
      </c>
      <c r="L1718">
        <v>8.1</v>
      </c>
    </row>
    <row r="1719" spans="1:12" x14ac:dyDescent="0.25">
      <c r="A1719" t="s">
        <v>1766</v>
      </c>
      <c r="B1719" s="1">
        <v>45302</v>
      </c>
      <c r="C1719" s="1">
        <v>45306</v>
      </c>
      <c r="D1719" t="s">
        <v>32</v>
      </c>
      <c r="E1719" t="s">
        <v>33</v>
      </c>
      <c r="F1719" t="s">
        <v>29</v>
      </c>
      <c r="G1719" t="s">
        <v>20</v>
      </c>
      <c r="H1719" t="s">
        <v>37</v>
      </c>
      <c r="I1719">
        <v>3</v>
      </c>
      <c r="J1719">
        <v>0</v>
      </c>
      <c r="K1719">
        <v>290.23</v>
      </c>
      <c r="L1719">
        <v>6.84</v>
      </c>
    </row>
    <row r="1720" spans="1:12" x14ac:dyDescent="0.25">
      <c r="A1720" t="s">
        <v>1767</v>
      </c>
      <c r="B1720" s="1">
        <v>45566</v>
      </c>
      <c r="C1720" s="1">
        <v>45569</v>
      </c>
      <c r="D1720" t="s">
        <v>23</v>
      </c>
      <c r="E1720" t="s">
        <v>24</v>
      </c>
      <c r="F1720" t="s">
        <v>15</v>
      </c>
      <c r="G1720" t="s">
        <v>20</v>
      </c>
      <c r="H1720" t="s">
        <v>63</v>
      </c>
      <c r="I1720">
        <v>12</v>
      </c>
      <c r="J1720">
        <v>0.05</v>
      </c>
      <c r="K1720">
        <v>152.09</v>
      </c>
      <c r="L1720">
        <v>9.9</v>
      </c>
    </row>
    <row r="1721" spans="1:12" x14ac:dyDescent="0.25">
      <c r="A1721" t="s">
        <v>1768</v>
      </c>
      <c r="B1721" s="1">
        <v>45548</v>
      </c>
      <c r="C1721" s="1">
        <v>45552</v>
      </c>
      <c r="D1721" t="s">
        <v>13</v>
      </c>
      <c r="E1721" t="s">
        <v>36</v>
      </c>
      <c r="F1721" t="s">
        <v>29</v>
      </c>
      <c r="G1721" t="s">
        <v>26</v>
      </c>
      <c r="H1721" t="s">
        <v>65</v>
      </c>
      <c r="I1721">
        <v>1</v>
      </c>
      <c r="J1721">
        <v>0</v>
      </c>
      <c r="K1721">
        <v>314.68</v>
      </c>
      <c r="L1721">
        <v>6.8</v>
      </c>
    </row>
    <row r="1722" spans="1:12" x14ac:dyDescent="0.25">
      <c r="A1722" t="s">
        <v>1769</v>
      </c>
      <c r="B1722" s="1">
        <v>45515</v>
      </c>
      <c r="C1722" s="1">
        <v>45517</v>
      </c>
      <c r="D1722" t="s">
        <v>47</v>
      </c>
      <c r="E1722" t="s">
        <v>50</v>
      </c>
      <c r="F1722" t="s">
        <v>25</v>
      </c>
      <c r="G1722" t="s">
        <v>20</v>
      </c>
      <c r="H1722" t="s">
        <v>39</v>
      </c>
      <c r="I1722">
        <v>3</v>
      </c>
      <c r="J1722">
        <v>0</v>
      </c>
      <c r="K1722">
        <v>566.70000000000005</v>
      </c>
      <c r="L1722">
        <v>4.95</v>
      </c>
    </row>
    <row r="1723" spans="1:12" x14ac:dyDescent="0.25">
      <c r="A1723" t="s">
        <v>1770</v>
      </c>
      <c r="B1723" s="1">
        <v>45987</v>
      </c>
      <c r="C1723" s="1">
        <v>45992</v>
      </c>
      <c r="D1723" t="s">
        <v>47</v>
      </c>
      <c r="E1723" t="s">
        <v>50</v>
      </c>
      <c r="F1723" t="s">
        <v>25</v>
      </c>
      <c r="G1723" t="s">
        <v>26</v>
      </c>
      <c r="H1723" t="s">
        <v>30</v>
      </c>
      <c r="I1723">
        <v>11</v>
      </c>
      <c r="J1723">
        <v>0.25</v>
      </c>
      <c r="K1723">
        <v>69.73</v>
      </c>
      <c r="L1723">
        <v>5.67</v>
      </c>
    </row>
    <row r="1724" spans="1:12" x14ac:dyDescent="0.25">
      <c r="A1724" t="s">
        <v>1771</v>
      </c>
      <c r="B1724" s="1">
        <v>45479</v>
      </c>
      <c r="C1724" s="1">
        <v>45484</v>
      </c>
      <c r="D1724" t="s">
        <v>23</v>
      </c>
      <c r="E1724" t="s">
        <v>24</v>
      </c>
      <c r="F1724" t="s">
        <v>15</v>
      </c>
      <c r="G1724" t="s">
        <v>20</v>
      </c>
      <c r="H1724" t="s">
        <v>27</v>
      </c>
      <c r="I1724">
        <v>10</v>
      </c>
      <c r="J1724">
        <v>0</v>
      </c>
      <c r="K1724">
        <v>265.04000000000002</v>
      </c>
      <c r="L1724">
        <v>5.4</v>
      </c>
    </row>
    <row r="1725" spans="1:12" x14ac:dyDescent="0.25">
      <c r="A1725" t="s">
        <v>1772</v>
      </c>
      <c r="B1725" s="1">
        <v>45891</v>
      </c>
      <c r="C1725" s="1">
        <v>45896</v>
      </c>
      <c r="D1725" t="s">
        <v>13</v>
      </c>
      <c r="E1725" t="s">
        <v>36</v>
      </c>
      <c r="F1725" t="s">
        <v>15</v>
      </c>
      <c r="G1725" t="s">
        <v>20</v>
      </c>
      <c r="H1725" t="s">
        <v>63</v>
      </c>
      <c r="I1725">
        <v>25</v>
      </c>
      <c r="J1725">
        <v>0</v>
      </c>
      <c r="K1725">
        <v>272.45999999999998</v>
      </c>
      <c r="L1725">
        <v>15.75</v>
      </c>
    </row>
    <row r="1726" spans="1:12" x14ac:dyDescent="0.25">
      <c r="A1726" t="s">
        <v>1773</v>
      </c>
      <c r="B1726" s="1">
        <v>45465</v>
      </c>
      <c r="C1726" s="1">
        <v>45468</v>
      </c>
      <c r="D1726" t="s">
        <v>23</v>
      </c>
      <c r="E1726" t="s">
        <v>24</v>
      </c>
      <c r="F1726" t="s">
        <v>15</v>
      </c>
      <c r="G1726" t="s">
        <v>16</v>
      </c>
      <c r="H1726" t="s">
        <v>87</v>
      </c>
      <c r="I1726">
        <v>3</v>
      </c>
      <c r="J1726">
        <v>0</v>
      </c>
      <c r="K1726">
        <v>26.52</v>
      </c>
      <c r="L1726">
        <v>3.51</v>
      </c>
    </row>
    <row r="1727" spans="1:12" x14ac:dyDescent="0.25">
      <c r="A1727" t="s">
        <v>1774</v>
      </c>
      <c r="B1727" s="1">
        <v>45783</v>
      </c>
      <c r="C1727" s="1">
        <v>45786</v>
      </c>
      <c r="D1727" t="s">
        <v>13</v>
      </c>
      <c r="E1727" t="s">
        <v>19</v>
      </c>
      <c r="F1727" t="s">
        <v>15</v>
      </c>
      <c r="G1727" t="s">
        <v>26</v>
      </c>
      <c r="H1727" t="s">
        <v>34</v>
      </c>
      <c r="I1727">
        <v>1</v>
      </c>
      <c r="J1727">
        <v>0</v>
      </c>
      <c r="K1727">
        <v>202.23</v>
      </c>
      <c r="L1727">
        <v>4.08</v>
      </c>
    </row>
    <row r="1728" spans="1:12" x14ac:dyDescent="0.25">
      <c r="A1728" t="s">
        <v>1775</v>
      </c>
      <c r="B1728" s="1">
        <v>45723</v>
      </c>
      <c r="C1728" s="1">
        <v>45729</v>
      </c>
      <c r="D1728" t="s">
        <v>13</v>
      </c>
      <c r="E1728" t="s">
        <v>19</v>
      </c>
      <c r="F1728" t="s">
        <v>15</v>
      </c>
      <c r="G1728" t="s">
        <v>16</v>
      </c>
      <c r="H1728" t="s">
        <v>68</v>
      </c>
      <c r="I1728">
        <v>2</v>
      </c>
      <c r="J1728">
        <v>0</v>
      </c>
      <c r="K1728">
        <v>92.79</v>
      </c>
      <c r="L1728">
        <v>4.2</v>
      </c>
    </row>
    <row r="1729" spans="1:12" x14ac:dyDescent="0.25">
      <c r="A1729" t="s">
        <v>1776</v>
      </c>
      <c r="B1729" s="1">
        <v>45367</v>
      </c>
      <c r="C1729" s="1">
        <v>45369</v>
      </c>
      <c r="D1729" t="s">
        <v>13</v>
      </c>
      <c r="E1729" t="s">
        <v>19</v>
      </c>
      <c r="F1729" t="s">
        <v>25</v>
      </c>
      <c r="G1729" t="s">
        <v>20</v>
      </c>
      <c r="H1729" t="s">
        <v>68</v>
      </c>
      <c r="I1729">
        <v>4</v>
      </c>
      <c r="J1729">
        <v>0</v>
      </c>
      <c r="K1729">
        <v>203.94</v>
      </c>
      <c r="L1729">
        <v>5.7</v>
      </c>
    </row>
    <row r="1730" spans="1:12" x14ac:dyDescent="0.25">
      <c r="A1730" t="s">
        <v>1777</v>
      </c>
      <c r="B1730" s="1">
        <v>45506</v>
      </c>
      <c r="C1730" s="1">
        <v>45512</v>
      </c>
      <c r="D1730" t="s">
        <v>13</v>
      </c>
      <c r="E1730" t="s">
        <v>36</v>
      </c>
      <c r="F1730" t="s">
        <v>29</v>
      </c>
      <c r="G1730" t="s">
        <v>20</v>
      </c>
      <c r="H1730" t="s">
        <v>60</v>
      </c>
      <c r="I1730">
        <v>4</v>
      </c>
      <c r="J1730">
        <v>0.1</v>
      </c>
      <c r="K1730">
        <v>379.5</v>
      </c>
      <c r="L1730">
        <v>9.5</v>
      </c>
    </row>
    <row r="1731" spans="1:12" x14ac:dyDescent="0.25">
      <c r="A1731" t="s">
        <v>1778</v>
      </c>
      <c r="B1731" s="1">
        <v>45909</v>
      </c>
      <c r="C1731" s="1">
        <v>45912</v>
      </c>
      <c r="D1731" t="s">
        <v>47</v>
      </c>
      <c r="E1731" t="s">
        <v>50</v>
      </c>
      <c r="F1731" t="s">
        <v>15</v>
      </c>
      <c r="G1731" t="s">
        <v>26</v>
      </c>
      <c r="H1731" t="s">
        <v>87</v>
      </c>
      <c r="I1731">
        <v>8</v>
      </c>
      <c r="J1731">
        <v>0.05</v>
      </c>
      <c r="K1731">
        <v>64.42</v>
      </c>
      <c r="L1731">
        <v>8.1</v>
      </c>
    </row>
    <row r="1732" spans="1:12" x14ac:dyDescent="0.25">
      <c r="A1732" t="s">
        <v>1779</v>
      </c>
      <c r="B1732" s="1">
        <v>45677</v>
      </c>
      <c r="C1732" s="1">
        <v>45680</v>
      </c>
      <c r="D1732" t="s">
        <v>32</v>
      </c>
      <c r="E1732" t="s">
        <v>45</v>
      </c>
      <c r="F1732" t="s">
        <v>25</v>
      </c>
      <c r="G1732" t="s">
        <v>26</v>
      </c>
      <c r="H1732" t="s">
        <v>51</v>
      </c>
      <c r="I1732">
        <v>9</v>
      </c>
      <c r="J1732">
        <v>0.2</v>
      </c>
      <c r="K1732">
        <v>98.08</v>
      </c>
      <c r="L1732">
        <v>5.13</v>
      </c>
    </row>
    <row r="1733" spans="1:12" x14ac:dyDescent="0.25">
      <c r="A1733" t="s">
        <v>1780</v>
      </c>
      <c r="B1733" s="1">
        <v>45654</v>
      </c>
      <c r="C1733" s="1">
        <v>45657</v>
      </c>
      <c r="D1733" t="s">
        <v>23</v>
      </c>
      <c r="E1733" t="s">
        <v>24</v>
      </c>
      <c r="F1733" t="s">
        <v>15</v>
      </c>
      <c r="G1733" t="s">
        <v>26</v>
      </c>
      <c r="H1733" t="s">
        <v>30</v>
      </c>
      <c r="I1733">
        <v>23</v>
      </c>
      <c r="J1733">
        <v>0.2</v>
      </c>
      <c r="K1733">
        <v>167.84</v>
      </c>
      <c r="L1733">
        <v>14.85</v>
      </c>
    </row>
    <row r="1734" spans="1:12" x14ac:dyDescent="0.25">
      <c r="A1734" t="s">
        <v>1781</v>
      </c>
      <c r="B1734" s="1">
        <v>45472</v>
      </c>
      <c r="C1734" s="1">
        <v>45478</v>
      </c>
      <c r="D1734" t="s">
        <v>23</v>
      </c>
      <c r="E1734" t="s">
        <v>43</v>
      </c>
      <c r="F1734" t="s">
        <v>25</v>
      </c>
      <c r="G1734" t="s">
        <v>20</v>
      </c>
      <c r="H1734" t="s">
        <v>65</v>
      </c>
      <c r="I1734">
        <v>1</v>
      </c>
      <c r="J1734">
        <v>0.15</v>
      </c>
      <c r="K1734">
        <v>245.21</v>
      </c>
      <c r="L1734">
        <v>4.08</v>
      </c>
    </row>
    <row r="1735" spans="1:12" x14ac:dyDescent="0.25">
      <c r="A1735" t="s">
        <v>1782</v>
      </c>
      <c r="B1735" s="1">
        <v>45538</v>
      </c>
      <c r="C1735" s="1">
        <v>45541</v>
      </c>
      <c r="D1735" t="s">
        <v>23</v>
      </c>
      <c r="E1735" t="s">
        <v>24</v>
      </c>
      <c r="F1735" t="s">
        <v>25</v>
      </c>
      <c r="G1735" t="s">
        <v>26</v>
      </c>
      <c r="H1735" t="s">
        <v>37</v>
      </c>
      <c r="I1735">
        <v>2</v>
      </c>
      <c r="J1735">
        <v>0</v>
      </c>
      <c r="K1735">
        <v>221.63</v>
      </c>
      <c r="L1735">
        <v>5.46</v>
      </c>
    </row>
    <row r="1736" spans="1:12" x14ac:dyDescent="0.25">
      <c r="A1736" t="s">
        <v>1783</v>
      </c>
      <c r="B1736" s="1">
        <v>45791</v>
      </c>
      <c r="C1736" s="1">
        <v>45794</v>
      </c>
      <c r="D1736" t="s">
        <v>32</v>
      </c>
      <c r="E1736" t="s">
        <v>62</v>
      </c>
      <c r="F1736" t="s">
        <v>25</v>
      </c>
      <c r="G1736" t="s">
        <v>26</v>
      </c>
      <c r="H1736" t="s">
        <v>63</v>
      </c>
      <c r="I1736">
        <v>11</v>
      </c>
      <c r="J1736">
        <v>0</v>
      </c>
      <c r="K1736">
        <v>137.22</v>
      </c>
      <c r="L1736">
        <v>5.67</v>
      </c>
    </row>
    <row r="1737" spans="1:12" x14ac:dyDescent="0.25">
      <c r="A1737" t="s">
        <v>1784</v>
      </c>
      <c r="B1737" s="1">
        <v>45592</v>
      </c>
      <c r="C1737" s="1">
        <v>45594</v>
      </c>
      <c r="D1737" t="s">
        <v>23</v>
      </c>
      <c r="E1737" t="s">
        <v>24</v>
      </c>
      <c r="F1737" t="s">
        <v>15</v>
      </c>
      <c r="G1737" t="s">
        <v>16</v>
      </c>
      <c r="H1737" t="s">
        <v>17</v>
      </c>
      <c r="I1737">
        <v>3</v>
      </c>
      <c r="J1737">
        <v>0.15</v>
      </c>
      <c r="K1737">
        <v>388.55</v>
      </c>
      <c r="L1737">
        <v>4.95</v>
      </c>
    </row>
    <row r="1738" spans="1:12" x14ac:dyDescent="0.25">
      <c r="A1738" t="s">
        <v>1785</v>
      </c>
      <c r="B1738" s="1">
        <v>45629</v>
      </c>
      <c r="C1738" s="1">
        <v>45633</v>
      </c>
      <c r="D1738" t="s">
        <v>23</v>
      </c>
      <c r="E1738" t="s">
        <v>43</v>
      </c>
      <c r="F1738" t="s">
        <v>15</v>
      </c>
      <c r="G1738" t="s">
        <v>16</v>
      </c>
      <c r="H1738" t="s">
        <v>17</v>
      </c>
      <c r="I1738">
        <v>4</v>
      </c>
      <c r="J1738">
        <v>0.1</v>
      </c>
      <c r="K1738">
        <v>647.21</v>
      </c>
      <c r="L1738">
        <v>5.7</v>
      </c>
    </row>
    <row r="1739" spans="1:12" x14ac:dyDescent="0.25">
      <c r="A1739" t="s">
        <v>1786</v>
      </c>
      <c r="B1739" s="1">
        <v>45672</v>
      </c>
      <c r="C1739" s="1">
        <v>45678</v>
      </c>
      <c r="D1739" t="s">
        <v>32</v>
      </c>
      <c r="E1739" t="s">
        <v>62</v>
      </c>
      <c r="F1739" t="s">
        <v>25</v>
      </c>
      <c r="G1739" t="s">
        <v>16</v>
      </c>
      <c r="H1739" t="s">
        <v>68</v>
      </c>
      <c r="I1739">
        <v>3</v>
      </c>
      <c r="J1739">
        <v>0.1</v>
      </c>
      <c r="K1739">
        <v>129.77000000000001</v>
      </c>
      <c r="L1739">
        <v>8.25</v>
      </c>
    </row>
    <row r="1740" spans="1:12" x14ac:dyDescent="0.25">
      <c r="A1740" t="s">
        <v>1787</v>
      </c>
      <c r="B1740" s="1">
        <v>45808</v>
      </c>
      <c r="C1740" s="1">
        <v>45813</v>
      </c>
      <c r="D1740" t="s">
        <v>13</v>
      </c>
      <c r="E1740" t="s">
        <v>36</v>
      </c>
      <c r="F1740" t="s">
        <v>29</v>
      </c>
      <c r="G1740" t="s">
        <v>20</v>
      </c>
      <c r="H1740" t="s">
        <v>63</v>
      </c>
      <c r="I1740">
        <v>11</v>
      </c>
      <c r="J1740">
        <v>0.25</v>
      </c>
      <c r="K1740">
        <v>107.33</v>
      </c>
      <c r="L1740">
        <v>5.67</v>
      </c>
    </row>
    <row r="1741" spans="1:12" x14ac:dyDescent="0.25">
      <c r="A1741" t="s">
        <v>1788</v>
      </c>
      <c r="B1741" s="1">
        <v>45425</v>
      </c>
      <c r="C1741" s="1">
        <v>45430</v>
      </c>
      <c r="D1741" t="s">
        <v>47</v>
      </c>
      <c r="E1741" t="s">
        <v>71</v>
      </c>
      <c r="F1741" t="s">
        <v>29</v>
      </c>
      <c r="G1741" t="s">
        <v>16</v>
      </c>
      <c r="H1741" t="s">
        <v>17</v>
      </c>
      <c r="I1741">
        <v>4</v>
      </c>
      <c r="J1741">
        <v>0</v>
      </c>
      <c r="K1741">
        <v>511.44</v>
      </c>
      <c r="L1741">
        <v>5.7</v>
      </c>
    </row>
    <row r="1742" spans="1:12" x14ac:dyDescent="0.25">
      <c r="A1742" t="s">
        <v>1789</v>
      </c>
      <c r="B1742" s="1">
        <v>45974</v>
      </c>
      <c r="C1742" s="1">
        <v>45978</v>
      </c>
      <c r="D1742" t="s">
        <v>13</v>
      </c>
      <c r="E1742" t="s">
        <v>19</v>
      </c>
      <c r="F1742" t="s">
        <v>25</v>
      </c>
      <c r="G1742" t="s">
        <v>16</v>
      </c>
      <c r="H1742" t="s">
        <v>27</v>
      </c>
      <c r="I1742">
        <v>7</v>
      </c>
      <c r="J1742">
        <v>0</v>
      </c>
      <c r="K1742">
        <v>249.13</v>
      </c>
      <c r="L1742">
        <v>4.59</v>
      </c>
    </row>
    <row r="1743" spans="1:12" x14ac:dyDescent="0.25">
      <c r="A1743" t="s">
        <v>1790</v>
      </c>
      <c r="B1743" s="1">
        <v>45330</v>
      </c>
      <c r="C1743" s="1">
        <v>45333</v>
      </c>
      <c r="D1743" t="s">
        <v>32</v>
      </c>
      <c r="E1743" t="s">
        <v>45</v>
      </c>
      <c r="F1743" t="s">
        <v>29</v>
      </c>
      <c r="G1743" t="s">
        <v>20</v>
      </c>
      <c r="H1743" t="s">
        <v>21</v>
      </c>
      <c r="I1743">
        <v>3</v>
      </c>
      <c r="J1743">
        <v>0.2</v>
      </c>
      <c r="K1743">
        <v>235.36</v>
      </c>
      <c r="L1743">
        <v>11.4</v>
      </c>
    </row>
    <row r="1744" spans="1:12" x14ac:dyDescent="0.25">
      <c r="A1744" t="s">
        <v>1791</v>
      </c>
      <c r="B1744" s="1">
        <v>45944</v>
      </c>
      <c r="C1744" s="1">
        <v>45948</v>
      </c>
      <c r="D1744" t="s">
        <v>47</v>
      </c>
      <c r="E1744" t="s">
        <v>48</v>
      </c>
      <c r="F1744" t="s">
        <v>29</v>
      </c>
      <c r="G1744" t="s">
        <v>26</v>
      </c>
      <c r="H1744" t="s">
        <v>27</v>
      </c>
      <c r="I1744">
        <v>12</v>
      </c>
      <c r="J1744">
        <v>0.2</v>
      </c>
      <c r="K1744">
        <v>300.48</v>
      </c>
      <c r="L1744">
        <v>9.9</v>
      </c>
    </row>
    <row r="1745" spans="1:12" x14ac:dyDescent="0.25">
      <c r="A1745" t="s">
        <v>1792</v>
      </c>
      <c r="B1745" s="1">
        <v>45967</v>
      </c>
      <c r="C1745" s="1">
        <v>45968</v>
      </c>
      <c r="D1745" t="s">
        <v>23</v>
      </c>
      <c r="E1745" t="s">
        <v>24</v>
      </c>
      <c r="F1745" t="s">
        <v>29</v>
      </c>
      <c r="G1745" t="s">
        <v>16</v>
      </c>
      <c r="H1745" t="s">
        <v>30</v>
      </c>
      <c r="I1745">
        <v>5</v>
      </c>
      <c r="J1745">
        <v>0.15</v>
      </c>
      <c r="K1745">
        <v>35.65</v>
      </c>
      <c r="L1745">
        <v>4.05</v>
      </c>
    </row>
    <row r="1746" spans="1:12" x14ac:dyDescent="0.25">
      <c r="A1746" t="s">
        <v>1793</v>
      </c>
      <c r="B1746" s="1">
        <v>45416</v>
      </c>
      <c r="C1746" s="1">
        <v>45419</v>
      </c>
      <c r="D1746" t="s">
        <v>32</v>
      </c>
      <c r="E1746" t="s">
        <v>45</v>
      </c>
      <c r="F1746" t="s">
        <v>15</v>
      </c>
      <c r="G1746" t="s">
        <v>26</v>
      </c>
      <c r="H1746" t="s">
        <v>41</v>
      </c>
      <c r="I1746">
        <v>6</v>
      </c>
      <c r="J1746">
        <v>0.1</v>
      </c>
      <c r="K1746">
        <v>34.86</v>
      </c>
      <c r="L1746">
        <v>7.2</v>
      </c>
    </row>
    <row r="1747" spans="1:12" x14ac:dyDescent="0.25">
      <c r="A1747" t="s">
        <v>1794</v>
      </c>
      <c r="B1747" s="1">
        <v>45527</v>
      </c>
      <c r="C1747" s="1">
        <v>45532</v>
      </c>
      <c r="D1747" t="s">
        <v>47</v>
      </c>
      <c r="E1747" t="s">
        <v>71</v>
      </c>
      <c r="F1747" t="s">
        <v>25</v>
      </c>
      <c r="G1747" t="s">
        <v>26</v>
      </c>
      <c r="H1747" t="s">
        <v>27</v>
      </c>
      <c r="I1747">
        <v>14</v>
      </c>
      <c r="J1747">
        <v>0</v>
      </c>
      <c r="K1747">
        <v>350.97</v>
      </c>
      <c r="L1747">
        <v>10.8</v>
      </c>
    </row>
    <row r="1748" spans="1:12" x14ac:dyDescent="0.25">
      <c r="A1748" t="s">
        <v>1795</v>
      </c>
      <c r="B1748" s="1">
        <v>45990</v>
      </c>
      <c r="C1748" s="1">
        <v>45993</v>
      </c>
      <c r="D1748" t="s">
        <v>23</v>
      </c>
      <c r="E1748" t="s">
        <v>43</v>
      </c>
      <c r="F1748" t="s">
        <v>29</v>
      </c>
      <c r="G1748" t="s">
        <v>20</v>
      </c>
      <c r="H1748" t="s">
        <v>65</v>
      </c>
      <c r="I1748">
        <v>3</v>
      </c>
      <c r="J1748">
        <v>0.25</v>
      </c>
      <c r="K1748">
        <v>854.49</v>
      </c>
      <c r="L1748">
        <v>6.84</v>
      </c>
    </row>
    <row r="1749" spans="1:12" x14ac:dyDescent="0.25">
      <c r="A1749" t="s">
        <v>1796</v>
      </c>
      <c r="B1749" s="1">
        <v>45349</v>
      </c>
      <c r="C1749" s="1">
        <v>45350</v>
      </c>
      <c r="D1749" t="s">
        <v>32</v>
      </c>
      <c r="E1749" t="s">
        <v>62</v>
      </c>
      <c r="F1749" t="s">
        <v>15</v>
      </c>
      <c r="G1749" t="s">
        <v>16</v>
      </c>
      <c r="H1749" t="s">
        <v>51</v>
      </c>
      <c r="I1749">
        <v>16</v>
      </c>
      <c r="J1749">
        <v>0.2</v>
      </c>
      <c r="K1749">
        <v>179.97</v>
      </c>
      <c r="L1749">
        <v>11.7</v>
      </c>
    </row>
    <row r="1750" spans="1:12" x14ac:dyDescent="0.25">
      <c r="A1750" t="s">
        <v>1797</v>
      </c>
      <c r="B1750" s="1">
        <v>45708</v>
      </c>
      <c r="C1750" s="1">
        <v>45712</v>
      </c>
      <c r="D1750" t="s">
        <v>32</v>
      </c>
      <c r="E1750" t="s">
        <v>62</v>
      </c>
      <c r="F1750" t="s">
        <v>15</v>
      </c>
      <c r="G1750" t="s">
        <v>20</v>
      </c>
      <c r="H1750" t="s">
        <v>51</v>
      </c>
      <c r="I1750">
        <v>12</v>
      </c>
      <c r="J1750">
        <v>0.05</v>
      </c>
      <c r="K1750">
        <v>160.66</v>
      </c>
      <c r="L1750">
        <v>9.9</v>
      </c>
    </row>
    <row r="1751" spans="1:12" x14ac:dyDescent="0.25">
      <c r="A1751" t="s">
        <v>1798</v>
      </c>
      <c r="B1751" s="1">
        <v>45847</v>
      </c>
      <c r="C1751" s="1">
        <v>45848</v>
      </c>
      <c r="D1751" t="s">
        <v>47</v>
      </c>
      <c r="E1751" t="s">
        <v>50</v>
      </c>
      <c r="F1751" t="s">
        <v>15</v>
      </c>
      <c r="G1751" t="s">
        <v>20</v>
      </c>
      <c r="H1751" t="s">
        <v>51</v>
      </c>
      <c r="I1751">
        <v>14</v>
      </c>
      <c r="J1751">
        <v>0</v>
      </c>
      <c r="K1751">
        <v>182.66</v>
      </c>
      <c r="L1751">
        <v>6.48</v>
      </c>
    </row>
    <row r="1752" spans="1:12" x14ac:dyDescent="0.25">
      <c r="A1752" t="s">
        <v>1799</v>
      </c>
      <c r="B1752" s="1">
        <v>45515</v>
      </c>
      <c r="C1752" s="1">
        <v>45516</v>
      </c>
      <c r="D1752" t="s">
        <v>13</v>
      </c>
      <c r="E1752" t="s">
        <v>19</v>
      </c>
      <c r="F1752" t="s">
        <v>15</v>
      </c>
      <c r="G1752" t="s">
        <v>26</v>
      </c>
      <c r="H1752" t="s">
        <v>53</v>
      </c>
      <c r="I1752">
        <v>2</v>
      </c>
      <c r="J1752">
        <v>0.05</v>
      </c>
      <c r="K1752">
        <v>97.96</v>
      </c>
      <c r="L1752">
        <v>4.2</v>
      </c>
    </row>
    <row r="1753" spans="1:12" x14ac:dyDescent="0.25">
      <c r="A1753" t="s">
        <v>1800</v>
      </c>
      <c r="B1753" s="1">
        <v>45332</v>
      </c>
      <c r="C1753" s="1">
        <v>45334</v>
      </c>
      <c r="D1753" t="s">
        <v>13</v>
      </c>
      <c r="E1753" t="s">
        <v>19</v>
      </c>
      <c r="F1753" t="s">
        <v>15</v>
      </c>
      <c r="G1753" t="s">
        <v>20</v>
      </c>
      <c r="H1753" t="s">
        <v>51</v>
      </c>
      <c r="I1753">
        <v>13</v>
      </c>
      <c r="J1753">
        <v>0.1</v>
      </c>
      <c r="K1753">
        <v>159.04</v>
      </c>
      <c r="L1753">
        <v>10.35</v>
      </c>
    </row>
    <row r="1754" spans="1:12" x14ac:dyDescent="0.25">
      <c r="A1754" t="s">
        <v>1801</v>
      </c>
      <c r="B1754" s="1">
        <v>45662</v>
      </c>
      <c r="C1754" s="1">
        <v>45664</v>
      </c>
      <c r="D1754" t="s">
        <v>13</v>
      </c>
      <c r="E1754" t="s">
        <v>36</v>
      </c>
      <c r="F1754" t="s">
        <v>25</v>
      </c>
      <c r="G1754" t="s">
        <v>26</v>
      </c>
      <c r="H1754" t="s">
        <v>30</v>
      </c>
      <c r="I1754">
        <v>20</v>
      </c>
      <c r="J1754">
        <v>0.15</v>
      </c>
      <c r="K1754">
        <v>93.28</v>
      </c>
      <c r="L1754">
        <v>13.5</v>
      </c>
    </row>
    <row r="1755" spans="1:12" x14ac:dyDescent="0.25">
      <c r="A1755" t="s">
        <v>1802</v>
      </c>
      <c r="B1755" s="1">
        <v>45312</v>
      </c>
      <c r="C1755" s="1">
        <v>45313</v>
      </c>
      <c r="D1755" t="s">
        <v>32</v>
      </c>
      <c r="E1755" t="s">
        <v>45</v>
      </c>
      <c r="F1755" t="s">
        <v>29</v>
      </c>
      <c r="G1755" t="s">
        <v>16</v>
      </c>
      <c r="H1755" t="s">
        <v>21</v>
      </c>
      <c r="I1755">
        <v>5</v>
      </c>
      <c r="J1755">
        <v>0.2</v>
      </c>
      <c r="K1755">
        <v>379.67</v>
      </c>
      <c r="L1755">
        <v>9.6</v>
      </c>
    </row>
    <row r="1756" spans="1:12" x14ac:dyDescent="0.25">
      <c r="A1756" t="s">
        <v>1803</v>
      </c>
      <c r="B1756" s="1">
        <v>45968</v>
      </c>
      <c r="C1756" s="1">
        <v>45974</v>
      </c>
      <c r="D1756" t="s">
        <v>23</v>
      </c>
      <c r="E1756" t="s">
        <v>43</v>
      </c>
      <c r="F1756" t="s">
        <v>29</v>
      </c>
      <c r="G1756" t="s">
        <v>20</v>
      </c>
      <c r="H1756" t="s">
        <v>51</v>
      </c>
      <c r="I1756">
        <v>6</v>
      </c>
      <c r="J1756">
        <v>0.25</v>
      </c>
      <c r="K1756">
        <v>87.95</v>
      </c>
      <c r="L1756">
        <v>7.2</v>
      </c>
    </row>
    <row r="1757" spans="1:12" x14ac:dyDescent="0.25">
      <c r="A1757" t="s">
        <v>1804</v>
      </c>
      <c r="B1757" s="1">
        <v>45637</v>
      </c>
      <c r="C1757" s="1">
        <v>45642</v>
      </c>
      <c r="D1757" t="s">
        <v>23</v>
      </c>
      <c r="E1757" t="s">
        <v>24</v>
      </c>
      <c r="F1757" t="s">
        <v>29</v>
      </c>
      <c r="G1757" t="s">
        <v>20</v>
      </c>
      <c r="H1757" t="s">
        <v>51</v>
      </c>
      <c r="I1757">
        <v>12</v>
      </c>
      <c r="J1757">
        <v>0</v>
      </c>
      <c r="K1757">
        <v>263.70999999999998</v>
      </c>
      <c r="L1757">
        <v>5.94</v>
      </c>
    </row>
    <row r="1758" spans="1:12" x14ac:dyDescent="0.25">
      <c r="A1758" t="s">
        <v>1805</v>
      </c>
      <c r="B1758" s="1">
        <v>45992</v>
      </c>
      <c r="C1758" s="1">
        <v>45994</v>
      </c>
      <c r="D1758" t="s">
        <v>13</v>
      </c>
      <c r="E1758" t="s">
        <v>36</v>
      </c>
      <c r="F1758" t="s">
        <v>15</v>
      </c>
      <c r="G1758" t="s">
        <v>26</v>
      </c>
      <c r="H1758" t="s">
        <v>53</v>
      </c>
      <c r="I1758">
        <v>1</v>
      </c>
      <c r="J1758">
        <v>0</v>
      </c>
      <c r="K1758">
        <v>80.290000000000006</v>
      </c>
      <c r="L1758">
        <v>5.75</v>
      </c>
    </row>
    <row r="1759" spans="1:12" x14ac:dyDescent="0.25">
      <c r="A1759" t="s">
        <v>1806</v>
      </c>
      <c r="B1759" s="1">
        <v>45951</v>
      </c>
      <c r="C1759" s="1">
        <v>45953</v>
      </c>
      <c r="D1759" t="s">
        <v>13</v>
      </c>
      <c r="E1759" t="s">
        <v>19</v>
      </c>
      <c r="F1759" t="s">
        <v>29</v>
      </c>
      <c r="G1759" t="s">
        <v>20</v>
      </c>
      <c r="H1759" t="s">
        <v>65</v>
      </c>
      <c r="I1759">
        <v>3</v>
      </c>
      <c r="J1759">
        <v>0</v>
      </c>
      <c r="K1759">
        <v>978.09</v>
      </c>
      <c r="L1759">
        <v>6.84</v>
      </c>
    </row>
    <row r="1760" spans="1:12" x14ac:dyDescent="0.25">
      <c r="A1760" t="s">
        <v>1807</v>
      </c>
      <c r="B1760" s="1">
        <v>45550</v>
      </c>
      <c r="C1760" s="1">
        <v>45552</v>
      </c>
      <c r="D1760" t="s">
        <v>13</v>
      </c>
      <c r="E1760" t="s">
        <v>19</v>
      </c>
      <c r="F1760" t="s">
        <v>25</v>
      </c>
      <c r="G1760" t="s">
        <v>26</v>
      </c>
      <c r="H1760" t="s">
        <v>30</v>
      </c>
      <c r="I1760">
        <v>10</v>
      </c>
      <c r="J1760">
        <v>0</v>
      </c>
      <c r="K1760">
        <v>61.58</v>
      </c>
      <c r="L1760">
        <v>9</v>
      </c>
    </row>
    <row r="1761" spans="1:12" x14ac:dyDescent="0.25">
      <c r="A1761" t="s">
        <v>1808</v>
      </c>
      <c r="B1761" s="1">
        <v>45835</v>
      </c>
      <c r="C1761" s="1">
        <v>45838</v>
      </c>
      <c r="D1761" t="s">
        <v>32</v>
      </c>
      <c r="E1761" t="s">
        <v>33</v>
      </c>
      <c r="F1761" t="s">
        <v>15</v>
      </c>
      <c r="G1761" t="s">
        <v>26</v>
      </c>
      <c r="H1761" t="s">
        <v>27</v>
      </c>
      <c r="I1761">
        <v>12</v>
      </c>
      <c r="J1761">
        <v>0.2</v>
      </c>
      <c r="K1761">
        <v>271.77</v>
      </c>
      <c r="L1761">
        <v>9.9</v>
      </c>
    </row>
    <row r="1762" spans="1:12" x14ac:dyDescent="0.25">
      <c r="A1762" t="s">
        <v>1809</v>
      </c>
      <c r="B1762" s="1">
        <v>45968</v>
      </c>
      <c r="C1762" s="1">
        <v>45972</v>
      </c>
      <c r="D1762" t="s">
        <v>32</v>
      </c>
      <c r="E1762" t="s">
        <v>45</v>
      </c>
      <c r="F1762" t="s">
        <v>25</v>
      </c>
      <c r="G1762" t="s">
        <v>26</v>
      </c>
      <c r="H1762" t="s">
        <v>27</v>
      </c>
      <c r="I1762">
        <v>9</v>
      </c>
      <c r="J1762">
        <v>0</v>
      </c>
      <c r="K1762">
        <v>328.4</v>
      </c>
      <c r="L1762">
        <v>5.13</v>
      </c>
    </row>
    <row r="1763" spans="1:12" x14ac:dyDescent="0.25">
      <c r="A1763" t="s">
        <v>1810</v>
      </c>
      <c r="B1763" s="1">
        <v>45549</v>
      </c>
      <c r="C1763" s="1">
        <v>45555</v>
      </c>
      <c r="D1763" t="s">
        <v>23</v>
      </c>
      <c r="E1763" t="s">
        <v>43</v>
      </c>
      <c r="F1763" t="s">
        <v>25</v>
      </c>
      <c r="G1763" t="s">
        <v>26</v>
      </c>
      <c r="H1763" t="s">
        <v>21</v>
      </c>
      <c r="I1763">
        <v>1</v>
      </c>
      <c r="J1763">
        <v>0.15</v>
      </c>
      <c r="K1763">
        <v>106.01</v>
      </c>
      <c r="L1763">
        <v>4.08</v>
      </c>
    </row>
    <row r="1764" spans="1:12" x14ac:dyDescent="0.25">
      <c r="A1764" t="s">
        <v>1811</v>
      </c>
      <c r="B1764" s="1">
        <v>45473</v>
      </c>
      <c r="C1764" s="1">
        <v>45477</v>
      </c>
      <c r="D1764" t="s">
        <v>47</v>
      </c>
      <c r="E1764" t="s">
        <v>71</v>
      </c>
      <c r="F1764" t="s">
        <v>25</v>
      </c>
      <c r="G1764" t="s">
        <v>16</v>
      </c>
      <c r="H1764" t="s">
        <v>17</v>
      </c>
      <c r="I1764">
        <v>2</v>
      </c>
      <c r="J1764">
        <v>0.1</v>
      </c>
      <c r="K1764">
        <v>229.62</v>
      </c>
      <c r="L1764">
        <v>7</v>
      </c>
    </row>
    <row r="1765" spans="1:12" x14ac:dyDescent="0.25">
      <c r="A1765" t="s">
        <v>1812</v>
      </c>
      <c r="B1765" s="1">
        <v>45731</v>
      </c>
      <c r="C1765" s="1">
        <v>45737</v>
      </c>
      <c r="D1765" t="s">
        <v>23</v>
      </c>
      <c r="E1765" t="s">
        <v>24</v>
      </c>
      <c r="F1765" t="s">
        <v>25</v>
      </c>
      <c r="G1765" t="s">
        <v>16</v>
      </c>
      <c r="H1765" t="s">
        <v>37</v>
      </c>
      <c r="I1765">
        <v>4</v>
      </c>
      <c r="J1765">
        <v>0</v>
      </c>
      <c r="K1765">
        <v>408.22</v>
      </c>
      <c r="L1765">
        <v>8.2200000000000006</v>
      </c>
    </row>
    <row r="1766" spans="1:12" x14ac:dyDescent="0.25">
      <c r="A1766" t="s">
        <v>1813</v>
      </c>
      <c r="B1766" s="1">
        <v>45872</v>
      </c>
      <c r="C1766" s="1">
        <v>45873</v>
      </c>
      <c r="D1766" t="s">
        <v>23</v>
      </c>
      <c r="E1766" t="s">
        <v>24</v>
      </c>
      <c r="F1766" t="s">
        <v>15</v>
      </c>
      <c r="G1766" t="s">
        <v>26</v>
      </c>
      <c r="H1766" t="s">
        <v>53</v>
      </c>
      <c r="I1766">
        <v>3</v>
      </c>
      <c r="J1766">
        <v>0</v>
      </c>
      <c r="K1766">
        <v>159.91</v>
      </c>
      <c r="L1766">
        <v>4.95</v>
      </c>
    </row>
    <row r="1767" spans="1:12" x14ac:dyDescent="0.25">
      <c r="A1767" t="s">
        <v>1814</v>
      </c>
      <c r="B1767" s="1">
        <v>45643</v>
      </c>
      <c r="C1767" s="1">
        <v>45645</v>
      </c>
      <c r="D1767" t="s">
        <v>32</v>
      </c>
      <c r="E1767" t="s">
        <v>62</v>
      </c>
      <c r="F1767" t="s">
        <v>15</v>
      </c>
      <c r="G1767" t="s">
        <v>16</v>
      </c>
      <c r="H1767" t="s">
        <v>65</v>
      </c>
      <c r="I1767">
        <v>2</v>
      </c>
      <c r="J1767">
        <v>0.1</v>
      </c>
      <c r="K1767">
        <v>717.56</v>
      </c>
      <c r="L1767">
        <v>9.1</v>
      </c>
    </row>
    <row r="1768" spans="1:12" x14ac:dyDescent="0.25">
      <c r="A1768" t="s">
        <v>1815</v>
      </c>
      <c r="B1768" s="1">
        <v>45320</v>
      </c>
      <c r="C1768" s="1">
        <v>45323</v>
      </c>
      <c r="D1768" t="s">
        <v>23</v>
      </c>
      <c r="E1768" t="s">
        <v>43</v>
      </c>
      <c r="F1768" t="s">
        <v>29</v>
      </c>
      <c r="G1768" t="s">
        <v>26</v>
      </c>
      <c r="H1768" t="s">
        <v>17</v>
      </c>
      <c r="I1768">
        <v>4</v>
      </c>
      <c r="J1768">
        <v>0</v>
      </c>
      <c r="K1768">
        <v>415.52</v>
      </c>
      <c r="L1768">
        <v>9.5</v>
      </c>
    </row>
    <row r="1769" spans="1:12" x14ac:dyDescent="0.25">
      <c r="A1769" t="s">
        <v>1816</v>
      </c>
      <c r="B1769" s="1">
        <v>45628</v>
      </c>
      <c r="C1769" s="1">
        <v>45631</v>
      </c>
      <c r="D1769" t="s">
        <v>13</v>
      </c>
      <c r="E1769" t="s">
        <v>14</v>
      </c>
      <c r="F1769" t="s">
        <v>29</v>
      </c>
      <c r="G1769" t="s">
        <v>16</v>
      </c>
      <c r="H1769" t="s">
        <v>41</v>
      </c>
      <c r="I1769">
        <v>12</v>
      </c>
      <c r="J1769">
        <v>0</v>
      </c>
      <c r="K1769">
        <v>110.82</v>
      </c>
      <c r="L1769">
        <v>9.9</v>
      </c>
    </row>
    <row r="1770" spans="1:12" x14ac:dyDescent="0.25">
      <c r="A1770" t="s">
        <v>1817</v>
      </c>
      <c r="B1770" s="1">
        <v>45516</v>
      </c>
      <c r="C1770" s="1">
        <v>45520</v>
      </c>
      <c r="D1770" t="s">
        <v>23</v>
      </c>
      <c r="E1770" t="s">
        <v>43</v>
      </c>
      <c r="F1770" t="s">
        <v>25</v>
      </c>
      <c r="G1770" t="s">
        <v>26</v>
      </c>
      <c r="H1770" t="s">
        <v>65</v>
      </c>
      <c r="I1770">
        <v>1</v>
      </c>
      <c r="J1770">
        <v>0.1</v>
      </c>
      <c r="K1770">
        <v>248.32</v>
      </c>
      <c r="L1770">
        <v>6.8</v>
      </c>
    </row>
    <row r="1771" spans="1:12" x14ac:dyDescent="0.25">
      <c r="A1771" t="s">
        <v>1818</v>
      </c>
      <c r="B1771" s="1">
        <v>45971</v>
      </c>
      <c r="C1771" s="1">
        <v>45976</v>
      </c>
      <c r="D1771" t="s">
        <v>13</v>
      </c>
      <c r="E1771" t="s">
        <v>36</v>
      </c>
      <c r="F1771" t="s">
        <v>25</v>
      </c>
      <c r="G1771" t="s">
        <v>16</v>
      </c>
      <c r="H1771" t="s">
        <v>37</v>
      </c>
      <c r="I1771">
        <v>2</v>
      </c>
      <c r="J1771">
        <v>0</v>
      </c>
      <c r="K1771">
        <v>282.39</v>
      </c>
      <c r="L1771">
        <v>5.46</v>
      </c>
    </row>
    <row r="1772" spans="1:12" x14ac:dyDescent="0.25">
      <c r="A1772" t="s">
        <v>1819</v>
      </c>
      <c r="B1772" s="1">
        <v>45923</v>
      </c>
      <c r="C1772" s="1">
        <v>45925</v>
      </c>
      <c r="D1772" t="s">
        <v>32</v>
      </c>
      <c r="E1772" t="s">
        <v>62</v>
      </c>
      <c r="F1772" t="s">
        <v>29</v>
      </c>
      <c r="G1772" t="s">
        <v>20</v>
      </c>
      <c r="H1772" t="s">
        <v>21</v>
      </c>
      <c r="I1772">
        <v>2</v>
      </c>
      <c r="J1772">
        <v>0</v>
      </c>
      <c r="K1772">
        <v>249.29</v>
      </c>
      <c r="L1772">
        <v>9.1</v>
      </c>
    </row>
    <row r="1773" spans="1:12" x14ac:dyDescent="0.25">
      <c r="A1773" t="s">
        <v>1820</v>
      </c>
      <c r="B1773" s="1">
        <v>45988</v>
      </c>
      <c r="C1773" s="1">
        <v>45994</v>
      </c>
      <c r="D1773" t="s">
        <v>13</v>
      </c>
      <c r="E1773" t="s">
        <v>36</v>
      </c>
      <c r="F1773" t="s">
        <v>25</v>
      </c>
      <c r="G1773" t="s">
        <v>26</v>
      </c>
      <c r="H1773" t="s">
        <v>87</v>
      </c>
      <c r="I1773">
        <v>12</v>
      </c>
      <c r="J1773">
        <v>0</v>
      </c>
      <c r="K1773">
        <v>131.41</v>
      </c>
      <c r="L1773">
        <v>9.9</v>
      </c>
    </row>
    <row r="1774" spans="1:12" x14ac:dyDescent="0.25">
      <c r="A1774" t="s">
        <v>1821</v>
      </c>
      <c r="B1774" s="1">
        <v>45623</v>
      </c>
      <c r="C1774" s="1">
        <v>45625</v>
      </c>
      <c r="D1774" t="s">
        <v>32</v>
      </c>
      <c r="E1774" t="s">
        <v>33</v>
      </c>
      <c r="F1774" t="s">
        <v>15</v>
      </c>
      <c r="G1774" t="s">
        <v>16</v>
      </c>
      <c r="H1774" t="s">
        <v>63</v>
      </c>
      <c r="I1774">
        <v>3</v>
      </c>
      <c r="J1774">
        <v>0</v>
      </c>
      <c r="K1774">
        <v>47.15</v>
      </c>
      <c r="L1774">
        <v>5.85</v>
      </c>
    </row>
    <row r="1775" spans="1:12" x14ac:dyDescent="0.25">
      <c r="A1775" t="s">
        <v>1822</v>
      </c>
      <c r="B1775" s="1">
        <v>45543</v>
      </c>
      <c r="C1775" s="1">
        <v>45544</v>
      </c>
      <c r="D1775" t="s">
        <v>13</v>
      </c>
      <c r="E1775" t="s">
        <v>14</v>
      </c>
      <c r="F1775" t="s">
        <v>25</v>
      </c>
      <c r="G1775" t="s">
        <v>26</v>
      </c>
      <c r="H1775" t="s">
        <v>87</v>
      </c>
      <c r="I1775">
        <v>8</v>
      </c>
      <c r="J1775">
        <v>0.25</v>
      </c>
      <c r="K1775">
        <v>53.34</v>
      </c>
      <c r="L1775">
        <v>8.1</v>
      </c>
    </row>
    <row r="1776" spans="1:12" x14ac:dyDescent="0.25">
      <c r="A1776" t="s">
        <v>1823</v>
      </c>
      <c r="B1776" s="1">
        <v>45502</v>
      </c>
      <c r="C1776" s="1">
        <v>45507</v>
      </c>
      <c r="D1776" t="s">
        <v>47</v>
      </c>
      <c r="E1776" t="s">
        <v>71</v>
      </c>
      <c r="F1776" t="s">
        <v>29</v>
      </c>
      <c r="G1776" t="s">
        <v>20</v>
      </c>
      <c r="H1776" t="s">
        <v>51</v>
      </c>
      <c r="I1776">
        <v>5</v>
      </c>
      <c r="J1776">
        <v>0</v>
      </c>
      <c r="K1776">
        <v>68.37</v>
      </c>
      <c r="L1776">
        <v>4.05</v>
      </c>
    </row>
    <row r="1777" spans="1:12" x14ac:dyDescent="0.25">
      <c r="A1777" t="s">
        <v>1824</v>
      </c>
      <c r="B1777" s="1">
        <v>45466</v>
      </c>
      <c r="C1777" s="1">
        <v>45471</v>
      </c>
      <c r="D1777" t="s">
        <v>13</v>
      </c>
      <c r="E1777" t="s">
        <v>14</v>
      </c>
      <c r="F1777" t="s">
        <v>15</v>
      </c>
      <c r="G1777" t="s">
        <v>16</v>
      </c>
      <c r="H1777" t="s">
        <v>27</v>
      </c>
      <c r="I1777">
        <v>6</v>
      </c>
      <c r="J1777">
        <v>0.1</v>
      </c>
      <c r="K1777">
        <v>162.13</v>
      </c>
      <c r="L1777">
        <v>4.32</v>
      </c>
    </row>
    <row r="1778" spans="1:12" x14ac:dyDescent="0.25">
      <c r="A1778" t="s">
        <v>1825</v>
      </c>
      <c r="B1778" s="1">
        <v>45874</v>
      </c>
      <c r="C1778" s="1">
        <v>45876</v>
      </c>
      <c r="D1778" t="s">
        <v>32</v>
      </c>
      <c r="E1778" t="s">
        <v>62</v>
      </c>
      <c r="F1778" t="s">
        <v>15</v>
      </c>
      <c r="G1778" t="s">
        <v>26</v>
      </c>
      <c r="H1778" t="s">
        <v>63</v>
      </c>
      <c r="I1778">
        <v>5</v>
      </c>
      <c r="J1778">
        <v>0</v>
      </c>
      <c r="K1778">
        <v>55.54</v>
      </c>
      <c r="L1778">
        <v>4.05</v>
      </c>
    </row>
    <row r="1779" spans="1:12" x14ac:dyDescent="0.25">
      <c r="A1779" t="s">
        <v>1826</v>
      </c>
      <c r="B1779" s="1">
        <v>45625</v>
      </c>
      <c r="C1779" s="1">
        <v>45628</v>
      </c>
      <c r="D1779" t="s">
        <v>13</v>
      </c>
      <c r="E1779" t="s">
        <v>19</v>
      </c>
      <c r="F1779" t="s">
        <v>29</v>
      </c>
      <c r="G1779" t="s">
        <v>26</v>
      </c>
      <c r="H1779" t="s">
        <v>17</v>
      </c>
      <c r="I1779">
        <v>1</v>
      </c>
      <c r="J1779">
        <v>0.05</v>
      </c>
      <c r="K1779">
        <v>167.4</v>
      </c>
      <c r="L1779">
        <v>5.75</v>
      </c>
    </row>
    <row r="1780" spans="1:12" x14ac:dyDescent="0.25">
      <c r="A1780" t="s">
        <v>1827</v>
      </c>
      <c r="B1780" s="1">
        <v>45973</v>
      </c>
      <c r="C1780" s="1">
        <v>45976</v>
      </c>
      <c r="D1780" t="s">
        <v>47</v>
      </c>
      <c r="E1780" t="s">
        <v>48</v>
      </c>
      <c r="F1780" t="s">
        <v>29</v>
      </c>
      <c r="G1780" t="s">
        <v>20</v>
      </c>
      <c r="H1780" t="s">
        <v>17</v>
      </c>
      <c r="I1780">
        <v>3</v>
      </c>
      <c r="J1780">
        <v>0.15</v>
      </c>
      <c r="K1780">
        <v>409.61</v>
      </c>
      <c r="L1780">
        <v>4.95</v>
      </c>
    </row>
    <row r="1781" spans="1:12" x14ac:dyDescent="0.25">
      <c r="A1781" t="s">
        <v>1828</v>
      </c>
      <c r="B1781" s="1">
        <v>45850</v>
      </c>
      <c r="C1781" s="1">
        <v>45854</v>
      </c>
      <c r="D1781" t="s">
        <v>32</v>
      </c>
      <c r="E1781" t="s">
        <v>62</v>
      </c>
      <c r="F1781" t="s">
        <v>25</v>
      </c>
      <c r="G1781" t="s">
        <v>16</v>
      </c>
      <c r="H1781" t="s">
        <v>17</v>
      </c>
      <c r="I1781">
        <v>2</v>
      </c>
      <c r="J1781">
        <v>0.05</v>
      </c>
      <c r="K1781">
        <v>207.51</v>
      </c>
      <c r="L1781">
        <v>7</v>
      </c>
    </row>
    <row r="1782" spans="1:12" x14ac:dyDescent="0.25">
      <c r="A1782" t="s">
        <v>1829</v>
      </c>
      <c r="B1782" s="1">
        <v>45764</v>
      </c>
      <c r="C1782" s="1">
        <v>45770</v>
      </c>
      <c r="D1782" t="s">
        <v>47</v>
      </c>
      <c r="E1782" t="s">
        <v>50</v>
      </c>
      <c r="F1782" t="s">
        <v>29</v>
      </c>
      <c r="G1782" t="s">
        <v>26</v>
      </c>
      <c r="H1782" t="s">
        <v>51</v>
      </c>
      <c r="I1782">
        <v>8</v>
      </c>
      <c r="J1782">
        <v>0.05</v>
      </c>
      <c r="K1782">
        <v>110.76</v>
      </c>
      <c r="L1782">
        <v>4.8600000000000003</v>
      </c>
    </row>
    <row r="1783" spans="1:12" x14ac:dyDescent="0.25">
      <c r="A1783" t="s">
        <v>1830</v>
      </c>
      <c r="B1783" s="1">
        <v>45677</v>
      </c>
      <c r="C1783" s="1">
        <v>45678</v>
      </c>
      <c r="D1783" t="s">
        <v>32</v>
      </c>
      <c r="E1783" t="s">
        <v>45</v>
      </c>
      <c r="F1783" t="s">
        <v>25</v>
      </c>
      <c r="G1783" t="s">
        <v>20</v>
      </c>
      <c r="H1783" t="s">
        <v>17</v>
      </c>
      <c r="I1783">
        <v>4</v>
      </c>
      <c r="J1783">
        <v>0</v>
      </c>
      <c r="K1783">
        <v>449.69</v>
      </c>
      <c r="L1783">
        <v>5.7</v>
      </c>
    </row>
    <row r="1784" spans="1:12" x14ac:dyDescent="0.25">
      <c r="A1784" t="s">
        <v>1831</v>
      </c>
      <c r="B1784" s="1">
        <v>45393</v>
      </c>
      <c r="C1784" s="1">
        <v>45398</v>
      </c>
      <c r="D1784" t="s">
        <v>23</v>
      </c>
      <c r="E1784" t="s">
        <v>24</v>
      </c>
      <c r="F1784" t="s">
        <v>29</v>
      </c>
      <c r="G1784" t="s">
        <v>16</v>
      </c>
      <c r="H1784" t="s">
        <v>65</v>
      </c>
      <c r="I1784">
        <v>4</v>
      </c>
      <c r="J1784">
        <v>0.15</v>
      </c>
      <c r="K1784">
        <v>924.9</v>
      </c>
      <c r="L1784">
        <v>13.7</v>
      </c>
    </row>
    <row r="1785" spans="1:12" x14ac:dyDescent="0.25">
      <c r="A1785" t="s">
        <v>1832</v>
      </c>
      <c r="B1785" s="1">
        <v>45807</v>
      </c>
      <c r="C1785" s="1">
        <v>45813</v>
      </c>
      <c r="D1785" t="s">
        <v>32</v>
      </c>
      <c r="E1785" t="s">
        <v>45</v>
      </c>
      <c r="F1785" t="s">
        <v>15</v>
      </c>
      <c r="G1785" t="s">
        <v>26</v>
      </c>
      <c r="H1785" t="s">
        <v>17</v>
      </c>
      <c r="I1785">
        <v>4</v>
      </c>
      <c r="J1785">
        <v>0.05</v>
      </c>
      <c r="K1785">
        <v>508.53</v>
      </c>
      <c r="L1785">
        <v>5.7</v>
      </c>
    </row>
    <row r="1786" spans="1:12" x14ac:dyDescent="0.25">
      <c r="A1786" t="s">
        <v>1833</v>
      </c>
      <c r="B1786" s="1">
        <v>46004</v>
      </c>
      <c r="C1786" s="1">
        <v>46006</v>
      </c>
      <c r="D1786" t="s">
        <v>23</v>
      </c>
      <c r="E1786" t="s">
        <v>24</v>
      </c>
      <c r="F1786" t="s">
        <v>15</v>
      </c>
      <c r="G1786" t="s">
        <v>26</v>
      </c>
      <c r="H1786" t="s">
        <v>30</v>
      </c>
      <c r="I1786">
        <v>14</v>
      </c>
      <c r="J1786">
        <v>0</v>
      </c>
      <c r="K1786">
        <v>113.94</v>
      </c>
      <c r="L1786">
        <v>6.48</v>
      </c>
    </row>
    <row r="1787" spans="1:12" x14ac:dyDescent="0.25">
      <c r="A1787" t="s">
        <v>1834</v>
      </c>
      <c r="B1787" s="1">
        <v>45351</v>
      </c>
      <c r="C1787" s="1">
        <v>45353</v>
      </c>
      <c r="D1787" t="s">
        <v>47</v>
      </c>
      <c r="E1787" t="s">
        <v>50</v>
      </c>
      <c r="F1787" t="s">
        <v>29</v>
      </c>
      <c r="G1787" t="s">
        <v>20</v>
      </c>
      <c r="H1787" t="s">
        <v>68</v>
      </c>
      <c r="I1787">
        <v>5</v>
      </c>
      <c r="J1787">
        <v>0.1</v>
      </c>
      <c r="K1787">
        <v>204.83</v>
      </c>
      <c r="L1787">
        <v>10.75</v>
      </c>
    </row>
    <row r="1788" spans="1:12" x14ac:dyDescent="0.25">
      <c r="A1788" t="s">
        <v>1835</v>
      </c>
      <c r="B1788" s="1">
        <v>45493</v>
      </c>
      <c r="C1788" s="1">
        <v>45499</v>
      </c>
      <c r="D1788" t="s">
        <v>47</v>
      </c>
      <c r="E1788" t="s">
        <v>48</v>
      </c>
      <c r="F1788" t="s">
        <v>25</v>
      </c>
      <c r="G1788" t="s">
        <v>20</v>
      </c>
      <c r="H1788" t="s">
        <v>39</v>
      </c>
      <c r="I1788">
        <v>4</v>
      </c>
      <c r="J1788">
        <v>0</v>
      </c>
      <c r="K1788">
        <v>679.78</v>
      </c>
      <c r="L1788">
        <v>9.5</v>
      </c>
    </row>
    <row r="1789" spans="1:12" x14ac:dyDescent="0.25">
      <c r="A1789" t="s">
        <v>1836</v>
      </c>
      <c r="B1789" s="1">
        <v>45725</v>
      </c>
      <c r="C1789" s="1">
        <v>45730</v>
      </c>
      <c r="D1789" t="s">
        <v>32</v>
      </c>
      <c r="E1789" t="s">
        <v>45</v>
      </c>
      <c r="F1789" t="s">
        <v>15</v>
      </c>
      <c r="G1789" t="s">
        <v>26</v>
      </c>
      <c r="H1789" t="s">
        <v>60</v>
      </c>
      <c r="I1789">
        <v>2</v>
      </c>
      <c r="J1789">
        <v>0</v>
      </c>
      <c r="K1789">
        <v>217.19</v>
      </c>
      <c r="L1789">
        <v>7</v>
      </c>
    </row>
    <row r="1790" spans="1:12" x14ac:dyDescent="0.25">
      <c r="A1790" t="s">
        <v>1837</v>
      </c>
      <c r="B1790" s="1">
        <v>45742</v>
      </c>
      <c r="C1790" s="1">
        <v>45748</v>
      </c>
      <c r="D1790" t="s">
        <v>47</v>
      </c>
      <c r="E1790" t="s">
        <v>71</v>
      </c>
      <c r="F1790" t="s">
        <v>29</v>
      </c>
      <c r="G1790" t="s">
        <v>20</v>
      </c>
      <c r="H1790" t="s">
        <v>37</v>
      </c>
      <c r="I1790">
        <v>3</v>
      </c>
      <c r="J1790">
        <v>0.05</v>
      </c>
      <c r="K1790">
        <v>286.14999999999998</v>
      </c>
      <c r="L1790">
        <v>6.84</v>
      </c>
    </row>
    <row r="1791" spans="1:12" x14ac:dyDescent="0.25">
      <c r="A1791" t="s">
        <v>1838</v>
      </c>
      <c r="B1791" s="1">
        <v>45864</v>
      </c>
      <c r="C1791" s="1">
        <v>45868</v>
      </c>
      <c r="D1791" t="s">
        <v>32</v>
      </c>
      <c r="E1791" t="s">
        <v>62</v>
      </c>
      <c r="F1791" t="s">
        <v>25</v>
      </c>
      <c r="G1791" t="s">
        <v>16</v>
      </c>
      <c r="H1791" t="s">
        <v>39</v>
      </c>
      <c r="I1791">
        <v>3</v>
      </c>
      <c r="J1791">
        <v>0</v>
      </c>
      <c r="K1791">
        <v>506.76</v>
      </c>
      <c r="L1791">
        <v>8.25</v>
      </c>
    </row>
    <row r="1792" spans="1:12" x14ac:dyDescent="0.25">
      <c r="A1792" t="s">
        <v>1839</v>
      </c>
      <c r="B1792" s="1">
        <v>45543</v>
      </c>
      <c r="C1792" s="1">
        <v>45545</v>
      </c>
      <c r="D1792" t="s">
        <v>47</v>
      </c>
      <c r="E1792" t="s">
        <v>50</v>
      </c>
      <c r="F1792" t="s">
        <v>15</v>
      </c>
      <c r="G1792" t="s">
        <v>26</v>
      </c>
      <c r="H1792" t="s">
        <v>60</v>
      </c>
      <c r="I1792">
        <v>2</v>
      </c>
      <c r="J1792">
        <v>0.25</v>
      </c>
      <c r="K1792">
        <v>190.49</v>
      </c>
      <c r="L1792">
        <v>7</v>
      </c>
    </row>
    <row r="1793" spans="1:12" x14ac:dyDescent="0.25">
      <c r="A1793" t="s">
        <v>1840</v>
      </c>
      <c r="B1793" s="1">
        <v>45885</v>
      </c>
      <c r="C1793" s="1">
        <v>45888</v>
      </c>
      <c r="D1793" t="s">
        <v>32</v>
      </c>
      <c r="E1793" t="s">
        <v>62</v>
      </c>
      <c r="F1793" t="s">
        <v>29</v>
      </c>
      <c r="G1793" t="s">
        <v>26</v>
      </c>
      <c r="H1793" t="s">
        <v>27</v>
      </c>
      <c r="I1793">
        <v>7</v>
      </c>
      <c r="J1793">
        <v>0.15</v>
      </c>
      <c r="K1793">
        <v>158.41</v>
      </c>
      <c r="L1793">
        <v>4.59</v>
      </c>
    </row>
    <row r="1794" spans="1:12" x14ac:dyDescent="0.25">
      <c r="A1794" t="s">
        <v>1841</v>
      </c>
      <c r="B1794" s="1">
        <v>45343</v>
      </c>
      <c r="C1794" s="1">
        <v>45348</v>
      </c>
      <c r="D1794" t="s">
        <v>32</v>
      </c>
      <c r="E1794" t="s">
        <v>45</v>
      </c>
      <c r="F1794" t="s">
        <v>15</v>
      </c>
      <c r="G1794" t="s">
        <v>26</v>
      </c>
      <c r="H1794" t="s">
        <v>63</v>
      </c>
      <c r="I1794">
        <v>10</v>
      </c>
      <c r="J1794">
        <v>0.2</v>
      </c>
      <c r="K1794">
        <v>82.57</v>
      </c>
      <c r="L1794">
        <v>9</v>
      </c>
    </row>
    <row r="1795" spans="1:12" x14ac:dyDescent="0.25">
      <c r="A1795" t="s">
        <v>1842</v>
      </c>
      <c r="B1795" s="1">
        <v>45506</v>
      </c>
      <c r="C1795" s="1">
        <v>45507</v>
      </c>
      <c r="D1795" t="s">
        <v>13</v>
      </c>
      <c r="E1795" t="s">
        <v>19</v>
      </c>
      <c r="F1795" t="s">
        <v>15</v>
      </c>
      <c r="G1795" t="s">
        <v>16</v>
      </c>
      <c r="H1795" t="s">
        <v>51</v>
      </c>
      <c r="I1795">
        <v>23</v>
      </c>
      <c r="J1795">
        <v>0</v>
      </c>
      <c r="K1795">
        <v>335.15</v>
      </c>
      <c r="L1795">
        <v>14.85</v>
      </c>
    </row>
    <row r="1796" spans="1:12" x14ac:dyDescent="0.25">
      <c r="A1796" t="s">
        <v>1843</v>
      </c>
      <c r="B1796" s="1">
        <v>45445</v>
      </c>
      <c r="C1796" s="1">
        <v>45446</v>
      </c>
      <c r="D1796" t="s">
        <v>23</v>
      </c>
      <c r="E1796" t="s">
        <v>59</v>
      </c>
      <c r="F1796" t="s">
        <v>25</v>
      </c>
      <c r="G1796" t="s">
        <v>26</v>
      </c>
      <c r="H1796" t="s">
        <v>17</v>
      </c>
      <c r="I1796">
        <v>2</v>
      </c>
      <c r="J1796">
        <v>0</v>
      </c>
      <c r="K1796">
        <v>263.14999999999998</v>
      </c>
      <c r="L1796">
        <v>7</v>
      </c>
    </row>
    <row r="1797" spans="1:12" x14ac:dyDescent="0.25">
      <c r="A1797" t="s">
        <v>1844</v>
      </c>
      <c r="B1797" s="1">
        <v>46020</v>
      </c>
      <c r="C1797" s="1">
        <v>46022</v>
      </c>
      <c r="D1797" t="s">
        <v>13</v>
      </c>
      <c r="E1797" t="s">
        <v>19</v>
      </c>
      <c r="F1797" t="s">
        <v>25</v>
      </c>
      <c r="G1797" t="s">
        <v>26</v>
      </c>
      <c r="H1797" t="s">
        <v>41</v>
      </c>
      <c r="I1797">
        <v>5</v>
      </c>
      <c r="J1797">
        <v>0</v>
      </c>
      <c r="K1797">
        <v>44.81</v>
      </c>
      <c r="L1797">
        <v>6.75</v>
      </c>
    </row>
    <row r="1798" spans="1:12" x14ac:dyDescent="0.25">
      <c r="A1798" t="s">
        <v>1845</v>
      </c>
      <c r="B1798" s="1">
        <v>45806</v>
      </c>
      <c r="C1798" s="1">
        <v>45808</v>
      </c>
      <c r="D1798" t="s">
        <v>32</v>
      </c>
      <c r="E1798" t="s">
        <v>45</v>
      </c>
      <c r="F1798" t="s">
        <v>25</v>
      </c>
      <c r="G1798" t="s">
        <v>16</v>
      </c>
      <c r="H1798" t="s">
        <v>30</v>
      </c>
      <c r="I1798">
        <v>4</v>
      </c>
      <c r="J1798">
        <v>0.15</v>
      </c>
      <c r="K1798">
        <v>19.71</v>
      </c>
      <c r="L1798">
        <v>6.3</v>
      </c>
    </row>
    <row r="1799" spans="1:12" x14ac:dyDescent="0.25">
      <c r="A1799" t="s">
        <v>1846</v>
      </c>
      <c r="B1799" s="1">
        <v>45444</v>
      </c>
      <c r="C1799" s="1">
        <v>45448</v>
      </c>
      <c r="D1799" t="s">
        <v>13</v>
      </c>
      <c r="E1799" t="s">
        <v>19</v>
      </c>
      <c r="F1799" t="s">
        <v>29</v>
      </c>
      <c r="G1799" t="s">
        <v>16</v>
      </c>
      <c r="H1799" t="s">
        <v>37</v>
      </c>
      <c r="I1799">
        <v>2</v>
      </c>
      <c r="J1799">
        <v>0</v>
      </c>
      <c r="K1799">
        <v>232.41</v>
      </c>
      <c r="L1799">
        <v>5.46</v>
      </c>
    </row>
    <row r="1800" spans="1:12" x14ac:dyDescent="0.25">
      <c r="A1800" t="s">
        <v>1847</v>
      </c>
      <c r="B1800" s="1">
        <v>45865</v>
      </c>
      <c r="C1800" s="1">
        <v>45867</v>
      </c>
      <c r="D1800" t="s">
        <v>32</v>
      </c>
      <c r="E1800" t="s">
        <v>45</v>
      </c>
      <c r="F1800" t="s">
        <v>15</v>
      </c>
      <c r="G1800" t="s">
        <v>20</v>
      </c>
      <c r="H1800" t="s">
        <v>53</v>
      </c>
      <c r="I1800">
        <v>2</v>
      </c>
      <c r="J1800">
        <v>0.1</v>
      </c>
      <c r="K1800">
        <v>98.38</v>
      </c>
      <c r="L1800">
        <v>4.2</v>
      </c>
    </row>
    <row r="1801" spans="1:12" x14ac:dyDescent="0.25">
      <c r="A1801" t="s">
        <v>1848</v>
      </c>
      <c r="B1801" s="1">
        <v>45622</v>
      </c>
      <c r="C1801" s="1">
        <v>45627</v>
      </c>
      <c r="D1801" t="s">
        <v>47</v>
      </c>
      <c r="E1801" t="s">
        <v>48</v>
      </c>
      <c r="F1801" t="s">
        <v>29</v>
      </c>
      <c r="G1801" t="s">
        <v>26</v>
      </c>
      <c r="H1801" t="s">
        <v>63</v>
      </c>
      <c r="I1801">
        <v>9</v>
      </c>
      <c r="J1801">
        <v>0.25</v>
      </c>
      <c r="K1801">
        <v>105.21</v>
      </c>
      <c r="L1801">
        <v>8.5500000000000007</v>
      </c>
    </row>
    <row r="1802" spans="1:12" x14ac:dyDescent="0.25">
      <c r="A1802" t="s">
        <v>1849</v>
      </c>
      <c r="B1802" s="1">
        <v>45432</v>
      </c>
      <c r="C1802" s="1">
        <v>45437</v>
      </c>
      <c r="D1802" t="s">
        <v>47</v>
      </c>
      <c r="E1802" t="s">
        <v>71</v>
      </c>
      <c r="F1802" t="s">
        <v>15</v>
      </c>
      <c r="G1802" t="s">
        <v>26</v>
      </c>
      <c r="H1802" t="s">
        <v>34</v>
      </c>
      <c r="I1802">
        <v>4</v>
      </c>
      <c r="J1802">
        <v>0</v>
      </c>
      <c r="K1802">
        <v>807.81</v>
      </c>
      <c r="L1802">
        <v>13.7</v>
      </c>
    </row>
    <row r="1803" spans="1:12" x14ac:dyDescent="0.25">
      <c r="A1803" t="s">
        <v>1850</v>
      </c>
      <c r="B1803" s="1">
        <v>45583</v>
      </c>
      <c r="C1803" s="1">
        <v>45588</v>
      </c>
      <c r="D1803" t="s">
        <v>23</v>
      </c>
      <c r="E1803" t="s">
        <v>43</v>
      </c>
      <c r="F1803" t="s">
        <v>25</v>
      </c>
      <c r="G1803" t="s">
        <v>26</v>
      </c>
      <c r="H1803" t="s">
        <v>37</v>
      </c>
      <c r="I1803">
        <v>4</v>
      </c>
      <c r="J1803">
        <v>0.1</v>
      </c>
      <c r="K1803">
        <v>452.44</v>
      </c>
      <c r="L1803">
        <v>8.2200000000000006</v>
      </c>
    </row>
    <row r="1804" spans="1:12" x14ac:dyDescent="0.25">
      <c r="A1804" t="s">
        <v>1851</v>
      </c>
      <c r="B1804" s="1">
        <v>45407</v>
      </c>
      <c r="C1804" s="1">
        <v>45412</v>
      </c>
      <c r="D1804" t="s">
        <v>23</v>
      </c>
      <c r="E1804" t="s">
        <v>59</v>
      </c>
      <c r="F1804" t="s">
        <v>15</v>
      </c>
      <c r="G1804" t="s">
        <v>26</v>
      </c>
      <c r="H1804" t="s">
        <v>17</v>
      </c>
      <c r="I1804">
        <v>7</v>
      </c>
      <c r="J1804">
        <v>0</v>
      </c>
      <c r="K1804">
        <v>844.58</v>
      </c>
      <c r="L1804">
        <v>7.95</v>
      </c>
    </row>
    <row r="1805" spans="1:12" x14ac:dyDescent="0.25">
      <c r="A1805" t="s">
        <v>1852</v>
      </c>
      <c r="B1805" s="1">
        <v>45931</v>
      </c>
      <c r="C1805" s="1">
        <v>45936</v>
      </c>
      <c r="D1805" t="s">
        <v>32</v>
      </c>
      <c r="E1805" t="s">
        <v>33</v>
      </c>
      <c r="F1805" t="s">
        <v>25</v>
      </c>
      <c r="G1805" t="s">
        <v>20</v>
      </c>
      <c r="H1805" t="s">
        <v>53</v>
      </c>
      <c r="I1805">
        <v>7</v>
      </c>
      <c r="J1805">
        <v>0</v>
      </c>
      <c r="K1805">
        <v>441.5</v>
      </c>
      <c r="L1805">
        <v>7.95</v>
      </c>
    </row>
    <row r="1806" spans="1:12" x14ac:dyDescent="0.25">
      <c r="A1806" t="s">
        <v>1853</v>
      </c>
      <c r="B1806" s="1">
        <v>45988</v>
      </c>
      <c r="C1806" s="1">
        <v>45990</v>
      </c>
      <c r="D1806" t="s">
        <v>32</v>
      </c>
      <c r="E1806" t="s">
        <v>62</v>
      </c>
      <c r="F1806" t="s">
        <v>25</v>
      </c>
      <c r="G1806" t="s">
        <v>16</v>
      </c>
      <c r="H1806" t="s">
        <v>60</v>
      </c>
      <c r="I1806">
        <v>4</v>
      </c>
      <c r="J1806">
        <v>0.05</v>
      </c>
      <c r="K1806">
        <v>551.03</v>
      </c>
      <c r="L1806">
        <v>9.5</v>
      </c>
    </row>
    <row r="1807" spans="1:12" x14ac:dyDescent="0.25">
      <c r="A1807" t="s">
        <v>1854</v>
      </c>
      <c r="B1807" s="1">
        <v>45807</v>
      </c>
      <c r="C1807" s="1">
        <v>45808</v>
      </c>
      <c r="D1807" t="s">
        <v>23</v>
      </c>
      <c r="E1807" t="s">
        <v>43</v>
      </c>
      <c r="F1807" t="s">
        <v>15</v>
      </c>
      <c r="G1807" t="s">
        <v>26</v>
      </c>
      <c r="H1807" t="s">
        <v>53</v>
      </c>
      <c r="I1807">
        <v>1</v>
      </c>
      <c r="J1807">
        <v>0.15</v>
      </c>
      <c r="K1807">
        <v>49.11</v>
      </c>
      <c r="L1807">
        <v>5.75</v>
      </c>
    </row>
    <row r="1808" spans="1:12" x14ac:dyDescent="0.25">
      <c r="A1808" t="s">
        <v>1855</v>
      </c>
      <c r="B1808" s="1">
        <v>45308</v>
      </c>
      <c r="C1808" s="1">
        <v>45311</v>
      </c>
      <c r="D1808" t="s">
        <v>32</v>
      </c>
      <c r="E1808" t="s">
        <v>33</v>
      </c>
      <c r="F1808" t="s">
        <v>29</v>
      </c>
      <c r="G1808" t="s">
        <v>16</v>
      </c>
      <c r="H1808" t="s">
        <v>68</v>
      </c>
      <c r="I1808">
        <v>5</v>
      </c>
      <c r="J1808">
        <v>0.25</v>
      </c>
      <c r="K1808">
        <v>180.23</v>
      </c>
      <c r="L1808">
        <v>10.75</v>
      </c>
    </row>
    <row r="1809" spans="1:12" x14ac:dyDescent="0.25">
      <c r="A1809" t="s">
        <v>1856</v>
      </c>
      <c r="B1809" s="1">
        <v>45437</v>
      </c>
      <c r="C1809" s="1">
        <v>45442</v>
      </c>
      <c r="D1809" t="s">
        <v>32</v>
      </c>
      <c r="E1809" t="s">
        <v>45</v>
      </c>
      <c r="F1809" t="s">
        <v>25</v>
      </c>
      <c r="G1809" t="s">
        <v>20</v>
      </c>
      <c r="H1809" t="s">
        <v>53</v>
      </c>
      <c r="I1809">
        <v>3</v>
      </c>
      <c r="J1809">
        <v>0.15</v>
      </c>
      <c r="K1809">
        <v>140.75</v>
      </c>
      <c r="L1809">
        <v>4.95</v>
      </c>
    </row>
    <row r="1810" spans="1:12" x14ac:dyDescent="0.25">
      <c r="A1810" t="s">
        <v>1857</v>
      </c>
      <c r="B1810" s="1">
        <v>45702</v>
      </c>
      <c r="C1810" s="1">
        <v>45704</v>
      </c>
      <c r="D1810" t="s">
        <v>47</v>
      </c>
      <c r="E1810" t="s">
        <v>48</v>
      </c>
      <c r="F1810" t="s">
        <v>29</v>
      </c>
      <c r="G1810" t="s">
        <v>26</v>
      </c>
      <c r="H1810" t="s">
        <v>21</v>
      </c>
      <c r="I1810">
        <v>5</v>
      </c>
      <c r="J1810">
        <v>0</v>
      </c>
      <c r="K1810">
        <v>503.31</v>
      </c>
      <c r="L1810">
        <v>9.6</v>
      </c>
    </row>
    <row r="1811" spans="1:12" x14ac:dyDescent="0.25">
      <c r="A1811" t="s">
        <v>1858</v>
      </c>
      <c r="B1811" s="1">
        <v>45713</v>
      </c>
      <c r="C1811" s="1">
        <v>45716</v>
      </c>
      <c r="D1811" t="s">
        <v>13</v>
      </c>
      <c r="E1811" t="s">
        <v>36</v>
      </c>
      <c r="F1811" t="s">
        <v>29</v>
      </c>
      <c r="G1811" t="s">
        <v>26</v>
      </c>
      <c r="H1811" t="s">
        <v>39</v>
      </c>
      <c r="I1811">
        <v>4</v>
      </c>
      <c r="J1811">
        <v>0</v>
      </c>
      <c r="K1811">
        <v>664.82</v>
      </c>
      <c r="L1811">
        <v>9.5</v>
      </c>
    </row>
    <row r="1812" spans="1:12" x14ac:dyDescent="0.25">
      <c r="A1812" t="s">
        <v>1859</v>
      </c>
      <c r="B1812" s="1">
        <v>45379</v>
      </c>
      <c r="C1812" s="1">
        <v>45381</v>
      </c>
      <c r="D1812" t="s">
        <v>47</v>
      </c>
      <c r="E1812" t="s">
        <v>48</v>
      </c>
      <c r="F1812" t="s">
        <v>29</v>
      </c>
      <c r="G1812" t="s">
        <v>26</v>
      </c>
      <c r="H1812" t="s">
        <v>39</v>
      </c>
      <c r="I1812">
        <v>7</v>
      </c>
      <c r="J1812">
        <v>0</v>
      </c>
      <c r="K1812">
        <v>1221.3900000000001</v>
      </c>
      <c r="L1812">
        <v>13.25</v>
      </c>
    </row>
    <row r="1813" spans="1:12" x14ac:dyDescent="0.25">
      <c r="A1813" t="s">
        <v>1860</v>
      </c>
      <c r="B1813" s="1">
        <v>45837</v>
      </c>
      <c r="C1813" s="1">
        <v>45841</v>
      </c>
      <c r="D1813" t="s">
        <v>47</v>
      </c>
      <c r="E1813" t="s">
        <v>48</v>
      </c>
      <c r="F1813" t="s">
        <v>29</v>
      </c>
      <c r="G1813" t="s">
        <v>20</v>
      </c>
      <c r="H1813" t="s">
        <v>34</v>
      </c>
      <c r="I1813">
        <v>4</v>
      </c>
      <c r="J1813">
        <v>0.25</v>
      </c>
      <c r="K1813">
        <v>670.98</v>
      </c>
      <c r="L1813">
        <v>13.7</v>
      </c>
    </row>
    <row r="1814" spans="1:12" x14ac:dyDescent="0.25">
      <c r="A1814" t="s">
        <v>1861</v>
      </c>
      <c r="B1814" s="1">
        <v>45896</v>
      </c>
      <c r="C1814" s="1">
        <v>45902</v>
      </c>
      <c r="D1814" t="s">
        <v>13</v>
      </c>
      <c r="E1814" t="s">
        <v>19</v>
      </c>
      <c r="F1814" t="s">
        <v>15</v>
      </c>
      <c r="G1814" t="s">
        <v>20</v>
      </c>
      <c r="H1814" t="s">
        <v>21</v>
      </c>
      <c r="I1814">
        <v>1</v>
      </c>
      <c r="J1814">
        <v>0</v>
      </c>
      <c r="K1814">
        <v>101.48</v>
      </c>
      <c r="L1814">
        <v>4.08</v>
      </c>
    </row>
    <row r="1815" spans="1:12" x14ac:dyDescent="0.25">
      <c r="A1815" t="s">
        <v>1862</v>
      </c>
      <c r="B1815" s="1">
        <v>45709</v>
      </c>
      <c r="C1815" s="1">
        <v>45710</v>
      </c>
      <c r="D1815" t="s">
        <v>47</v>
      </c>
      <c r="E1815" t="s">
        <v>48</v>
      </c>
      <c r="F1815" t="s">
        <v>25</v>
      </c>
      <c r="G1815" t="s">
        <v>20</v>
      </c>
      <c r="H1815" t="s">
        <v>51</v>
      </c>
      <c r="I1815">
        <v>10</v>
      </c>
      <c r="J1815">
        <v>0.25</v>
      </c>
      <c r="K1815">
        <v>104.31</v>
      </c>
      <c r="L1815">
        <v>5.4</v>
      </c>
    </row>
    <row r="1816" spans="1:12" x14ac:dyDescent="0.25">
      <c r="A1816" t="s">
        <v>1863</v>
      </c>
      <c r="B1816" s="1">
        <v>45531</v>
      </c>
      <c r="C1816" s="1">
        <v>45532</v>
      </c>
      <c r="D1816" t="s">
        <v>13</v>
      </c>
      <c r="E1816" t="s">
        <v>19</v>
      </c>
      <c r="F1816" t="s">
        <v>29</v>
      </c>
      <c r="G1816" t="s">
        <v>26</v>
      </c>
      <c r="H1816" t="s">
        <v>27</v>
      </c>
      <c r="I1816">
        <v>4</v>
      </c>
      <c r="J1816">
        <v>0</v>
      </c>
      <c r="K1816">
        <v>106.96</v>
      </c>
      <c r="L1816">
        <v>3.78</v>
      </c>
    </row>
    <row r="1817" spans="1:12" x14ac:dyDescent="0.25">
      <c r="A1817" t="s">
        <v>1864</v>
      </c>
      <c r="B1817" s="1">
        <v>45829</v>
      </c>
      <c r="C1817" s="1">
        <v>45833</v>
      </c>
      <c r="D1817" t="s">
        <v>13</v>
      </c>
      <c r="E1817" t="s">
        <v>14</v>
      </c>
      <c r="F1817" t="s">
        <v>15</v>
      </c>
      <c r="G1817" t="s">
        <v>26</v>
      </c>
      <c r="H1817" t="s">
        <v>39</v>
      </c>
      <c r="I1817">
        <v>4</v>
      </c>
      <c r="J1817">
        <v>0</v>
      </c>
      <c r="K1817">
        <v>837.03</v>
      </c>
      <c r="L1817">
        <v>5.7</v>
      </c>
    </row>
    <row r="1818" spans="1:12" x14ac:dyDescent="0.25">
      <c r="A1818" t="s">
        <v>1865</v>
      </c>
      <c r="B1818" s="1">
        <v>45809</v>
      </c>
      <c r="C1818" s="1">
        <v>45815</v>
      </c>
      <c r="D1818" t="s">
        <v>32</v>
      </c>
      <c r="E1818" t="s">
        <v>45</v>
      </c>
      <c r="F1818" t="s">
        <v>15</v>
      </c>
      <c r="G1818" t="s">
        <v>16</v>
      </c>
      <c r="H1818" t="s">
        <v>87</v>
      </c>
      <c r="I1818">
        <v>14</v>
      </c>
      <c r="J1818">
        <v>0.05</v>
      </c>
      <c r="K1818">
        <v>110.64</v>
      </c>
      <c r="L1818">
        <v>10.8</v>
      </c>
    </row>
    <row r="1819" spans="1:12" x14ac:dyDescent="0.25">
      <c r="A1819" t="s">
        <v>1866</v>
      </c>
      <c r="B1819" s="1">
        <v>45887</v>
      </c>
      <c r="C1819" s="1">
        <v>45890</v>
      </c>
      <c r="D1819" t="s">
        <v>47</v>
      </c>
      <c r="E1819" t="s">
        <v>50</v>
      </c>
      <c r="F1819" t="s">
        <v>15</v>
      </c>
      <c r="G1819" t="s">
        <v>16</v>
      </c>
      <c r="H1819" t="s">
        <v>68</v>
      </c>
      <c r="I1819">
        <v>2</v>
      </c>
      <c r="J1819">
        <v>0</v>
      </c>
      <c r="K1819">
        <v>94.14</v>
      </c>
      <c r="L1819">
        <v>4.2</v>
      </c>
    </row>
    <row r="1820" spans="1:12" x14ac:dyDescent="0.25">
      <c r="A1820" t="s">
        <v>1867</v>
      </c>
      <c r="B1820" s="1">
        <v>45786</v>
      </c>
      <c r="C1820" s="1">
        <v>45792</v>
      </c>
      <c r="D1820" t="s">
        <v>23</v>
      </c>
      <c r="E1820" t="s">
        <v>43</v>
      </c>
      <c r="F1820" t="s">
        <v>29</v>
      </c>
      <c r="G1820" t="s">
        <v>20</v>
      </c>
      <c r="H1820" t="s">
        <v>17</v>
      </c>
      <c r="I1820">
        <v>2</v>
      </c>
      <c r="J1820">
        <v>0</v>
      </c>
      <c r="K1820">
        <v>262.54000000000002</v>
      </c>
      <c r="L1820">
        <v>4.2</v>
      </c>
    </row>
    <row r="1821" spans="1:12" x14ac:dyDescent="0.25">
      <c r="A1821" t="s">
        <v>1868</v>
      </c>
      <c r="B1821" s="1">
        <v>45641</v>
      </c>
      <c r="C1821" s="1">
        <v>45644</v>
      </c>
      <c r="D1821" t="s">
        <v>47</v>
      </c>
      <c r="E1821" t="s">
        <v>71</v>
      </c>
      <c r="F1821" t="s">
        <v>25</v>
      </c>
      <c r="G1821" t="s">
        <v>26</v>
      </c>
      <c r="H1821" t="s">
        <v>51</v>
      </c>
      <c r="I1821">
        <v>14</v>
      </c>
      <c r="J1821">
        <v>0</v>
      </c>
      <c r="K1821">
        <v>285.92</v>
      </c>
      <c r="L1821">
        <v>10.8</v>
      </c>
    </row>
    <row r="1822" spans="1:12" x14ac:dyDescent="0.25">
      <c r="A1822" t="s">
        <v>1869</v>
      </c>
      <c r="B1822" s="1">
        <v>45733</v>
      </c>
      <c r="C1822" s="1">
        <v>45738</v>
      </c>
      <c r="D1822" t="s">
        <v>13</v>
      </c>
      <c r="E1822" t="s">
        <v>36</v>
      </c>
      <c r="F1822" t="s">
        <v>29</v>
      </c>
      <c r="G1822" t="s">
        <v>16</v>
      </c>
      <c r="H1822" t="s">
        <v>53</v>
      </c>
      <c r="I1822">
        <v>2</v>
      </c>
      <c r="J1822">
        <v>0.2</v>
      </c>
      <c r="K1822">
        <v>80.12</v>
      </c>
      <c r="L1822">
        <v>4.2</v>
      </c>
    </row>
    <row r="1823" spans="1:12" x14ac:dyDescent="0.25">
      <c r="A1823" t="s">
        <v>1870</v>
      </c>
      <c r="B1823" s="1">
        <v>45516</v>
      </c>
      <c r="C1823" s="1">
        <v>45517</v>
      </c>
      <c r="D1823" t="s">
        <v>32</v>
      </c>
      <c r="E1823" t="s">
        <v>45</v>
      </c>
      <c r="F1823" t="s">
        <v>15</v>
      </c>
      <c r="G1823" t="s">
        <v>16</v>
      </c>
      <c r="H1823" t="s">
        <v>68</v>
      </c>
      <c r="I1823">
        <v>2</v>
      </c>
      <c r="J1823">
        <v>0.25</v>
      </c>
      <c r="K1823">
        <v>76.45</v>
      </c>
      <c r="L1823">
        <v>4.2</v>
      </c>
    </row>
    <row r="1824" spans="1:12" x14ac:dyDescent="0.25">
      <c r="A1824" t="s">
        <v>1871</v>
      </c>
      <c r="B1824" s="1">
        <v>45474</v>
      </c>
      <c r="C1824" s="1">
        <v>45478</v>
      </c>
      <c r="D1824" t="s">
        <v>23</v>
      </c>
      <c r="E1824" t="s">
        <v>59</v>
      </c>
      <c r="F1824" t="s">
        <v>25</v>
      </c>
      <c r="G1824" t="s">
        <v>26</v>
      </c>
      <c r="H1824" t="s">
        <v>39</v>
      </c>
      <c r="I1824">
        <v>3</v>
      </c>
      <c r="J1824">
        <v>0.1</v>
      </c>
      <c r="K1824">
        <v>478.83</v>
      </c>
      <c r="L1824">
        <v>8.25</v>
      </c>
    </row>
    <row r="1825" spans="1:12" x14ac:dyDescent="0.25">
      <c r="A1825" t="s">
        <v>1872</v>
      </c>
      <c r="B1825" s="1">
        <v>45726</v>
      </c>
      <c r="C1825" s="1">
        <v>45732</v>
      </c>
      <c r="D1825" t="s">
        <v>47</v>
      </c>
      <c r="E1825" t="s">
        <v>48</v>
      </c>
      <c r="F1825" t="s">
        <v>29</v>
      </c>
      <c r="G1825" t="s">
        <v>20</v>
      </c>
      <c r="H1825" t="s">
        <v>63</v>
      </c>
      <c r="I1825">
        <v>6</v>
      </c>
      <c r="J1825">
        <v>0.15</v>
      </c>
      <c r="K1825">
        <v>56.18</v>
      </c>
      <c r="L1825">
        <v>7.2</v>
      </c>
    </row>
    <row r="1826" spans="1:12" x14ac:dyDescent="0.25">
      <c r="A1826" t="s">
        <v>1873</v>
      </c>
      <c r="B1826" s="1">
        <v>45804</v>
      </c>
      <c r="C1826" s="1">
        <v>45805</v>
      </c>
      <c r="D1826" t="s">
        <v>32</v>
      </c>
      <c r="E1826" t="s">
        <v>45</v>
      </c>
      <c r="F1826" t="s">
        <v>25</v>
      </c>
      <c r="G1826" t="s">
        <v>16</v>
      </c>
      <c r="H1826" t="s">
        <v>30</v>
      </c>
      <c r="I1826">
        <v>14</v>
      </c>
      <c r="J1826">
        <v>0.2</v>
      </c>
      <c r="K1826">
        <v>69.97</v>
      </c>
      <c r="L1826">
        <v>10.8</v>
      </c>
    </row>
    <row r="1827" spans="1:12" x14ac:dyDescent="0.25">
      <c r="A1827" t="s">
        <v>1874</v>
      </c>
      <c r="B1827" s="1">
        <v>45814</v>
      </c>
      <c r="C1827" s="1">
        <v>45820</v>
      </c>
      <c r="D1827" t="s">
        <v>13</v>
      </c>
      <c r="E1827" t="s">
        <v>14</v>
      </c>
      <c r="F1827" t="s">
        <v>25</v>
      </c>
      <c r="G1827" t="s">
        <v>26</v>
      </c>
      <c r="H1827" t="s">
        <v>27</v>
      </c>
      <c r="I1827">
        <v>22</v>
      </c>
      <c r="J1827">
        <v>0</v>
      </c>
      <c r="K1827">
        <v>663.78</v>
      </c>
      <c r="L1827">
        <v>8.64</v>
      </c>
    </row>
    <row r="1828" spans="1:12" x14ac:dyDescent="0.25">
      <c r="A1828" t="s">
        <v>1875</v>
      </c>
      <c r="B1828" s="1">
        <v>45957</v>
      </c>
      <c r="C1828" s="1">
        <v>45961</v>
      </c>
      <c r="D1828" t="s">
        <v>47</v>
      </c>
      <c r="E1828" t="s">
        <v>50</v>
      </c>
      <c r="F1828" t="s">
        <v>15</v>
      </c>
      <c r="G1828" t="s">
        <v>16</v>
      </c>
      <c r="H1828" t="s">
        <v>21</v>
      </c>
      <c r="I1828">
        <v>1</v>
      </c>
      <c r="J1828">
        <v>0</v>
      </c>
      <c r="K1828">
        <v>134.28</v>
      </c>
      <c r="L1828">
        <v>6.8</v>
      </c>
    </row>
    <row r="1829" spans="1:12" x14ac:dyDescent="0.25">
      <c r="A1829" t="s">
        <v>1876</v>
      </c>
      <c r="B1829" s="1">
        <v>45530</v>
      </c>
      <c r="C1829" s="1">
        <v>45535</v>
      </c>
      <c r="D1829" t="s">
        <v>32</v>
      </c>
      <c r="E1829" t="s">
        <v>62</v>
      </c>
      <c r="F1829" t="s">
        <v>29</v>
      </c>
      <c r="G1829" t="s">
        <v>16</v>
      </c>
      <c r="H1829" t="s">
        <v>27</v>
      </c>
      <c r="I1829">
        <v>5</v>
      </c>
      <c r="J1829">
        <v>0.1</v>
      </c>
      <c r="K1829">
        <v>123.07</v>
      </c>
      <c r="L1829">
        <v>4.05</v>
      </c>
    </row>
    <row r="1830" spans="1:12" x14ac:dyDescent="0.25">
      <c r="A1830" t="s">
        <v>1877</v>
      </c>
      <c r="B1830" s="1">
        <v>45758</v>
      </c>
      <c r="C1830" s="1">
        <v>45762</v>
      </c>
      <c r="D1830" t="s">
        <v>23</v>
      </c>
      <c r="E1830" t="s">
        <v>59</v>
      </c>
      <c r="F1830" t="s">
        <v>15</v>
      </c>
      <c r="G1830" t="s">
        <v>20</v>
      </c>
      <c r="H1830" t="s">
        <v>87</v>
      </c>
      <c r="I1830">
        <v>10</v>
      </c>
      <c r="J1830">
        <v>0.25</v>
      </c>
      <c r="K1830">
        <v>61.66</v>
      </c>
      <c r="L1830">
        <v>9</v>
      </c>
    </row>
    <row r="1831" spans="1:12" x14ac:dyDescent="0.25">
      <c r="A1831" t="s">
        <v>1878</v>
      </c>
      <c r="B1831" s="1">
        <v>45340</v>
      </c>
      <c r="C1831" s="1">
        <v>45344</v>
      </c>
      <c r="D1831" t="s">
        <v>32</v>
      </c>
      <c r="E1831" t="s">
        <v>62</v>
      </c>
      <c r="F1831" t="s">
        <v>25</v>
      </c>
      <c r="G1831" t="s">
        <v>20</v>
      </c>
      <c r="H1831" t="s">
        <v>65</v>
      </c>
      <c r="I1831">
        <v>2</v>
      </c>
      <c r="J1831">
        <v>0</v>
      </c>
      <c r="K1831">
        <v>543.52</v>
      </c>
      <c r="L1831">
        <v>5.46</v>
      </c>
    </row>
    <row r="1832" spans="1:12" x14ac:dyDescent="0.25">
      <c r="A1832" t="s">
        <v>1879</v>
      </c>
      <c r="B1832" s="1">
        <v>45432</v>
      </c>
      <c r="C1832" s="1">
        <v>45437</v>
      </c>
      <c r="D1832" t="s">
        <v>32</v>
      </c>
      <c r="E1832" t="s">
        <v>45</v>
      </c>
      <c r="F1832" t="s">
        <v>29</v>
      </c>
      <c r="G1832" t="s">
        <v>16</v>
      </c>
      <c r="H1832" t="s">
        <v>68</v>
      </c>
      <c r="I1832">
        <v>2</v>
      </c>
      <c r="J1832">
        <v>0</v>
      </c>
      <c r="K1832">
        <v>106.32</v>
      </c>
      <c r="L1832">
        <v>4.2</v>
      </c>
    </row>
    <row r="1833" spans="1:12" x14ac:dyDescent="0.25">
      <c r="A1833" t="s">
        <v>1880</v>
      </c>
      <c r="B1833" s="1">
        <v>45447</v>
      </c>
      <c r="C1833" s="1">
        <v>45448</v>
      </c>
      <c r="D1833" t="s">
        <v>47</v>
      </c>
      <c r="E1833" t="s">
        <v>50</v>
      </c>
      <c r="F1833" t="s">
        <v>15</v>
      </c>
      <c r="G1833" t="s">
        <v>20</v>
      </c>
      <c r="H1833" t="s">
        <v>34</v>
      </c>
      <c r="I1833">
        <v>2</v>
      </c>
      <c r="J1833">
        <v>0.15</v>
      </c>
      <c r="K1833">
        <v>366.82</v>
      </c>
      <c r="L1833">
        <v>5.46</v>
      </c>
    </row>
    <row r="1834" spans="1:12" x14ac:dyDescent="0.25">
      <c r="A1834" t="s">
        <v>1881</v>
      </c>
      <c r="B1834" s="1">
        <v>45415</v>
      </c>
      <c r="C1834" s="1">
        <v>45418</v>
      </c>
      <c r="D1834" t="s">
        <v>47</v>
      </c>
      <c r="E1834" t="s">
        <v>50</v>
      </c>
      <c r="F1834" t="s">
        <v>15</v>
      </c>
      <c r="G1834" t="s">
        <v>16</v>
      </c>
      <c r="H1834" t="s">
        <v>53</v>
      </c>
      <c r="I1834">
        <v>1</v>
      </c>
      <c r="J1834">
        <v>0</v>
      </c>
      <c r="K1834">
        <v>56.02</v>
      </c>
      <c r="L1834">
        <v>3.45</v>
      </c>
    </row>
    <row r="1835" spans="1:12" x14ac:dyDescent="0.25">
      <c r="A1835" t="s">
        <v>1882</v>
      </c>
      <c r="B1835" s="1">
        <v>45331</v>
      </c>
      <c r="C1835" s="1">
        <v>45335</v>
      </c>
      <c r="D1835" t="s">
        <v>13</v>
      </c>
      <c r="E1835" t="s">
        <v>14</v>
      </c>
      <c r="F1835" t="s">
        <v>29</v>
      </c>
      <c r="G1835" t="s">
        <v>20</v>
      </c>
      <c r="H1835" t="s">
        <v>53</v>
      </c>
      <c r="I1835">
        <v>3</v>
      </c>
      <c r="J1835">
        <v>0</v>
      </c>
      <c r="K1835">
        <v>160.47</v>
      </c>
      <c r="L1835">
        <v>4.95</v>
      </c>
    </row>
    <row r="1836" spans="1:12" x14ac:dyDescent="0.25">
      <c r="A1836" t="s">
        <v>1883</v>
      </c>
      <c r="B1836" s="1">
        <v>45920</v>
      </c>
      <c r="C1836" s="1">
        <v>45923</v>
      </c>
      <c r="D1836" t="s">
        <v>13</v>
      </c>
      <c r="E1836" t="s">
        <v>36</v>
      </c>
      <c r="F1836" t="s">
        <v>15</v>
      </c>
      <c r="G1836" t="s">
        <v>26</v>
      </c>
      <c r="H1836" t="s">
        <v>27</v>
      </c>
      <c r="I1836">
        <v>13</v>
      </c>
      <c r="J1836">
        <v>0</v>
      </c>
      <c r="K1836">
        <v>404.02</v>
      </c>
      <c r="L1836">
        <v>10.35</v>
      </c>
    </row>
    <row r="1837" spans="1:12" x14ac:dyDescent="0.25">
      <c r="A1837" t="s">
        <v>1884</v>
      </c>
      <c r="B1837" s="1">
        <v>45477</v>
      </c>
      <c r="C1837" s="1">
        <v>45483</v>
      </c>
      <c r="D1837" t="s">
        <v>13</v>
      </c>
      <c r="E1837" t="s">
        <v>36</v>
      </c>
      <c r="F1837" t="s">
        <v>25</v>
      </c>
      <c r="G1837" t="s">
        <v>16</v>
      </c>
      <c r="H1837" t="s">
        <v>17</v>
      </c>
      <c r="I1837">
        <v>5</v>
      </c>
      <c r="J1837">
        <v>0.1</v>
      </c>
      <c r="K1837">
        <v>528.6</v>
      </c>
      <c r="L1837">
        <v>6.45</v>
      </c>
    </row>
    <row r="1838" spans="1:12" x14ac:dyDescent="0.25">
      <c r="A1838" t="s">
        <v>1885</v>
      </c>
      <c r="B1838" s="1">
        <v>45414</v>
      </c>
      <c r="C1838" s="1">
        <v>45415</v>
      </c>
      <c r="D1838" t="s">
        <v>23</v>
      </c>
      <c r="E1838" t="s">
        <v>43</v>
      </c>
      <c r="F1838" t="s">
        <v>15</v>
      </c>
      <c r="G1838" t="s">
        <v>20</v>
      </c>
      <c r="H1838" t="s">
        <v>68</v>
      </c>
      <c r="I1838">
        <v>3</v>
      </c>
      <c r="J1838">
        <v>0</v>
      </c>
      <c r="K1838">
        <v>153.53</v>
      </c>
      <c r="L1838">
        <v>4.95</v>
      </c>
    </row>
    <row r="1839" spans="1:12" x14ac:dyDescent="0.25">
      <c r="A1839" t="s">
        <v>1886</v>
      </c>
      <c r="B1839" s="1">
        <v>45750</v>
      </c>
      <c r="C1839" s="1">
        <v>45754</v>
      </c>
      <c r="D1839" t="s">
        <v>47</v>
      </c>
      <c r="E1839" t="s">
        <v>71</v>
      </c>
      <c r="F1839" t="s">
        <v>29</v>
      </c>
      <c r="G1839" t="s">
        <v>20</v>
      </c>
      <c r="H1839" t="s">
        <v>68</v>
      </c>
      <c r="I1839">
        <v>4</v>
      </c>
      <c r="J1839">
        <v>0.15</v>
      </c>
      <c r="K1839">
        <v>181.83</v>
      </c>
      <c r="L1839">
        <v>5.7</v>
      </c>
    </row>
    <row r="1840" spans="1:12" x14ac:dyDescent="0.25">
      <c r="A1840" t="s">
        <v>1887</v>
      </c>
      <c r="B1840" s="1">
        <v>45418</v>
      </c>
      <c r="C1840" s="1">
        <v>45424</v>
      </c>
      <c r="D1840" t="s">
        <v>23</v>
      </c>
      <c r="E1840" t="s">
        <v>59</v>
      </c>
      <c r="F1840" t="s">
        <v>15</v>
      </c>
      <c r="G1840" t="s">
        <v>26</v>
      </c>
      <c r="H1840" t="s">
        <v>65</v>
      </c>
      <c r="I1840">
        <v>2</v>
      </c>
      <c r="J1840">
        <v>0</v>
      </c>
      <c r="K1840">
        <v>549.07000000000005</v>
      </c>
      <c r="L1840">
        <v>9.1</v>
      </c>
    </row>
    <row r="1841" spans="1:12" x14ac:dyDescent="0.25">
      <c r="A1841" t="s">
        <v>1888</v>
      </c>
      <c r="B1841" s="1">
        <v>45440</v>
      </c>
      <c r="C1841" s="1">
        <v>45443</v>
      </c>
      <c r="D1841" t="s">
        <v>32</v>
      </c>
      <c r="E1841" t="s">
        <v>62</v>
      </c>
      <c r="F1841" t="s">
        <v>15</v>
      </c>
      <c r="G1841" t="s">
        <v>26</v>
      </c>
      <c r="H1841" t="s">
        <v>39</v>
      </c>
      <c r="I1841">
        <v>4</v>
      </c>
      <c r="J1841">
        <v>0</v>
      </c>
      <c r="K1841">
        <v>806.43</v>
      </c>
      <c r="L1841">
        <v>5.7</v>
      </c>
    </row>
    <row r="1842" spans="1:12" x14ac:dyDescent="0.25">
      <c r="A1842" t="s">
        <v>1889</v>
      </c>
      <c r="B1842" s="1">
        <v>45915</v>
      </c>
      <c r="C1842" s="1">
        <v>45919</v>
      </c>
      <c r="D1842" t="s">
        <v>13</v>
      </c>
      <c r="E1842" t="s">
        <v>36</v>
      </c>
      <c r="F1842" t="s">
        <v>25</v>
      </c>
      <c r="G1842" t="s">
        <v>20</v>
      </c>
      <c r="H1842" t="s">
        <v>27</v>
      </c>
      <c r="I1842">
        <v>14</v>
      </c>
      <c r="J1842">
        <v>0</v>
      </c>
      <c r="K1842">
        <v>419.74</v>
      </c>
      <c r="L1842">
        <v>6.48</v>
      </c>
    </row>
    <row r="1843" spans="1:12" x14ac:dyDescent="0.25">
      <c r="A1843" t="s">
        <v>1890</v>
      </c>
      <c r="B1843" s="1">
        <v>45954</v>
      </c>
      <c r="C1843" s="1">
        <v>45956</v>
      </c>
      <c r="D1843" t="s">
        <v>47</v>
      </c>
      <c r="E1843" t="s">
        <v>48</v>
      </c>
      <c r="F1843" t="s">
        <v>25</v>
      </c>
      <c r="G1843" t="s">
        <v>20</v>
      </c>
      <c r="H1843" t="s">
        <v>37</v>
      </c>
      <c r="I1843">
        <v>3</v>
      </c>
      <c r="J1843">
        <v>0</v>
      </c>
      <c r="K1843">
        <v>358.07</v>
      </c>
      <c r="L1843">
        <v>11.4</v>
      </c>
    </row>
    <row r="1844" spans="1:12" x14ac:dyDescent="0.25">
      <c r="A1844" t="s">
        <v>1891</v>
      </c>
      <c r="B1844" s="1">
        <v>45769</v>
      </c>
      <c r="C1844" s="1">
        <v>45773</v>
      </c>
      <c r="D1844" t="s">
        <v>23</v>
      </c>
      <c r="E1844" t="s">
        <v>43</v>
      </c>
      <c r="F1844" t="s">
        <v>15</v>
      </c>
      <c r="G1844" t="s">
        <v>26</v>
      </c>
      <c r="H1844" t="s">
        <v>41</v>
      </c>
      <c r="I1844">
        <v>10</v>
      </c>
      <c r="J1844">
        <v>0.2</v>
      </c>
      <c r="K1844">
        <v>50.51</v>
      </c>
      <c r="L1844">
        <v>9</v>
      </c>
    </row>
    <row r="1845" spans="1:12" x14ac:dyDescent="0.25">
      <c r="A1845" t="s">
        <v>1892</v>
      </c>
      <c r="B1845" s="1">
        <v>45500</v>
      </c>
      <c r="C1845" s="1">
        <v>45502</v>
      </c>
      <c r="D1845" t="s">
        <v>23</v>
      </c>
      <c r="E1845" t="s">
        <v>24</v>
      </c>
      <c r="F1845" t="s">
        <v>25</v>
      </c>
      <c r="G1845" t="s">
        <v>26</v>
      </c>
      <c r="H1845" t="s">
        <v>17</v>
      </c>
      <c r="I1845">
        <v>7</v>
      </c>
      <c r="J1845">
        <v>0</v>
      </c>
      <c r="K1845">
        <v>849.23</v>
      </c>
      <c r="L1845">
        <v>13.25</v>
      </c>
    </row>
    <row r="1846" spans="1:12" x14ac:dyDescent="0.25">
      <c r="A1846" t="s">
        <v>1893</v>
      </c>
      <c r="B1846" s="1">
        <v>45800</v>
      </c>
      <c r="C1846" s="1">
        <v>45803</v>
      </c>
      <c r="D1846" t="s">
        <v>13</v>
      </c>
      <c r="E1846" t="s">
        <v>14</v>
      </c>
      <c r="F1846" t="s">
        <v>29</v>
      </c>
      <c r="G1846" t="s">
        <v>20</v>
      </c>
      <c r="H1846" t="s">
        <v>68</v>
      </c>
      <c r="I1846">
        <v>3</v>
      </c>
      <c r="J1846">
        <v>0</v>
      </c>
      <c r="K1846">
        <v>151.84</v>
      </c>
      <c r="L1846">
        <v>4.95</v>
      </c>
    </row>
    <row r="1847" spans="1:12" x14ac:dyDescent="0.25">
      <c r="A1847" t="s">
        <v>1894</v>
      </c>
      <c r="B1847" s="1">
        <v>45675</v>
      </c>
      <c r="C1847" s="1">
        <v>45679</v>
      </c>
      <c r="D1847" t="s">
        <v>23</v>
      </c>
      <c r="E1847" t="s">
        <v>43</v>
      </c>
      <c r="F1847" t="s">
        <v>25</v>
      </c>
      <c r="G1847" t="s">
        <v>16</v>
      </c>
      <c r="H1847" t="s">
        <v>65</v>
      </c>
      <c r="I1847">
        <v>2</v>
      </c>
      <c r="J1847">
        <v>0.15</v>
      </c>
      <c r="K1847">
        <v>410.16</v>
      </c>
      <c r="L1847">
        <v>9.1</v>
      </c>
    </row>
    <row r="1848" spans="1:12" x14ac:dyDescent="0.25">
      <c r="A1848" t="s">
        <v>1895</v>
      </c>
      <c r="B1848" s="1">
        <v>45599</v>
      </c>
      <c r="C1848" s="1">
        <v>45603</v>
      </c>
      <c r="D1848" t="s">
        <v>32</v>
      </c>
      <c r="E1848" t="s">
        <v>45</v>
      </c>
      <c r="F1848" t="s">
        <v>25</v>
      </c>
      <c r="G1848" t="s">
        <v>20</v>
      </c>
      <c r="H1848" t="s">
        <v>34</v>
      </c>
      <c r="I1848">
        <v>2</v>
      </c>
      <c r="J1848">
        <v>0.2</v>
      </c>
      <c r="K1848">
        <v>425.16</v>
      </c>
      <c r="L1848">
        <v>5.46</v>
      </c>
    </row>
    <row r="1849" spans="1:12" x14ac:dyDescent="0.25">
      <c r="A1849" t="s">
        <v>1896</v>
      </c>
      <c r="B1849" s="1">
        <v>45665</v>
      </c>
      <c r="C1849" s="1">
        <v>45671</v>
      </c>
      <c r="D1849" t="s">
        <v>32</v>
      </c>
      <c r="E1849" t="s">
        <v>62</v>
      </c>
      <c r="F1849" t="s">
        <v>15</v>
      </c>
      <c r="G1849" t="s">
        <v>20</v>
      </c>
      <c r="H1849" t="s">
        <v>27</v>
      </c>
      <c r="I1849">
        <v>9</v>
      </c>
      <c r="J1849">
        <v>0</v>
      </c>
      <c r="K1849">
        <v>215.3</v>
      </c>
      <c r="L1849">
        <v>5.13</v>
      </c>
    </row>
    <row r="1850" spans="1:12" x14ac:dyDescent="0.25">
      <c r="A1850" t="s">
        <v>1897</v>
      </c>
      <c r="B1850" s="1">
        <v>45874</v>
      </c>
      <c r="C1850" s="1">
        <v>45875</v>
      </c>
      <c r="D1850" t="s">
        <v>23</v>
      </c>
      <c r="E1850" t="s">
        <v>43</v>
      </c>
      <c r="F1850" t="s">
        <v>15</v>
      </c>
      <c r="G1850" t="s">
        <v>26</v>
      </c>
      <c r="H1850" t="s">
        <v>27</v>
      </c>
      <c r="I1850">
        <v>8</v>
      </c>
      <c r="J1850">
        <v>0</v>
      </c>
      <c r="K1850">
        <v>210.35</v>
      </c>
      <c r="L1850">
        <v>8.1</v>
      </c>
    </row>
    <row r="1851" spans="1:12" x14ac:dyDescent="0.25">
      <c r="A1851" t="s">
        <v>1898</v>
      </c>
      <c r="B1851" s="1">
        <v>45520</v>
      </c>
      <c r="C1851" s="1">
        <v>45526</v>
      </c>
      <c r="D1851" t="s">
        <v>47</v>
      </c>
      <c r="E1851" t="s">
        <v>50</v>
      </c>
      <c r="F1851" t="s">
        <v>25</v>
      </c>
      <c r="G1851" t="s">
        <v>26</v>
      </c>
      <c r="H1851" t="s">
        <v>53</v>
      </c>
      <c r="I1851">
        <v>3</v>
      </c>
      <c r="J1851">
        <v>0.1</v>
      </c>
      <c r="K1851">
        <v>140.27000000000001</v>
      </c>
      <c r="L1851">
        <v>4.95</v>
      </c>
    </row>
    <row r="1852" spans="1:12" x14ac:dyDescent="0.25">
      <c r="A1852" t="s">
        <v>1899</v>
      </c>
      <c r="B1852" s="1">
        <v>45423</v>
      </c>
      <c r="C1852" s="1">
        <v>45427</v>
      </c>
      <c r="D1852" t="s">
        <v>32</v>
      </c>
      <c r="E1852" t="s">
        <v>45</v>
      </c>
      <c r="F1852" t="s">
        <v>25</v>
      </c>
      <c r="G1852" t="s">
        <v>26</v>
      </c>
      <c r="H1852" t="s">
        <v>68</v>
      </c>
      <c r="I1852">
        <v>3</v>
      </c>
      <c r="J1852">
        <v>0</v>
      </c>
      <c r="K1852">
        <v>156.16999999999999</v>
      </c>
      <c r="L1852">
        <v>8.25</v>
      </c>
    </row>
    <row r="1853" spans="1:12" x14ac:dyDescent="0.25">
      <c r="A1853" t="s">
        <v>1900</v>
      </c>
      <c r="B1853" s="1">
        <v>45788</v>
      </c>
      <c r="C1853" s="1">
        <v>45790</v>
      </c>
      <c r="D1853" t="s">
        <v>13</v>
      </c>
      <c r="E1853" t="s">
        <v>14</v>
      </c>
      <c r="F1853" t="s">
        <v>15</v>
      </c>
      <c r="G1853" t="s">
        <v>16</v>
      </c>
      <c r="H1853" t="s">
        <v>37</v>
      </c>
      <c r="I1853">
        <v>4</v>
      </c>
      <c r="J1853">
        <v>0</v>
      </c>
      <c r="K1853">
        <v>443.73</v>
      </c>
      <c r="L1853">
        <v>13.7</v>
      </c>
    </row>
    <row r="1854" spans="1:12" x14ac:dyDescent="0.25">
      <c r="A1854" t="s">
        <v>1901</v>
      </c>
      <c r="B1854" s="1">
        <v>45343</v>
      </c>
      <c r="C1854" s="1">
        <v>45345</v>
      </c>
      <c r="D1854" t="s">
        <v>13</v>
      </c>
      <c r="E1854" t="s">
        <v>14</v>
      </c>
      <c r="F1854" t="s">
        <v>15</v>
      </c>
      <c r="G1854" t="s">
        <v>20</v>
      </c>
      <c r="H1854" t="s">
        <v>17</v>
      </c>
      <c r="I1854">
        <v>2</v>
      </c>
      <c r="J1854">
        <v>0.1</v>
      </c>
      <c r="K1854">
        <v>194.97</v>
      </c>
      <c r="L1854">
        <v>7</v>
      </c>
    </row>
    <row r="1855" spans="1:12" x14ac:dyDescent="0.25">
      <c r="A1855" t="s">
        <v>1902</v>
      </c>
      <c r="B1855" s="1">
        <v>45831</v>
      </c>
      <c r="C1855" s="1">
        <v>45834</v>
      </c>
      <c r="D1855" t="s">
        <v>23</v>
      </c>
      <c r="E1855" t="s">
        <v>43</v>
      </c>
      <c r="F1855" t="s">
        <v>15</v>
      </c>
      <c r="G1855" t="s">
        <v>26</v>
      </c>
      <c r="H1855" t="s">
        <v>41</v>
      </c>
      <c r="I1855">
        <v>6</v>
      </c>
      <c r="J1855">
        <v>0</v>
      </c>
      <c r="K1855">
        <v>37.56</v>
      </c>
      <c r="L1855">
        <v>7.2</v>
      </c>
    </row>
    <row r="1856" spans="1:12" x14ac:dyDescent="0.25">
      <c r="A1856" t="s">
        <v>1903</v>
      </c>
      <c r="B1856" s="1">
        <v>45732</v>
      </c>
      <c r="C1856" s="1">
        <v>45737</v>
      </c>
      <c r="D1856" t="s">
        <v>32</v>
      </c>
      <c r="E1856" t="s">
        <v>33</v>
      </c>
      <c r="F1856" t="s">
        <v>15</v>
      </c>
      <c r="G1856" t="s">
        <v>16</v>
      </c>
      <c r="H1856" t="s">
        <v>34</v>
      </c>
      <c r="I1856">
        <v>2</v>
      </c>
      <c r="J1856">
        <v>0</v>
      </c>
      <c r="K1856">
        <v>406.27</v>
      </c>
      <c r="L1856">
        <v>9.1</v>
      </c>
    </row>
    <row r="1857" spans="1:12" x14ac:dyDescent="0.25">
      <c r="A1857" t="s">
        <v>1904</v>
      </c>
      <c r="B1857" s="1">
        <v>45341</v>
      </c>
      <c r="C1857" s="1">
        <v>45342</v>
      </c>
      <c r="D1857" t="s">
        <v>32</v>
      </c>
      <c r="E1857" t="s">
        <v>33</v>
      </c>
      <c r="F1857" t="s">
        <v>25</v>
      </c>
      <c r="G1857" t="s">
        <v>26</v>
      </c>
      <c r="H1857" t="s">
        <v>21</v>
      </c>
      <c r="I1857">
        <v>3</v>
      </c>
      <c r="J1857">
        <v>0.1</v>
      </c>
      <c r="K1857">
        <v>273.97000000000003</v>
      </c>
      <c r="L1857">
        <v>6.84</v>
      </c>
    </row>
    <row r="1858" spans="1:12" x14ac:dyDescent="0.25">
      <c r="A1858" t="s">
        <v>1905</v>
      </c>
      <c r="B1858" s="1">
        <v>45766</v>
      </c>
      <c r="C1858" s="1">
        <v>45771</v>
      </c>
      <c r="D1858" t="s">
        <v>32</v>
      </c>
      <c r="E1858" t="s">
        <v>62</v>
      </c>
      <c r="F1858" t="s">
        <v>29</v>
      </c>
      <c r="G1858" t="s">
        <v>16</v>
      </c>
      <c r="H1858" t="s">
        <v>37</v>
      </c>
      <c r="I1858">
        <v>4</v>
      </c>
      <c r="J1858">
        <v>0</v>
      </c>
      <c r="K1858">
        <v>417.75</v>
      </c>
      <c r="L1858">
        <v>8.2200000000000006</v>
      </c>
    </row>
    <row r="1859" spans="1:12" x14ac:dyDescent="0.25">
      <c r="A1859" t="s">
        <v>1906</v>
      </c>
      <c r="B1859" s="1">
        <v>45731</v>
      </c>
      <c r="C1859" s="1">
        <v>45736</v>
      </c>
      <c r="D1859" t="s">
        <v>47</v>
      </c>
      <c r="E1859" t="s">
        <v>48</v>
      </c>
      <c r="F1859" t="s">
        <v>29</v>
      </c>
      <c r="G1859" t="s">
        <v>20</v>
      </c>
      <c r="H1859" t="s">
        <v>41</v>
      </c>
      <c r="I1859">
        <v>4</v>
      </c>
      <c r="J1859">
        <v>0.05</v>
      </c>
      <c r="K1859">
        <v>22.76</v>
      </c>
      <c r="L1859">
        <v>3.78</v>
      </c>
    </row>
    <row r="1860" spans="1:12" x14ac:dyDescent="0.25">
      <c r="A1860" t="s">
        <v>1907</v>
      </c>
      <c r="B1860" s="1">
        <v>45363</v>
      </c>
      <c r="C1860" s="1">
        <v>45368</v>
      </c>
      <c r="D1860" t="s">
        <v>47</v>
      </c>
      <c r="E1860" t="s">
        <v>48</v>
      </c>
      <c r="F1860" t="s">
        <v>29</v>
      </c>
      <c r="G1860" t="s">
        <v>26</v>
      </c>
      <c r="H1860" t="s">
        <v>68</v>
      </c>
      <c r="I1860">
        <v>2</v>
      </c>
      <c r="J1860">
        <v>0</v>
      </c>
      <c r="K1860">
        <v>96.4</v>
      </c>
      <c r="L1860">
        <v>7</v>
      </c>
    </row>
    <row r="1861" spans="1:12" x14ac:dyDescent="0.25">
      <c r="A1861" t="s">
        <v>1908</v>
      </c>
      <c r="B1861" s="1">
        <v>45425</v>
      </c>
      <c r="C1861" s="1">
        <v>45427</v>
      </c>
      <c r="D1861" t="s">
        <v>47</v>
      </c>
      <c r="E1861" t="s">
        <v>48</v>
      </c>
      <c r="F1861" t="s">
        <v>15</v>
      </c>
      <c r="G1861" t="s">
        <v>20</v>
      </c>
      <c r="H1861" t="s">
        <v>17</v>
      </c>
      <c r="I1861">
        <v>4</v>
      </c>
      <c r="J1861">
        <v>0</v>
      </c>
      <c r="K1861">
        <v>516.57000000000005</v>
      </c>
      <c r="L1861">
        <v>5.7</v>
      </c>
    </row>
    <row r="1862" spans="1:12" x14ac:dyDescent="0.25">
      <c r="A1862" t="s">
        <v>1909</v>
      </c>
      <c r="B1862" s="1">
        <v>45880</v>
      </c>
      <c r="C1862" s="1">
        <v>45883</v>
      </c>
      <c r="D1862" t="s">
        <v>32</v>
      </c>
      <c r="E1862" t="s">
        <v>33</v>
      </c>
      <c r="F1862" t="s">
        <v>15</v>
      </c>
      <c r="G1862" t="s">
        <v>16</v>
      </c>
      <c r="H1862" t="s">
        <v>39</v>
      </c>
      <c r="I1862">
        <v>4</v>
      </c>
      <c r="J1862">
        <v>0</v>
      </c>
      <c r="K1862">
        <v>735.06</v>
      </c>
      <c r="L1862">
        <v>5.7</v>
      </c>
    </row>
    <row r="1863" spans="1:12" x14ac:dyDescent="0.25">
      <c r="A1863" t="s">
        <v>1910</v>
      </c>
      <c r="B1863" s="1">
        <v>45972</v>
      </c>
      <c r="C1863" s="1">
        <v>45977</v>
      </c>
      <c r="D1863" t="s">
        <v>13</v>
      </c>
      <c r="E1863" t="s">
        <v>19</v>
      </c>
      <c r="F1863" t="s">
        <v>25</v>
      </c>
      <c r="G1863" t="s">
        <v>16</v>
      </c>
      <c r="H1863" t="s">
        <v>63</v>
      </c>
      <c r="I1863">
        <v>7</v>
      </c>
      <c r="J1863">
        <v>0</v>
      </c>
      <c r="K1863">
        <v>121.73</v>
      </c>
      <c r="L1863">
        <v>7.65</v>
      </c>
    </row>
    <row r="1864" spans="1:12" x14ac:dyDescent="0.25">
      <c r="A1864" t="s">
        <v>1911</v>
      </c>
      <c r="B1864" s="1">
        <v>45385</v>
      </c>
      <c r="C1864" s="1">
        <v>45386</v>
      </c>
      <c r="D1864" t="s">
        <v>23</v>
      </c>
      <c r="E1864" t="s">
        <v>43</v>
      </c>
      <c r="F1864" t="s">
        <v>29</v>
      </c>
      <c r="G1864" t="s">
        <v>26</v>
      </c>
      <c r="H1864" t="s">
        <v>60</v>
      </c>
      <c r="I1864">
        <v>2</v>
      </c>
      <c r="J1864">
        <v>0</v>
      </c>
      <c r="K1864">
        <v>220.44</v>
      </c>
      <c r="L1864">
        <v>4.2</v>
      </c>
    </row>
    <row r="1865" spans="1:12" x14ac:dyDescent="0.25">
      <c r="A1865" t="s">
        <v>1912</v>
      </c>
      <c r="B1865" s="1">
        <v>45417</v>
      </c>
      <c r="C1865" s="1">
        <v>45422</v>
      </c>
      <c r="D1865" t="s">
        <v>23</v>
      </c>
      <c r="E1865" t="s">
        <v>59</v>
      </c>
      <c r="F1865" t="s">
        <v>29</v>
      </c>
      <c r="G1865" t="s">
        <v>16</v>
      </c>
      <c r="H1865" t="s">
        <v>30</v>
      </c>
      <c r="I1865">
        <v>13</v>
      </c>
      <c r="J1865">
        <v>0.15</v>
      </c>
      <c r="K1865">
        <v>68.010000000000005</v>
      </c>
      <c r="L1865">
        <v>6.21</v>
      </c>
    </row>
    <row r="1866" spans="1:12" x14ac:dyDescent="0.25">
      <c r="A1866" t="s">
        <v>1913</v>
      </c>
      <c r="B1866" s="1">
        <v>45414</v>
      </c>
      <c r="C1866" s="1">
        <v>45420</v>
      </c>
      <c r="D1866" t="s">
        <v>32</v>
      </c>
      <c r="E1866" t="s">
        <v>33</v>
      </c>
      <c r="F1866" t="s">
        <v>25</v>
      </c>
      <c r="G1866" t="s">
        <v>16</v>
      </c>
      <c r="H1866" t="s">
        <v>17</v>
      </c>
      <c r="I1866">
        <v>4</v>
      </c>
      <c r="J1866">
        <v>0</v>
      </c>
      <c r="K1866">
        <v>529.55999999999995</v>
      </c>
      <c r="L1866">
        <v>5.7</v>
      </c>
    </row>
    <row r="1867" spans="1:12" x14ac:dyDescent="0.25">
      <c r="A1867" t="s">
        <v>1914</v>
      </c>
      <c r="B1867" s="1">
        <v>45967</v>
      </c>
      <c r="C1867" s="1">
        <v>45968</v>
      </c>
      <c r="D1867" t="s">
        <v>13</v>
      </c>
      <c r="E1867" t="s">
        <v>36</v>
      </c>
      <c r="F1867" t="s">
        <v>15</v>
      </c>
      <c r="G1867" t="s">
        <v>16</v>
      </c>
      <c r="H1867" t="s">
        <v>60</v>
      </c>
      <c r="I1867">
        <v>7</v>
      </c>
      <c r="J1867">
        <v>0.2</v>
      </c>
      <c r="K1867">
        <v>817.76</v>
      </c>
      <c r="L1867">
        <v>13.25</v>
      </c>
    </row>
    <row r="1868" spans="1:12" x14ac:dyDescent="0.25">
      <c r="A1868" t="s">
        <v>1915</v>
      </c>
      <c r="B1868" s="1">
        <v>45325</v>
      </c>
      <c r="C1868" s="1">
        <v>45326</v>
      </c>
      <c r="D1868" t="s">
        <v>23</v>
      </c>
      <c r="E1868" t="s">
        <v>43</v>
      </c>
      <c r="F1868" t="s">
        <v>29</v>
      </c>
      <c r="G1868" t="s">
        <v>16</v>
      </c>
      <c r="H1868" t="s">
        <v>37</v>
      </c>
      <c r="I1868">
        <v>3</v>
      </c>
      <c r="J1868">
        <v>0</v>
      </c>
      <c r="K1868">
        <v>284.95</v>
      </c>
      <c r="L1868">
        <v>11.4</v>
      </c>
    </row>
    <row r="1869" spans="1:12" x14ac:dyDescent="0.25">
      <c r="A1869" t="s">
        <v>1916</v>
      </c>
      <c r="B1869" s="1">
        <v>45294</v>
      </c>
      <c r="C1869" s="1">
        <v>45298</v>
      </c>
      <c r="D1869" t="s">
        <v>32</v>
      </c>
      <c r="E1869" t="s">
        <v>45</v>
      </c>
      <c r="F1869" t="s">
        <v>25</v>
      </c>
      <c r="G1869" t="s">
        <v>26</v>
      </c>
      <c r="H1869" t="s">
        <v>27</v>
      </c>
      <c r="I1869">
        <v>8</v>
      </c>
      <c r="J1869">
        <v>0</v>
      </c>
      <c r="K1869">
        <v>191.66</v>
      </c>
      <c r="L1869">
        <v>4.8600000000000003</v>
      </c>
    </row>
    <row r="1870" spans="1:12" x14ac:dyDescent="0.25">
      <c r="A1870" t="s">
        <v>1917</v>
      </c>
      <c r="B1870" s="1">
        <v>45489</v>
      </c>
      <c r="C1870" s="1">
        <v>45491</v>
      </c>
      <c r="D1870" t="s">
        <v>23</v>
      </c>
      <c r="E1870" t="s">
        <v>24</v>
      </c>
      <c r="F1870" t="s">
        <v>15</v>
      </c>
      <c r="G1870" t="s">
        <v>16</v>
      </c>
      <c r="H1870" t="s">
        <v>37</v>
      </c>
      <c r="I1870">
        <v>2</v>
      </c>
      <c r="J1870">
        <v>0.2</v>
      </c>
      <c r="K1870">
        <v>159.24</v>
      </c>
      <c r="L1870">
        <v>9.1</v>
      </c>
    </row>
    <row r="1871" spans="1:12" x14ac:dyDescent="0.25">
      <c r="A1871" t="s">
        <v>1918</v>
      </c>
      <c r="B1871" s="1">
        <v>45824</v>
      </c>
      <c r="C1871" s="1">
        <v>45829</v>
      </c>
      <c r="D1871" t="s">
        <v>13</v>
      </c>
      <c r="E1871" t="s">
        <v>36</v>
      </c>
      <c r="F1871" t="s">
        <v>25</v>
      </c>
      <c r="G1871" t="s">
        <v>26</v>
      </c>
      <c r="H1871" t="s">
        <v>53</v>
      </c>
      <c r="I1871">
        <v>4</v>
      </c>
      <c r="J1871">
        <v>0</v>
      </c>
      <c r="K1871">
        <v>248.28</v>
      </c>
      <c r="L1871">
        <v>5.7</v>
      </c>
    </row>
    <row r="1872" spans="1:12" x14ac:dyDescent="0.25">
      <c r="A1872" t="s">
        <v>1919</v>
      </c>
      <c r="B1872" s="1">
        <v>45298</v>
      </c>
      <c r="C1872" s="1">
        <v>45303</v>
      </c>
      <c r="D1872" t="s">
        <v>47</v>
      </c>
      <c r="E1872" t="s">
        <v>48</v>
      </c>
      <c r="F1872" t="s">
        <v>15</v>
      </c>
      <c r="G1872" t="s">
        <v>20</v>
      </c>
      <c r="H1872" t="s">
        <v>65</v>
      </c>
      <c r="I1872">
        <v>3</v>
      </c>
      <c r="J1872">
        <v>0.25</v>
      </c>
      <c r="K1872">
        <v>552.08000000000004</v>
      </c>
      <c r="L1872">
        <v>6.84</v>
      </c>
    </row>
    <row r="1873" spans="1:12" x14ac:dyDescent="0.25">
      <c r="A1873" t="s">
        <v>1920</v>
      </c>
      <c r="B1873" s="1">
        <v>45919</v>
      </c>
      <c r="C1873" s="1">
        <v>45921</v>
      </c>
      <c r="D1873" t="s">
        <v>13</v>
      </c>
      <c r="E1873" t="s">
        <v>14</v>
      </c>
      <c r="F1873" t="s">
        <v>15</v>
      </c>
      <c r="G1873" t="s">
        <v>26</v>
      </c>
      <c r="H1873" t="s">
        <v>87</v>
      </c>
      <c r="I1873">
        <v>14</v>
      </c>
      <c r="J1873">
        <v>0</v>
      </c>
      <c r="K1873">
        <v>117.98</v>
      </c>
      <c r="L1873">
        <v>10.8</v>
      </c>
    </row>
    <row r="1874" spans="1:12" x14ac:dyDescent="0.25">
      <c r="A1874" t="s">
        <v>1921</v>
      </c>
      <c r="B1874" s="1">
        <v>45623</v>
      </c>
      <c r="C1874" s="1">
        <v>45628</v>
      </c>
      <c r="D1874" t="s">
        <v>47</v>
      </c>
      <c r="E1874" t="s">
        <v>71</v>
      </c>
      <c r="F1874" t="s">
        <v>15</v>
      </c>
      <c r="G1874" t="s">
        <v>16</v>
      </c>
      <c r="H1874" t="s">
        <v>63</v>
      </c>
      <c r="I1874">
        <v>14</v>
      </c>
      <c r="J1874">
        <v>0</v>
      </c>
      <c r="K1874">
        <v>223.8</v>
      </c>
      <c r="L1874">
        <v>10.8</v>
      </c>
    </row>
    <row r="1875" spans="1:12" x14ac:dyDescent="0.25">
      <c r="A1875" t="s">
        <v>1922</v>
      </c>
      <c r="B1875" s="1">
        <v>45440</v>
      </c>
      <c r="C1875" s="1">
        <v>45445</v>
      </c>
      <c r="D1875" t="s">
        <v>13</v>
      </c>
      <c r="E1875" t="s">
        <v>14</v>
      </c>
      <c r="F1875" t="s">
        <v>25</v>
      </c>
      <c r="G1875" t="s">
        <v>16</v>
      </c>
      <c r="H1875" t="s">
        <v>65</v>
      </c>
      <c r="I1875">
        <v>4</v>
      </c>
      <c r="J1875">
        <v>0</v>
      </c>
      <c r="K1875">
        <v>1179.8699999999999</v>
      </c>
      <c r="L1875">
        <v>13.7</v>
      </c>
    </row>
    <row r="1876" spans="1:12" x14ac:dyDescent="0.25">
      <c r="A1876" t="s">
        <v>1923</v>
      </c>
      <c r="B1876" s="1">
        <v>45682</v>
      </c>
      <c r="C1876" s="1">
        <v>45684</v>
      </c>
      <c r="D1876" t="s">
        <v>23</v>
      </c>
      <c r="E1876" t="s">
        <v>59</v>
      </c>
      <c r="F1876" t="s">
        <v>15</v>
      </c>
      <c r="G1876" t="s">
        <v>26</v>
      </c>
      <c r="H1876" t="s">
        <v>51</v>
      </c>
      <c r="I1876">
        <v>14</v>
      </c>
      <c r="J1876">
        <v>0.25</v>
      </c>
      <c r="K1876">
        <v>131.13999999999999</v>
      </c>
      <c r="L1876">
        <v>6.48</v>
      </c>
    </row>
    <row r="1877" spans="1:12" x14ac:dyDescent="0.25">
      <c r="A1877" t="s">
        <v>1924</v>
      </c>
      <c r="B1877" s="1">
        <v>45530</v>
      </c>
      <c r="C1877" s="1">
        <v>45533</v>
      </c>
      <c r="D1877" t="s">
        <v>32</v>
      </c>
      <c r="E1877" t="s">
        <v>62</v>
      </c>
      <c r="F1877" t="s">
        <v>29</v>
      </c>
      <c r="G1877" t="s">
        <v>20</v>
      </c>
      <c r="H1877" t="s">
        <v>41</v>
      </c>
      <c r="I1877">
        <v>11</v>
      </c>
      <c r="J1877">
        <v>0.05</v>
      </c>
      <c r="K1877">
        <v>60.33</v>
      </c>
      <c r="L1877">
        <v>9.4499999999999993</v>
      </c>
    </row>
    <row r="1878" spans="1:12" x14ac:dyDescent="0.25">
      <c r="A1878" t="s">
        <v>1925</v>
      </c>
      <c r="B1878" s="1">
        <v>45502</v>
      </c>
      <c r="C1878" s="1">
        <v>45506</v>
      </c>
      <c r="D1878" t="s">
        <v>23</v>
      </c>
      <c r="E1878" t="s">
        <v>24</v>
      </c>
      <c r="F1878" t="s">
        <v>29</v>
      </c>
      <c r="G1878" t="s">
        <v>20</v>
      </c>
      <c r="H1878" t="s">
        <v>63</v>
      </c>
      <c r="I1878">
        <v>13</v>
      </c>
      <c r="J1878">
        <v>0</v>
      </c>
      <c r="K1878">
        <v>148.59</v>
      </c>
      <c r="L1878">
        <v>6.21</v>
      </c>
    </row>
    <row r="1879" spans="1:12" x14ac:dyDescent="0.25">
      <c r="A1879" t="s">
        <v>1926</v>
      </c>
      <c r="B1879" s="1">
        <v>45436</v>
      </c>
      <c r="C1879" s="1">
        <v>45440</v>
      </c>
      <c r="D1879" t="s">
        <v>23</v>
      </c>
      <c r="E1879" t="s">
        <v>24</v>
      </c>
      <c r="F1879" t="s">
        <v>15</v>
      </c>
      <c r="G1879" t="s">
        <v>26</v>
      </c>
      <c r="H1879" t="s">
        <v>60</v>
      </c>
      <c r="I1879">
        <v>5</v>
      </c>
      <c r="J1879">
        <v>0.2</v>
      </c>
      <c r="K1879">
        <v>461.2</v>
      </c>
      <c r="L1879">
        <v>6.45</v>
      </c>
    </row>
    <row r="1880" spans="1:12" x14ac:dyDescent="0.25">
      <c r="A1880" t="s">
        <v>1927</v>
      </c>
      <c r="B1880" s="1">
        <v>45821</v>
      </c>
      <c r="C1880" s="1">
        <v>45822</v>
      </c>
      <c r="D1880" t="s">
        <v>32</v>
      </c>
      <c r="E1880" t="s">
        <v>62</v>
      </c>
      <c r="F1880" t="s">
        <v>29</v>
      </c>
      <c r="G1880" t="s">
        <v>16</v>
      </c>
      <c r="H1880" t="s">
        <v>17</v>
      </c>
      <c r="I1880">
        <v>2</v>
      </c>
      <c r="J1880">
        <v>0.15</v>
      </c>
      <c r="K1880">
        <v>219.62</v>
      </c>
      <c r="L1880">
        <v>7</v>
      </c>
    </row>
    <row r="1881" spans="1:12" x14ac:dyDescent="0.25">
      <c r="A1881" t="s">
        <v>1928</v>
      </c>
      <c r="B1881" s="1">
        <v>45628</v>
      </c>
      <c r="C1881" s="1">
        <v>45633</v>
      </c>
      <c r="D1881" t="s">
        <v>23</v>
      </c>
      <c r="E1881" t="s">
        <v>24</v>
      </c>
      <c r="F1881" t="s">
        <v>25</v>
      </c>
      <c r="G1881" t="s">
        <v>26</v>
      </c>
      <c r="H1881" t="s">
        <v>63</v>
      </c>
      <c r="I1881">
        <v>7</v>
      </c>
      <c r="J1881">
        <v>0</v>
      </c>
      <c r="K1881">
        <v>116.03</v>
      </c>
      <c r="L1881">
        <v>7.65</v>
      </c>
    </row>
    <row r="1882" spans="1:12" x14ac:dyDescent="0.25">
      <c r="A1882" t="s">
        <v>1929</v>
      </c>
      <c r="B1882" s="1">
        <v>45338</v>
      </c>
      <c r="C1882" s="1">
        <v>45341</v>
      </c>
      <c r="D1882" t="s">
        <v>13</v>
      </c>
      <c r="E1882" t="s">
        <v>36</v>
      </c>
      <c r="F1882" t="s">
        <v>25</v>
      </c>
      <c r="G1882" t="s">
        <v>16</v>
      </c>
      <c r="H1882" t="s">
        <v>30</v>
      </c>
      <c r="I1882">
        <v>13</v>
      </c>
      <c r="J1882">
        <v>0.05</v>
      </c>
      <c r="K1882">
        <v>63.94</v>
      </c>
      <c r="L1882">
        <v>10.35</v>
      </c>
    </row>
    <row r="1883" spans="1:12" x14ac:dyDescent="0.25">
      <c r="A1883" t="s">
        <v>1930</v>
      </c>
      <c r="B1883" s="1">
        <v>45902</v>
      </c>
      <c r="C1883" s="1">
        <v>45904</v>
      </c>
      <c r="D1883" t="s">
        <v>13</v>
      </c>
      <c r="E1883" t="s">
        <v>36</v>
      </c>
      <c r="F1883" t="s">
        <v>15</v>
      </c>
      <c r="G1883" t="s">
        <v>20</v>
      </c>
      <c r="H1883" t="s">
        <v>17</v>
      </c>
      <c r="I1883">
        <v>2</v>
      </c>
      <c r="J1883">
        <v>0</v>
      </c>
      <c r="K1883">
        <v>271.83999999999997</v>
      </c>
      <c r="L1883">
        <v>7</v>
      </c>
    </row>
    <row r="1884" spans="1:12" x14ac:dyDescent="0.25">
      <c r="A1884" t="s">
        <v>1931</v>
      </c>
      <c r="B1884" s="1">
        <v>45984</v>
      </c>
      <c r="C1884" s="1">
        <v>45988</v>
      </c>
      <c r="D1884" t="s">
        <v>13</v>
      </c>
      <c r="E1884" t="s">
        <v>19</v>
      </c>
      <c r="F1884" t="s">
        <v>25</v>
      </c>
      <c r="G1884" t="s">
        <v>20</v>
      </c>
      <c r="H1884" t="s">
        <v>30</v>
      </c>
      <c r="I1884">
        <v>4</v>
      </c>
      <c r="J1884">
        <v>0.15</v>
      </c>
      <c r="K1884">
        <v>28.13</v>
      </c>
      <c r="L1884">
        <v>6.3</v>
      </c>
    </row>
    <row r="1885" spans="1:12" x14ac:dyDescent="0.25">
      <c r="A1885" t="s">
        <v>1932</v>
      </c>
      <c r="B1885" s="1">
        <v>45440</v>
      </c>
      <c r="C1885" s="1">
        <v>45446</v>
      </c>
      <c r="D1885" t="s">
        <v>23</v>
      </c>
      <c r="E1885" t="s">
        <v>43</v>
      </c>
      <c r="F1885" t="s">
        <v>15</v>
      </c>
      <c r="G1885" t="s">
        <v>16</v>
      </c>
      <c r="H1885" t="s">
        <v>39</v>
      </c>
      <c r="I1885">
        <v>2</v>
      </c>
      <c r="J1885">
        <v>0.25</v>
      </c>
      <c r="K1885">
        <v>307.74</v>
      </c>
      <c r="L1885">
        <v>4.2</v>
      </c>
    </row>
    <row r="1886" spans="1:12" x14ac:dyDescent="0.25">
      <c r="A1886" t="s">
        <v>1933</v>
      </c>
      <c r="B1886" s="1">
        <v>45518</v>
      </c>
      <c r="C1886" s="1">
        <v>45521</v>
      </c>
      <c r="D1886" t="s">
        <v>13</v>
      </c>
      <c r="E1886" t="s">
        <v>19</v>
      </c>
      <c r="F1886" t="s">
        <v>29</v>
      </c>
      <c r="G1886" t="s">
        <v>26</v>
      </c>
      <c r="H1886" t="s">
        <v>27</v>
      </c>
      <c r="I1886">
        <v>10</v>
      </c>
      <c r="J1886">
        <v>0.2</v>
      </c>
      <c r="K1886">
        <v>222.14</v>
      </c>
      <c r="L1886">
        <v>9</v>
      </c>
    </row>
    <row r="1887" spans="1:12" x14ac:dyDescent="0.25">
      <c r="A1887" t="s">
        <v>1934</v>
      </c>
      <c r="B1887" s="1">
        <v>45905</v>
      </c>
      <c r="C1887" s="1">
        <v>45907</v>
      </c>
      <c r="D1887" t="s">
        <v>47</v>
      </c>
      <c r="E1887" t="s">
        <v>50</v>
      </c>
      <c r="F1887" t="s">
        <v>25</v>
      </c>
      <c r="G1887" t="s">
        <v>16</v>
      </c>
      <c r="H1887" t="s">
        <v>21</v>
      </c>
      <c r="I1887">
        <v>2</v>
      </c>
      <c r="J1887">
        <v>0</v>
      </c>
      <c r="K1887">
        <v>243.41</v>
      </c>
      <c r="L1887">
        <v>5.46</v>
      </c>
    </row>
    <row r="1888" spans="1:12" x14ac:dyDescent="0.25">
      <c r="A1888" t="s">
        <v>1935</v>
      </c>
      <c r="B1888" s="1">
        <v>45442</v>
      </c>
      <c r="C1888" s="1">
        <v>45446</v>
      </c>
      <c r="D1888" t="s">
        <v>23</v>
      </c>
      <c r="E1888" t="s">
        <v>24</v>
      </c>
      <c r="F1888" t="s">
        <v>29</v>
      </c>
      <c r="G1888" t="s">
        <v>26</v>
      </c>
      <c r="H1888" t="s">
        <v>65</v>
      </c>
      <c r="I1888">
        <v>5</v>
      </c>
      <c r="J1888">
        <v>0</v>
      </c>
      <c r="K1888">
        <v>1387.82</v>
      </c>
      <c r="L1888">
        <v>9.6</v>
      </c>
    </row>
    <row r="1889" spans="1:12" x14ac:dyDescent="0.25">
      <c r="A1889" t="s">
        <v>1936</v>
      </c>
      <c r="B1889" s="1">
        <v>45875</v>
      </c>
      <c r="C1889" s="1">
        <v>45877</v>
      </c>
      <c r="D1889" t="s">
        <v>47</v>
      </c>
      <c r="E1889" t="s">
        <v>50</v>
      </c>
      <c r="F1889" t="s">
        <v>25</v>
      </c>
      <c r="G1889" t="s">
        <v>16</v>
      </c>
      <c r="H1889" t="s">
        <v>34</v>
      </c>
      <c r="I1889">
        <v>7</v>
      </c>
      <c r="J1889">
        <v>0.25</v>
      </c>
      <c r="K1889">
        <v>1027.42</v>
      </c>
      <c r="L1889">
        <v>20.6</v>
      </c>
    </row>
    <row r="1890" spans="1:12" x14ac:dyDescent="0.25">
      <c r="A1890" t="s">
        <v>1937</v>
      </c>
      <c r="B1890" s="1">
        <v>45512</v>
      </c>
      <c r="C1890" s="1">
        <v>45518</v>
      </c>
      <c r="D1890" t="s">
        <v>13</v>
      </c>
      <c r="E1890" t="s">
        <v>14</v>
      </c>
      <c r="F1890" t="s">
        <v>29</v>
      </c>
      <c r="G1890" t="s">
        <v>20</v>
      </c>
      <c r="H1890" t="s">
        <v>53</v>
      </c>
      <c r="I1890">
        <v>2</v>
      </c>
      <c r="J1890">
        <v>0</v>
      </c>
      <c r="K1890">
        <v>101.85</v>
      </c>
      <c r="L1890">
        <v>4.2</v>
      </c>
    </row>
    <row r="1891" spans="1:12" x14ac:dyDescent="0.25">
      <c r="A1891" t="s">
        <v>1938</v>
      </c>
      <c r="B1891" s="1">
        <v>45991</v>
      </c>
      <c r="C1891" s="1">
        <v>45993</v>
      </c>
      <c r="D1891" t="s">
        <v>13</v>
      </c>
      <c r="E1891" t="s">
        <v>36</v>
      </c>
      <c r="F1891" t="s">
        <v>15</v>
      </c>
      <c r="G1891" t="s">
        <v>16</v>
      </c>
      <c r="H1891" t="s">
        <v>65</v>
      </c>
      <c r="I1891">
        <v>3</v>
      </c>
      <c r="J1891">
        <v>0</v>
      </c>
      <c r="K1891">
        <v>1124.7</v>
      </c>
      <c r="L1891">
        <v>6.84</v>
      </c>
    </row>
    <row r="1892" spans="1:12" x14ac:dyDescent="0.25">
      <c r="A1892" t="s">
        <v>1939</v>
      </c>
      <c r="B1892" s="1">
        <v>45411</v>
      </c>
      <c r="C1892" s="1">
        <v>45417</v>
      </c>
      <c r="D1892" t="s">
        <v>32</v>
      </c>
      <c r="E1892" t="s">
        <v>33</v>
      </c>
      <c r="F1892" t="s">
        <v>25</v>
      </c>
      <c r="G1892" t="s">
        <v>26</v>
      </c>
      <c r="H1892" t="s">
        <v>53</v>
      </c>
      <c r="I1892">
        <v>7</v>
      </c>
      <c r="J1892">
        <v>0.05</v>
      </c>
      <c r="K1892">
        <v>371.51</v>
      </c>
      <c r="L1892">
        <v>7.95</v>
      </c>
    </row>
    <row r="1893" spans="1:12" x14ac:dyDescent="0.25">
      <c r="A1893" t="s">
        <v>1940</v>
      </c>
      <c r="B1893" s="1">
        <v>45666</v>
      </c>
      <c r="C1893" s="1">
        <v>45668</v>
      </c>
      <c r="D1893" t="s">
        <v>23</v>
      </c>
      <c r="E1893" t="s">
        <v>43</v>
      </c>
      <c r="F1893" t="s">
        <v>29</v>
      </c>
      <c r="G1893" t="s">
        <v>16</v>
      </c>
      <c r="H1893" t="s">
        <v>53</v>
      </c>
      <c r="I1893">
        <v>3</v>
      </c>
      <c r="J1893">
        <v>0.2</v>
      </c>
      <c r="K1893">
        <v>126.32</v>
      </c>
      <c r="L1893">
        <v>8.25</v>
      </c>
    </row>
    <row r="1894" spans="1:12" x14ac:dyDescent="0.25">
      <c r="A1894" t="s">
        <v>1941</v>
      </c>
      <c r="B1894" s="1">
        <v>45449</v>
      </c>
      <c r="C1894" s="1">
        <v>45450</v>
      </c>
      <c r="D1894" t="s">
        <v>47</v>
      </c>
      <c r="E1894" t="s">
        <v>48</v>
      </c>
      <c r="F1894" t="s">
        <v>15</v>
      </c>
      <c r="G1894" t="s">
        <v>26</v>
      </c>
      <c r="H1894" t="s">
        <v>21</v>
      </c>
      <c r="I1894">
        <v>3</v>
      </c>
      <c r="J1894">
        <v>0</v>
      </c>
      <c r="K1894">
        <v>348.85</v>
      </c>
      <c r="L1894">
        <v>11.4</v>
      </c>
    </row>
    <row r="1895" spans="1:12" x14ac:dyDescent="0.25">
      <c r="A1895" t="s">
        <v>1942</v>
      </c>
      <c r="B1895" s="1">
        <v>45350</v>
      </c>
      <c r="C1895" s="1">
        <v>45353</v>
      </c>
      <c r="D1895" t="s">
        <v>23</v>
      </c>
      <c r="E1895" t="s">
        <v>24</v>
      </c>
      <c r="F1895" t="s">
        <v>15</v>
      </c>
      <c r="G1895" t="s">
        <v>26</v>
      </c>
      <c r="H1895" t="s">
        <v>27</v>
      </c>
      <c r="I1895">
        <v>9</v>
      </c>
      <c r="J1895">
        <v>0</v>
      </c>
      <c r="K1895">
        <v>215.96</v>
      </c>
      <c r="L1895">
        <v>5.13</v>
      </c>
    </row>
    <row r="1896" spans="1:12" x14ac:dyDescent="0.25">
      <c r="A1896" t="s">
        <v>1943</v>
      </c>
      <c r="B1896" s="1">
        <v>45343</v>
      </c>
      <c r="C1896" s="1">
        <v>45348</v>
      </c>
      <c r="D1896" t="s">
        <v>32</v>
      </c>
      <c r="E1896" t="s">
        <v>33</v>
      </c>
      <c r="F1896" t="s">
        <v>15</v>
      </c>
      <c r="G1896" t="s">
        <v>16</v>
      </c>
      <c r="H1896" t="s">
        <v>68</v>
      </c>
      <c r="I1896">
        <v>3</v>
      </c>
      <c r="J1896">
        <v>0.25</v>
      </c>
      <c r="K1896">
        <v>103.4</v>
      </c>
      <c r="L1896">
        <v>8.25</v>
      </c>
    </row>
    <row r="1897" spans="1:12" x14ac:dyDescent="0.25">
      <c r="A1897" t="s">
        <v>1944</v>
      </c>
      <c r="B1897" s="1">
        <v>45869</v>
      </c>
      <c r="C1897" s="1">
        <v>45870</v>
      </c>
      <c r="D1897" t="s">
        <v>47</v>
      </c>
      <c r="E1897" t="s">
        <v>71</v>
      </c>
      <c r="F1897" t="s">
        <v>25</v>
      </c>
      <c r="G1897" t="s">
        <v>20</v>
      </c>
      <c r="H1897" t="s">
        <v>53</v>
      </c>
      <c r="I1897">
        <v>4</v>
      </c>
      <c r="J1897">
        <v>0</v>
      </c>
      <c r="K1897">
        <v>216.32</v>
      </c>
      <c r="L1897">
        <v>9.5</v>
      </c>
    </row>
    <row r="1898" spans="1:12" x14ac:dyDescent="0.25">
      <c r="A1898" t="s">
        <v>1945</v>
      </c>
      <c r="B1898" s="1">
        <v>45822</v>
      </c>
      <c r="C1898" s="1">
        <v>45826</v>
      </c>
      <c r="D1898" t="s">
        <v>13</v>
      </c>
      <c r="E1898" t="s">
        <v>14</v>
      </c>
      <c r="F1898" t="s">
        <v>25</v>
      </c>
      <c r="G1898" t="s">
        <v>16</v>
      </c>
      <c r="H1898" t="s">
        <v>21</v>
      </c>
      <c r="I1898">
        <v>1</v>
      </c>
      <c r="J1898">
        <v>0.05</v>
      </c>
      <c r="K1898">
        <v>112.09</v>
      </c>
      <c r="L1898">
        <v>6.8</v>
      </c>
    </row>
    <row r="1899" spans="1:12" x14ac:dyDescent="0.25">
      <c r="A1899" t="s">
        <v>1946</v>
      </c>
      <c r="B1899" s="1">
        <v>45367</v>
      </c>
      <c r="C1899" s="1">
        <v>45372</v>
      </c>
      <c r="D1899" t="s">
        <v>32</v>
      </c>
      <c r="E1899" t="s">
        <v>33</v>
      </c>
      <c r="F1899" t="s">
        <v>25</v>
      </c>
      <c r="G1899" t="s">
        <v>20</v>
      </c>
      <c r="H1899" t="s">
        <v>30</v>
      </c>
      <c r="I1899">
        <v>5</v>
      </c>
      <c r="J1899">
        <v>0.1</v>
      </c>
      <c r="K1899">
        <v>24.45</v>
      </c>
      <c r="L1899">
        <v>4.05</v>
      </c>
    </row>
    <row r="1900" spans="1:12" x14ac:dyDescent="0.25">
      <c r="A1900" t="s">
        <v>1947</v>
      </c>
      <c r="B1900" s="1">
        <v>45312</v>
      </c>
      <c r="C1900" s="1">
        <v>45317</v>
      </c>
      <c r="D1900" t="s">
        <v>13</v>
      </c>
      <c r="E1900" t="s">
        <v>36</v>
      </c>
      <c r="F1900" t="s">
        <v>15</v>
      </c>
      <c r="G1900" t="s">
        <v>16</v>
      </c>
      <c r="H1900" t="s">
        <v>68</v>
      </c>
      <c r="I1900">
        <v>3</v>
      </c>
      <c r="J1900">
        <v>0.2</v>
      </c>
      <c r="K1900">
        <v>109.06</v>
      </c>
      <c r="L1900">
        <v>4.95</v>
      </c>
    </row>
    <row r="1901" spans="1:12" x14ac:dyDescent="0.25">
      <c r="A1901" t="s">
        <v>1948</v>
      </c>
      <c r="B1901" s="1">
        <v>45494</v>
      </c>
      <c r="C1901" s="1">
        <v>45499</v>
      </c>
      <c r="D1901" t="s">
        <v>13</v>
      </c>
      <c r="E1901" t="s">
        <v>14</v>
      </c>
      <c r="F1901" t="s">
        <v>29</v>
      </c>
      <c r="G1901" t="s">
        <v>26</v>
      </c>
      <c r="H1901" t="s">
        <v>39</v>
      </c>
      <c r="I1901">
        <v>4</v>
      </c>
      <c r="J1901">
        <v>0</v>
      </c>
      <c r="K1901">
        <v>718.62</v>
      </c>
      <c r="L1901">
        <v>5.7</v>
      </c>
    </row>
    <row r="1902" spans="1:12" x14ac:dyDescent="0.25">
      <c r="A1902" t="s">
        <v>1949</v>
      </c>
      <c r="B1902" s="1">
        <v>45486</v>
      </c>
      <c r="C1902" s="1">
        <v>45490</v>
      </c>
      <c r="D1902" t="s">
        <v>23</v>
      </c>
      <c r="E1902" t="s">
        <v>24</v>
      </c>
      <c r="F1902" t="s">
        <v>15</v>
      </c>
      <c r="G1902" t="s">
        <v>26</v>
      </c>
      <c r="H1902" t="s">
        <v>27</v>
      </c>
      <c r="I1902">
        <v>14</v>
      </c>
      <c r="J1902">
        <v>0.15</v>
      </c>
      <c r="K1902">
        <v>289.76</v>
      </c>
      <c r="L1902">
        <v>6.48</v>
      </c>
    </row>
    <row r="1903" spans="1:12" x14ac:dyDescent="0.25">
      <c r="A1903" t="s">
        <v>1950</v>
      </c>
      <c r="B1903" s="1">
        <v>45977</v>
      </c>
      <c r="C1903" s="1">
        <v>45978</v>
      </c>
      <c r="D1903" t="s">
        <v>23</v>
      </c>
      <c r="E1903" t="s">
        <v>43</v>
      </c>
      <c r="F1903" t="s">
        <v>29</v>
      </c>
      <c r="G1903" t="s">
        <v>26</v>
      </c>
      <c r="H1903" t="s">
        <v>37</v>
      </c>
      <c r="I1903">
        <v>1</v>
      </c>
      <c r="J1903">
        <v>0.15</v>
      </c>
      <c r="K1903">
        <v>128.27000000000001</v>
      </c>
      <c r="L1903">
        <v>4.08</v>
      </c>
    </row>
    <row r="1904" spans="1:12" x14ac:dyDescent="0.25">
      <c r="A1904" t="s">
        <v>1951</v>
      </c>
      <c r="B1904" s="1">
        <v>45367</v>
      </c>
      <c r="C1904" s="1">
        <v>45371</v>
      </c>
      <c r="D1904" t="s">
        <v>47</v>
      </c>
      <c r="E1904" t="s">
        <v>48</v>
      </c>
      <c r="F1904" t="s">
        <v>15</v>
      </c>
      <c r="G1904" t="s">
        <v>16</v>
      </c>
      <c r="H1904" t="s">
        <v>87</v>
      </c>
      <c r="I1904">
        <v>6</v>
      </c>
      <c r="J1904">
        <v>0</v>
      </c>
      <c r="K1904">
        <v>47.79</v>
      </c>
      <c r="L1904">
        <v>4.32</v>
      </c>
    </row>
    <row r="1905" spans="1:12" x14ac:dyDescent="0.25">
      <c r="A1905" t="s">
        <v>1952</v>
      </c>
      <c r="B1905" s="1">
        <v>45677</v>
      </c>
      <c r="C1905" s="1">
        <v>45682</v>
      </c>
      <c r="D1905" t="s">
        <v>32</v>
      </c>
      <c r="E1905" t="s">
        <v>62</v>
      </c>
      <c r="F1905" t="s">
        <v>29</v>
      </c>
      <c r="G1905" t="s">
        <v>20</v>
      </c>
      <c r="H1905" t="s">
        <v>53</v>
      </c>
      <c r="I1905">
        <v>4</v>
      </c>
      <c r="J1905">
        <v>0</v>
      </c>
      <c r="K1905">
        <v>205.2</v>
      </c>
      <c r="L1905">
        <v>9.5</v>
      </c>
    </row>
    <row r="1906" spans="1:12" x14ac:dyDescent="0.25">
      <c r="A1906" t="s">
        <v>1953</v>
      </c>
      <c r="B1906" s="1">
        <v>45328</v>
      </c>
      <c r="C1906" s="1">
        <v>45330</v>
      </c>
      <c r="D1906" t="s">
        <v>32</v>
      </c>
      <c r="E1906" t="s">
        <v>45</v>
      </c>
      <c r="F1906" t="s">
        <v>15</v>
      </c>
      <c r="G1906" t="s">
        <v>26</v>
      </c>
      <c r="H1906" t="s">
        <v>17</v>
      </c>
      <c r="I1906">
        <v>2</v>
      </c>
      <c r="J1906">
        <v>0.25</v>
      </c>
      <c r="K1906">
        <v>160.28</v>
      </c>
      <c r="L1906">
        <v>7</v>
      </c>
    </row>
    <row r="1907" spans="1:12" x14ac:dyDescent="0.25">
      <c r="A1907" t="s">
        <v>1954</v>
      </c>
      <c r="B1907" s="1">
        <v>45881</v>
      </c>
      <c r="C1907" s="1">
        <v>45883</v>
      </c>
      <c r="D1907" t="s">
        <v>13</v>
      </c>
      <c r="E1907" t="s">
        <v>14</v>
      </c>
      <c r="F1907" t="s">
        <v>25</v>
      </c>
      <c r="G1907" t="s">
        <v>20</v>
      </c>
      <c r="H1907" t="s">
        <v>30</v>
      </c>
      <c r="I1907">
        <v>9</v>
      </c>
      <c r="J1907">
        <v>0.05</v>
      </c>
      <c r="K1907">
        <v>49.4</v>
      </c>
      <c r="L1907">
        <v>8.5500000000000007</v>
      </c>
    </row>
    <row r="1908" spans="1:12" x14ac:dyDescent="0.25">
      <c r="A1908" t="s">
        <v>1955</v>
      </c>
      <c r="B1908" s="1">
        <v>46018</v>
      </c>
      <c r="C1908" s="1">
        <v>46021</v>
      </c>
      <c r="D1908" t="s">
        <v>32</v>
      </c>
      <c r="E1908" t="s">
        <v>62</v>
      </c>
      <c r="F1908" t="s">
        <v>29</v>
      </c>
      <c r="G1908" t="s">
        <v>20</v>
      </c>
      <c r="H1908" t="s">
        <v>60</v>
      </c>
      <c r="I1908">
        <v>1</v>
      </c>
      <c r="J1908">
        <v>0.25</v>
      </c>
      <c r="K1908">
        <v>120.88</v>
      </c>
      <c r="L1908">
        <v>5.75</v>
      </c>
    </row>
    <row r="1909" spans="1:12" x14ac:dyDescent="0.25">
      <c r="A1909" t="s">
        <v>1956</v>
      </c>
      <c r="B1909" s="1">
        <v>45987</v>
      </c>
      <c r="C1909" s="1">
        <v>45991</v>
      </c>
      <c r="D1909" t="s">
        <v>13</v>
      </c>
      <c r="E1909" t="s">
        <v>19</v>
      </c>
      <c r="F1909" t="s">
        <v>29</v>
      </c>
      <c r="G1909" t="s">
        <v>20</v>
      </c>
      <c r="H1909" t="s">
        <v>68</v>
      </c>
      <c r="I1909">
        <v>3</v>
      </c>
      <c r="J1909">
        <v>0.05</v>
      </c>
      <c r="K1909">
        <v>189.35</v>
      </c>
      <c r="L1909">
        <v>8.25</v>
      </c>
    </row>
    <row r="1910" spans="1:12" x14ac:dyDescent="0.25">
      <c r="A1910" t="s">
        <v>1957</v>
      </c>
      <c r="B1910" s="1">
        <v>45852</v>
      </c>
      <c r="C1910" s="1">
        <v>45853</v>
      </c>
      <c r="D1910" t="s">
        <v>32</v>
      </c>
      <c r="E1910" t="s">
        <v>45</v>
      </c>
      <c r="F1910" t="s">
        <v>15</v>
      </c>
      <c r="G1910" t="s">
        <v>20</v>
      </c>
      <c r="H1910" t="s">
        <v>17</v>
      </c>
      <c r="I1910">
        <v>2</v>
      </c>
      <c r="J1910">
        <v>0.05</v>
      </c>
      <c r="K1910">
        <v>216.24</v>
      </c>
      <c r="L1910">
        <v>4.2</v>
      </c>
    </row>
    <row r="1911" spans="1:12" x14ac:dyDescent="0.25">
      <c r="A1911" t="s">
        <v>1958</v>
      </c>
      <c r="B1911" s="1">
        <v>45992</v>
      </c>
      <c r="C1911" s="1">
        <v>45995</v>
      </c>
      <c r="D1911" t="s">
        <v>23</v>
      </c>
      <c r="E1911" t="s">
        <v>24</v>
      </c>
      <c r="F1911" t="s">
        <v>15</v>
      </c>
      <c r="G1911" t="s">
        <v>26</v>
      </c>
      <c r="H1911" t="s">
        <v>68</v>
      </c>
      <c r="I1911">
        <v>1</v>
      </c>
      <c r="J1911">
        <v>0.1</v>
      </c>
      <c r="K1911">
        <v>69.599999999999994</v>
      </c>
      <c r="L1911">
        <v>5.75</v>
      </c>
    </row>
    <row r="1912" spans="1:12" x14ac:dyDescent="0.25">
      <c r="A1912" t="s">
        <v>1959</v>
      </c>
      <c r="B1912" s="1">
        <v>45904</v>
      </c>
      <c r="C1912" s="1">
        <v>45905</v>
      </c>
      <c r="D1912" t="s">
        <v>47</v>
      </c>
      <c r="E1912" t="s">
        <v>48</v>
      </c>
      <c r="F1912" t="s">
        <v>29</v>
      </c>
      <c r="G1912" t="s">
        <v>16</v>
      </c>
      <c r="H1912" t="s">
        <v>21</v>
      </c>
      <c r="I1912">
        <v>7</v>
      </c>
      <c r="J1912">
        <v>0.15</v>
      </c>
      <c r="K1912">
        <v>709.93</v>
      </c>
      <c r="L1912">
        <v>20.6</v>
      </c>
    </row>
    <row r="1913" spans="1:12" x14ac:dyDescent="0.25">
      <c r="A1913" t="s">
        <v>1960</v>
      </c>
      <c r="B1913" s="1">
        <v>45386</v>
      </c>
      <c r="C1913" s="1">
        <v>45391</v>
      </c>
      <c r="D1913" t="s">
        <v>32</v>
      </c>
      <c r="E1913" t="s">
        <v>62</v>
      </c>
      <c r="F1913" t="s">
        <v>29</v>
      </c>
      <c r="G1913" t="s">
        <v>20</v>
      </c>
      <c r="H1913" t="s">
        <v>41</v>
      </c>
      <c r="I1913">
        <v>14</v>
      </c>
      <c r="J1913">
        <v>0</v>
      </c>
      <c r="K1913">
        <v>80.290000000000006</v>
      </c>
      <c r="L1913">
        <v>10.8</v>
      </c>
    </row>
    <row r="1914" spans="1:12" x14ac:dyDescent="0.25">
      <c r="A1914" t="s">
        <v>1961</v>
      </c>
      <c r="B1914" s="1">
        <v>45777</v>
      </c>
      <c r="C1914" s="1">
        <v>45782</v>
      </c>
      <c r="D1914" t="s">
        <v>23</v>
      </c>
      <c r="E1914" t="s">
        <v>24</v>
      </c>
      <c r="F1914" t="s">
        <v>15</v>
      </c>
      <c r="G1914" t="s">
        <v>26</v>
      </c>
      <c r="H1914" t="s">
        <v>51</v>
      </c>
      <c r="I1914">
        <v>10</v>
      </c>
      <c r="J1914">
        <v>0</v>
      </c>
      <c r="K1914">
        <v>148.44999999999999</v>
      </c>
      <c r="L1914">
        <v>5.4</v>
      </c>
    </row>
    <row r="1915" spans="1:12" x14ac:dyDescent="0.25">
      <c r="A1915" t="s">
        <v>1962</v>
      </c>
      <c r="B1915" s="1">
        <v>45714</v>
      </c>
      <c r="C1915" s="1">
        <v>45716</v>
      </c>
      <c r="D1915" t="s">
        <v>47</v>
      </c>
      <c r="E1915" t="s">
        <v>48</v>
      </c>
      <c r="F1915" t="s">
        <v>25</v>
      </c>
      <c r="G1915" t="s">
        <v>20</v>
      </c>
      <c r="H1915" t="s">
        <v>60</v>
      </c>
      <c r="I1915">
        <v>1</v>
      </c>
      <c r="J1915">
        <v>0.1</v>
      </c>
      <c r="K1915">
        <v>87.45</v>
      </c>
      <c r="L1915">
        <v>5.75</v>
      </c>
    </row>
    <row r="1916" spans="1:12" x14ac:dyDescent="0.25">
      <c r="A1916" t="s">
        <v>1963</v>
      </c>
      <c r="B1916" s="1">
        <v>45507</v>
      </c>
      <c r="C1916" s="1">
        <v>45508</v>
      </c>
      <c r="D1916" t="s">
        <v>47</v>
      </c>
      <c r="E1916" t="s">
        <v>50</v>
      </c>
      <c r="F1916" t="s">
        <v>25</v>
      </c>
      <c r="G1916" t="s">
        <v>16</v>
      </c>
      <c r="H1916" t="s">
        <v>41</v>
      </c>
      <c r="I1916">
        <v>10</v>
      </c>
      <c r="J1916">
        <v>0</v>
      </c>
      <c r="K1916">
        <v>61.31</v>
      </c>
      <c r="L1916">
        <v>5.4</v>
      </c>
    </row>
    <row r="1917" spans="1:12" x14ac:dyDescent="0.25">
      <c r="A1917" t="s">
        <v>1964</v>
      </c>
      <c r="B1917" s="1">
        <v>45435</v>
      </c>
      <c r="C1917" s="1">
        <v>45438</v>
      </c>
      <c r="D1917" t="s">
        <v>23</v>
      </c>
      <c r="E1917" t="s">
        <v>43</v>
      </c>
      <c r="F1917" t="s">
        <v>25</v>
      </c>
      <c r="G1917" t="s">
        <v>26</v>
      </c>
      <c r="H1917" t="s">
        <v>34</v>
      </c>
      <c r="I1917">
        <v>3</v>
      </c>
      <c r="J1917">
        <v>0</v>
      </c>
      <c r="K1917">
        <v>600.98</v>
      </c>
      <c r="L1917">
        <v>6.84</v>
      </c>
    </row>
    <row r="1918" spans="1:12" x14ac:dyDescent="0.25">
      <c r="A1918" t="s">
        <v>1965</v>
      </c>
      <c r="B1918" s="1">
        <v>45567</v>
      </c>
      <c r="C1918" s="1">
        <v>45569</v>
      </c>
      <c r="D1918" t="s">
        <v>47</v>
      </c>
      <c r="E1918" t="s">
        <v>71</v>
      </c>
      <c r="F1918" t="s">
        <v>15</v>
      </c>
      <c r="G1918" t="s">
        <v>20</v>
      </c>
      <c r="H1918" t="s">
        <v>39</v>
      </c>
      <c r="I1918">
        <v>3</v>
      </c>
      <c r="J1918">
        <v>0</v>
      </c>
      <c r="K1918">
        <v>650.86</v>
      </c>
      <c r="L1918">
        <v>4.95</v>
      </c>
    </row>
    <row r="1919" spans="1:12" x14ac:dyDescent="0.25">
      <c r="A1919" t="s">
        <v>1966</v>
      </c>
      <c r="B1919" s="1">
        <v>45986</v>
      </c>
      <c r="C1919" s="1">
        <v>45991</v>
      </c>
      <c r="D1919" t="s">
        <v>47</v>
      </c>
      <c r="E1919" t="s">
        <v>48</v>
      </c>
      <c r="F1919" t="s">
        <v>29</v>
      </c>
      <c r="G1919" t="s">
        <v>26</v>
      </c>
      <c r="H1919" t="s">
        <v>30</v>
      </c>
      <c r="I1919">
        <v>11</v>
      </c>
      <c r="J1919">
        <v>0</v>
      </c>
      <c r="K1919">
        <v>91.73</v>
      </c>
      <c r="L1919">
        <v>5.67</v>
      </c>
    </row>
    <row r="1920" spans="1:12" x14ac:dyDescent="0.25">
      <c r="A1920" t="s">
        <v>1967</v>
      </c>
      <c r="B1920" s="1">
        <v>45311</v>
      </c>
      <c r="C1920" s="1">
        <v>45317</v>
      </c>
      <c r="D1920" t="s">
        <v>32</v>
      </c>
      <c r="E1920" t="s">
        <v>45</v>
      </c>
      <c r="F1920" t="s">
        <v>25</v>
      </c>
      <c r="G1920" t="s">
        <v>20</v>
      </c>
      <c r="H1920" t="s">
        <v>30</v>
      </c>
      <c r="I1920">
        <v>11</v>
      </c>
      <c r="J1920">
        <v>0</v>
      </c>
      <c r="K1920">
        <v>61.12</v>
      </c>
      <c r="L1920">
        <v>5.67</v>
      </c>
    </row>
    <row r="1921" spans="1:12" x14ac:dyDescent="0.25">
      <c r="A1921" t="s">
        <v>1968</v>
      </c>
      <c r="B1921" s="1">
        <v>45678</v>
      </c>
      <c r="C1921" s="1">
        <v>45679</v>
      </c>
      <c r="D1921" t="s">
        <v>32</v>
      </c>
      <c r="E1921" t="s">
        <v>45</v>
      </c>
      <c r="F1921" t="s">
        <v>29</v>
      </c>
      <c r="G1921" t="s">
        <v>16</v>
      </c>
      <c r="H1921" t="s">
        <v>17</v>
      </c>
      <c r="I1921">
        <v>2</v>
      </c>
      <c r="J1921">
        <v>0</v>
      </c>
      <c r="K1921">
        <v>212.29</v>
      </c>
      <c r="L1921">
        <v>4.2</v>
      </c>
    </row>
    <row r="1922" spans="1:12" x14ac:dyDescent="0.25">
      <c r="A1922" t="s">
        <v>1969</v>
      </c>
      <c r="B1922" s="1">
        <v>45905</v>
      </c>
      <c r="C1922" s="1">
        <v>45908</v>
      </c>
      <c r="D1922" t="s">
        <v>13</v>
      </c>
      <c r="E1922" t="s">
        <v>19</v>
      </c>
      <c r="F1922" t="s">
        <v>15</v>
      </c>
      <c r="G1922" t="s">
        <v>20</v>
      </c>
      <c r="H1922" t="s">
        <v>63</v>
      </c>
      <c r="I1922">
        <v>7</v>
      </c>
      <c r="J1922">
        <v>0.25</v>
      </c>
      <c r="K1922">
        <v>72.900000000000006</v>
      </c>
      <c r="L1922">
        <v>4.59</v>
      </c>
    </row>
    <row r="1923" spans="1:12" x14ac:dyDescent="0.25">
      <c r="A1923" t="s">
        <v>1970</v>
      </c>
      <c r="B1923" s="1">
        <v>45409</v>
      </c>
      <c r="C1923" s="1">
        <v>45413</v>
      </c>
      <c r="D1923" t="s">
        <v>23</v>
      </c>
      <c r="E1923" t="s">
        <v>43</v>
      </c>
      <c r="F1923" t="s">
        <v>15</v>
      </c>
      <c r="G1923" t="s">
        <v>20</v>
      </c>
      <c r="H1923" t="s">
        <v>34</v>
      </c>
      <c r="I1923">
        <v>2</v>
      </c>
      <c r="J1923">
        <v>0.1</v>
      </c>
      <c r="K1923">
        <v>345.97</v>
      </c>
      <c r="L1923">
        <v>5.46</v>
      </c>
    </row>
    <row r="1924" spans="1:12" x14ac:dyDescent="0.25">
      <c r="A1924" t="s">
        <v>1971</v>
      </c>
      <c r="B1924" s="1">
        <v>45935</v>
      </c>
      <c r="C1924" s="1">
        <v>45936</v>
      </c>
      <c r="D1924" t="s">
        <v>47</v>
      </c>
      <c r="E1924" t="s">
        <v>71</v>
      </c>
      <c r="F1924" t="s">
        <v>25</v>
      </c>
      <c r="G1924" t="s">
        <v>26</v>
      </c>
      <c r="H1924" t="s">
        <v>21</v>
      </c>
      <c r="I1924">
        <v>2</v>
      </c>
      <c r="J1924">
        <v>0</v>
      </c>
      <c r="K1924">
        <v>270.19</v>
      </c>
      <c r="L1924">
        <v>5.46</v>
      </c>
    </row>
    <row r="1925" spans="1:12" x14ac:dyDescent="0.25">
      <c r="A1925" t="s">
        <v>1972</v>
      </c>
      <c r="B1925" s="1">
        <v>45938</v>
      </c>
      <c r="C1925" s="1">
        <v>45941</v>
      </c>
      <c r="D1925" t="s">
        <v>47</v>
      </c>
      <c r="E1925" t="s">
        <v>71</v>
      </c>
      <c r="F1925" t="s">
        <v>25</v>
      </c>
      <c r="G1925" t="s">
        <v>16</v>
      </c>
      <c r="H1925" t="s">
        <v>51</v>
      </c>
      <c r="I1925">
        <v>13</v>
      </c>
      <c r="J1925">
        <v>0.1</v>
      </c>
      <c r="K1925">
        <v>198.91</v>
      </c>
      <c r="L1925">
        <v>6.21</v>
      </c>
    </row>
    <row r="1926" spans="1:12" x14ac:dyDescent="0.25">
      <c r="A1926" t="s">
        <v>1973</v>
      </c>
      <c r="B1926" s="1">
        <v>45334</v>
      </c>
      <c r="C1926" s="1">
        <v>45339</v>
      </c>
      <c r="D1926" t="s">
        <v>32</v>
      </c>
      <c r="E1926" t="s">
        <v>62</v>
      </c>
      <c r="F1926" t="s">
        <v>29</v>
      </c>
      <c r="G1926" t="s">
        <v>20</v>
      </c>
      <c r="H1926" t="s">
        <v>53</v>
      </c>
      <c r="I1926">
        <v>3</v>
      </c>
      <c r="J1926">
        <v>0.1</v>
      </c>
      <c r="K1926">
        <v>132.82</v>
      </c>
      <c r="L1926">
        <v>4.95</v>
      </c>
    </row>
    <row r="1927" spans="1:12" x14ac:dyDescent="0.25">
      <c r="A1927" t="s">
        <v>1974</v>
      </c>
      <c r="B1927" s="1">
        <v>45463</v>
      </c>
      <c r="C1927" s="1">
        <v>45469</v>
      </c>
      <c r="D1927" t="s">
        <v>23</v>
      </c>
      <c r="E1927" t="s">
        <v>43</v>
      </c>
      <c r="F1927" t="s">
        <v>25</v>
      </c>
      <c r="G1927" t="s">
        <v>20</v>
      </c>
      <c r="H1927" t="s">
        <v>37</v>
      </c>
      <c r="I1927">
        <v>5</v>
      </c>
      <c r="J1927">
        <v>0.25</v>
      </c>
      <c r="K1927">
        <v>397.26</v>
      </c>
      <c r="L1927">
        <v>9.6</v>
      </c>
    </row>
    <row r="1928" spans="1:12" x14ac:dyDescent="0.25">
      <c r="A1928" t="s">
        <v>1975</v>
      </c>
      <c r="B1928" s="1">
        <v>45798</v>
      </c>
      <c r="C1928" s="1">
        <v>45801</v>
      </c>
      <c r="D1928" t="s">
        <v>47</v>
      </c>
      <c r="E1928" t="s">
        <v>71</v>
      </c>
      <c r="F1928" t="s">
        <v>25</v>
      </c>
      <c r="G1928" t="s">
        <v>16</v>
      </c>
      <c r="H1928" t="s">
        <v>17</v>
      </c>
      <c r="I1928">
        <v>1</v>
      </c>
      <c r="J1928">
        <v>0.05</v>
      </c>
      <c r="K1928">
        <v>119.12</v>
      </c>
      <c r="L1928">
        <v>3.45</v>
      </c>
    </row>
    <row r="1929" spans="1:12" x14ac:dyDescent="0.25">
      <c r="A1929" t="s">
        <v>1976</v>
      </c>
      <c r="B1929" s="1">
        <v>45340</v>
      </c>
      <c r="C1929" s="1">
        <v>45341</v>
      </c>
      <c r="D1929" t="s">
        <v>23</v>
      </c>
      <c r="E1929" t="s">
        <v>59</v>
      </c>
      <c r="F1929" t="s">
        <v>15</v>
      </c>
      <c r="G1929" t="s">
        <v>20</v>
      </c>
      <c r="H1929" t="s">
        <v>51</v>
      </c>
      <c r="I1929">
        <v>8</v>
      </c>
      <c r="J1929">
        <v>0</v>
      </c>
      <c r="K1929">
        <v>105.41</v>
      </c>
      <c r="L1929">
        <v>8.1</v>
      </c>
    </row>
    <row r="1930" spans="1:12" x14ac:dyDescent="0.25">
      <c r="A1930" t="s">
        <v>1977</v>
      </c>
      <c r="B1930" s="1">
        <v>46002</v>
      </c>
      <c r="C1930" s="1">
        <v>46006</v>
      </c>
      <c r="D1930" t="s">
        <v>47</v>
      </c>
      <c r="E1930" t="s">
        <v>48</v>
      </c>
      <c r="F1930" t="s">
        <v>29</v>
      </c>
      <c r="G1930" t="s">
        <v>20</v>
      </c>
      <c r="H1930" t="s">
        <v>17</v>
      </c>
      <c r="I1930">
        <v>2</v>
      </c>
      <c r="J1930">
        <v>0</v>
      </c>
      <c r="K1930">
        <v>359.04</v>
      </c>
      <c r="L1930">
        <v>7</v>
      </c>
    </row>
    <row r="1931" spans="1:12" x14ac:dyDescent="0.25">
      <c r="A1931" t="s">
        <v>1978</v>
      </c>
      <c r="B1931" s="1">
        <v>45430</v>
      </c>
      <c r="C1931" s="1">
        <v>45433</v>
      </c>
      <c r="D1931" t="s">
        <v>23</v>
      </c>
      <c r="E1931" t="s">
        <v>43</v>
      </c>
      <c r="F1931" t="s">
        <v>29</v>
      </c>
      <c r="G1931" t="s">
        <v>26</v>
      </c>
      <c r="H1931" t="s">
        <v>41</v>
      </c>
      <c r="I1931">
        <v>11</v>
      </c>
      <c r="J1931">
        <v>0</v>
      </c>
      <c r="K1931">
        <v>72.650000000000006</v>
      </c>
      <c r="L1931">
        <v>5.67</v>
      </c>
    </row>
    <row r="1932" spans="1:12" x14ac:dyDescent="0.25">
      <c r="A1932" t="s">
        <v>1979</v>
      </c>
      <c r="B1932" s="1">
        <v>45993</v>
      </c>
      <c r="C1932" s="1">
        <v>45994</v>
      </c>
      <c r="D1932" t="s">
        <v>23</v>
      </c>
      <c r="E1932" t="s">
        <v>59</v>
      </c>
      <c r="F1932" t="s">
        <v>29</v>
      </c>
      <c r="G1932" t="s">
        <v>26</v>
      </c>
      <c r="H1932" t="s">
        <v>87</v>
      </c>
      <c r="I1932">
        <v>5</v>
      </c>
      <c r="J1932">
        <v>0</v>
      </c>
      <c r="K1932">
        <v>59.2</v>
      </c>
      <c r="L1932">
        <v>6.75</v>
      </c>
    </row>
    <row r="1933" spans="1:12" x14ac:dyDescent="0.25">
      <c r="A1933" t="s">
        <v>1980</v>
      </c>
      <c r="B1933" s="1">
        <v>45519</v>
      </c>
      <c r="C1933" s="1">
        <v>45523</v>
      </c>
      <c r="D1933" t="s">
        <v>23</v>
      </c>
      <c r="E1933" t="s">
        <v>59</v>
      </c>
      <c r="F1933" t="s">
        <v>25</v>
      </c>
      <c r="G1933" t="s">
        <v>20</v>
      </c>
      <c r="H1933" t="s">
        <v>63</v>
      </c>
      <c r="I1933">
        <v>25</v>
      </c>
      <c r="J1933">
        <v>0</v>
      </c>
      <c r="K1933">
        <v>272.11</v>
      </c>
      <c r="L1933">
        <v>9.4499999999999993</v>
      </c>
    </row>
    <row r="1934" spans="1:12" x14ac:dyDescent="0.25">
      <c r="A1934" t="s">
        <v>1981</v>
      </c>
      <c r="B1934" s="1">
        <v>45660</v>
      </c>
      <c r="C1934" s="1">
        <v>45666</v>
      </c>
      <c r="D1934" t="s">
        <v>32</v>
      </c>
      <c r="E1934" t="s">
        <v>33</v>
      </c>
      <c r="F1934" t="s">
        <v>29</v>
      </c>
      <c r="G1934" t="s">
        <v>26</v>
      </c>
      <c r="H1934" t="s">
        <v>30</v>
      </c>
      <c r="I1934">
        <v>6</v>
      </c>
      <c r="J1934">
        <v>0.2</v>
      </c>
      <c r="K1934">
        <v>25.87</v>
      </c>
      <c r="L1934">
        <v>7.2</v>
      </c>
    </row>
    <row r="1935" spans="1:12" x14ac:dyDescent="0.25">
      <c r="A1935" t="s">
        <v>1982</v>
      </c>
      <c r="B1935" s="1">
        <v>45311</v>
      </c>
      <c r="C1935" s="1">
        <v>45314</v>
      </c>
      <c r="D1935" t="s">
        <v>13</v>
      </c>
      <c r="E1935" t="s">
        <v>14</v>
      </c>
      <c r="F1935" t="s">
        <v>29</v>
      </c>
      <c r="G1935" t="s">
        <v>16</v>
      </c>
      <c r="H1935" t="s">
        <v>65</v>
      </c>
      <c r="I1935">
        <v>4</v>
      </c>
      <c r="J1935">
        <v>0.1</v>
      </c>
      <c r="K1935">
        <v>866.39</v>
      </c>
      <c r="L1935">
        <v>8.2200000000000006</v>
      </c>
    </row>
    <row r="1936" spans="1:12" x14ac:dyDescent="0.25">
      <c r="A1936" t="s">
        <v>1983</v>
      </c>
      <c r="B1936" s="1">
        <v>45690</v>
      </c>
      <c r="C1936" s="1">
        <v>45692</v>
      </c>
      <c r="D1936" t="s">
        <v>23</v>
      </c>
      <c r="E1936" t="s">
        <v>24</v>
      </c>
      <c r="F1936" t="s">
        <v>25</v>
      </c>
      <c r="G1936" t="s">
        <v>26</v>
      </c>
      <c r="H1936" t="s">
        <v>41</v>
      </c>
      <c r="I1936">
        <v>20</v>
      </c>
      <c r="J1936">
        <v>0</v>
      </c>
      <c r="K1936">
        <v>108.68</v>
      </c>
      <c r="L1936">
        <v>8.1</v>
      </c>
    </row>
    <row r="1937" spans="1:12" x14ac:dyDescent="0.25">
      <c r="A1937" t="s">
        <v>1984</v>
      </c>
      <c r="B1937" s="1">
        <v>45624</v>
      </c>
      <c r="C1937" s="1">
        <v>45628</v>
      </c>
      <c r="D1937" t="s">
        <v>13</v>
      </c>
      <c r="E1937" t="s">
        <v>36</v>
      </c>
      <c r="F1937" t="s">
        <v>29</v>
      </c>
      <c r="G1937" t="s">
        <v>26</v>
      </c>
      <c r="H1937" t="s">
        <v>53</v>
      </c>
      <c r="I1937">
        <v>3</v>
      </c>
      <c r="J1937">
        <v>0.05</v>
      </c>
      <c r="K1937">
        <v>217.96</v>
      </c>
      <c r="L1937">
        <v>8.25</v>
      </c>
    </row>
    <row r="1938" spans="1:12" x14ac:dyDescent="0.25">
      <c r="A1938" t="s">
        <v>1985</v>
      </c>
      <c r="B1938" s="1">
        <v>45635</v>
      </c>
      <c r="C1938" s="1">
        <v>45638</v>
      </c>
      <c r="D1938" t="s">
        <v>23</v>
      </c>
      <c r="E1938" t="s">
        <v>24</v>
      </c>
      <c r="F1938" t="s">
        <v>25</v>
      </c>
      <c r="G1938" t="s">
        <v>20</v>
      </c>
      <c r="H1938" t="s">
        <v>39</v>
      </c>
      <c r="I1938">
        <v>4</v>
      </c>
      <c r="J1938">
        <v>0</v>
      </c>
      <c r="K1938">
        <v>1051.6300000000001</v>
      </c>
      <c r="L1938">
        <v>5.7</v>
      </c>
    </row>
    <row r="1939" spans="1:12" x14ac:dyDescent="0.25">
      <c r="A1939" t="s">
        <v>1986</v>
      </c>
      <c r="B1939" s="1">
        <v>45559</v>
      </c>
      <c r="C1939" s="1">
        <v>45561</v>
      </c>
      <c r="D1939" t="s">
        <v>47</v>
      </c>
      <c r="E1939" t="s">
        <v>50</v>
      </c>
      <c r="F1939" t="s">
        <v>29</v>
      </c>
      <c r="G1939" t="s">
        <v>20</v>
      </c>
      <c r="H1939" t="s">
        <v>65</v>
      </c>
      <c r="I1939">
        <v>3</v>
      </c>
      <c r="J1939">
        <v>0.25</v>
      </c>
      <c r="K1939">
        <v>680.34</v>
      </c>
      <c r="L1939">
        <v>6.84</v>
      </c>
    </row>
    <row r="1940" spans="1:12" x14ac:dyDescent="0.25">
      <c r="A1940" t="s">
        <v>1987</v>
      </c>
      <c r="B1940" s="1">
        <v>45310</v>
      </c>
      <c r="C1940" s="1">
        <v>45314</v>
      </c>
      <c r="D1940" t="s">
        <v>47</v>
      </c>
      <c r="E1940" t="s">
        <v>71</v>
      </c>
      <c r="F1940" t="s">
        <v>29</v>
      </c>
      <c r="G1940" t="s">
        <v>20</v>
      </c>
      <c r="H1940" t="s">
        <v>51</v>
      </c>
      <c r="I1940">
        <v>13</v>
      </c>
      <c r="J1940">
        <v>0</v>
      </c>
      <c r="K1940">
        <v>175.1</v>
      </c>
      <c r="L1940">
        <v>10.35</v>
      </c>
    </row>
    <row r="1941" spans="1:12" x14ac:dyDescent="0.25">
      <c r="A1941" t="s">
        <v>1988</v>
      </c>
      <c r="B1941" s="1">
        <v>45970</v>
      </c>
      <c r="C1941" s="1">
        <v>45973</v>
      </c>
      <c r="D1941" t="s">
        <v>32</v>
      </c>
      <c r="E1941" t="s">
        <v>62</v>
      </c>
      <c r="F1941" t="s">
        <v>15</v>
      </c>
      <c r="G1941" t="s">
        <v>26</v>
      </c>
      <c r="H1941" t="s">
        <v>87</v>
      </c>
      <c r="I1941">
        <v>12</v>
      </c>
      <c r="J1941">
        <v>0.2</v>
      </c>
      <c r="K1941">
        <v>110.11</v>
      </c>
      <c r="L1941">
        <v>5.94</v>
      </c>
    </row>
    <row r="1942" spans="1:12" x14ac:dyDescent="0.25">
      <c r="A1942" t="s">
        <v>1989</v>
      </c>
      <c r="B1942" s="1">
        <v>45926</v>
      </c>
      <c r="C1942" s="1">
        <v>45928</v>
      </c>
      <c r="D1942" t="s">
        <v>47</v>
      </c>
      <c r="E1942" t="s">
        <v>48</v>
      </c>
      <c r="F1942" t="s">
        <v>15</v>
      </c>
      <c r="G1942" t="s">
        <v>16</v>
      </c>
      <c r="H1942" t="s">
        <v>30</v>
      </c>
      <c r="I1942">
        <v>8</v>
      </c>
      <c r="J1942">
        <v>0.1</v>
      </c>
      <c r="K1942">
        <v>47.08</v>
      </c>
      <c r="L1942">
        <v>4.8600000000000003</v>
      </c>
    </row>
    <row r="1943" spans="1:12" x14ac:dyDescent="0.25">
      <c r="A1943" t="s">
        <v>1990</v>
      </c>
      <c r="B1943" s="1">
        <v>45535</v>
      </c>
      <c r="C1943" s="1">
        <v>45538</v>
      </c>
      <c r="D1943" t="s">
        <v>13</v>
      </c>
      <c r="E1943" t="s">
        <v>14</v>
      </c>
      <c r="F1943" t="s">
        <v>29</v>
      </c>
      <c r="G1943" t="s">
        <v>16</v>
      </c>
      <c r="H1943" t="s">
        <v>68</v>
      </c>
      <c r="I1943">
        <v>1</v>
      </c>
      <c r="J1943">
        <v>0.2</v>
      </c>
      <c r="K1943">
        <v>40.54</v>
      </c>
      <c r="L1943">
        <v>5.75</v>
      </c>
    </row>
    <row r="1944" spans="1:12" x14ac:dyDescent="0.25">
      <c r="A1944" t="s">
        <v>1991</v>
      </c>
      <c r="B1944" s="1">
        <v>45794</v>
      </c>
      <c r="C1944" s="1">
        <v>45799</v>
      </c>
      <c r="D1944" t="s">
        <v>32</v>
      </c>
      <c r="E1944" t="s">
        <v>45</v>
      </c>
      <c r="F1944" t="s">
        <v>25</v>
      </c>
      <c r="G1944" t="s">
        <v>26</v>
      </c>
      <c r="H1944" t="s">
        <v>39</v>
      </c>
      <c r="I1944">
        <v>2</v>
      </c>
      <c r="J1944">
        <v>0</v>
      </c>
      <c r="K1944">
        <v>413.04</v>
      </c>
      <c r="L1944">
        <v>4.2</v>
      </c>
    </row>
    <row r="1945" spans="1:12" x14ac:dyDescent="0.25">
      <c r="A1945" t="s">
        <v>1992</v>
      </c>
      <c r="B1945" s="1">
        <v>45621</v>
      </c>
      <c r="C1945" s="1">
        <v>45624</v>
      </c>
      <c r="D1945" t="s">
        <v>23</v>
      </c>
      <c r="E1945" t="s">
        <v>59</v>
      </c>
      <c r="F1945" t="s">
        <v>25</v>
      </c>
      <c r="G1945" t="s">
        <v>16</v>
      </c>
      <c r="H1945" t="s">
        <v>87</v>
      </c>
      <c r="I1945">
        <v>13</v>
      </c>
      <c r="J1945">
        <v>0</v>
      </c>
      <c r="K1945">
        <v>142.02000000000001</v>
      </c>
      <c r="L1945">
        <v>10.35</v>
      </c>
    </row>
    <row r="1946" spans="1:12" x14ac:dyDescent="0.25">
      <c r="A1946" t="s">
        <v>1993</v>
      </c>
      <c r="B1946" s="1">
        <v>45341</v>
      </c>
      <c r="C1946" s="1">
        <v>45342</v>
      </c>
      <c r="D1946" t="s">
        <v>32</v>
      </c>
      <c r="E1946" t="s">
        <v>33</v>
      </c>
      <c r="F1946" t="s">
        <v>29</v>
      </c>
      <c r="G1946" t="s">
        <v>26</v>
      </c>
      <c r="H1946" t="s">
        <v>30</v>
      </c>
      <c r="I1946">
        <v>9</v>
      </c>
      <c r="J1946">
        <v>0.05</v>
      </c>
      <c r="K1946">
        <v>48.01</v>
      </c>
      <c r="L1946">
        <v>8.5500000000000007</v>
      </c>
    </row>
    <row r="1947" spans="1:12" x14ac:dyDescent="0.25">
      <c r="A1947" t="s">
        <v>1994</v>
      </c>
      <c r="B1947" s="1">
        <v>45805</v>
      </c>
      <c r="C1947" s="1">
        <v>45810</v>
      </c>
      <c r="D1947" t="s">
        <v>23</v>
      </c>
      <c r="E1947" t="s">
        <v>24</v>
      </c>
      <c r="F1947" t="s">
        <v>15</v>
      </c>
      <c r="G1947" t="s">
        <v>26</v>
      </c>
      <c r="H1947" t="s">
        <v>41</v>
      </c>
      <c r="I1947">
        <v>7</v>
      </c>
      <c r="J1947">
        <v>0.1</v>
      </c>
      <c r="K1947">
        <v>39.369999999999997</v>
      </c>
      <c r="L1947">
        <v>4.59</v>
      </c>
    </row>
    <row r="1948" spans="1:12" x14ac:dyDescent="0.25">
      <c r="A1948" t="s">
        <v>1995</v>
      </c>
      <c r="B1948" s="1">
        <v>45953</v>
      </c>
      <c r="C1948" s="1">
        <v>45956</v>
      </c>
      <c r="D1948" t="s">
        <v>13</v>
      </c>
      <c r="E1948" t="s">
        <v>36</v>
      </c>
      <c r="F1948" t="s">
        <v>29</v>
      </c>
      <c r="G1948" t="s">
        <v>16</v>
      </c>
      <c r="H1948" t="s">
        <v>41</v>
      </c>
      <c r="I1948">
        <v>18</v>
      </c>
      <c r="J1948">
        <v>0</v>
      </c>
      <c r="K1948">
        <v>134.76</v>
      </c>
      <c r="L1948">
        <v>12.6</v>
      </c>
    </row>
    <row r="1949" spans="1:12" x14ac:dyDescent="0.25">
      <c r="A1949" t="s">
        <v>1996</v>
      </c>
      <c r="B1949" s="1">
        <v>45867</v>
      </c>
      <c r="C1949" s="1">
        <v>45873</v>
      </c>
      <c r="D1949" t="s">
        <v>32</v>
      </c>
      <c r="E1949" t="s">
        <v>45</v>
      </c>
      <c r="F1949" t="s">
        <v>29</v>
      </c>
      <c r="G1949" t="s">
        <v>20</v>
      </c>
      <c r="H1949" t="s">
        <v>65</v>
      </c>
      <c r="I1949">
        <v>3</v>
      </c>
      <c r="J1949">
        <v>0</v>
      </c>
      <c r="K1949">
        <v>778.07</v>
      </c>
      <c r="L1949">
        <v>6.84</v>
      </c>
    </row>
    <row r="1950" spans="1:12" x14ac:dyDescent="0.25">
      <c r="A1950" t="s">
        <v>1997</v>
      </c>
      <c r="B1950" s="1">
        <v>45832</v>
      </c>
      <c r="C1950" s="1">
        <v>45833</v>
      </c>
      <c r="D1950" t="s">
        <v>23</v>
      </c>
      <c r="E1950" t="s">
        <v>24</v>
      </c>
      <c r="F1950" t="s">
        <v>29</v>
      </c>
      <c r="G1950" t="s">
        <v>20</v>
      </c>
      <c r="H1950" t="s">
        <v>60</v>
      </c>
      <c r="I1950">
        <v>1</v>
      </c>
      <c r="J1950">
        <v>0</v>
      </c>
      <c r="K1950">
        <v>111.99</v>
      </c>
      <c r="L1950">
        <v>3.45</v>
      </c>
    </row>
    <row r="1951" spans="1:12" x14ac:dyDescent="0.25">
      <c r="A1951" t="s">
        <v>1998</v>
      </c>
      <c r="B1951" s="1">
        <v>45483</v>
      </c>
      <c r="C1951" s="1">
        <v>45486</v>
      </c>
      <c r="D1951" t="s">
        <v>23</v>
      </c>
      <c r="E1951" t="s">
        <v>24</v>
      </c>
      <c r="F1951" t="s">
        <v>15</v>
      </c>
      <c r="G1951" t="s">
        <v>26</v>
      </c>
      <c r="H1951" t="s">
        <v>51</v>
      </c>
      <c r="I1951">
        <v>10</v>
      </c>
      <c r="J1951">
        <v>0</v>
      </c>
      <c r="K1951">
        <v>134.88</v>
      </c>
      <c r="L1951">
        <v>9</v>
      </c>
    </row>
    <row r="1952" spans="1:12" x14ac:dyDescent="0.25">
      <c r="A1952" t="s">
        <v>1999</v>
      </c>
      <c r="B1952" s="1">
        <v>45980</v>
      </c>
      <c r="C1952" s="1">
        <v>45985</v>
      </c>
      <c r="D1952" t="s">
        <v>13</v>
      </c>
      <c r="E1952" t="s">
        <v>36</v>
      </c>
      <c r="F1952" t="s">
        <v>25</v>
      </c>
      <c r="G1952" t="s">
        <v>26</v>
      </c>
      <c r="H1952" t="s">
        <v>27</v>
      </c>
      <c r="I1952">
        <v>11</v>
      </c>
      <c r="J1952">
        <v>0.1</v>
      </c>
      <c r="K1952">
        <v>384.03</v>
      </c>
      <c r="L1952">
        <v>9.4499999999999993</v>
      </c>
    </row>
    <row r="1953" spans="1:12" x14ac:dyDescent="0.25">
      <c r="A1953" t="s">
        <v>2000</v>
      </c>
      <c r="B1953" s="1">
        <v>45687</v>
      </c>
      <c r="C1953" s="1">
        <v>45689</v>
      </c>
      <c r="D1953" t="s">
        <v>32</v>
      </c>
      <c r="E1953" t="s">
        <v>45</v>
      </c>
      <c r="F1953" t="s">
        <v>15</v>
      </c>
      <c r="G1953" t="s">
        <v>16</v>
      </c>
      <c r="H1953" t="s">
        <v>41</v>
      </c>
      <c r="I1953">
        <v>9</v>
      </c>
      <c r="J1953">
        <v>0</v>
      </c>
      <c r="K1953">
        <v>50.58</v>
      </c>
      <c r="L1953">
        <v>5.13</v>
      </c>
    </row>
    <row r="1954" spans="1:12" x14ac:dyDescent="0.25">
      <c r="A1954" t="s">
        <v>2001</v>
      </c>
      <c r="B1954" s="1">
        <v>45967</v>
      </c>
      <c r="C1954" s="1">
        <v>45971</v>
      </c>
      <c r="D1954" t="s">
        <v>23</v>
      </c>
      <c r="E1954" t="s">
        <v>59</v>
      </c>
      <c r="F1954" t="s">
        <v>29</v>
      </c>
      <c r="G1954" t="s">
        <v>20</v>
      </c>
      <c r="H1954" t="s">
        <v>27</v>
      </c>
      <c r="I1954">
        <v>9</v>
      </c>
      <c r="J1954">
        <v>0</v>
      </c>
      <c r="K1954">
        <v>346.78</v>
      </c>
      <c r="L1954">
        <v>8.5500000000000007</v>
      </c>
    </row>
    <row r="1955" spans="1:12" x14ac:dyDescent="0.25">
      <c r="A1955" t="s">
        <v>2002</v>
      </c>
      <c r="B1955" s="1">
        <v>45611</v>
      </c>
      <c r="C1955" s="1">
        <v>45613</v>
      </c>
      <c r="D1955" t="s">
        <v>13</v>
      </c>
      <c r="E1955" t="s">
        <v>14</v>
      </c>
      <c r="F1955" t="s">
        <v>29</v>
      </c>
      <c r="G1955" t="s">
        <v>16</v>
      </c>
      <c r="H1955" t="s">
        <v>21</v>
      </c>
      <c r="I1955">
        <v>4</v>
      </c>
      <c r="J1955">
        <v>0.2</v>
      </c>
      <c r="K1955">
        <v>505.27</v>
      </c>
      <c r="L1955">
        <v>13.7</v>
      </c>
    </row>
    <row r="1956" spans="1:12" x14ac:dyDescent="0.25">
      <c r="A1956" t="s">
        <v>2003</v>
      </c>
      <c r="B1956" s="1">
        <v>45497</v>
      </c>
      <c r="C1956" s="1">
        <v>45503</v>
      </c>
      <c r="D1956" t="s">
        <v>32</v>
      </c>
      <c r="E1956" t="s">
        <v>62</v>
      </c>
      <c r="F1956" t="s">
        <v>25</v>
      </c>
      <c r="G1956" t="s">
        <v>16</v>
      </c>
      <c r="H1956" t="s">
        <v>34</v>
      </c>
      <c r="I1956">
        <v>2</v>
      </c>
      <c r="J1956">
        <v>0.2</v>
      </c>
      <c r="K1956">
        <v>300.04000000000002</v>
      </c>
      <c r="L1956">
        <v>5.46</v>
      </c>
    </row>
    <row r="1957" spans="1:12" x14ac:dyDescent="0.25">
      <c r="A1957" t="s">
        <v>2004</v>
      </c>
      <c r="B1957" s="1">
        <v>45525</v>
      </c>
      <c r="C1957" s="1">
        <v>45527</v>
      </c>
      <c r="D1957" t="s">
        <v>23</v>
      </c>
      <c r="E1957" t="s">
        <v>43</v>
      </c>
      <c r="F1957" t="s">
        <v>29</v>
      </c>
      <c r="G1957" t="s">
        <v>16</v>
      </c>
      <c r="H1957" t="s">
        <v>63</v>
      </c>
      <c r="I1957">
        <v>11</v>
      </c>
      <c r="J1957">
        <v>0</v>
      </c>
      <c r="K1957">
        <v>126.11</v>
      </c>
      <c r="L1957">
        <v>5.67</v>
      </c>
    </row>
    <row r="1958" spans="1:12" x14ac:dyDescent="0.25">
      <c r="A1958" t="s">
        <v>2005</v>
      </c>
      <c r="B1958" s="1">
        <v>45306</v>
      </c>
      <c r="C1958" s="1">
        <v>45311</v>
      </c>
      <c r="D1958" t="s">
        <v>32</v>
      </c>
      <c r="E1958" t="s">
        <v>62</v>
      </c>
      <c r="F1958" t="s">
        <v>25</v>
      </c>
      <c r="G1958" t="s">
        <v>26</v>
      </c>
      <c r="H1958" t="s">
        <v>37</v>
      </c>
      <c r="I1958">
        <v>4</v>
      </c>
      <c r="J1958">
        <v>0</v>
      </c>
      <c r="K1958">
        <v>384.84</v>
      </c>
      <c r="L1958">
        <v>13.7</v>
      </c>
    </row>
    <row r="1959" spans="1:12" x14ac:dyDescent="0.25">
      <c r="A1959" t="s">
        <v>2006</v>
      </c>
      <c r="B1959" s="1">
        <v>45977</v>
      </c>
      <c r="C1959" s="1">
        <v>45983</v>
      </c>
      <c r="D1959" t="s">
        <v>47</v>
      </c>
      <c r="E1959" t="s">
        <v>48</v>
      </c>
      <c r="F1959" t="s">
        <v>25</v>
      </c>
      <c r="G1959" t="s">
        <v>20</v>
      </c>
      <c r="H1959" t="s">
        <v>34</v>
      </c>
      <c r="I1959">
        <v>1</v>
      </c>
      <c r="J1959">
        <v>0</v>
      </c>
      <c r="K1959">
        <v>279.82</v>
      </c>
      <c r="L1959">
        <v>6.8</v>
      </c>
    </row>
    <row r="1960" spans="1:12" x14ac:dyDescent="0.25">
      <c r="A1960" t="s">
        <v>2007</v>
      </c>
      <c r="B1960" s="1">
        <v>45664</v>
      </c>
      <c r="C1960" s="1">
        <v>45666</v>
      </c>
      <c r="D1960" t="s">
        <v>13</v>
      </c>
      <c r="E1960" t="s">
        <v>36</v>
      </c>
      <c r="F1960" t="s">
        <v>29</v>
      </c>
      <c r="G1960" t="s">
        <v>20</v>
      </c>
      <c r="H1960" t="s">
        <v>21</v>
      </c>
      <c r="I1960">
        <v>3</v>
      </c>
      <c r="J1960">
        <v>0.25</v>
      </c>
      <c r="K1960">
        <v>215.51</v>
      </c>
      <c r="L1960">
        <v>6.84</v>
      </c>
    </row>
    <row r="1961" spans="1:12" x14ac:dyDescent="0.25">
      <c r="A1961" t="s">
        <v>2008</v>
      </c>
      <c r="B1961" s="1">
        <v>45672</v>
      </c>
      <c r="C1961" s="1">
        <v>45677</v>
      </c>
      <c r="D1961" t="s">
        <v>13</v>
      </c>
      <c r="E1961" t="s">
        <v>19</v>
      </c>
      <c r="F1961" t="s">
        <v>25</v>
      </c>
      <c r="G1961" t="s">
        <v>20</v>
      </c>
      <c r="H1961" t="s">
        <v>30</v>
      </c>
      <c r="I1961">
        <v>10</v>
      </c>
      <c r="J1961">
        <v>0</v>
      </c>
      <c r="K1961">
        <v>54.42</v>
      </c>
      <c r="L1961">
        <v>9</v>
      </c>
    </row>
    <row r="1962" spans="1:12" x14ac:dyDescent="0.25">
      <c r="A1962" t="s">
        <v>2009</v>
      </c>
      <c r="B1962" s="1">
        <v>45866</v>
      </c>
      <c r="C1962" s="1">
        <v>45867</v>
      </c>
      <c r="D1962" t="s">
        <v>47</v>
      </c>
      <c r="E1962" t="s">
        <v>48</v>
      </c>
      <c r="F1962" t="s">
        <v>25</v>
      </c>
      <c r="G1962" t="s">
        <v>16</v>
      </c>
      <c r="H1962" t="s">
        <v>30</v>
      </c>
      <c r="I1962">
        <v>7</v>
      </c>
      <c r="J1962">
        <v>0</v>
      </c>
      <c r="K1962">
        <v>39.72</v>
      </c>
      <c r="L1962">
        <v>4.59</v>
      </c>
    </row>
    <row r="1963" spans="1:12" x14ac:dyDescent="0.25">
      <c r="A1963" t="s">
        <v>2010</v>
      </c>
      <c r="B1963" s="1">
        <v>45423</v>
      </c>
      <c r="C1963" s="1">
        <v>45424</v>
      </c>
      <c r="D1963" t="s">
        <v>13</v>
      </c>
      <c r="E1963" t="s">
        <v>19</v>
      </c>
      <c r="F1963" t="s">
        <v>25</v>
      </c>
      <c r="G1963" t="s">
        <v>26</v>
      </c>
      <c r="H1963" t="s">
        <v>34</v>
      </c>
      <c r="I1963">
        <v>1</v>
      </c>
      <c r="J1963">
        <v>0.1</v>
      </c>
      <c r="K1963">
        <v>180.67</v>
      </c>
      <c r="L1963">
        <v>4.08</v>
      </c>
    </row>
    <row r="1964" spans="1:12" x14ac:dyDescent="0.25">
      <c r="A1964" t="s">
        <v>2011</v>
      </c>
      <c r="B1964" s="1">
        <v>45830</v>
      </c>
      <c r="C1964" s="1">
        <v>45832</v>
      </c>
      <c r="D1964" t="s">
        <v>47</v>
      </c>
      <c r="E1964" t="s">
        <v>71</v>
      </c>
      <c r="F1964" t="s">
        <v>25</v>
      </c>
      <c r="G1964" t="s">
        <v>26</v>
      </c>
      <c r="H1964" t="s">
        <v>39</v>
      </c>
      <c r="I1964">
        <v>1</v>
      </c>
      <c r="J1964">
        <v>0.25</v>
      </c>
      <c r="K1964">
        <v>157.09</v>
      </c>
      <c r="L1964">
        <v>5.75</v>
      </c>
    </row>
    <row r="1965" spans="1:12" x14ac:dyDescent="0.25">
      <c r="A1965" t="s">
        <v>2012</v>
      </c>
      <c r="B1965" s="1">
        <v>45772</v>
      </c>
      <c r="C1965" s="1">
        <v>45774</v>
      </c>
      <c r="D1965" t="s">
        <v>32</v>
      </c>
      <c r="E1965" t="s">
        <v>33</v>
      </c>
      <c r="F1965" t="s">
        <v>15</v>
      </c>
      <c r="G1965" t="s">
        <v>16</v>
      </c>
      <c r="H1965" t="s">
        <v>34</v>
      </c>
      <c r="I1965">
        <v>4</v>
      </c>
      <c r="J1965">
        <v>0.05</v>
      </c>
      <c r="K1965">
        <v>735.96</v>
      </c>
      <c r="L1965">
        <v>8.2200000000000006</v>
      </c>
    </row>
    <row r="1966" spans="1:12" x14ac:dyDescent="0.25">
      <c r="A1966" t="s">
        <v>2013</v>
      </c>
      <c r="B1966" s="1">
        <v>45879</v>
      </c>
      <c r="C1966" s="1">
        <v>45885</v>
      </c>
      <c r="D1966" t="s">
        <v>23</v>
      </c>
      <c r="E1966" t="s">
        <v>24</v>
      </c>
      <c r="F1966" t="s">
        <v>29</v>
      </c>
      <c r="G1966" t="s">
        <v>20</v>
      </c>
      <c r="H1966" t="s">
        <v>27</v>
      </c>
      <c r="I1966">
        <v>11</v>
      </c>
      <c r="J1966">
        <v>0</v>
      </c>
      <c r="K1966">
        <v>280.27</v>
      </c>
      <c r="L1966">
        <v>5.67</v>
      </c>
    </row>
    <row r="1967" spans="1:12" x14ac:dyDescent="0.25">
      <c r="A1967" t="s">
        <v>2014</v>
      </c>
      <c r="B1967" s="1">
        <v>45364</v>
      </c>
      <c r="C1967" s="1">
        <v>45369</v>
      </c>
      <c r="D1967" t="s">
        <v>13</v>
      </c>
      <c r="E1967" t="s">
        <v>36</v>
      </c>
      <c r="F1967" t="s">
        <v>25</v>
      </c>
      <c r="G1967" t="s">
        <v>16</v>
      </c>
      <c r="H1967" t="s">
        <v>51</v>
      </c>
      <c r="I1967">
        <v>14</v>
      </c>
      <c r="J1967">
        <v>0</v>
      </c>
      <c r="K1967">
        <v>205.71</v>
      </c>
      <c r="L1967">
        <v>10.8</v>
      </c>
    </row>
    <row r="1968" spans="1:12" x14ac:dyDescent="0.25">
      <c r="A1968" t="s">
        <v>2015</v>
      </c>
      <c r="B1968" s="1">
        <v>45864</v>
      </c>
      <c r="C1968" s="1">
        <v>45867</v>
      </c>
      <c r="D1968" t="s">
        <v>32</v>
      </c>
      <c r="E1968" t="s">
        <v>33</v>
      </c>
      <c r="F1968" t="s">
        <v>29</v>
      </c>
      <c r="G1968" t="s">
        <v>16</v>
      </c>
      <c r="H1968" t="s">
        <v>60</v>
      </c>
      <c r="I1968">
        <v>3</v>
      </c>
      <c r="J1968">
        <v>0.05</v>
      </c>
      <c r="K1968">
        <v>278.36</v>
      </c>
      <c r="L1968">
        <v>4.95</v>
      </c>
    </row>
    <row r="1969" spans="1:12" x14ac:dyDescent="0.25">
      <c r="A1969" t="s">
        <v>2016</v>
      </c>
      <c r="B1969" s="1">
        <v>45582</v>
      </c>
      <c r="C1969" s="1">
        <v>45583</v>
      </c>
      <c r="D1969" t="s">
        <v>47</v>
      </c>
      <c r="E1969" t="s">
        <v>71</v>
      </c>
      <c r="F1969" t="s">
        <v>25</v>
      </c>
      <c r="G1969" t="s">
        <v>26</v>
      </c>
      <c r="H1969" t="s">
        <v>17</v>
      </c>
      <c r="I1969">
        <v>7</v>
      </c>
      <c r="J1969">
        <v>0</v>
      </c>
      <c r="K1969">
        <v>1073.9100000000001</v>
      </c>
      <c r="L1969">
        <v>13.25</v>
      </c>
    </row>
    <row r="1970" spans="1:12" x14ac:dyDescent="0.25">
      <c r="A1970" t="s">
        <v>2017</v>
      </c>
      <c r="B1970" s="1">
        <v>45954</v>
      </c>
      <c r="C1970" s="1">
        <v>45959</v>
      </c>
      <c r="D1970" t="s">
        <v>13</v>
      </c>
      <c r="E1970" t="s">
        <v>19</v>
      </c>
      <c r="F1970" t="s">
        <v>15</v>
      </c>
      <c r="G1970" t="s">
        <v>20</v>
      </c>
      <c r="H1970" t="s">
        <v>51</v>
      </c>
      <c r="I1970">
        <v>13</v>
      </c>
      <c r="J1970">
        <v>0</v>
      </c>
      <c r="K1970">
        <v>233.97</v>
      </c>
      <c r="L1970">
        <v>6.21</v>
      </c>
    </row>
    <row r="1971" spans="1:12" x14ac:dyDescent="0.25">
      <c r="A1971" t="s">
        <v>2018</v>
      </c>
      <c r="B1971" s="1">
        <v>45847</v>
      </c>
      <c r="C1971" s="1">
        <v>45851</v>
      </c>
      <c r="D1971" t="s">
        <v>13</v>
      </c>
      <c r="E1971" t="s">
        <v>19</v>
      </c>
      <c r="F1971" t="s">
        <v>15</v>
      </c>
      <c r="G1971" t="s">
        <v>26</v>
      </c>
      <c r="H1971" t="s">
        <v>39</v>
      </c>
      <c r="I1971">
        <v>2</v>
      </c>
      <c r="J1971">
        <v>0</v>
      </c>
      <c r="K1971">
        <v>336.37</v>
      </c>
      <c r="L1971">
        <v>4.2</v>
      </c>
    </row>
    <row r="1972" spans="1:12" x14ac:dyDescent="0.25">
      <c r="A1972" t="s">
        <v>2019</v>
      </c>
      <c r="B1972" s="1">
        <v>45405</v>
      </c>
      <c r="C1972" s="1">
        <v>45408</v>
      </c>
      <c r="D1972" t="s">
        <v>13</v>
      </c>
      <c r="E1972" t="s">
        <v>36</v>
      </c>
      <c r="F1972" t="s">
        <v>15</v>
      </c>
      <c r="G1972" t="s">
        <v>20</v>
      </c>
      <c r="H1972" t="s">
        <v>34</v>
      </c>
      <c r="I1972">
        <v>2</v>
      </c>
      <c r="J1972">
        <v>0</v>
      </c>
      <c r="K1972">
        <v>421.78</v>
      </c>
      <c r="L1972">
        <v>5.46</v>
      </c>
    </row>
    <row r="1973" spans="1:12" x14ac:dyDescent="0.25">
      <c r="A1973" t="s">
        <v>2020</v>
      </c>
      <c r="B1973" s="1">
        <v>45860</v>
      </c>
      <c r="C1973" s="1">
        <v>45861</v>
      </c>
      <c r="D1973" t="s">
        <v>47</v>
      </c>
      <c r="E1973" t="s">
        <v>48</v>
      </c>
      <c r="F1973" t="s">
        <v>15</v>
      </c>
      <c r="G1973" t="s">
        <v>20</v>
      </c>
      <c r="H1973" t="s">
        <v>27</v>
      </c>
      <c r="I1973">
        <v>12</v>
      </c>
      <c r="J1973">
        <v>0.2</v>
      </c>
      <c r="K1973">
        <v>233.29</v>
      </c>
      <c r="L1973">
        <v>9.9</v>
      </c>
    </row>
    <row r="1974" spans="1:12" x14ac:dyDescent="0.25">
      <c r="A1974" t="s">
        <v>2021</v>
      </c>
      <c r="B1974" s="1">
        <v>45899</v>
      </c>
      <c r="C1974" s="1">
        <v>45902</v>
      </c>
      <c r="D1974" t="s">
        <v>47</v>
      </c>
      <c r="E1974" t="s">
        <v>71</v>
      </c>
      <c r="F1974" t="s">
        <v>15</v>
      </c>
      <c r="G1974" t="s">
        <v>16</v>
      </c>
      <c r="H1974" t="s">
        <v>34</v>
      </c>
      <c r="I1974">
        <v>3</v>
      </c>
      <c r="J1974">
        <v>0.25</v>
      </c>
      <c r="K1974">
        <v>416.16</v>
      </c>
      <c r="L1974">
        <v>6.84</v>
      </c>
    </row>
    <row r="1975" spans="1:12" x14ac:dyDescent="0.25">
      <c r="A1975" t="s">
        <v>2022</v>
      </c>
      <c r="B1975" s="1">
        <v>45766</v>
      </c>
      <c r="C1975" s="1">
        <v>45772</v>
      </c>
      <c r="D1975" t="s">
        <v>23</v>
      </c>
      <c r="E1975" t="s">
        <v>59</v>
      </c>
      <c r="F1975" t="s">
        <v>29</v>
      </c>
      <c r="G1975" t="s">
        <v>16</v>
      </c>
      <c r="H1975" t="s">
        <v>21</v>
      </c>
      <c r="I1975">
        <v>3</v>
      </c>
      <c r="J1975">
        <v>0</v>
      </c>
      <c r="K1975">
        <v>326.29000000000002</v>
      </c>
      <c r="L1975">
        <v>6.84</v>
      </c>
    </row>
    <row r="1976" spans="1:12" x14ac:dyDescent="0.25">
      <c r="A1976" t="s">
        <v>2023</v>
      </c>
      <c r="B1976" s="1">
        <v>45947</v>
      </c>
      <c r="C1976" s="1">
        <v>45951</v>
      </c>
      <c r="D1976" t="s">
        <v>23</v>
      </c>
      <c r="E1976" t="s">
        <v>59</v>
      </c>
      <c r="F1976" t="s">
        <v>25</v>
      </c>
      <c r="G1976" t="s">
        <v>16</v>
      </c>
      <c r="H1976" t="s">
        <v>63</v>
      </c>
      <c r="I1976">
        <v>11</v>
      </c>
      <c r="J1976">
        <v>0</v>
      </c>
      <c r="K1976">
        <v>147.01</v>
      </c>
      <c r="L1976">
        <v>9.4499999999999993</v>
      </c>
    </row>
    <row r="1977" spans="1:12" x14ac:dyDescent="0.25">
      <c r="A1977" t="s">
        <v>2024</v>
      </c>
      <c r="B1977" s="1">
        <v>45830</v>
      </c>
      <c r="C1977" s="1">
        <v>45832</v>
      </c>
      <c r="D1977" t="s">
        <v>13</v>
      </c>
      <c r="E1977" t="s">
        <v>14</v>
      </c>
      <c r="F1977" t="s">
        <v>29</v>
      </c>
      <c r="G1977" t="s">
        <v>16</v>
      </c>
      <c r="H1977" t="s">
        <v>51</v>
      </c>
      <c r="I1977">
        <v>7</v>
      </c>
      <c r="J1977">
        <v>0.2</v>
      </c>
      <c r="K1977">
        <v>87.63</v>
      </c>
      <c r="L1977">
        <v>4.59</v>
      </c>
    </row>
    <row r="1978" spans="1:12" x14ac:dyDescent="0.25">
      <c r="A1978" t="s">
        <v>2025</v>
      </c>
      <c r="B1978" s="1">
        <v>45755</v>
      </c>
      <c r="C1978" s="1">
        <v>45761</v>
      </c>
      <c r="D1978" t="s">
        <v>32</v>
      </c>
      <c r="E1978" t="s">
        <v>62</v>
      </c>
      <c r="F1978" t="s">
        <v>29</v>
      </c>
      <c r="G1978" t="s">
        <v>26</v>
      </c>
      <c r="H1978" t="s">
        <v>17</v>
      </c>
      <c r="I1978">
        <v>5</v>
      </c>
      <c r="J1978">
        <v>0</v>
      </c>
      <c r="K1978">
        <v>579.16999999999996</v>
      </c>
      <c r="L1978">
        <v>6.45</v>
      </c>
    </row>
    <row r="1979" spans="1:12" x14ac:dyDescent="0.25">
      <c r="A1979" t="s">
        <v>2026</v>
      </c>
      <c r="B1979" s="1">
        <v>45763</v>
      </c>
      <c r="C1979" s="1">
        <v>45764</v>
      </c>
      <c r="D1979" t="s">
        <v>13</v>
      </c>
      <c r="E1979" t="s">
        <v>14</v>
      </c>
      <c r="F1979" t="s">
        <v>25</v>
      </c>
      <c r="G1979" t="s">
        <v>20</v>
      </c>
      <c r="H1979" t="s">
        <v>39</v>
      </c>
      <c r="I1979">
        <v>1</v>
      </c>
      <c r="J1979">
        <v>0.1</v>
      </c>
      <c r="K1979">
        <v>177.93</v>
      </c>
      <c r="L1979">
        <v>3.45</v>
      </c>
    </row>
    <row r="1980" spans="1:12" x14ac:dyDescent="0.25">
      <c r="A1980" t="s">
        <v>2027</v>
      </c>
      <c r="B1980" s="1">
        <v>45775</v>
      </c>
      <c r="C1980" s="1">
        <v>45777</v>
      </c>
      <c r="D1980" t="s">
        <v>47</v>
      </c>
      <c r="E1980" t="s">
        <v>71</v>
      </c>
      <c r="F1980" t="s">
        <v>25</v>
      </c>
      <c r="G1980" t="s">
        <v>26</v>
      </c>
      <c r="H1980" t="s">
        <v>17</v>
      </c>
      <c r="I1980">
        <v>2</v>
      </c>
      <c r="J1980">
        <v>0.2</v>
      </c>
      <c r="K1980">
        <v>192.41</v>
      </c>
      <c r="L1980">
        <v>4.2</v>
      </c>
    </row>
    <row r="1981" spans="1:12" x14ac:dyDescent="0.25">
      <c r="A1981" t="s">
        <v>2028</v>
      </c>
      <c r="B1981" s="1">
        <v>45544</v>
      </c>
      <c r="C1981" s="1">
        <v>45546</v>
      </c>
      <c r="D1981" t="s">
        <v>13</v>
      </c>
      <c r="E1981" t="s">
        <v>14</v>
      </c>
      <c r="F1981" t="s">
        <v>29</v>
      </c>
      <c r="G1981" t="s">
        <v>26</v>
      </c>
      <c r="H1981" t="s">
        <v>53</v>
      </c>
      <c r="I1981">
        <v>1</v>
      </c>
      <c r="J1981">
        <v>0</v>
      </c>
      <c r="K1981">
        <v>62.94</v>
      </c>
      <c r="L1981">
        <v>3.45</v>
      </c>
    </row>
    <row r="1982" spans="1:12" x14ac:dyDescent="0.25">
      <c r="A1982" t="s">
        <v>2029</v>
      </c>
      <c r="B1982" s="1">
        <v>45894</v>
      </c>
      <c r="C1982" s="1">
        <v>45899</v>
      </c>
      <c r="D1982" t="s">
        <v>32</v>
      </c>
      <c r="E1982" t="s">
        <v>45</v>
      </c>
      <c r="F1982" t="s">
        <v>25</v>
      </c>
      <c r="G1982" t="s">
        <v>16</v>
      </c>
      <c r="H1982" t="s">
        <v>39</v>
      </c>
      <c r="I1982">
        <v>4</v>
      </c>
      <c r="J1982">
        <v>0</v>
      </c>
      <c r="K1982">
        <v>748.77</v>
      </c>
      <c r="L1982">
        <v>5.7</v>
      </c>
    </row>
    <row r="1983" spans="1:12" x14ac:dyDescent="0.25">
      <c r="A1983" t="s">
        <v>2030</v>
      </c>
      <c r="B1983" s="1">
        <v>46020</v>
      </c>
      <c r="C1983" s="1">
        <v>46023</v>
      </c>
      <c r="D1983" t="s">
        <v>47</v>
      </c>
      <c r="E1983" t="s">
        <v>71</v>
      </c>
      <c r="F1983" t="s">
        <v>29</v>
      </c>
      <c r="G1983" t="s">
        <v>20</v>
      </c>
      <c r="H1983" t="s">
        <v>51</v>
      </c>
      <c r="I1983">
        <v>12</v>
      </c>
      <c r="J1983">
        <v>0.25</v>
      </c>
      <c r="K1983">
        <v>199.2</v>
      </c>
      <c r="L1983">
        <v>5.94</v>
      </c>
    </row>
    <row r="1984" spans="1:12" x14ac:dyDescent="0.25">
      <c r="A1984" t="s">
        <v>2031</v>
      </c>
      <c r="B1984" s="1">
        <v>46018</v>
      </c>
      <c r="C1984" s="1">
        <v>46020</v>
      </c>
      <c r="D1984" t="s">
        <v>32</v>
      </c>
      <c r="E1984" t="s">
        <v>33</v>
      </c>
      <c r="F1984" t="s">
        <v>29</v>
      </c>
      <c r="G1984" t="s">
        <v>26</v>
      </c>
      <c r="H1984" t="s">
        <v>87</v>
      </c>
      <c r="I1984">
        <v>7</v>
      </c>
      <c r="J1984">
        <v>0</v>
      </c>
      <c r="K1984">
        <v>79.849999999999994</v>
      </c>
      <c r="L1984">
        <v>7.65</v>
      </c>
    </row>
    <row r="1985" spans="1:12" x14ac:dyDescent="0.25">
      <c r="A1985" t="s">
        <v>2032</v>
      </c>
      <c r="B1985" s="1">
        <v>45444</v>
      </c>
      <c r="C1985" s="1">
        <v>45445</v>
      </c>
      <c r="D1985" t="s">
        <v>32</v>
      </c>
      <c r="E1985" t="s">
        <v>33</v>
      </c>
      <c r="F1985" t="s">
        <v>25</v>
      </c>
      <c r="G1985" t="s">
        <v>26</v>
      </c>
      <c r="H1985" t="s">
        <v>39</v>
      </c>
      <c r="I1985">
        <v>3</v>
      </c>
      <c r="J1985">
        <v>0.15</v>
      </c>
      <c r="K1985">
        <v>481.85</v>
      </c>
      <c r="L1985">
        <v>4.95</v>
      </c>
    </row>
    <row r="1986" spans="1:12" x14ac:dyDescent="0.25">
      <c r="A1986" t="s">
        <v>2033</v>
      </c>
      <c r="B1986" s="1">
        <v>45576</v>
      </c>
      <c r="C1986" s="1">
        <v>45581</v>
      </c>
      <c r="D1986" t="s">
        <v>13</v>
      </c>
      <c r="E1986" t="s">
        <v>19</v>
      </c>
      <c r="F1986" t="s">
        <v>15</v>
      </c>
      <c r="G1986" t="s">
        <v>26</v>
      </c>
      <c r="H1986" t="s">
        <v>65</v>
      </c>
      <c r="I1986">
        <v>4</v>
      </c>
      <c r="J1986">
        <v>0.15</v>
      </c>
      <c r="K1986">
        <v>1072.1600000000001</v>
      </c>
      <c r="L1986">
        <v>8.2200000000000006</v>
      </c>
    </row>
    <row r="1987" spans="1:12" x14ac:dyDescent="0.25">
      <c r="A1987" t="s">
        <v>2034</v>
      </c>
      <c r="B1987" s="1">
        <v>45312</v>
      </c>
      <c r="C1987" s="1">
        <v>45317</v>
      </c>
      <c r="D1987" t="s">
        <v>32</v>
      </c>
      <c r="E1987" t="s">
        <v>33</v>
      </c>
      <c r="F1987" t="s">
        <v>29</v>
      </c>
      <c r="G1987" t="s">
        <v>20</v>
      </c>
      <c r="H1987" t="s">
        <v>87</v>
      </c>
      <c r="I1987">
        <v>8</v>
      </c>
      <c r="J1987">
        <v>0.2</v>
      </c>
      <c r="K1987">
        <v>45.57</v>
      </c>
      <c r="L1987">
        <v>8.1</v>
      </c>
    </row>
    <row r="1988" spans="1:12" x14ac:dyDescent="0.25">
      <c r="A1988" t="s">
        <v>2035</v>
      </c>
      <c r="B1988" s="1">
        <v>45587</v>
      </c>
      <c r="C1988" s="1">
        <v>45592</v>
      </c>
      <c r="D1988" t="s">
        <v>23</v>
      </c>
      <c r="E1988" t="s">
        <v>43</v>
      </c>
      <c r="F1988" t="s">
        <v>29</v>
      </c>
      <c r="G1988" t="s">
        <v>26</v>
      </c>
      <c r="H1988" t="s">
        <v>27</v>
      </c>
      <c r="I1988">
        <v>4</v>
      </c>
      <c r="J1988">
        <v>0.05</v>
      </c>
      <c r="K1988">
        <v>127.49</v>
      </c>
      <c r="L1988">
        <v>3.78</v>
      </c>
    </row>
    <row r="1989" spans="1:12" x14ac:dyDescent="0.25">
      <c r="A1989" t="s">
        <v>2036</v>
      </c>
      <c r="B1989" s="1">
        <v>45769</v>
      </c>
      <c r="C1989" s="1">
        <v>45771</v>
      </c>
      <c r="D1989" t="s">
        <v>47</v>
      </c>
      <c r="E1989" t="s">
        <v>71</v>
      </c>
      <c r="F1989" t="s">
        <v>15</v>
      </c>
      <c r="G1989" t="s">
        <v>16</v>
      </c>
      <c r="H1989" t="s">
        <v>21</v>
      </c>
      <c r="I1989">
        <v>3</v>
      </c>
      <c r="J1989">
        <v>0</v>
      </c>
      <c r="K1989">
        <v>340.76</v>
      </c>
      <c r="L1989">
        <v>11.4</v>
      </c>
    </row>
    <row r="1990" spans="1:12" x14ac:dyDescent="0.25">
      <c r="A1990" t="s">
        <v>2037</v>
      </c>
      <c r="B1990" s="1">
        <v>45895</v>
      </c>
      <c r="C1990" s="1">
        <v>45896</v>
      </c>
      <c r="D1990" t="s">
        <v>32</v>
      </c>
      <c r="E1990" t="s">
        <v>62</v>
      </c>
      <c r="F1990" t="s">
        <v>25</v>
      </c>
      <c r="G1990" t="s">
        <v>26</v>
      </c>
      <c r="H1990" t="s">
        <v>63</v>
      </c>
      <c r="I1990">
        <v>5</v>
      </c>
      <c r="J1990">
        <v>0.2</v>
      </c>
      <c r="K1990">
        <v>48.83</v>
      </c>
      <c r="L1990">
        <v>4.05</v>
      </c>
    </row>
    <row r="1991" spans="1:12" x14ac:dyDescent="0.25">
      <c r="A1991" t="s">
        <v>2038</v>
      </c>
      <c r="B1991" s="1">
        <v>45860</v>
      </c>
      <c r="C1991" s="1">
        <v>45862</v>
      </c>
      <c r="D1991" t="s">
        <v>23</v>
      </c>
      <c r="E1991" t="s">
        <v>59</v>
      </c>
      <c r="F1991" t="s">
        <v>15</v>
      </c>
      <c r="G1991" t="s">
        <v>20</v>
      </c>
      <c r="H1991" t="s">
        <v>39</v>
      </c>
      <c r="I1991">
        <v>4</v>
      </c>
      <c r="J1991">
        <v>0</v>
      </c>
      <c r="K1991">
        <v>721.94</v>
      </c>
      <c r="L1991">
        <v>9.5</v>
      </c>
    </row>
    <row r="1992" spans="1:12" x14ac:dyDescent="0.25">
      <c r="A1992" t="s">
        <v>2039</v>
      </c>
      <c r="B1992" s="1">
        <v>45533</v>
      </c>
      <c r="C1992" s="1">
        <v>45537</v>
      </c>
      <c r="D1992" t="s">
        <v>13</v>
      </c>
      <c r="E1992" t="s">
        <v>36</v>
      </c>
      <c r="F1992" t="s">
        <v>15</v>
      </c>
      <c r="G1992" t="s">
        <v>20</v>
      </c>
      <c r="H1992" t="s">
        <v>17</v>
      </c>
      <c r="I1992">
        <v>1</v>
      </c>
      <c r="J1992">
        <v>0</v>
      </c>
      <c r="K1992">
        <v>115.02</v>
      </c>
      <c r="L1992">
        <v>3.45</v>
      </c>
    </row>
    <row r="1993" spans="1:12" x14ac:dyDescent="0.25">
      <c r="A1993" t="s">
        <v>2040</v>
      </c>
      <c r="B1993" s="1">
        <v>45634</v>
      </c>
      <c r="C1993" s="1">
        <v>45635</v>
      </c>
      <c r="D1993" t="s">
        <v>23</v>
      </c>
      <c r="E1993" t="s">
        <v>24</v>
      </c>
      <c r="F1993" t="s">
        <v>29</v>
      </c>
      <c r="G1993" t="s">
        <v>26</v>
      </c>
      <c r="H1993" t="s">
        <v>68</v>
      </c>
      <c r="I1993">
        <v>4</v>
      </c>
      <c r="J1993">
        <v>0.1</v>
      </c>
      <c r="K1993">
        <v>275.27999999999997</v>
      </c>
      <c r="L1993">
        <v>5.7</v>
      </c>
    </row>
    <row r="1994" spans="1:12" x14ac:dyDescent="0.25">
      <c r="A1994" t="s">
        <v>2041</v>
      </c>
      <c r="B1994" s="1">
        <v>45447</v>
      </c>
      <c r="C1994" s="1">
        <v>45452</v>
      </c>
      <c r="D1994" t="s">
        <v>23</v>
      </c>
      <c r="E1994" t="s">
        <v>24</v>
      </c>
      <c r="F1994" t="s">
        <v>25</v>
      </c>
      <c r="G1994" t="s">
        <v>16</v>
      </c>
      <c r="H1994" t="s">
        <v>17</v>
      </c>
      <c r="I1994">
        <v>1</v>
      </c>
      <c r="J1994">
        <v>0</v>
      </c>
      <c r="K1994">
        <v>136.81</v>
      </c>
      <c r="L1994">
        <v>3.45</v>
      </c>
    </row>
    <row r="1995" spans="1:12" x14ac:dyDescent="0.25">
      <c r="A1995" t="s">
        <v>2042</v>
      </c>
      <c r="B1995" s="1">
        <v>45466</v>
      </c>
      <c r="C1995" s="1">
        <v>45471</v>
      </c>
      <c r="D1995" t="s">
        <v>13</v>
      </c>
      <c r="E1995" t="s">
        <v>36</v>
      </c>
      <c r="F1995" t="s">
        <v>15</v>
      </c>
      <c r="G1995" t="s">
        <v>20</v>
      </c>
      <c r="H1995" t="s">
        <v>68</v>
      </c>
      <c r="I1995">
        <v>3</v>
      </c>
      <c r="J1995">
        <v>0</v>
      </c>
      <c r="K1995">
        <v>157.82</v>
      </c>
      <c r="L1995">
        <v>8.25</v>
      </c>
    </row>
    <row r="1996" spans="1:12" x14ac:dyDescent="0.25">
      <c r="A1996" t="s">
        <v>2043</v>
      </c>
      <c r="B1996" s="1">
        <v>45474</v>
      </c>
      <c r="C1996" s="1">
        <v>45477</v>
      </c>
      <c r="D1996" t="s">
        <v>32</v>
      </c>
      <c r="E1996" t="s">
        <v>45</v>
      </c>
      <c r="F1996" t="s">
        <v>15</v>
      </c>
      <c r="G1996" t="s">
        <v>20</v>
      </c>
      <c r="H1996" t="s">
        <v>68</v>
      </c>
      <c r="I1996">
        <v>1</v>
      </c>
      <c r="J1996">
        <v>0.25</v>
      </c>
      <c r="K1996">
        <v>36.979999999999997</v>
      </c>
      <c r="L1996">
        <v>5.75</v>
      </c>
    </row>
    <row r="1997" spans="1:12" x14ac:dyDescent="0.25">
      <c r="A1997" t="s">
        <v>2044</v>
      </c>
      <c r="B1997" s="1">
        <v>45475</v>
      </c>
      <c r="C1997" s="1">
        <v>45479</v>
      </c>
      <c r="D1997" t="s">
        <v>13</v>
      </c>
      <c r="E1997" t="s">
        <v>14</v>
      </c>
      <c r="F1997" t="s">
        <v>15</v>
      </c>
      <c r="G1997" t="s">
        <v>16</v>
      </c>
      <c r="H1997" t="s">
        <v>65</v>
      </c>
      <c r="I1997">
        <v>3</v>
      </c>
      <c r="J1997">
        <v>0</v>
      </c>
      <c r="K1997">
        <v>809.73</v>
      </c>
      <c r="L1997">
        <v>6.84</v>
      </c>
    </row>
    <row r="1998" spans="1:12" x14ac:dyDescent="0.25">
      <c r="A1998" t="s">
        <v>2045</v>
      </c>
      <c r="B1998" s="1">
        <v>45535</v>
      </c>
      <c r="C1998" s="1">
        <v>45539</v>
      </c>
      <c r="D1998" t="s">
        <v>32</v>
      </c>
      <c r="E1998" t="s">
        <v>45</v>
      </c>
      <c r="F1998" t="s">
        <v>15</v>
      </c>
      <c r="G1998" t="s">
        <v>16</v>
      </c>
      <c r="H1998" t="s">
        <v>41</v>
      </c>
      <c r="I1998">
        <v>9</v>
      </c>
      <c r="J1998">
        <v>0.1</v>
      </c>
      <c r="K1998">
        <v>44.44</v>
      </c>
      <c r="L1998">
        <v>8.5500000000000007</v>
      </c>
    </row>
    <row r="1999" spans="1:12" x14ac:dyDescent="0.25">
      <c r="A1999" t="s">
        <v>2046</v>
      </c>
      <c r="B1999" s="1">
        <v>45525</v>
      </c>
      <c r="C1999" s="1">
        <v>45528</v>
      </c>
      <c r="D1999" t="s">
        <v>23</v>
      </c>
      <c r="E1999" t="s">
        <v>24</v>
      </c>
      <c r="F1999" t="s">
        <v>29</v>
      </c>
      <c r="G1999" t="s">
        <v>16</v>
      </c>
      <c r="H1999" t="s">
        <v>60</v>
      </c>
      <c r="I1999">
        <v>7</v>
      </c>
      <c r="J1999">
        <v>0.2</v>
      </c>
      <c r="K1999">
        <v>630.75</v>
      </c>
      <c r="L1999">
        <v>7.95</v>
      </c>
    </row>
    <row r="2000" spans="1:12" x14ac:dyDescent="0.25">
      <c r="A2000" t="s">
        <v>2047</v>
      </c>
      <c r="B2000" s="1">
        <v>46001</v>
      </c>
      <c r="C2000" s="1">
        <v>46004</v>
      </c>
      <c r="D2000" t="s">
        <v>47</v>
      </c>
      <c r="E2000" t="s">
        <v>48</v>
      </c>
      <c r="F2000" t="s">
        <v>29</v>
      </c>
      <c r="G2000" t="s">
        <v>20</v>
      </c>
      <c r="H2000" t="s">
        <v>21</v>
      </c>
      <c r="I2000">
        <v>2</v>
      </c>
      <c r="J2000">
        <v>0</v>
      </c>
      <c r="K2000">
        <v>334.92</v>
      </c>
      <c r="L2000">
        <v>9.1</v>
      </c>
    </row>
    <row r="2001" spans="1:12" x14ac:dyDescent="0.25">
      <c r="A2001" t="s">
        <v>2048</v>
      </c>
      <c r="B2001" s="1">
        <v>45691</v>
      </c>
      <c r="C2001" s="1">
        <v>45697</v>
      </c>
      <c r="D2001" t="s">
        <v>47</v>
      </c>
      <c r="E2001" t="s">
        <v>50</v>
      </c>
      <c r="F2001" t="s">
        <v>15</v>
      </c>
      <c r="G2001" t="s">
        <v>26</v>
      </c>
      <c r="H2001" t="s">
        <v>51</v>
      </c>
      <c r="I2001">
        <v>3</v>
      </c>
      <c r="J2001">
        <v>0.1</v>
      </c>
      <c r="K2001">
        <v>37.409999999999997</v>
      </c>
      <c r="L2001">
        <v>5.85</v>
      </c>
    </row>
    <row r="2002" spans="1:12" x14ac:dyDescent="0.25">
      <c r="A2002" t="s">
        <v>2049</v>
      </c>
      <c r="B2002" s="1">
        <v>45638</v>
      </c>
      <c r="C2002" s="1">
        <v>45643</v>
      </c>
      <c r="D2002" t="s">
        <v>47</v>
      </c>
      <c r="E2002" t="s">
        <v>71</v>
      </c>
      <c r="F2002" t="s">
        <v>15</v>
      </c>
      <c r="G2002" t="s">
        <v>20</v>
      </c>
      <c r="H2002" t="s">
        <v>37</v>
      </c>
      <c r="I2002">
        <v>3</v>
      </c>
      <c r="J2002">
        <v>0</v>
      </c>
      <c r="K2002">
        <v>468.96</v>
      </c>
      <c r="L2002">
        <v>6.84</v>
      </c>
    </row>
    <row r="2003" spans="1:12" x14ac:dyDescent="0.25">
      <c r="A2003" t="s">
        <v>2050</v>
      </c>
      <c r="B2003" s="1">
        <v>45668</v>
      </c>
      <c r="C2003" s="1">
        <v>45670</v>
      </c>
      <c r="D2003" t="s">
        <v>23</v>
      </c>
      <c r="E2003" t="s">
        <v>24</v>
      </c>
      <c r="F2003" t="s">
        <v>25</v>
      </c>
      <c r="G2003" t="s">
        <v>20</v>
      </c>
      <c r="H2003" t="s">
        <v>21</v>
      </c>
      <c r="I2003">
        <v>5</v>
      </c>
      <c r="J2003">
        <v>0.05</v>
      </c>
      <c r="K2003">
        <v>472.41</v>
      </c>
      <c r="L2003">
        <v>9.6</v>
      </c>
    </row>
    <row r="2004" spans="1:12" x14ac:dyDescent="0.25">
      <c r="A2004" t="s">
        <v>2051</v>
      </c>
      <c r="B2004" s="1">
        <v>45919</v>
      </c>
      <c r="C2004" s="1">
        <v>45924</v>
      </c>
      <c r="D2004" t="s">
        <v>47</v>
      </c>
      <c r="E2004" t="s">
        <v>48</v>
      </c>
      <c r="F2004" t="s">
        <v>15</v>
      </c>
      <c r="G2004" t="s">
        <v>20</v>
      </c>
      <c r="H2004" t="s">
        <v>41</v>
      </c>
      <c r="I2004">
        <v>7</v>
      </c>
      <c r="J2004">
        <v>0</v>
      </c>
      <c r="K2004">
        <v>44.04</v>
      </c>
      <c r="L2004">
        <v>4.59</v>
      </c>
    </row>
    <row r="2005" spans="1:12" x14ac:dyDescent="0.25">
      <c r="A2005" t="s">
        <v>2052</v>
      </c>
      <c r="B2005" s="1">
        <v>45788</v>
      </c>
      <c r="C2005" s="1">
        <v>45792</v>
      </c>
      <c r="D2005" t="s">
        <v>32</v>
      </c>
      <c r="E2005" t="s">
        <v>45</v>
      </c>
      <c r="F2005" t="s">
        <v>29</v>
      </c>
      <c r="G2005" t="s">
        <v>16</v>
      </c>
      <c r="H2005" t="s">
        <v>41</v>
      </c>
      <c r="I2005">
        <v>3</v>
      </c>
      <c r="J2005">
        <v>0</v>
      </c>
      <c r="K2005">
        <v>19.2</v>
      </c>
      <c r="L2005">
        <v>5.85</v>
      </c>
    </row>
    <row r="2006" spans="1:12" x14ac:dyDescent="0.25">
      <c r="A2006" t="s">
        <v>2053</v>
      </c>
      <c r="B2006" s="1">
        <v>45547</v>
      </c>
      <c r="C2006" s="1">
        <v>45548</v>
      </c>
      <c r="D2006" t="s">
        <v>32</v>
      </c>
      <c r="E2006" t="s">
        <v>62</v>
      </c>
      <c r="F2006" t="s">
        <v>15</v>
      </c>
      <c r="G2006" t="s">
        <v>16</v>
      </c>
      <c r="H2006" t="s">
        <v>53</v>
      </c>
      <c r="I2006">
        <v>2</v>
      </c>
      <c r="J2006">
        <v>0.05</v>
      </c>
      <c r="K2006">
        <v>121.07</v>
      </c>
      <c r="L2006">
        <v>7</v>
      </c>
    </row>
    <row r="2007" spans="1:12" x14ac:dyDescent="0.25">
      <c r="A2007" t="s">
        <v>2054</v>
      </c>
      <c r="B2007" s="1">
        <v>45909</v>
      </c>
      <c r="C2007" s="1">
        <v>45912</v>
      </c>
      <c r="D2007" t="s">
        <v>47</v>
      </c>
      <c r="E2007" t="s">
        <v>50</v>
      </c>
      <c r="F2007" t="s">
        <v>15</v>
      </c>
      <c r="G2007" t="s">
        <v>20</v>
      </c>
      <c r="H2007" t="s">
        <v>37</v>
      </c>
      <c r="I2007">
        <v>2</v>
      </c>
      <c r="J2007">
        <v>0</v>
      </c>
      <c r="K2007">
        <v>224.46</v>
      </c>
      <c r="L2007">
        <v>5.46</v>
      </c>
    </row>
    <row r="2008" spans="1:12" x14ac:dyDescent="0.25">
      <c r="A2008" t="s">
        <v>2055</v>
      </c>
      <c r="B2008" s="1">
        <v>45359</v>
      </c>
      <c r="C2008" s="1">
        <v>45364</v>
      </c>
      <c r="D2008" t="s">
        <v>23</v>
      </c>
      <c r="E2008" t="s">
        <v>24</v>
      </c>
      <c r="F2008" t="s">
        <v>25</v>
      </c>
      <c r="G2008" t="s">
        <v>20</v>
      </c>
      <c r="H2008" t="s">
        <v>53</v>
      </c>
      <c r="I2008">
        <v>4</v>
      </c>
      <c r="J2008">
        <v>0</v>
      </c>
      <c r="K2008">
        <v>213.07</v>
      </c>
      <c r="L2008">
        <v>5.7</v>
      </c>
    </row>
    <row r="2009" spans="1:12" x14ac:dyDescent="0.25">
      <c r="A2009" t="s">
        <v>2056</v>
      </c>
      <c r="B2009" s="1">
        <v>45529</v>
      </c>
      <c r="C2009" s="1">
        <v>45532</v>
      </c>
      <c r="D2009" t="s">
        <v>47</v>
      </c>
      <c r="E2009" t="s">
        <v>71</v>
      </c>
      <c r="F2009" t="s">
        <v>29</v>
      </c>
      <c r="G2009" t="s">
        <v>26</v>
      </c>
      <c r="H2009" t="s">
        <v>21</v>
      </c>
      <c r="I2009">
        <v>1</v>
      </c>
      <c r="J2009">
        <v>0.15</v>
      </c>
      <c r="K2009">
        <v>91.01</v>
      </c>
      <c r="L2009">
        <v>4.08</v>
      </c>
    </row>
    <row r="2010" spans="1:12" x14ac:dyDescent="0.25">
      <c r="A2010" t="s">
        <v>2057</v>
      </c>
      <c r="B2010" s="1">
        <v>45876</v>
      </c>
      <c r="C2010" s="1">
        <v>45878</v>
      </c>
      <c r="D2010" t="s">
        <v>32</v>
      </c>
      <c r="E2010" t="s">
        <v>45</v>
      </c>
      <c r="F2010" t="s">
        <v>25</v>
      </c>
      <c r="G2010" t="s">
        <v>20</v>
      </c>
      <c r="H2010" t="s">
        <v>41</v>
      </c>
      <c r="I2010">
        <v>14</v>
      </c>
      <c r="J2010">
        <v>0</v>
      </c>
      <c r="K2010">
        <v>83.75</v>
      </c>
      <c r="L2010">
        <v>10.8</v>
      </c>
    </row>
    <row r="2011" spans="1:12" x14ac:dyDescent="0.25">
      <c r="A2011" t="s">
        <v>2058</v>
      </c>
      <c r="B2011" s="1">
        <v>45981</v>
      </c>
      <c r="C2011" s="1">
        <v>45984</v>
      </c>
      <c r="D2011" t="s">
        <v>32</v>
      </c>
      <c r="E2011" t="s">
        <v>33</v>
      </c>
      <c r="F2011" t="s">
        <v>15</v>
      </c>
      <c r="G2011" t="s">
        <v>20</v>
      </c>
      <c r="H2011" t="s">
        <v>68</v>
      </c>
      <c r="I2011">
        <v>4</v>
      </c>
      <c r="J2011">
        <v>0.2</v>
      </c>
      <c r="K2011">
        <v>219.02</v>
      </c>
      <c r="L2011">
        <v>5.7</v>
      </c>
    </row>
    <row r="2012" spans="1:12" x14ac:dyDescent="0.25">
      <c r="A2012" t="s">
        <v>2059</v>
      </c>
      <c r="B2012" s="1">
        <v>45705</v>
      </c>
      <c r="C2012" s="1">
        <v>45706</v>
      </c>
      <c r="D2012" t="s">
        <v>23</v>
      </c>
      <c r="E2012" t="s">
        <v>59</v>
      </c>
      <c r="F2012" t="s">
        <v>25</v>
      </c>
      <c r="G2012" t="s">
        <v>16</v>
      </c>
      <c r="H2012" t="s">
        <v>27</v>
      </c>
      <c r="I2012">
        <v>5</v>
      </c>
      <c r="J2012">
        <v>0.2</v>
      </c>
      <c r="K2012">
        <v>97.57</v>
      </c>
      <c r="L2012">
        <v>4.05</v>
      </c>
    </row>
    <row r="2013" spans="1:12" x14ac:dyDescent="0.25">
      <c r="A2013" t="s">
        <v>2060</v>
      </c>
      <c r="B2013" s="1">
        <v>45615</v>
      </c>
      <c r="C2013" s="1">
        <v>45621</v>
      </c>
      <c r="D2013" t="s">
        <v>32</v>
      </c>
      <c r="E2013" t="s">
        <v>45</v>
      </c>
      <c r="F2013" t="s">
        <v>29</v>
      </c>
      <c r="G2013" t="s">
        <v>20</v>
      </c>
      <c r="H2013" t="s">
        <v>27</v>
      </c>
      <c r="I2013">
        <v>12</v>
      </c>
      <c r="J2013">
        <v>0</v>
      </c>
      <c r="K2013">
        <v>454.38</v>
      </c>
      <c r="L2013">
        <v>9.9</v>
      </c>
    </row>
    <row r="2014" spans="1:12" x14ac:dyDescent="0.25">
      <c r="A2014" t="s">
        <v>2061</v>
      </c>
      <c r="B2014" s="1">
        <v>45874</v>
      </c>
      <c r="C2014" s="1">
        <v>45879</v>
      </c>
      <c r="D2014" t="s">
        <v>32</v>
      </c>
      <c r="E2014" t="s">
        <v>62</v>
      </c>
      <c r="F2014" t="s">
        <v>15</v>
      </c>
      <c r="G2014" t="s">
        <v>20</v>
      </c>
      <c r="H2014" t="s">
        <v>68</v>
      </c>
      <c r="I2014">
        <v>5</v>
      </c>
      <c r="J2014">
        <v>0</v>
      </c>
      <c r="K2014">
        <v>247.64</v>
      </c>
      <c r="L2014">
        <v>6.45</v>
      </c>
    </row>
    <row r="2015" spans="1:12" x14ac:dyDescent="0.25">
      <c r="A2015" t="s">
        <v>2062</v>
      </c>
      <c r="B2015" s="1">
        <v>45656</v>
      </c>
      <c r="C2015" s="1">
        <v>45661</v>
      </c>
      <c r="D2015" t="s">
        <v>13</v>
      </c>
      <c r="E2015" t="s">
        <v>36</v>
      </c>
      <c r="F2015" t="s">
        <v>25</v>
      </c>
      <c r="G2015" t="s">
        <v>16</v>
      </c>
      <c r="H2015" t="s">
        <v>34</v>
      </c>
      <c r="I2015">
        <v>7</v>
      </c>
      <c r="J2015">
        <v>0.15</v>
      </c>
      <c r="K2015">
        <v>1804.35</v>
      </c>
      <c r="L2015">
        <v>20.6</v>
      </c>
    </row>
    <row r="2016" spans="1:12" x14ac:dyDescent="0.25">
      <c r="A2016" t="s">
        <v>2063</v>
      </c>
      <c r="B2016" s="1">
        <v>45602</v>
      </c>
      <c r="C2016" s="1">
        <v>45608</v>
      </c>
      <c r="D2016" t="s">
        <v>47</v>
      </c>
      <c r="E2016" t="s">
        <v>50</v>
      </c>
      <c r="F2016" t="s">
        <v>25</v>
      </c>
      <c r="G2016" t="s">
        <v>26</v>
      </c>
      <c r="H2016" t="s">
        <v>34</v>
      </c>
      <c r="I2016">
        <v>2</v>
      </c>
      <c r="J2016">
        <v>0</v>
      </c>
      <c r="K2016">
        <v>535.14</v>
      </c>
      <c r="L2016">
        <v>9.1</v>
      </c>
    </row>
    <row r="2017" spans="1:12" x14ac:dyDescent="0.25">
      <c r="A2017" t="s">
        <v>2064</v>
      </c>
      <c r="B2017" s="1">
        <v>45643</v>
      </c>
      <c r="C2017" s="1">
        <v>45646</v>
      </c>
      <c r="D2017" t="s">
        <v>47</v>
      </c>
      <c r="E2017" t="s">
        <v>48</v>
      </c>
      <c r="F2017" t="s">
        <v>29</v>
      </c>
      <c r="G2017" t="s">
        <v>16</v>
      </c>
      <c r="H2017" t="s">
        <v>37</v>
      </c>
      <c r="I2017">
        <v>4</v>
      </c>
      <c r="J2017">
        <v>0</v>
      </c>
      <c r="K2017">
        <v>608</v>
      </c>
      <c r="L2017">
        <v>13.7</v>
      </c>
    </row>
    <row r="2018" spans="1:12" x14ac:dyDescent="0.25">
      <c r="A2018" t="s">
        <v>2065</v>
      </c>
      <c r="B2018" s="1">
        <v>45758</v>
      </c>
      <c r="C2018" s="1">
        <v>45761</v>
      </c>
      <c r="D2018" t="s">
        <v>32</v>
      </c>
      <c r="E2018" t="s">
        <v>62</v>
      </c>
      <c r="F2018" t="s">
        <v>29</v>
      </c>
      <c r="G2018" t="s">
        <v>20</v>
      </c>
      <c r="H2018" t="s">
        <v>39</v>
      </c>
      <c r="I2018">
        <v>3</v>
      </c>
      <c r="J2018">
        <v>0.25</v>
      </c>
      <c r="K2018">
        <v>402.52</v>
      </c>
      <c r="L2018">
        <v>8.25</v>
      </c>
    </row>
    <row r="2019" spans="1:12" x14ac:dyDescent="0.25">
      <c r="A2019" t="s">
        <v>2066</v>
      </c>
      <c r="B2019" s="1">
        <v>45978</v>
      </c>
      <c r="C2019" s="1">
        <v>45979</v>
      </c>
      <c r="D2019" t="s">
        <v>32</v>
      </c>
      <c r="E2019" t="s">
        <v>33</v>
      </c>
      <c r="F2019" t="s">
        <v>15</v>
      </c>
      <c r="G2019" t="s">
        <v>20</v>
      </c>
      <c r="H2019" t="s">
        <v>63</v>
      </c>
      <c r="I2019">
        <v>11</v>
      </c>
      <c r="J2019">
        <v>0</v>
      </c>
      <c r="K2019">
        <v>172.86</v>
      </c>
      <c r="L2019">
        <v>5.67</v>
      </c>
    </row>
    <row r="2020" spans="1:12" x14ac:dyDescent="0.25">
      <c r="A2020" t="s">
        <v>2067</v>
      </c>
      <c r="B2020" s="1">
        <v>45806</v>
      </c>
      <c r="C2020" s="1">
        <v>45812</v>
      </c>
      <c r="D2020" t="s">
        <v>23</v>
      </c>
      <c r="E2020" t="s">
        <v>43</v>
      </c>
      <c r="F2020" t="s">
        <v>25</v>
      </c>
      <c r="G2020" t="s">
        <v>20</v>
      </c>
      <c r="H2020" t="s">
        <v>34</v>
      </c>
      <c r="I2020">
        <v>3</v>
      </c>
      <c r="J2020">
        <v>0.1</v>
      </c>
      <c r="K2020">
        <v>548.83000000000004</v>
      </c>
      <c r="L2020">
        <v>6.84</v>
      </c>
    </row>
    <row r="2021" spans="1:12" x14ac:dyDescent="0.25">
      <c r="A2021" t="s">
        <v>2068</v>
      </c>
      <c r="B2021" s="1">
        <v>45815</v>
      </c>
      <c r="C2021" s="1">
        <v>45817</v>
      </c>
      <c r="D2021" t="s">
        <v>32</v>
      </c>
      <c r="E2021" t="s">
        <v>33</v>
      </c>
      <c r="F2021" t="s">
        <v>25</v>
      </c>
      <c r="G2021" t="s">
        <v>26</v>
      </c>
      <c r="H2021" t="s">
        <v>30</v>
      </c>
      <c r="I2021">
        <v>11</v>
      </c>
      <c r="J2021">
        <v>0.25</v>
      </c>
      <c r="K2021">
        <v>49.17</v>
      </c>
      <c r="L2021">
        <v>9.4499999999999993</v>
      </c>
    </row>
    <row r="2022" spans="1:12" x14ac:dyDescent="0.25">
      <c r="A2022" t="s">
        <v>2069</v>
      </c>
      <c r="B2022" s="1">
        <v>45998</v>
      </c>
      <c r="C2022" s="1">
        <v>46004</v>
      </c>
      <c r="D2022" t="s">
        <v>23</v>
      </c>
      <c r="E2022" t="s">
        <v>43</v>
      </c>
      <c r="F2022" t="s">
        <v>25</v>
      </c>
      <c r="G2022" t="s">
        <v>16</v>
      </c>
      <c r="H2022" t="s">
        <v>37</v>
      </c>
      <c r="I2022">
        <v>3</v>
      </c>
      <c r="J2022">
        <v>0.1</v>
      </c>
      <c r="K2022">
        <v>427.34</v>
      </c>
      <c r="L2022">
        <v>6.84</v>
      </c>
    </row>
    <row r="2023" spans="1:12" x14ac:dyDescent="0.25">
      <c r="A2023" t="s">
        <v>2070</v>
      </c>
      <c r="B2023" s="1">
        <v>45675</v>
      </c>
      <c r="C2023" s="1">
        <v>45676</v>
      </c>
      <c r="D2023" t="s">
        <v>23</v>
      </c>
      <c r="E2023" t="s">
        <v>43</v>
      </c>
      <c r="F2023" t="s">
        <v>15</v>
      </c>
      <c r="G2023" t="s">
        <v>20</v>
      </c>
      <c r="H2023" t="s">
        <v>60</v>
      </c>
      <c r="I2023">
        <v>2</v>
      </c>
      <c r="J2023">
        <v>0.15</v>
      </c>
      <c r="K2023">
        <v>175.33</v>
      </c>
      <c r="L2023">
        <v>7</v>
      </c>
    </row>
    <row r="2024" spans="1:12" x14ac:dyDescent="0.25">
      <c r="A2024" t="s">
        <v>2071</v>
      </c>
      <c r="B2024" s="1">
        <v>46015</v>
      </c>
      <c r="C2024" s="1">
        <v>46019</v>
      </c>
      <c r="D2024" t="s">
        <v>32</v>
      </c>
      <c r="E2024" t="s">
        <v>62</v>
      </c>
      <c r="F2024" t="s">
        <v>25</v>
      </c>
      <c r="G2024" t="s">
        <v>20</v>
      </c>
      <c r="H2024" t="s">
        <v>65</v>
      </c>
      <c r="I2024">
        <v>2</v>
      </c>
      <c r="J2024">
        <v>0</v>
      </c>
      <c r="K2024">
        <v>839.53</v>
      </c>
      <c r="L2024">
        <v>5.46</v>
      </c>
    </row>
    <row r="2025" spans="1:12" x14ac:dyDescent="0.25">
      <c r="A2025" t="s">
        <v>2072</v>
      </c>
      <c r="B2025" s="1">
        <v>45958</v>
      </c>
      <c r="C2025" s="1">
        <v>45964</v>
      </c>
      <c r="D2025" t="s">
        <v>23</v>
      </c>
      <c r="E2025" t="s">
        <v>43</v>
      </c>
      <c r="F2025" t="s">
        <v>15</v>
      </c>
      <c r="G2025" t="s">
        <v>16</v>
      </c>
      <c r="H2025" t="s">
        <v>60</v>
      </c>
      <c r="I2025">
        <v>5</v>
      </c>
      <c r="J2025">
        <v>0.2</v>
      </c>
      <c r="K2025">
        <v>511.12</v>
      </c>
      <c r="L2025">
        <v>6.45</v>
      </c>
    </row>
    <row r="2026" spans="1:12" x14ac:dyDescent="0.25">
      <c r="A2026" t="s">
        <v>2073</v>
      </c>
      <c r="B2026" s="1">
        <v>45550</v>
      </c>
      <c r="C2026" s="1">
        <v>45553</v>
      </c>
      <c r="D2026" t="s">
        <v>47</v>
      </c>
      <c r="E2026" t="s">
        <v>50</v>
      </c>
      <c r="F2026" t="s">
        <v>25</v>
      </c>
      <c r="G2026" t="s">
        <v>16</v>
      </c>
      <c r="H2026" t="s">
        <v>87</v>
      </c>
      <c r="I2026">
        <v>12</v>
      </c>
      <c r="J2026">
        <v>0.25</v>
      </c>
      <c r="K2026">
        <v>79.88</v>
      </c>
      <c r="L2026">
        <v>5.94</v>
      </c>
    </row>
    <row r="2027" spans="1:12" x14ac:dyDescent="0.25">
      <c r="A2027" t="s">
        <v>2074</v>
      </c>
      <c r="B2027" s="1">
        <v>46006</v>
      </c>
      <c r="C2027" s="1">
        <v>46011</v>
      </c>
      <c r="D2027" t="s">
        <v>13</v>
      </c>
      <c r="E2027" t="s">
        <v>14</v>
      </c>
      <c r="F2027" t="s">
        <v>15</v>
      </c>
      <c r="G2027" t="s">
        <v>20</v>
      </c>
      <c r="H2027" t="s">
        <v>39</v>
      </c>
      <c r="I2027">
        <v>1</v>
      </c>
      <c r="J2027">
        <v>0</v>
      </c>
      <c r="K2027">
        <v>276.39</v>
      </c>
      <c r="L2027">
        <v>3.45</v>
      </c>
    </row>
    <row r="2028" spans="1:12" x14ac:dyDescent="0.25">
      <c r="A2028" t="s">
        <v>2075</v>
      </c>
      <c r="B2028" s="1">
        <v>45494</v>
      </c>
      <c r="C2028" s="1">
        <v>45499</v>
      </c>
      <c r="D2028" t="s">
        <v>47</v>
      </c>
      <c r="E2028" t="s">
        <v>48</v>
      </c>
      <c r="F2028" t="s">
        <v>25</v>
      </c>
      <c r="G2028" t="s">
        <v>20</v>
      </c>
      <c r="H2028" t="s">
        <v>60</v>
      </c>
      <c r="I2028">
        <v>4</v>
      </c>
      <c r="J2028">
        <v>0.25</v>
      </c>
      <c r="K2028">
        <v>325.41000000000003</v>
      </c>
      <c r="L2028">
        <v>5.7</v>
      </c>
    </row>
    <row r="2029" spans="1:12" x14ac:dyDescent="0.25">
      <c r="A2029" t="s">
        <v>2076</v>
      </c>
      <c r="B2029" s="1">
        <v>45857</v>
      </c>
      <c r="C2029" s="1">
        <v>45863</v>
      </c>
      <c r="D2029" t="s">
        <v>47</v>
      </c>
      <c r="E2029" t="s">
        <v>50</v>
      </c>
      <c r="F2029" t="s">
        <v>15</v>
      </c>
      <c r="G2029" t="s">
        <v>26</v>
      </c>
      <c r="H2029" t="s">
        <v>53</v>
      </c>
      <c r="I2029">
        <v>4</v>
      </c>
      <c r="J2029">
        <v>0.2</v>
      </c>
      <c r="K2029">
        <v>162.38999999999999</v>
      </c>
      <c r="L2029">
        <v>5.7</v>
      </c>
    </row>
    <row r="2030" spans="1:12" x14ac:dyDescent="0.25">
      <c r="A2030" t="s">
        <v>2077</v>
      </c>
      <c r="B2030" s="1">
        <v>45941</v>
      </c>
      <c r="C2030" s="1">
        <v>45943</v>
      </c>
      <c r="D2030" t="s">
        <v>32</v>
      </c>
      <c r="E2030" t="s">
        <v>45</v>
      </c>
      <c r="F2030" t="s">
        <v>25</v>
      </c>
      <c r="G2030" t="s">
        <v>20</v>
      </c>
      <c r="H2030" t="s">
        <v>68</v>
      </c>
      <c r="I2030">
        <v>2</v>
      </c>
      <c r="J2030">
        <v>0.05</v>
      </c>
      <c r="K2030">
        <v>120.06</v>
      </c>
      <c r="L2030">
        <v>7</v>
      </c>
    </row>
    <row r="2031" spans="1:12" x14ac:dyDescent="0.25">
      <c r="A2031" t="s">
        <v>2078</v>
      </c>
      <c r="B2031" s="1">
        <v>45604</v>
      </c>
      <c r="C2031" s="1">
        <v>45610</v>
      </c>
      <c r="D2031" t="s">
        <v>47</v>
      </c>
      <c r="E2031" t="s">
        <v>50</v>
      </c>
      <c r="F2031" t="s">
        <v>15</v>
      </c>
      <c r="G2031" t="s">
        <v>26</v>
      </c>
      <c r="H2031" t="s">
        <v>65</v>
      </c>
      <c r="I2031">
        <v>7</v>
      </c>
      <c r="J2031">
        <v>0</v>
      </c>
      <c r="K2031">
        <v>2598.19</v>
      </c>
      <c r="L2031">
        <v>20.6</v>
      </c>
    </row>
    <row r="2032" spans="1:12" x14ac:dyDescent="0.25">
      <c r="A2032" t="s">
        <v>2079</v>
      </c>
      <c r="B2032" s="1">
        <v>45536</v>
      </c>
      <c r="C2032" s="1">
        <v>45542</v>
      </c>
      <c r="D2032" t="s">
        <v>47</v>
      </c>
      <c r="E2032" t="s">
        <v>50</v>
      </c>
      <c r="F2032" t="s">
        <v>15</v>
      </c>
      <c r="G2032" t="s">
        <v>20</v>
      </c>
      <c r="H2032" t="s">
        <v>60</v>
      </c>
      <c r="I2032">
        <v>2</v>
      </c>
      <c r="J2032">
        <v>0</v>
      </c>
      <c r="K2032">
        <v>256.91000000000003</v>
      </c>
      <c r="L2032">
        <v>4.2</v>
      </c>
    </row>
    <row r="2033" spans="1:12" x14ac:dyDescent="0.25">
      <c r="A2033" t="s">
        <v>2080</v>
      </c>
      <c r="B2033" s="1">
        <v>45446</v>
      </c>
      <c r="C2033" s="1">
        <v>45451</v>
      </c>
      <c r="D2033" t="s">
        <v>47</v>
      </c>
      <c r="E2033" t="s">
        <v>48</v>
      </c>
      <c r="F2033" t="s">
        <v>29</v>
      </c>
      <c r="G2033" t="s">
        <v>20</v>
      </c>
      <c r="H2033" t="s">
        <v>34</v>
      </c>
      <c r="I2033">
        <v>3</v>
      </c>
      <c r="J2033">
        <v>0</v>
      </c>
      <c r="K2033">
        <v>662.98</v>
      </c>
      <c r="L2033">
        <v>6.84</v>
      </c>
    </row>
    <row r="2034" spans="1:12" x14ac:dyDescent="0.25">
      <c r="A2034" t="s">
        <v>2081</v>
      </c>
      <c r="B2034" s="1">
        <v>45295</v>
      </c>
      <c r="C2034" s="1">
        <v>45301</v>
      </c>
      <c r="D2034" t="s">
        <v>47</v>
      </c>
      <c r="E2034" t="s">
        <v>50</v>
      </c>
      <c r="F2034" t="s">
        <v>15</v>
      </c>
      <c r="G2034" t="s">
        <v>26</v>
      </c>
      <c r="H2034" t="s">
        <v>60</v>
      </c>
      <c r="I2034">
        <v>4</v>
      </c>
      <c r="J2034">
        <v>0</v>
      </c>
      <c r="K2034">
        <v>387.34</v>
      </c>
      <c r="L2034">
        <v>9.5</v>
      </c>
    </row>
    <row r="2035" spans="1:12" x14ac:dyDescent="0.25">
      <c r="A2035" t="s">
        <v>2082</v>
      </c>
      <c r="B2035" s="1">
        <v>45558</v>
      </c>
      <c r="C2035" s="1">
        <v>45560</v>
      </c>
      <c r="D2035" t="s">
        <v>13</v>
      </c>
      <c r="E2035" t="s">
        <v>14</v>
      </c>
      <c r="F2035" t="s">
        <v>29</v>
      </c>
      <c r="G2035" t="s">
        <v>16</v>
      </c>
      <c r="H2035" t="s">
        <v>30</v>
      </c>
      <c r="I2035">
        <v>14</v>
      </c>
      <c r="J2035">
        <v>0</v>
      </c>
      <c r="K2035">
        <v>88.25</v>
      </c>
      <c r="L2035">
        <v>6.48</v>
      </c>
    </row>
    <row r="2036" spans="1:12" x14ac:dyDescent="0.25">
      <c r="A2036" t="s">
        <v>2083</v>
      </c>
      <c r="B2036" s="1">
        <v>45861</v>
      </c>
      <c r="C2036" s="1">
        <v>45864</v>
      </c>
      <c r="D2036" t="s">
        <v>32</v>
      </c>
      <c r="E2036" t="s">
        <v>45</v>
      </c>
      <c r="F2036" t="s">
        <v>15</v>
      </c>
      <c r="G2036" t="s">
        <v>20</v>
      </c>
      <c r="H2036" t="s">
        <v>60</v>
      </c>
      <c r="I2036">
        <v>2</v>
      </c>
      <c r="J2036">
        <v>0</v>
      </c>
      <c r="K2036">
        <v>217.37</v>
      </c>
      <c r="L2036">
        <v>7</v>
      </c>
    </row>
    <row r="2037" spans="1:12" x14ac:dyDescent="0.25">
      <c r="A2037" t="s">
        <v>2084</v>
      </c>
      <c r="B2037" s="1">
        <v>45915</v>
      </c>
      <c r="C2037" s="1">
        <v>45920</v>
      </c>
      <c r="D2037" t="s">
        <v>13</v>
      </c>
      <c r="E2037" t="s">
        <v>36</v>
      </c>
      <c r="F2037" t="s">
        <v>25</v>
      </c>
      <c r="G2037" t="s">
        <v>26</v>
      </c>
      <c r="H2037" t="s">
        <v>51</v>
      </c>
      <c r="I2037">
        <v>7</v>
      </c>
      <c r="J2037">
        <v>0</v>
      </c>
      <c r="K2037">
        <v>112.69</v>
      </c>
      <c r="L2037">
        <v>7.65</v>
      </c>
    </row>
    <row r="2038" spans="1:12" x14ac:dyDescent="0.25">
      <c r="A2038" t="s">
        <v>2085</v>
      </c>
      <c r="B2038" s="1">
        <v>45874</v>
      </c>
      <c r="C2038" s="1">
        <v>45878</v>
      </c>
      <c r="D2038" t="s">
        <v>23</v>
      </c>
      <c r="E2038" t="s">
        <v>43</v>
      </c>
      <c r="F2038" t="s">
        <v>15</v>
      </c>
      <c r="G2038" t="s">
        <v>26</v>
      </c>
      <c r="H2038" t="s">
        <v>30</v>
      </c>
      <c r="I2038">
        <v>18</v>
      </c>
      <c r="J2038">
        <v>0</v>
      </c>
      <c r="K2038">
        <v>105.07</v>
      </c>
      <c r="L2038">
        <v>12.6</v>
      </c>
    </row>
    <row r="2039" spans="1:12" x14ac:dyDescent="0.25">
      <c r="A2039" t="s">
        <v>2086</v>
      </c>
      <c r="B2039" s="1">
        <v>45634</v>
      </c>
      <c r="C2039" s="1">
        <v>45636</v>
      </c>
      <c r="D2039" t="s">
        <v>47</v>
      </c>
      <c r="E2039" t="s">
        <v>50</v>
      </c>
      <c r="F2039" t="s">
        <v>29</v>
      </c>
      <c r="G2039" t="s">
        <v>20</v>
      </c>
      <c r="H2039" t="s">
        <v>53</v>
      </c>
      <c r="I2039">
        <v>4</v>
      </c>
      <c r="J2039">
        <v>0</v>
      </c>
      <c r="K2039">
        <v>321.57</v>
      </c>
      <c r="L2039">
        <v>5.7</v>
      </c>
    </row>
    <row r="2040" spans="1:12" x14ac:dyDescent="0.25">
      <c r="A2040" t="s">
        <v>2087</v>
      </c>
      <c r="B2040" s="1">
        <v>45497</v>
      </c>
      <c r="C2040" s="1">
        <v>45501</v>
      </c>
      <c r="D2040" t="s">
        <v>13</v>
      </c>
      <c r="E2040" t="s">
        <v>19</v>
      </c>
      <c r="F2040" t="s">
        <v>25</v>
      </c>
      <c r="G2040" t="s">
        <v>20</v>
      </c>
      <c r="H2040" t="s">
        <v>21</v>
      </c>
      <c r="I2040">
        <v>3</v>
      </c>
      <c r="J2040">
        <v>0</v>
      </c>
      <c r="K2040">
        <v>304.49</v>
      </c>
      <c r="L2040">
        <v>6.84</v>
      </c>
    </row>
    <row r="2041" spans="1:12" x14ac:dyDescent="0.25">
      <c r="A2041" t="s">
        <v>2088</v>
      </c>
      <c r="B2041" s="1">
        <v>45781</v>
      </c>
      <c r="C2041" s="1">
        <v>45784</v>
      </c>
      <c r="D2041" t="s">
        <v>47</v>
      </c>
      <c r="E2041" t="s">
        <v>50</v>
      </c>
      <c r="F2041" t="s">
        <v>29</v>
      </c>
      <c r="G2041" t="s">
        <v>16</v>
      </c>
      <c r="H2041" t="s">
        <v>60</v>
      </c>
      <c r="I2041">
        <v>3</v>
      </c>
      <c r="J2041">
        <v>0.15</v>
      </c>
      <c r="K2041">
        <v>306.67</v>
      </c>
      <c r="L2041">
        <v>4.95</v>
      </c>
    </row>
    <row r="2042" spans="1:12" x14ac:dyDescent="0.25">
      <c r="A2042" t="s">
        <v>2089</v>
      </c>
      <c r="B2042" s="1">
        <v>45352</v>
      </c>
      <c r="C2042" s="1">
        <v>45358</v>
      </c>
      <c r="D2042" t="s">
        <v>32</v>
      </c>
      <c r="E2042" t="s">
        <v>33</v>
      </c>
      <c r="F2042" t="s">
        <v>29</v>
      </c>
      <c r="G2042" t="s">
        <v>20</v>
      </c>
      <c r="H2042" t="s">
        <v>37</v>
      </c>
      <c r="I2042">
        <v>4</v>
      </c>
      <c r="J2042">
        <v>0.1</v>
      </c>
      <c r="K2042">
        <v>352.13</v>
      </c>
      <c r="L2042">
        <v>8.2200000000000006</v>
      </c>
    </row>
    <row r="2043" spans="1:12" x14ac:dyDescent="0.25">
      <c r="A2043" t="s">
        <v>2090</v>
      </c>
      <c r="B2043" s="1">
        <v>45429</v>
      </c>
      <c r="C2043" s="1">
        <v>45431</v>
      </c>
      <c r="D2043" t="s">
        <v>13</v>
      </c>
      <c r="E2043" t="s">
        <v>14</v>
      </c>
      <c r="F2043" t="s">
        <v>29</v>
      </c>
      <c r="G2043" t="s">
        <v>26</v>
      </c>
      <c r="H2043" t="s">
        <v>39</v>
      </c>
      <c r="I2043">
        <v>4</v>
      </c>
      <c r="J2043">
        <v>0.2</v>
      </c>
      <c r="K2043">
        <v>601.71</v>
      </c>
      <c r="L2043">
        <v>5.7</v>
      </c>
    </row>
    <row r="2044" spans="1:12" x14ac:dyDescent="0.25">
      <c r="A2044" t="s">
        <v>2091</v>
      </c>
      <c r="B2044" s="1">
        <v>45990</v>
      </c>
      <c r="C2044" s="1">
        <v>45996</v>
      </c>
      <c r="D2044" t="s">
        <v>23</v>
      </c>
      <c r="E2044" t="s">
        <v>24</v>
      </c>
      <c r="F2044" t="s">
        <v>15</v>
      </c>
      <c r="G2044" t="s">
        <v>20</v>
      </c>
      <c r="H2044" t="s">
        <v>37</v>
      </c>
      <c r="I2044">
        <v>4</v>
      </c>
      <c r="J2044">
        <v>0</v>
      </c>
      <c r="K2044">
        <v>582.09</v>
      </c>
      <c r="L2044">
        <v>13.7</v>
      </c>
    </row>
    <row r="2045" spans="1:12" x14ac:dyDescent="0.25">
      <c r="A2045" t="s">
        <v>2092</v>
      </c>
      <c r="B2045" s="1">
        <v>45417</v>
      </c>
      <c r="C2045" s="1">
        <v>45418</v>
      </c>
      <c r="D2045" t="s">
        <v>47</v>
      </c>
      <c r="E2045" t="s">
        <v>50</v>
      </c>
      <c r="F2045" t="s">
        <v>15</v>
      </c>
      <c r="G2045" t="s">
        <v>20</v>
      </c>
      <c r="H2045" t="s">
        <v>60</v>
      </c>
      <c r="I2045">
        <v>4</v>
      </c>
      <c r="J2045">
        <v>0</v>
      </c>
      <c r="K2045">
        <v>477.78</v>
      </c>
      <c r="L2045">
        <v>9.5</v>
      </c>
    </row>
    <row r="2046" spans="1:12" x14ac:dyDescent="0.25">
      <c r="A2046" t="s">
        <v>2093</v>
      </c>
      <c r="B2046" s="1">
        <v>45634</v>
      </c>
      <c r="C2046" s="1">
        <v>45637</v>
      </c>
      <c r="D2046" t="s">
        <v>47</v>
      </c>
      <c r="E2046" t="s">
        <v>48</v>
      </c>
      <c r="F2046" t="s">
        <v>29</v>
      </c>
      <c r="G2046" t="s">
        <v>26</v>
      </c>
      <c r="H2046" t="s">
        <v>51</v>
      </c>
      <c r="I2046">
        <v>9</v>
      </c>
      <c r="J2046">
        <v>0</v>
      </c>
      <c r="K2046">
        <v>195.72</v>
      </c>
      <c r="L2046">
        <v>8.5500000000000007</v>
      </c>
    </row>
    <row r="2047" spans="1:12" x14ac:dyDescent="0.25">
      <c r="A2047" t="s">
        <v>2094</v>
      </c>
      <c r="B2047" s="1">
        <v>45404</v>
      </c>
      <c r="C2047" s="1">
        <v>45405</v>
      </c>
      <c r="D2047" t="s">
        <v>13</v>
      </c>
      <c r="E2047" t="s">
        <v>36</v>
      </c>
      <c r="F2047" t="s">
        <v>15</v>
      </c>
      <c r="G2047" t="s">
        <v>16</v>
      </c>
      <c r="H2047" t="s">
        <v>17</v>
      </c>
      <c r="I2047">
        <v>4</v>
      </c>
      <c r="J2047">
        <v>0.1</v>
      </c>
      <c r="K2047">
        <v>421.64</v>
      </c>
      <c r="L2047">
        <v>5.7</v>
      </c>
    </row>
    <row r="2048" spans="1:12" x14ac:dyDescent="0.25">
      <c r="A2048" t="s">
        <v>2095</v>
      </c>
      <c r="B2048" s="1">
        <v>45981</v>
      </c>
      <c r="C2048" s="1">
        <v>45987</v>
      </c>
      <c r="D2048" t="s">
        <v>23</v>
      </c>
      <c r="E2048" t="s">
        <v>59</v>
      </c>
      <c r="F2048" t="s">
        <v>15</v>
      </c>
      <c r="G2048" t="s">
        <v>20</v>
      </c>
      <c r="H2048" t="s">
        <v>41</v>
      </c>
      <c r="I2048">
        <v>9</v>
      </c>
      <c r="J2048">
        <v>0</v>
      </c>
      <c r="K2048">
        <v>71.709999999999994</v>
      </c>
      <c r="L2048">
        <v>8.5500000000000007</v>
      </c>
    </row>
    <row r="2049" spans="1:12" x14ac:dyDescent="0.25">
      <c r="A2049" t="s">
        <v>2096</v>
      </c>
      <c r="B2049" s="1">
        <v>45390</v>
      </c>
      <c r="C2049" s="1">
        <v>45394</v>
      </c>
      <c r="D2049" t="s">
        <v>47</v>
      </c>
      <c r="E2049" t="s">
        <v>48</v>
      </c>
      <c r="F2049" t="s">
        <v>25</v>
      </c>
      <c r="G2049" t="s">
        <v>26</v>
      </c>
      <c r="H2049" t="s">
        <v>63</v>
      </c>
      <c r="I2049">
        <v>10</v>
      </c>
      <c r="J2049">
        <v>0.15</v>
      </c>
      <c r="K2049">
        <v>103.07</v>
      </c>
      <c r="L2049">
        <v>9</v>
      </c>
    </row>
    <row r="2050" spans="1:12" x14ac:dyDescent="0.25">
      <c r="A2050" t="s">
        <v>2097</v>
      </c>
      <c r="B2050" s="1">
        <v>45910</v>
      </c>
      <c r="C2050" s="1">
        <v>45914</v>
      </c>
      <c r="D2050" t="s">
        <v>13</v>
      </c>
      <c r="E2050" t="s">
        <v>14</v>
      </c>
      <c r="F2050" t="s">
        <v>15</v>
      </c>
      <c r="G2050" t="s">
        <v>20</v>
      </c>
      <c r="H2050" t="s">
        <v>60</v>
      </c>
      <c r="I2050">
        <v>3</v>
      </c>
      <c r="J2050">
        <v>0.25</v>
      </c>
      <c r="K2050">
        <v>265.55</v>
      </c>
      <c r="L2050">
        <v>4.95</v>
      </c>
    </row>
    <row r="2051" spans="1:12" x14ac:dyDescent="0.25">
      <c r="A2051" t="s">
        <v>2098</v>
      </c>
      <c r="B2051" s="1">
        <v>45466</v>
      </c>
      <c r="C2051" s="1">
        <v>45469</v>
      </c>
      <c r="D2051" t="s">
        <v>23</v>
      </c>
      <c r="E2051" t="s">
        <v>43</v>
      </c>
      <c r="F2051" t="s">
        <v>29</v>
      </c>
      <c r="G2051" t="s">
        <v>26</v>
      </c>
      <c r="H2051" t="s">
        <v>41</v>
      </c>
      <c r="I2051">
        <v>7</v>
      </c>
      <c r="J2051">
        <v>0</v>
      </c>
      <c r="K2051">
        <v>45.35</v>
      </c>
      <c r="L2051">
        <v>7.65</v>
      </c>
    </row>
    <row r="2052" spans="1:12" x14ac:dyDescent="0.25">
      <c r="A2052" t="s">
        <v>2099</v>
      </c>
      <c r="B2052" s="1">
        <v>45572</v>
      </c>
      <c r="C2052" s="1">
        <v>45576</v>
      </c>
      <c r="D2052" t="s">
        <v>32</v>
      </c>
      <c r="E2052" t="s">
        <v>45</v>
      </c>
      <c r="F2052" t="s">
        <v>29</v>
      </c>
      <c r="G2052" t="s">
        <v>26</v>
      </c>
      <c r="H2052" t="s">
        <v>37</v>
      </c>
      <c r="I2052">
        <v>4</v>
      </c>
      <c r="J2052">
        <v>0</v>
      </c>
      <c r="K2052">
        <v>512.89</v>
      </c>
      <c r="L2052">
        <v>8.2200000000000006</v>
      </c>
    </row>
    <row r="2053" spans="1:12" x14ac:dyDescent="0.25">
      <c r="A2053" t="s">
        <v>2100</v>
      </c>
      <c r="B2053" s="1">
        <v>45428</v>
      </c>
      <c r="C2053" s="1">
        <v>45434</v>
      </c>
      <c r="D2053" t="s">
        <v>23</v>
      </c>
      <c r="E2053" t="s">
        <v>43</v>
      </c>
      <c r="F2053" t="s">
        <v>29</v>
      </c>
      <c r="G2053" t="s">
        <v>16</v>
      </c>
      <c r="H2053" t="s">
        <v>51</v>
      </c>
      <c r="I2053">
        <v>14</v>
      </c>
      <c r="J2053">
        <v>0.1</v>
      </c>
      <c r="K2053">
        <v>193.41</v>
      </c>
      <c r="L2053">
        <v>6.48</v>
      </c>
    </row>
    <row r="2054" spans="1:12" x14ac:dyDescent="0.25">
      <c r="A2054" t="s">
        <v>2101</v>
      </c>
      <c r="B2054" s="1">
        <v>45972</v>
      </c>
      <c r="C2054" s="1">
        <v>45978</v>
      </c>
      <c r="D2054" t="s">
        <v>13</v>
      </c>
      <c r="E2054" t="s">
        <v>19</v>
      </c>
      <c r="F2054" t="s">
        <v>29</v>
      </c>
      <c r="G2054" t="s">
        <v>20</v>
      </c>
      <c r="H2054" t="s">
        <v>21</v>
      </c>
      <c r="I2054">
        <v>7</v>
      </c>
      <c r="J2054">
        <v>0</v>
      </c>
      <c r="K2054">
        <v>1005.69</v>
      </c>
      <c r="L2054">
        <v>20.6</v>
      </c>
    </row>
    <row r="2055" spans="1:12" x14ac:dyDescent="0.25">
      <c r="A2055" t="s">
        <v>2102</v>
      </c>
      <c r="B2055" s="1">
        <v>45783</v>
      </c>
      <c r="C2055" s="1">
        <v>45785</v>
      </c>
      <c r="D2055" t="s">
        <v>23</v>
      </c>
      <c r="E2055" t="s">
        <v>24</v>
      </c>
      <c r="F2055" t="s">
        <v>25</v>
      </c>
      <c r="G2055" t="s">
        <v>16</v>
      </c>
      <c r="H2055" t="s">
        <v>68</v>
      </c>
      <c r="I2055">
        <v>3</v>
      </c>
      <c r="J2055">
        <v>0</v>
      </c>
      <c r="K2055">
        <v>165.26</v>
      </c>
      <c r="L2055">
        <v>8.25</v>
      </c>
    </row>
    <row r="2056" spans="1:12" x14ac:dyDescent="0.25">
      <c r="A2056" t="s">
        <v>2103</v>
      </c>
      <c r="B2056" s="1">
        <v>45412</v>
      </c>
      <c r="C2056" s="1">
        <v>45415</v>
      </c>
      <c r="D2056" t="s">
        <v>47</v>
      </c>
      <c r="E2056" t="s">
        <v>48</v>
      </c>
      <c r="F2056" t="s">
        <v>15</v>
      </c>
      <c r="G2056" t="s">
        <v>20</v>
      </c>
      <c r="H2056" t="s">
        <v>37</v>
      </c>
      <c r="I2056">
        <v>3</v>
      </c>
      <c r="J2056">
        <v>0.1</v>
      </c>
      <c r="K2056">
        <v>302.68</v>
      </c>
      <c r="L2056">
        <v>6.84</v>
      </c>
    </row>
    <row r="2057" spans="1:12" x14ac:dyDescent="0.25">
      <c r="A2057" t="s">
        <v>2104</v>
      </c>
      <c r="B2057" s="1">
        <v>45666</v>
      </c>
      <c r="C2057" s="1">
        <v>45671</v>
      </c>
      <c r="D2057" t="s">
        <v>13</v>
      </c>
      <c r="E2057" t="s">
        <v>14</v>
      </c>
      <c r="F2057" t="s">
        <v>15</v>
      </c>
      <c r="G2057" t="s">
        <v>20</v>
      </c>
      <c r="H2057" t="s">
        <v>34</v>
      </c>
      <c r="I2057">
        <v>2</v>
      </c>
      <c r="J2057">
        <v>0.15</v>
      </c>
      <c r="K2057">
        <v>316.38</v>
      </c>
      <c r="L2057">
        <v>5.46</v>
      </c>
    </row>
    <row r="2058" spans="1:12" x14ac:dyDescent="0.25">
      <c r="A2058" t="s">
        <v>2105</v>
      </c>
      <c r="B2058" s="1">
        <v>45341</v>
      </c>
      <c r="C2058" s="1">
        <v>45344</v>
      </c>
      <c r="D2058" t="s">
        <v>32</v>
      </c>
      <c r="E2058" t="s">
        <v>62</v>
      </c>
      <c r="F2058" t="s">
        <v>25</v>
      </c>
      <c r="G2058" t="s">
        <v>16</v>
      </c>
      <c r="H2058" t="s">
        <v>17</v>
      </c>
      <c r="I2058">
        <v>4</v>
      </c>
      <c r="J2058">
        <v>0</v>
      </c>
      <c r="K2058">
        <v>442.57</v>
      </c>
      <c r="L2058">
        <v>5.7</v>
      </c>
    </row>
    <row r="2059" spans="1:12" x14ac:dyDescent="0.25">
      <c r="A2059" t="s">
        <v>2106</v>
      </c>
      <c r="B2059" s="1">
        <v>45575</v>
      </c>
      <c r="C2059" s="1">
        <v>45577</v>
      </c>
      <c r="D2059" t="s">
        <v>23</v>
      </c>
      <c r="E2059" t="s">
        <v>59</v>
      </c>
      <c r="F2059" t="s">
        <v>29</v>
      </c>
      <c r="G2059" t="s">
        <v>16</v>
      </c>
      <c r="H2059" t="s">
        <v>41</v>
      </c>
      <c r="I2059">
        <v>20</v>
      </c>
      <c r="J2059">
        <v>0.1</v>
      </c>
      <c r="K2059">
        <v>123.56</v>
      </c>
      <c r="L2059">
        <v>8.1</v>
      </c>
    </row>
    <row r="2060" spans="1:12" x14ac:dyDescent="0.25">
      <c r="A2060" t="s">
        <v>2107</v>
      </c>
      <c r="B2060" s="1">
        <v>45625</v>
      </c>
      <c r="C2060" s="1">
        <v>45626</v>
      </c>
      <c r="D2060" t="s">
        <v>23</v>
      </c>
      <c r="E2060" t="s">
        <v>43</v>
      </c>
      <c r="F2060" t="s">
        <v>29</v>
      </c>
      <c r="G2060" t="s">
        <v>16</v>
      </c>
      <c r="H2060" t="s">
        <v>65</v>
      </c>
      <c r="I2060">
        <v>4</v>
      </c>
      <c r="J2060">
        <v>0.25</v>
      </c>
      <c r="K2060">
        <v>1198.3599999999999</v>
      </c>
      <c r="L2060">
        <v>8.2200000000000006</v>
      </c>
    </row>
    <row r="2061" spans="1:12" x14ac:dyDescent="0.25">
      <c r="A2061" t="s">
        <v>2108</v>
      </c>
      <c r="B2061" s="1">
        <v>45987</v>
      </c>
      <c r="C2061" s="1">
        <v>45991</v>
      </c>
      <c r="D2061" t="s">
        <v>13</v>
      </c>
      <c r="E2061" t="s">
        <v>36</v>
      </c>
      <c r="F2061" t="s">
        <v>25</v>
      </c>
      <c r="G2061" t="s">
        <v>20</v>
      </c>
      <c r="H2061" t="s">
        <v>41</v>
      </c>
      <c r="I2061">
        <v>25</v>
      </c>
      <c r="J2061">
        <v>0.15</v>
      </c>
      <c r="K2061">
        <v>165.43</v>
      </c>
      <c r="L2061">
        <v>9.4499999999999993</v>
      </c>
    </row>
    <row r="2062" spans="1:12" x14ac:dyDescent="0.25">
      <c r="A2062" t="s">
        <v>2109</v>
      </c>
      <c r="B2062" s="1">
        <v>45586</v>
      </c>
      <c r="C2062" s="1">
        <v>45589</v>
      </c>
      <c r="D2062" t="s">
        <v>47</v>
      </c>
      <c r="E2062" t="s">
        <v>50</v>
      </c>
      <c r="F2062" t="s">
        <v>15</v>
      </c>
      <c r="G2062" t="s">
        <v>20</v>
      </c>
      <c r="H2062" t="s">
        <v>53</v>
      </c>
      <c r="I2062">
        <v>2</v>
      </c>
      <c r="J2062">
        <v>0.1</v>
      </c>
      <c r="K2062">
        <v>123.73</v>
      </c>
      <c r="L2062">
        <v>4.2</v>
      </c>
    </row>
    <row r="2063" spans="1:12" x14ac:dyDescent="0.25">
      <c r="A2063" t="s">
        <v>2110</v>
      </c>
      <c r="B2063" s="1">
        <v>45821</v>
      </c>
      <c r="C2063" s="1">
        <v>45827</v>
      </c>
      <c r="D2063" t="s">
        <v>47</v>
      </c>
      <c r="E2063" t="s">
        <v>71</v>
      </c>
      <c r="F2063" t="s">
        <v>29</v>
      </c>
      <c r="G2063" t="s">
        <v>20</v>
      </c>
      <c r="H2063" t="s">
        <v>41</v>
      </c>
      <c r="I2063">
        <v>4</v>
      </c>
      <c r="J2063">
        <v>0.1</v>
      </c>
      <c r="K2063">
        <v>22.63</v>
      </c>
      <c r="L2063">
        <v>6.3</v>
      </c>
    </row>
    <row r="2064" spans="1:12" x14ac:dyDescent="0.25">
      <c r="A2064" t="s">
        <v>2111</v>
      </c>
      <c r="B2064" s="1">
        <v>45457</v>
      </c>
      <c r="C2064" s="1">
        <v>45458</v>
      </c>
      <c r="D2064" t="s">
        <v>23</v>
      </c>
      <c r="E2064" t="s">
        <v>59</v>
      </c>
      <c r="F2064" t="s">
        <v>15</v>
      </c>
      <c r="G2064" t="s">
        <v>20</v>
      </c>
      <c r="H2064" t="s">
        <v>68</v>
      </c>
      <c r="I2064">
        <v>1</v>
      </c>
      <c r="J2064">
        <v>0</v>
      </c>
      <c r="K2064">
        <v>54.74</v>
      </c>
      <c r="L2064">
        <v>3.45</v>
      </c>
    </row>
    <row r="2065" spans="1:12" x14ac:dyDescent="0.25">
      <c r="A2065" t="s">
        <v>2112</v>
      </c>
      <c r="B2065" s="1">
        <v>45501</v>
      </c>
      <c r="C2065" s="1">
        <v>45503</v>
      </c>
      <c r="D2065" t="s">
        <v>23</v>
      </c>
      <c r="E2065" t="s">
        <v>59</v>
      </c>
      <c r="F2065" t="s">
        <v>15</v>
      </c>
      <c r="G2065" t="s">
        <v>16</v>
      </c>
      <c r="H2065" t="s">
        <v>51</v>
      </c>
      <c r="I2065">
        <v>12</v>
      </c>
      <c r="J2065">
        <v>0.15</v>
      </c>
      <c r="K2065">
        <v>142.47</v>
      </c>
      <c r="L2065">
        <v>5.94</v>
      </c>
    </row>
    <row r="2066" spans="1:12" x14ac:dyDescent="0.25">
      <c r="A2066" t="s">
        <v>2113</v>
      </c>
      <c r="B2066" s="1">
        <v>45654</v>
      </c>
      <c r="C2066" s="1">
        <v>45655</v>
      </c>
      <c r="D2066" t="s">
        <v>13</v>
      </c>
      <c r="E2066" t="s">
        <v>36</v>
      </c>
      <c r="F2066" t="s">
        <v>29</v>
      </c>
      <c r="G2066" t="s">
        <v>20</v>
      </c>
      <c r="H2066" t="s">
        <v>21</v>
      </c>
      <c r="I2066">
        <v>4</v>
      </c>
      <c r="J2066">
        <v>0</v>
      </c>
      <c r="K2066">
        <v>679.71</v>
      </c>
      <c r="L2066">
        <v>8.2200000000000006</v>
      </c>
    </row>
    <row r="2067" spans="1:12" x14ac:dyDescent="0.25">
      <c r="A2067" t="s">
        <v>2114</v>
      </c>
      <c r="B2067" s="1">
        <v>45792</v>
      </c>
      <c r="C2067" s="1">
        <v>45796</v>
      </c>
      <c r="D2067" t="s">
        <v>13</v>
      </c>
      <c r="E2067" t="s">
        <v>19</v>
      </c>
      <c r="F2067" t="s">
        <v>15</v>
      </c>
      <c r="G2067" t="s">
        <v>20</v>
      </c>
      <c r="H2067" t="s">
        <v>17</v>
      </c>
      <c r="I2067">
        <v>1</v>
      </c>
      <c r="J2067">
        <v>0.15</v>
      </c>
      <c r="K2067">
        <v>105.91</v>
      </c>
      <c r="L2067">
        <v>5.75</v>
      </c>
    </row>
    <row r="2068" spans="1:12" x14ac:dyDescent="0.25">
      <c r="A2068" t="s">
        <v>2115</v>
      </c>
      <c r="B2068" s="1">
        <v>46009</v>
      </c>
      <c r="C2068" s="1">
        <v>46010</v>
      </c>
      <c r="D2068" t="s">
        <v>23</v>
      </c>
      <c r="E2068" t="s">
        <v>43</v>
      </c>
      <c r="F2068" t="s">
        <v>25</v>
      </c>
      <c r="G2068" t="s">
        <v>26</v>
      </c>
      <c r="H2068" t="s">
        <v>34</v>
      </c>
      <c r="I2068">
        <v>2</v>
      </c>
      <c r="J2068">
        <v>0</v>
      </c>
      <c r="K2068">
        <v>599.66</v>
      </c>
      <c r="L2068">
        <v>5.46</v>
      </c>
    </row>
    <row r="2069" spans="1:12" x14ac:dyDescent="0.25">
      <c r="A2069" t="s">
        <v>2116</v>
      </c>
      <c r="B2069" s="1">
        <v>45789</v>
      </c>
      <c r="C2069" s="1">
        <v>45792</v>
      </c>
      <c r="D2069" t="s">
        <v>32</v>
      </c>
      <c r="E2069" t="s">
        <v>45</v>
      </c>
      <c r="F2069" t="s">
        <v>29</v>
      </c>
      <c r="G2069" t="s">
        <v>20</v>
      </c>
      <c r="H2069" t="s">
        <v>65</v>
      </c>
      <c r="I2069">
        <v>4</v>
      </c>
      <c r="J2069">
        <v>0</v>
      </c>
      <c r="K2069">
        <v>1231.43</v>
      </c>
      <c r="L2069">
        <v>13.7</v>
      </c>
    </row>
    <row r="2070" spans="1:12" x14ac:dyDescent="0.25">
      <c r="A2070" t="s">
        <v>2117</v>
      </c>
      <c r="B2070" s="1">
        <v>45580</v>
      </c>
      <c r="C2070" s="1">
        <v>45582</v>
      </c>
      <c r="D2070" t="s">
        <v>47</v>
      </c>
      <c r="E2070" t="s">
        <v>71</v>
      </c>
      <c r="F2070" t="s">
        <v>15</v>
      </c>
      <c r="G2070" t="s">
        <v>20</v>
      </c>
      <c r="H2070" t="s">
        <v>60</v>
      </c>
      <c r="I2070">
        <v>1</v>
      </c>
      <c r="J2070">
        <v>0</v>
      </c>
      <c r="K2070">
        <v>123.43</v>
      </c>
      <c r="L2070">
        <v>3.45</v>
      </c>
    </row>
    <row r="2071" spans="1:12" x14ac:dyDescent="0.25">
      <c r="A2071" t="s">
        <v>2118</v>
      </c>
      <c r="B2071" s="1">
        <v>45548</v>
      </c>
      <c r="C2071" s="1">
        <v>45551</v>
      </c>
      <c r="D2071" t="s">
        <v>47</v>
      </c>
      <c r="E2071" t="s">
        <v>48</v>
      </c>
      <c r="F2071" t="s">
        <v>29</v>
      </c>
      <c r="G2071" t="s">
        <v>20</v>
      </c>
      <c r="H2071" t="s">
        <v>34</v>
      </c>
      <c r="I2071">
        <v>2</v>
      </c>
      <c r="J2071">
        <v>0</v>
      </c>
      <c r="K2071">
        <v>464.95</v>
      </c>
      <c r="L2071">
        <v>9.1</v>
      </c>
    </row>
    <row r="2072" spans="1:12" x14ac:dyDescent="0.25">
      <c r="A2072" t="s">
        <v>2119</v>
      </c>
      <c r="B2072" s="1">
        <v>45774</v>
      </c>
      <c r="C2072" s="1">
        <v>45780</v>
      </c>
      <c r="D2072" t="s">
        <v>32</v>
      </c>
      <c r="E2072" t="s">
        <v>45</v>
      </c>
      <c r="F2072" t="s">
        <v>29</v>
      </c>
      <c r="G2072" t="s">
        <v>26</v>
      </c>
      <c r="H2072" t="s">
        <v>37</v>
      </c>
      <c r="I2072">
        <v>2</v>
      </c>
      <c r="J2072">
        <v>0.25</v>
      </c>
      <c r="K2072">
        <v>164.36</v>
      </c>
      <c r="L2072">
        <v>9.1</v>
      </c>
    </row>
    <row r="2073" spans="1:12" x14ac:dyDescent="0.25">
      <c r="A2073" t="s">
        <v>2120</v>
      </c>
      <c r="B2073" s="1">
        <v>45616</v>
      </c>
      <c r="C2073" s="1">
        <v>45621</v>
      </c>
      <c r="D2073" t="s">
        <v>13</v>
      </c>
      <c r="E2073" t="s">
        <v>19</v>
      </c>
      <c r="F2073" t="s">
        <v>29</v>
      </c>
      <c r="G2073" t="s">
        <v>16</v>
      </c>
      <c r="H2073" t="s">
        <v>30</v>
      </c>
      <c r="I2073">
        <v>6</v>
      </c>
      <c r="J2073">
        <v>0</v>
      </c>
      <c r="K2073">
        <v>51.43</v>
      </c>
      <c r="L2073">
        <v>4.32</v>
      </c>
    </row>
    <row r="2074" spans="1:12" x14ac:dyDescent="0.25">
      <c r="A2074" t="s">
        <v>2121</v>
      </c>
      <c r="B2074" s="1">
        <v>45905</v>
      </c>
      <c r="C2074" s="1">
        <v>45908</v>
      </c>
      <c r="D2074" t="s">
        <v>13</v>
      </c>
      <c r="E2074" t="s">
        <v>14</v>
      </c>
      <c r="F2074" t="s">
        <v>29</v>
      </c>
      <c r="G2074" t="s">
        <v>16</v>
      </c>
      <c r="H2074" t="s">
        <v>27</v>
      </c>
      <c r="I2074">
        <v>3</v>
      </c>
      <c r="J2074">
        <v>0</v>
      </c>
      <c r="K2074">
        <v>85.99</v>
      </c>
      <c r="L2074">
        <v>3.51</v>
      </c>
    </row>
    <row r="2075" spans="1:12" x14ac:dyDescent="0.25">
      <c r="A2075" t="s">
        <v>2122</v>
      </c>
      <c r="B2075" s="1">
        <v>45675</v>
      </c>
      <c r="C2075" s="1">
        <v>45676</v>
      </c>
      <c r="D2075" t="s">
        <v>47</v>
      </c>
      <c r="E2075" t="s">
        <v>48</v>
      </c>
      <c r="F2075" t="s">
        <v>15</v>
      </c>
      <c r="G2075" t="s">
        <v>16</v>
      </c>
      <c r="H2075" t="s">
        <v>34</v>
      </c>
      <c r="I2075">
        <v>4</v>
      </c>
      <c r="J2075">
        <v>0</v>
      </c>
      <c r="K2075">
        <v>727.35</v>
      </c>
      <c r="L2075">
        <v>8.2200000000000006</v>
      </c>
    </row>
    <row r="2076" spans="1:12" x14ac:dyDescent="0.25">
      <c r="A2076" t="s">
        <v>2123</v>
      </c>
      <c r="B2076" s="1">
        <v>45626</v>
      </c>
      <c r="C2076" s="1">
        <v>45632</v>
      </c>
      <c r="D2076" t="s">
        <v>23</v>
      </c>
      <c r="E2076" t="s">
        <v>24</v>
      </c>
      <c r="F2076" t="s">
        <v>29</v>
      </c>
      <c r="G2076" t="s">
        <v>20</v>
      </c>
      <c r="H2076" t="s">
        <v>60</v>
      </c>
      <c r="I2076">
        <v>4</v>
      </c>
      <c r="J2076">
        <v>0</v>
      </c>
      <c r="K2076">
        <v>624.92999999999995</v>
      </c>
      <c r="L2076">
        <v>5.7</v>
      </c>
    </row>
    <row r="2077" spans="1:12" x14ac:dyDescent="0.25">
      <c r="A2077" t="s">
        <v>2124</v>
      </c>
      <c r="B2077" s="1">
        <v>45996</v>
      </c>
      <c r="C2077" s="1">
        <v>46000</v>
      </c>
      <c r="D2077" t="s">
        <v>23</v>
      </c>
      <c r="E2077" t="s">
        <v>24</v>
      </c>
      <c r="F2077" t="s">
        <v>15</v>
      </c>
      <c r="G2077" t="s">
        <v>20</v>
      </c>
      <c r="H2077" t="s">
        <v>34</v>
      </c>
      <c r="I2077">
        <v>1</v>
      </c>
      <c r="J2077">
        <v>0.05</v>
      </c>
      <c r="K2077">
        <v>274.07</v>
      </c>
      <c r="L2077">
        <v>4.08</v>
      </c>
    </row>
    <row r="2078" spans="1:12" x14ac:dyDescent="0.25">
      <c r="A2078" t="s">
        <v>2125</v>
      </c>
      <c r="B2078" s="1">
        <v>45907</v>
      </c>
      <c r="C2078" s="1">
        <v>45911</v>
      </c>
      <c r="D2078" t="s">
        <v>23</v>
      </c>
      <c r="E2078" t="s">
        <v>59</v>
      </c>
      <c r="F2078" t="s">
        <v>29</v>
      </c>
      <c r="G2078" t="s">
        <v>26</v>
      </c>
      <c r="H2078" t="s">
        <v>34</v>
      </c>
      <c r="I2078">
        <v>3</v>
      </c>
      <c r="J2078">
        <v>0.25</v>
      </c>
      <c r="K2078">
        <v>489.17</v>
      </c>
      <c r="L2078">
        <v>6.84</v>
      </c>
    </row>
    <row r="2079" spans="1:12" x14ac:dyDescent="0.25">
      <c r="A2079" t="s">
        <v>2126</v>
      </c>
      <c r="B2079" s="1">
        <v>45365</v>
      </c>
      <c r="C2079" s="1">
        <v>45369</v>
      </c>
      <c r="D2079" t="s">
        <v>23</v>
      </c>
      <c r="E2079" t="s">
        <v>24</v>
      </c>
      <c r="F2079" t="s">
        <v>29</v>
      </c>
      <c r="G2079" t="s">
        <v>16</v>
      </c>
      <c r="H2079" t="s">
        <v>60</v>
      </c>
      <c r="I2079">
        <v>3</v>
      </c>
      <c r="J2079">
        <v>0.2</v>
      </c>
      <c r="K2079">
        <v>241.56</v>
      </c>
      <c r="L2079">
        <v>4.95</v>
      </c>
    </row>
    <row r="2080" spans="1:12" x14ac:dyDescent="0.25">
      <c r="A2080" t="s">
        <v>2127</v>
      </c>
      <c r="B2080" s="1">
        <v>45707</v>
      </c>
      <c r="C2080" s="1">
        <v>45712</v>
      </c>
      <c r="D2080" t="s">
        <v>23</v>
      </c>
      <c r="E2080" t="s">
        <v>24</v>
      </c>
      <c r="F2080" t="s">
        <v>29</v>
      </c>
      <c r="G2080" t="s">
        <v>20</v>
      </c>
      <c r="H2080" t="s">
        <v>34</v>
      </c>
      <c r="I2080">
        <v>4</v>
      </c>
      <c r="J2080">
        <v>0</v>
      </c>
      <c r="K2080">
        <v>742.62</v>
      </c>
      <c r="L2080">
        <v>8.2200000000000006</v>
      </c>
    </row>
    <row r="2081" spans="1:12" x14ac:dyDescent="0.25">
      <c r="A2081" t="s">
        <v>2128</v>
      </c>
      <c r="B2081" s="1">
        <v>45931</v>
      </c>
      <c r="C2081" s="1">
        <v>45932</v>
      </c>
      <c r="D2081" t="s">
        <v>47</v>
      </c>
      <c r="E2081" t="s">
        <v>50</v>
      </c>
      <c r="F2081" t="s">
        <v>25</v>
      </c>
      <c r="G2081" t="s">
        <v>20</v>
      </c>
      <c r="H2081" t="s">
        <v>34</v>
      </c>
      <c r="I2081">
        <v>2</v>
      </c>
      <c r="J2081">
        <v>0.25</v>
      </c>
      <c r="K2081">
        <v>375.18</v>
      </c>
      <c r="L2081">
        <v>5.46</v>
      </c>
    </row>
    <row r="2082" spans="1:12" x14ac:dyDescent="0.25">
      <c r="A2082" t="s">
        <v>2129</v>
      </c>
      <c r="B2082" s="1">
        <v>45490</v>
      </c>
      <c r="C2082" s="1">
        <v>45492</v>
      </c>
      <c r="D2082" t="s">
        <v>23</v>
      </c>
      <c r="E2082" t="s">
        <v>43</v>
      </c>
      <c r="F2082" t="s">
        <v>29</v>
      </c>
      <c r="G2082" t="s">
        <v>20</v>
      </c>
      <c r="H2082" t="s">
        <v>41</v>
      </c>
      <c r="I2082">
        <v>10</v>
      </c>
      <c r="J2082">
        <v>0</v>
      </c>
      <c r="K2082">
        <v>56.88</v>
      </c>
      <c r="L2082">
        <v>9</v>
      </c>
    </row>
    <row r="2083" spans="1:12" x14ac:dyDescent="0.25">
      <c r="A2083" t="s">
        <v>2130</v>
      </c>
      <c r="B2083" s="1">
        <v>45635</v>
      </c>
      <c r="C2083" s="1">
        <v>45639</v>
      </c>
      <c r="D2083" t="s">
        <v>32</v>
      </c>
      <c r="E2083" t="s">
        <v>33</v>
      </c>
      <c r="F2083" t="s">
        <v>15</v>
      </c>
      <c r="G2083" t="s">
        <v>20</v>
      </c>
      <c r="H2083" t="s">
        <v>53</v>
      </c>
      <c r="I2083">
        <v>4</v>
      </c>
      <c r="J2083">
        <v>0</v>
      </c>
      <c r="K2083">
        <v>310.8</v>
      </c>
      <c r="L2083">
        <v>9.5</v>
      </c>
    </row>
    <row r="2084" spans="1:12" x14ac:dyDescent="0.25">
      <c r="A2084" t="s">
        <v>2131</v>
      </c>
      <c r="B2084" s="1">
        <v>45748</v>
      </c>
      <c r="C2084" s="1">
        <v>45752</v>
      </c>
      <c r="D2084" t="s">
        <v>13</v>
      </c>
      <c r="E2084" t="s">
        <v>19</v>
      </c>
      <c r="F2084" t="s">
        <v>15</v>
      </c>
      <c r="G2084" t="s">
        <v>20</v>
      </c>
      <c r="H2084" t="s">
        <v>37</v>
      </c>
      <c r="I2084">
        <v>2</v>
      </c>
      <c r="J2084">
        <v>0.1</v>
      </c>
      <c r="K2084">
        <v>182.23</v>
      </c>
      <c r="L2084">
        <v>9.1</v>
      </c>
    </row>
    <row r="2085" spans="1:12" x14ac:dyDescent="0.25">
      <c r="A2085" t="s">
        <v>2132</v>
      </c>
      <c r="B2085" s="1">
        <v>45411</v>
      </c>
      <c r="C2085" s="1">
        <v>45412</v>
      </c>
      <c r="D2085" t="s">
        <v>32</v>
      </c>
      <c r="E2085" t="s">
        <v>33</v>
      </c>
      <c r="F2085" t="s">
        <v>29</v>
      </c>
      <c r="G2085" t="s">
        <v>16</v>
      </c>
      <c r="H2085" t="s">
        <v>41</v>
      </c>
      <c r="I2085">
        <v>11</v>
      </c>
      <c r="J2085">
        <v>0</v>
      </c>
      <c r="K2085">
        <v>63.73</v>
      </c>
      <c r="L2085">
        <v>5.67</v>
      </c>
    </row>
    <row r="2086" spans="1:12" x14ac:dyDescent="0.25">
      <c r="A2086" t="s">
        <v>2133</v>
      </c>
      <c r="B2086" s="1">
        <v>45317</v>
      </c>
      <c r="C2086" s="1">
        <v>45323</v>
      </c>
      <c r="D2086" t="s">
        <v>23</v>
      </c>
      <c r="E2086" t="s">
        <v>59</v>
      </c>
      <c r="F2086" t="s">
        <v>29</v>
      </c>
      <c r="G2086" t="s">
        <v>20</v>
      </c>
      <c r="H2086" t="s">
        <v>41</v>
      </c>
      <c r="I2086">
        <v>7</v>
      </c>
      <c r="J2086">
        <v>0.1</v>
      </c>
      <c r="K2086">
        <v>32.29</v>
      </c>
      <c r="L2086">
        <v>4.59</v>
      </c>
    </row>
    <row r="2087" spans="1:12" x14ac:dyDescent="0.25">
      <c r="A2087" t="s">
        <v>2134</v>
      </c>
      <c r="B2087" s="1">
        <v>45479</v>
      </c>
      <c r="C2087" s="1">
        <v>45480</v>
      </c>
      <c r="D2087" t="s">
        <v>32</v>
      </c>
      <c r="E2087" t="s">
        <v>62</v>
      </c>
      <c r="F2087" t="s">
        <v>25</v>
      </c>
      <c r="G2087" t="s">
        <v>26</v>
      </c>
      <c r="H2087" t="s">
        <v>21</v>
      </c>
      <c r="I2087">
        <v>4</v>
      </c>
      <c r="J2087">
        <v>0.05</v>
      </c>
      <c r="K2087">
        <v>373.6</v>
      </c>
      <c r="L2087">
        <v>13.7</v>
      </c>
    </row>
    <row r="2088" spans="1:12" x14ac:dyDescent="0.25">
      <c r="A2088" t="s">
        <v>2135</v>
      </c>
      <c r="B2088" s="1">
        <v>45875</v>
      </c>
      <c r="C2088" s="1">
        <v>45876</v>
      </c>
      <c r="D2088" t="s">
        <v>47</v>
      </c>
      <c r="E2088" t="s">
        <v>50</v>
      </c>
      <c r="F2088" t="s">
        <v>29</v>
      </c>
      <c r="G2088" t="s">
        <v>26</v>
      </c>
      <c r="H2088" t="s">
        <v>34</v>
      </c>
      <c r="I2088">
        <v>3</v>
      </c>
      <c r="J2088">
        <v>0</v>
      </c>
      <c r="K2088">
        <v>571.35</v>
      </c>
      <c r="L2088">
        <v>6.84</v>
      </c>
    </row>
    <row r="2089" spans="1:12" x14ac:dyDescent="0.25">
      <c r="A2089" t="s">
        <v>2136</v>
      </c>
      <c r="B2089" s="1">
        <v>45977</v>
      </c>
      <c r="C2089" s="1">
        <v>45979</v>
      </c>
      <c r="D2089" t="s">
        <v>13</v>
      </c>
      <c r="E2089" t="s">
        <v>19</v>
      </c>
      <c r="F2089" t="s">
        <v>25</v>
      </c>
      <c r="G2089" t="s">
        <v>20</v>
      </c>
      <c r="H2089" t="s">
        <v>30</v>
      </c>
      <c r="I2089">
        <v>6</v>
      </c>
      <c r="J2089">
        <v>0.15</v>
      </c>
      <c r="K2089">
        <v>43.72</v>
      </c>
      <c r="L2089">
        <v>7.2</v>
      </c>
    </row>
    <row r="2090" spans="1:12" x14ac:dyDescent="0.25">
      <c r="A2090" t="s">
        <v>2137</v>
      </c>
      <c r="B2090" s="1">
        <v>45368</v>
      </c>
      <c r="C2090" s="1">
        <v>45371</v>
      </c>
      <c r="D2090" t="s">
        <v>32</v>
      </c>
      <c r="E2090" t="s">
        <v>33</v>
      </c>
      <c r="F2090" t="s">
        <v>15</v>
      </c>
      <c r="G2090" t="s">
        <v>16</v>
      </c>
      <c r="H2090" t="s">
        <v>87</v>
      </c>
      <c r="I2090">
        <v>7</v>
      </c>
      <c r="J2090">
        <v>0</v>
      </c>
      <c r="K2090">
        <v>56.53</v>
      </c>
      <c r="L2090">
        <v>4.59</v>
      </c>
    </row>
    <row r="2091" spans="1:12" x14ac:dyDescent="0.25">
      <c r="A2091" t="s">
        <v>2138</v>
      </c>
      <c r="B2091" s="1">
        <v>45704</v>
      </c>
      <c r="C2091" s="1">
        <v>45709</v>
      </c>
      <c r="D2091" t="s">
        <v>13</v>
      </c>
      <c r="E2091" t="s">
        <v>14</v>
      </c>
      <c r="F2091" t="s">
        <v>29</v>
      </c>
      <c r="G2091" t="s">
        <v>26</v>
      </c>
      <c r="H2091" t="s">
        <v>87</v>
      </c>
      <c r="I2091">
        <v>10</v>
      </c>
      <c r="J2091">
        <v>0</v>
      </c>
      <c r="K2091">
        <v>70.849999999999994</v>
      </c>
      <c r="L2091">
        <v>5.4</v>
      </c>
    </row>
    <row r="2092" spans="1:12" x14ac:dyDescent="0.25">
      <c r="A2092" t="s">
        <v>2139</v>
      </c>
      <c r="B2092" s="1">
        <v>45446</v>
      </c>
      <c r="C2092" s="1">
        <v>45450</v>
      </c>
      <c r="D2092" t="s">
        <v>47</v>
      </c>
      <c r="E2092" t="s">
        <v>48</v>
      </c>
      <c r="F2092" t="s">
        <v>15</v>
      </c>
      <c r="G2092" t="s">
        <v>26</v>
      </c>
      <c r="H2092" t="s">
        <v>21</v>
      </c>
      <c r="I2092">
        <v>2</v>
      </c>
      <c r="J2092">
        <v>0</v>
      </c>
      <c r="K2092">
        <v>235.51</v>
      </c>
      <c r="L2092">
        <v>9.1</v>
      </c>
    </row>
    <row r="2093" spans="1:12" x14ac:dyDescent="0.25">
      <c r="A2093" t="s">
        <v>2140</v>
      </c>
      <c r="B2093" s="1">
        <v>45382</v>
      </c>
      <c r="C2093" s="1">
        <v>45388</v>
      </c>
      <c r="D2093" t="s">
        <v>32</v>
      </c>
      <c r="E2093" t="s">
        <v>45</v>
      </c>
      <c r="F2093" t="s">
        <v>29</v>
      </c>
      <c r="G2093" t="s">
        <v>26</v>
      </c>
      <c r="H2093" t="s">
        <v>37</v>
      </c>
      <c r="I2093">
        <v>3</v>
      </c>
      <c r="J2093">
        <v>0.2</v>
      </c>
      <c r="K2093">
        <v>254.68</v>
      </c>
      <c r="L2093">
        <v>11.4</v>
      </c>
    </row>
    <row r="2094" spans="1:12" x14ac:dyDescent="0.25">
      <c r="A2094" t="s">
        <v>2141</v>
      </c>
      <c r="B2094" s="1">
        <v>45475</v>
      </c>
      <c r="C2094" s="1">
        <v>45476</v>
      </c>
      <c r="D2094" t="s">
        <v>23</v>
      </c>
      <c r="E2094" t="s">
        <v>43</v>
      </c>
      <c r="F2094" t="s">
        <v>15</v>
      </c>
      <c r="G2094" t="s">
        <v>20</v>
      </c>
      <c r="H2094" t="s">
        <v>87</v>
      </c>
      <c r="I2094">
        <v>13</v>
      </c>
      <c r="J2094">
        <v>0</v>
      </c>
      <c r="K2094">
        <v>93.75</v>
      </c>
      <c r="L2094">
        <v>6.21</v>
      </c>
    </row>
    <row r="2095" spans="1:12" x14ac:dyDescent="0.25">
      <c r="A2095" t="s">
        <v>2142</v>
      </c>
      <c r="B2095" s="1">
        <v>45987</v>
      </c>
      <c r="C2095" s="1">
        <v>45991</v>
      </c>
      <c r="D2095" t="s">
        <v>23</v>
      </c>
      <c r="E2095" t="s">
        <v>24</v>
      </c>
      <c r="F2095" t="s">
        <v>25</v>
      </c>
      <c r="G2095" t="s">
        <v>16</v>
      </c>
      <c r="H2095" t="s">
        <v>63</v>
      </c>
      <c r="I2095">
        <v>6</v>
      </c>
      <c r="J2095">
        <v>0</v>
      </c>
      <c r="K2095">
        <v>102.91</v>
      </c>
      <c r="L2095">
        <v>4.32</v>
      </c>
    </row>
    <row r="2096" spans="1:12" x14ac:dyDescent="0.25">
      <c r="A2096" t="s">
        <v>2143</v>
      </c>
      <c r="B2096" s="1">
        <v>45323</v>
      </c>
      <c r="C2096" s="1">
        <v>45326</v>
      </c>
      <c r="D2096" t="s">
        <v>32</v>
      </c>
      <c r="E2096" t="s">
        <v>62</v>
      </c>
      <c r="F2096" t="s">
        <v>15</v>
      </c>
      <c r="G2096" t="s">
        <v>16</v>
      </c>
      <c r="H2096" t="s">
        <v>63</v>
      </c>
      <c r="I2096">
        <v>14</v>
      </c>
      <c r="J2096">
        <v>0</v>
      </c>
      <c r="K2096">
        <v>156.68</v>
      </c>
      <c r="L2096">
        <v>6.48</v>
      </c>
    </row>
    <row r="2097" spans="1:12" x14ac:dyDescent="0.25">
      <c r="A2097" t="s">
        <v>2144</v>
      </c>
      <c r="B2097" s="1">
        <v>45364</v>
      </c>
      <c r="C2097" s="1">
        <v>45365</v>
      </c>
      <c r="D2097" t="s">
        <v>13</v>
      </c>
      <c r="E2097" t="s">
        <v>36</v>
      </c>
      <c r="F2097" t="s">
        <v>25</v>
      </c>
      <c r="G2097" t="s">
        <v>20</v>
      </c>
      <c r="H2097" t="s">
        <v>30</v>
      </c>
      <c r="I2097">
        <v>13</v>
      </c>
      <c r="J2097">
        <v>0</v>
      </c>
      <c r="K2097">
        <v>73.67</v>
      </c>
      <c r="L2097">
        <v>6.21</v>
      </c>
    </row>
    <row r="2098" spans="1:12" x14ac:dyDescent="0.25">
      <c r="A2098" t="s">
        <v>2145</v>
      </c>
      <c r="B2098" s="1">
        <v>45301</v>
      </c>
      <c r="C2098" s="1">
        <v>45304</v>
      </c>
      <c r="D2098" t="s">
        <v>13</v>
      </c>
      <c r="E2098" t="s">
        <v>14</v>
      </c>
      <c r="F2098" t="s">
        <v>25</v>
      </c>
      <c r="G2098" t="s">
        <v>16</v>
      </c>
      <c r="H2098" t="s">
        <v>63</v>
      </c>
      <c r="I2098">
        <v>7</v>
      </c>
      <c r="J2098">
        <v>0</v>
      </c>
      <c r="K2098">
        <v>77.78</v>
      </c>
      <c r="L2098">
        <v>7.65</v>
      </c>
    </row>
    <row r="2099" spans="1:12" x14ac:dyDescent="0.25">
      <c r="A2099" t="s">
        <v>2146</v>
      </c>
      <c r="B2099" s="1">
        <v>45871</v>
      </c>
      <c r="C2099" s="1">
        <v>45875</v>
      </c>
      <c r="D2099" t="s">
        <v>13</v>
      </c>
      <c r="E2099" t="s">
        <v>36</v>
      </c>
      <c r="F2099" t="s">
        <v>29</v>
      </c>
      <c r="G2099" t="s">
        <v>20</v>
      </c>
      <c r="H2099" t="s">
        <v>34</v>
      </c>
      <c r="I2099">
        <v>1</v>
      </c>
      <c r="J2099">
        <v>0.25</v>
      </c>
      <c r="K2099">
        <v>144.49</v>
      </c>
      <c r="L2099">
        <v>4.08</v>
      </c>
    </row>
    <row r="2100" spans="1:12" x14ac:dyDescent="0.25">
      <c r="A2100" t="s">
        <v>2147</v>
      </c>
      <c r="B2100" s="1">
        <v>45797</v>
      </c>
      <c r="C2100" s="1">
        <v>45799</v>
      </c>
      <c r="D2100" t="s">
        <v>13</v>
      </c>
      <c r="E2100" t="s">
        <v>36</v>
      </c>
      <c r="F2100" t="s">
        <v>15</v>
      </c>
      <c r="G2100" t="s">
        <v>16</v>
      </c>
      <c r="H2100" t="s">
        <v>60</v>
      </c>
      <c r="I2100">
        <v>2</v>
      </c>
      <c r="J2100">
        <v>0</v>
      </c>
      <c r="K2100">
        <v>221.19</v>
      </c>
      <c r="L2100">
        <v>7</v>
      </c>
    </row>
    <row r="2101" spans="1:12" x14ac:dyDescent="0.25">
      <c r="A2101" t="s">
        <v>2148</v>
      </c>
      <c r="B2101" s="1">
        <v>45518</v>
      </c>
      <c r="C2101" s="1">
        <v>45520</v>
      </c>
      <c r="D2101" t="s">
        <v>47</v>
      </c>
      <c r="E2101" t="s">
        <v>50</v>
      </c>
      <c r="F2101" t="s">
        <v>15</v>
      </c>
      <c r="G2101" t="s">
        <v>16</v>
      </c>
      <c r="H2101" t="s">
        <v>41</v>
      </c>
      <c r="I2101">
        <v>11</v>
      </c>
      <c r="J2101">
        <v>0</v>
      </c>
      <c r="K2101">
        <v>65.44</v>
      </c>
      <c r="L2101">
        <v>9.4499999999999993</v>
      </c>
    </row>
    <row r="2102" spans="1:12" x14ac:dyDescent="0.25">
      <c r="A2102" t="s">
        <v>2149</v>
      </c>
      <c r="B2102" s="1">
        <v>45816</v>
      </c>
      <c r="C2102" s="1">
        <v>45822</v>
      </c>
      <c r="D2102" t="s">
        <v>32</v>
      </c>
      <c r="E2102" t="s">
        <v>62</v>
      </c>
      <c r="F2102" t="s">
        <v>25</v>
      </c>
      <c r="G2102" t="s">
        <v>26</v>
      </c>
      <c r="H2102" t="s">
        <v>27</v>
      </c>
      <c r="I2102">
        <v>13</v>
      </c>
      <c r="J2102">
        <v>0</v>
      </c>
      <c r="K2102">
        <v>393.1</v>
      </c>
      <c r="L2102">
        <v>6.21</v>
      </c>
    </row>
    <row r="2103" spans="1:12" x14ac:dyDescent="0.25">
      <c r="A2103" t="s">
        <v>2150</v>
      </c>
      <c r="B2103" s="1">
        <v>45651</v>
      </c>
      <c r="C2103" s="1">
        <v>45654</v>
      </c>
      <c r="D2103" t="s">
        <v>13</v>
      </c>
      <c r="E2103" t="s">
        <v>14</v>
      </c>
      <c r="F2103" t="s">
        <v>15</v>
      </c>
      <c r="G2103" t="s">
        <v>20</v>
      </c>
      <c r="H2103" t="s">
        <v>39</v>
      </c>
      <c r="I2103">
        <v>2</v>
      </c>
      <c r="J2103">
        <v>0.25</v>
      </c>
      <c r="K2103">
        <v>429.8</v>
      </c>
      <c r="L2103">
        <v>4.2</v>
      </c>
    </row>
    <row r="2104" spans="1:12" x14ac:dyDescent="0.25">
      <c r="A2104" t="s">
        <v>2151</v>
      </c>
      <c r="B2104" s="1">
        <v>45526</v>
      </c>
      <c r="C2104" s="1">
        <v>45530</v>
      </c>
      <c r="D2104" t="s">
        <v>23</v>
      </c>
      <c r="E2104" t="s">
        <v>24</v>
      </c>
      <c r="F2104" t="s">
        <v>15</v>
      </c>
      <c r="G2104" t="s">
        <v>20</v>
      </c>
      <c r="H2104" t="s">
        <v>68</v>
      </c>
      <c r="I2104">
        <v>3</v>
      </c>
      <c r="J2104">
        <v>0.1</v>
      </c>
      <c r="K2104">
        <v>132.03</v>
      </c>
      <c r="L2104">
        <v>4.95</v>
      </c>
    </row>
    <row r="2105" spans="1:12" x14ac:dyDescent="0.25">
      <c r="A2105" t="s">
        <v>2152</v>
      </c>
      <c r="B2105" s="1">
        <v>45524</v>
      </c>
      <c r="C2105" s="1">
        <v>45529</v>
      </c>
      <c r="D2105" t="s">
        <v>13</v>
      </c>
      <c r="E2105" t="s">
        <v>19</v>
      </c>
      <c r="F2105" t="s">
        <v>15</v>
      </c>
      <c r="G2105" t="s">
        <v>20</v>
      </c>
      <c r="H2105" t="s">
        <v>21</v>
      </c>
      <c r="I2105">
        <v>2</v>
      </c>
      <c r="J2105">
        <v>0</v>
      </c>
      <c r="K2105">
        <v>225.27</v>
      </c>
      <c r="L2105">
        <v>9.1</v>
      </c>
    </row>
    <row r="2106" spans="1:12" x14ac:dyDescent="0.25">
      <c r="A2106" t="s">
        <v>2153</v>
      </c>
      <c r="B2106" s="1">
        <v>45451</v>
      </c>
      <c r="C2106" s="1">
        <v>45456</v>
      </c>
      <c r="D2106" t="s">
        <v>13</v>
      </c>
      <c r="E2106" t="s">
        <v>14</v>
      </c>
      <c r="F2106" t="s">
        <v>29</v>
      </c>
      <c r="G2106" t="s">
        <v>20</v>
      </c>
      <c r="H2106" t="s">
        <v>51</v>
      </c>
      <c r="I2106">
        <v>8</v>
      </c>
      <c r="J2106">
        <v>0.1</v>
      </c>
      <c r="K2106">
        <v>106.07</v>
      </c>
      <c r="L2106">
        <v>4.8600000000000003</v>
      </c>
    </row>
    <row r="2107" spans="1:12" x14ac:dyDescent="0.25">
      <c r="A2107" t="s">
        <v>2154</v>
      </c>
      <c r="B2107" s="1">
        <v>45866</v>
      </c>
      <c r="C2107" s="1">
        <v>45868</v>
      </c>
      <c r="D2107" t="s">
        <v>13</v>
      </c>
      <c r="E2107" t="s">
        <v>19</v>
      </c>
      <c r="F2107" t="s">
        <v>25</v>
      </c>
      <c r="G2107" t="s">
        <v>26</v>
      </c>
      <c r="H2107" t="s">
        <v>53</v>
      </c>
      <c r="I2107">
        <v>2</v>
      </c>
      <c r="J2107">
        <v>0.1</v>
      </c>
      <c r="K2107">
        <v>96.88</v>
      </c>
      <c r="L2107">
        <v>4.2</v>
      </c>
    </row>
    <row r="2108" spans="1:12" x14ac:dyDescent="0.25">
      <c r="A2108" t="s">
        <v>2155</v>
      </c>
      <c r="B2108" s="1">
        <v>45965</v>
      </c>
      <c r="C2108" s="1">
        <v>45969</v>
      </c>
      <c r="D2108" t="s">
        <v>13</v>
      </c>
      <c r="E2108" t="s">
        <v>36</v>
      </c>
      <c r="F2108" t="s">
        <v>29</v>
      </c>
      <c r="G2108" t="s">
        <v>20</v>
      </c>
      <c r="H2108" t="s">
        <v>21</v>
      </c>
      <c r="I2108">
        <v>1</v>
      </c>
      <c r="J2108">
        <v>0</v>
      </c>
      <c r="K2108">
        <v>150.12</v>
      </c>
      <c r="L2108">
        <v>6.8</v>
      </c>
    </row>
    <row r="2109" spans="1:12" x14ac:dyDescent="0.25">
      <c r="A2109" t="s">
        <v>2156</v>
      </c>
      <c r="B2109" s="1">
        <v>45847</v>
      </c>
      <c r="C2109" s="1">
        <v>45852</v>
      </c>
      <c r="D2109" t="s">
        <v>47</v>
      </c>
      <c r="E2109" t="s">
        <v>50</v>
      </c>
      <c r="F2109" t="s">
        <v>15</v>
      </c>
      <c r="G2109" t="s">
        <v>26</v>
      </c>
      <c r="H2109" t="s">
        <v>60</v>
      </c>
      <c r="I2109">
        <v>5</v>
      </c>
      <c r="J2109">
        <v>0.25</v>
      </c>
      <c r="K2109">
        <v>365.35</v>
      </c>
      <c r="L2109">
        <v>6.45</v>
      </c>
    </row>
    <row r="2110" spans="1:12" x14ac:dyDescent="0.25">
      <c r="A2110" t="s">
        <v>2157</v>
      </c>
      <c r="B2110" s="1">
        <v>45946</v>
      </c>
      <c r="C2110" s="1">
        <v>45947</v>
      </c>
      <c r="D2110" t="s">
        <v>47</v>
      </c>
      <c r="E2110" t="s">
        <v>50</v>
      </c>
      <c r="F2110" t="s">
        <v>25</v>
      </c>
      <c r="G2110" t="s">
        <v>20</v>
      </c>
      <c r="H2110" t="s">
        <v>53</v>
      </c>
      <c r="I2110">
        <v>1</v>
      </c>
      <c r="J2110">
        <v>0.25</v>
      </c>
      <c r="K2110">
        <v>49.68</v>
      </c>
      <c r="L2110">
        <v>3.45</v>
      </c>
    </row>
    <row r="2111" spans="1:12" x14ac:dyDescent="0.25">
      <c r="A2111" t="s">
        <v>2158</v>
      </c>
      <c r="B2111" s="1">
        <v>45426</v>
      </c>
      <c r="C2111" s="1">
        <v>45427</v>
      </c>
      <c r="D2111" t="s">
        <v>13</v>
      </c>
      <c r="E2111" t="s">
        <v>14</v>
      </c>
      <c r="F2111" t="s">
        <v>25</v>
      </c>
      <c r="G2111" t="s">
        <v>16</v>
      </c>
      <c r="H2111" t="s">
        <v>30</v>
      </c>
      <c r="I2111">
        <v>25</v>
      </c>
      <c r="J2111">
        <v>0</v>
      </c>
      <c r="K2111">
        <v>160.47999999999999</v>
      </c>
      <c r="L2111">
        <v>9.4499999999999993</v>
      </c>
    </row>
    <row r="2112" spans="1:12" x14ac:dyDescent="0.25">
      <c r="A2112" t="s">
        <v>2159</v>
      </c>
      <c r="B2112" s="1">
        <v>45625</v>
      </c>
      <c r="C2112" s="1">
        <v>45628</v>
      </c>
      <c r="D2112" t="s">
        <v>13</v>
      </c>
      <c r="E2112" t="s">
        <v>36</v>
      </c>
      <c r="F2112" t="s">
        <v>15</v>
      </c>
      <c r="G2112" t="s">
        <v>20</v>
      </c>
      <c r="H2112" t="s">
        <v>21</v>
      </c>
      <c r="I2112">
        <v>1</v>
      </c>
      <c r="J2112">
        <v>0</v>
      </c>
      <c r="K2112">
        <v>149.22</v>
      </c>
      <c r="L2112">
        <v>4.08</v>
      </c>
    </row>
    <row r="2113" spans="1:12" x14ac:dyDescent="0.25">
      <c r="A2113" t="s">
        <v>2160</v>
      </c>
      <c r="B2113" s="1">
        <v>45938</v>
      </c>
      <c r="C2113" s="1">
        <v>45941</v>
      </c>
      <c r="D2113" t="s">
        <v>32</v>
      </c>
      <c r="E2113" t="s">
        <v>62</v>
      </c>
      <c r="F2113" t="s">
        <v>25</v>
      </c>
      <c r="G2113" t="s">
        <v>26</v>
      </c>
      <c r="H2113" t="s">
        <v>37</v>
      </c>
      <c r="I2113">
        <v>5</v>
      </c>
      <c r="J2113">
        <v>0</v>
      </c>
      <c r="K2113">
        <v>616.98</v>
      </c>
      <c r="L2113">
        <v>16</v>
      </c>
    </row>
    <row r="2114" spans="1:12" x14ac:dyDescent="0.25">
      <c r="A2114" t="s">
        <v>2161</v>
      </c>
      <c r="B2114" s="1">
        <v>45802</v>
      </c>
      <c r="C2114" s="1">
        <v>45808</v>
      </c>
      <c r="D2114" t="s">
        <v>13</v>
      </c>
      <c r="E2114" t="s">
        <v>14</v>
      </c>
      <c r="F2114" t="s">
        <v>15</v>
      </c>
      <c r="G2114" t="s">
        <v>20</v>
      </c>
      <c r="H2114" t="s">
        <v>68</v>
      </c>
      <c r="I2114">
        <v>2</v>
      </c>
      <c r="J2114">
        <v>0</v>
      </c>
      <c r="K2114">
        <v>98.96</v>
      </c>
      <c r="L2114">
        <v>7</v>
      </c>
    </row>
    <row r="2115" spans="1:12" x14ac:dyDescent="0.25">
      <c r="A2115" t="s">
        <v>2162</v>
      </c>
      <c r="B2115" s="1">
        <v>45360</v>
      </c>
      <c r="C2115" s="1">
        <v>45365</v>
      </c>
      <c r="D2115" t="s">
        <v>23</v>
      </c>
      <c r="E2115" t="s">
        <v>59</v>
      </c>
      <c r="F2115" t="s">
        <v>25</v>
      </c>
      <c r="G2115" t="s">
        <v>20</v>
      </c>
      <c r="H2115" t="s">
        <v>37</v>
      </c>
      <c r="I2115">
        <v>3</v>
      </c>
      <c r="J2115">
        <v>0.1</v>
      </c>
      <c r="K2115">
        <v>262.68</v>
      </c>
      <c r="L2115">
        <v>6.84</v>
      </c>
    </row>
    <row r="2116" spans="1:12" x14ac:dyDescent="0.25">
      <c r="A2116" t="s">
        <v>2163</v>
      </c>
      <c r="B2116" s="1">
        <v>45482</v>
      </c>
      <c r="C2116" s="1">
        <v>45483</v>
      </c>
      <c r="D2116" t="s">
        <v>23</v>
      </c>
      <c r="E2116" t="s">
        <v>59</v>
      </c>
      <c r="F2116" t="s">
        <v>29</v>
      </c>
      <c r="G2116" t="s">
        <v>16</v>
      </c>
      <c r="H2116" t="s">
        <v>41</v>
      </c>
      <c r="I2116">
        <v>13</v>
      </c>
      <c r="J2116">
        <v>0</v>
      </c>
      <c r="K2116">
        <v>69.2</v>
      </c>
      <c r="L2116">
        <v>6.21</v>
      </c>
    </row>
    <row r="2117" spans="1:12" x14ac:dyDescent="0.25">
      <c r="A2117" t="s">
        <v>2164</v>
      </c>
      <c r="B2117" s="1">
        <v>45604</v>
      </c>
      <c r="C2117" s="1">
        <v>45609</v>
      </c>
      <c r="D2117" t="s">
        <v>13</v>
      </c>
      <c r="E2117" t="s">
        <v>14</v>
      </c>
      <c r="F2117" t="s">
        <v>29</v>
      </c>
      <c r="G2117" t="s">
        <v>20</v>
      </c>
      <c r="H2117" t="s">
        <v>17</v>
      </c>
      <c r="I2117">
        <v>3</v>
      </c>
      <c r="J2117">
        <v>0</v>
      </c>
      <c r="K2117">
        <v>522.29999999999995</v>
      </c>
      <c r="L2117">
        <v>8.25</v>
      </c>
    </row>
    <row r="2118" spans="1:12" x14ac:dyDescent="0.25">
      <c r="A2118" t="s">
        <v>2165</v>
      </c>
      <c r="B2118" s="1">
        <v>45330</v>
      </c>
      <c r="C2118" s="1">
        <v>45334</v>
      </c>
      <c r="D2118" t="s">
        <v>13</v>
      </c>
      <c r="E2118" t="s">
        <v>36</v>
      </c>
      <c r="F2118" t="s">
        <v>29</v>
      </c>
      <c r="G2118" t="s">
        <v>16</v>
      </c>
      <c r="H2118" t="s">
        <v>27</v>
      </c>
      <c r="I2118">
        <v>8</v>
      </c>
      <c r="J2118">
        <v>0.1</v>
      </c>
      <c r="K2118">
        <v>184.5</v>
      </c>
      <c r="L2118">
        <v>4.8600000000000003</v>
      </c>
    </row>
    <row r="2119" spans="1:12" x14ac:dyDescent="0.25">
      <c r="A2119" t="s">
        <v>2166</v>
      </c>
      <c r="B2119" s="1">
        <v>45534</v>
      </c>
      <c r="C2119" s="1">
        <v>45537</v>
      </c>
      <c r="D2119" t="s">
        <v>32</v>
      </c>
      <c r="E2119" t="s">
        <v>45</v>
      </c>
      <c r="F2119" t="s">
        <v>25</v>
      </c>
      <c r="G2119" t="s">
        <v>26</v>
      </c>
      <c r="H2119" t="s">
        <v>60</v>
      </c>
      <c r="I2119">
        <v>4</v>
      </c>
      <c r="J2119">
        <v>0</v>
      </c>
      <c r="K2119">
        <v>437.37</v>
      </c>
      <c r="L2119">
        <v>5.7</v>
      </c>
    </row>
    <row r="2120" spans="1:12" x14ac:dyDescent="0.25">
      <c r="A2120" t="s">
        <v>2167</v>
      </c>
      <c r="B2120" s="1">
        <v>45388</v>
      </c>
      <c r="C2120" s="1">
        <v>45389</v>
      </c>
      <c r="D2120" t="s">
        <v>13</v>
      </c>
      <c r="E2120" t="s">
        <v>36</v>
      </c>
      <c r="F2120" t="s">
        <v>25</v>
      </c>
      <c r="G2120" t="s">
        <v>20</v>
      </c>
      <c r="H2120" t="s">
        <v>34</v>
      </c>
      <c r="I2120">
        <v>2</v>
      </c>
      <c r="J2120">
        <v>0</v>
      </c>
      <c r="K2120">
        <v>390.79</v>
      </c>
      <c r="L2120">
        <v>5.46</v>
      </c>
    </row>
    <row r="2121" spans="1:12" x14ac:dyDescent="0.25">
      <c r="A2121" t="s">
        <v>2168</v>
      </c>
      <c r="B2121" s="1">
        <v>45296</v>
      </c>
      <c r="C2121" s="1">
        <v>45301</v>
      </c>
      <c r="D2121" t="s">
        <v>47</v>
      </c>
      <c r="E2121" t="s">
        <v>71</v>
      </c>
      <c r="F2121" t="s">
        <v>29</v>
      </c>
      <c r="G2121" t="s">
        <v>16</v>
      </c>
      <c r="H2121" t="s">
        <v>65</v>
      </c>
      <c r="I2121">
        <v>7</v>
      </c>
      <c r="J2121">
        <v>0</v>
      </c>
      <c r="K2121">
        <v>1697.1</v>
      </c>
      <c r="L2121">
        <v>20.6</v>
      </c>
    </row>
    <row r="2122" spans="1:12" x14ac:dyDescent="0.25">
      <c r="A2122" t="s">
        <v>2169</v>
      </c>
      <c r="B2122" s="1">
        <v>45914</v>
      </c>
      <c r="C2122" s="1">
        <v>45919</v>
      </c>
      <c r="D2122" t="s">
        <v>32</v>
      </c>
      <c r="E2122" t="s">
        <v>45</v>
      </c>
      <c r="F2122" t="s">
        <v>15</v>
      </c>
      <c r="G2122" t="s">
        <v>16</v>
      </c>
      <c r="H2122" t="s">
        <v>39</v>
      </c>
      <c r="I2122">
        <v>3</v>
      </c>
      <c r="J2122">
        <v>0</v>
      </c>
      <c r="K2122">
        <v>615.14</v>
      </c>
      <c r="L2122">
        <v>8.25</v>
      </c>
    </row>
    <row r="2123" spans="1:12" x14ac:dyDescent="0.25">
      <c r="A2123" t="s">
        <v>2170</v>
      </c>
      <c r="B2123" s="1">
        <v>45408</v>
      </c>
      <c r="C2123" s="1">
        <v>45411</v>
      </c>
      <c r="D2123" t="s">
        <v>47</v>
      </c>
      <c r="E2123" t="s">
        <v>50</v>
      </c>
      <c r="F2123" t="s">
        <v>29</v>
      </c>
      <c r="G2123" t="s">
        <v>20</v>
      </c>
      <c r="H2123" t="s">
        <v>51</v>
      </c>
      <c r="I2123">
        <v>7</v>
      </c>
      <c r="J2123">
        <v>0</v>
      </c>
      <c r="K2123">
        <v>97.73</v>
      </c>
      <c r="L2123">
        <v>4.59</v>
      </c>
    </row>
    <row r="2124" spans="1:12" x14ac:dyDescent="0.25">
      <c r="A2124" t="s">
        <v>2171</v>
      </c>
      <c r="B2124" s="1">
        <v>45470</v>
      </c>
      <c r="C2124" s="1">
        <v>45474</v>
      </c>
      <c r="D2124" t="s">
        <v>23</v>
      </c>
      <c r="E2124" t="s">
        <v>43</v>
      </c>
      <c r="F2124" t="s">
        <v>15</v>
      </c>
      <c r="G2124" t="s">
        <v>16</v>
      </c>
      <c r="H2124" t="s">
        <v>60</v>
      </c>
      <c r="I2124">
        <v>4</v>
      </c>
      <c r="J2124">
        <v>0.15</v>
      </c>
      <c r="K2124">
        <v>385.1</v>
      </c>
      <c r="L2124">
        <v>5.7</v>
      </c>
    </row>
    <row r="2125" spans="1:12" x14ac:dyDescent="0.25">
      <c r="A2125" t="s">
        <v>2172</v>
      </c>
      <c r="B2125" s="1">
        <v>45395</v>
      </c>
      <c r="C2125" s="1">
        <v>45396</v>
      </c>
      <c r="D2125" t="s">
        <v>13</v>
      </c>
      <c r="E2125" t="s">
        <v>14</v>
      </c>
      <c r="F2125" t="s">
        <v>15</v>
      </c>
      <c r="G2125" t="s">
        <v>16</v>
      </c>
      <c r="H2125" t="s">
        <v>21</v>
      </c>
      <c r="I2125">
        <v>4</v>
      </c>
      <c r="J2125">
        <v>0</v>
      </c>
      <c r="K2125">
        <v>452.34</v>
      </c>
      <c r="L2125">
        <v>8.2200000000000006</v>
      </c>
    </row>
    <row r="2126" spans="1:12" x14ac:dyDescent="0.25">
      <c r="A2126" t="s">
        <v>2173</v>
      </c>
      <c r="B2126" s="1">
        <v>45336</v>
      </c>
      <c r="C2126" s="1">
        <v>45341</v>
      </c>
      <c r="D2126" t="s">
        <v>47</v>
      </c>
      <c r="E2126" t="s">
        <v>50</v>
      </c>
      <c r="F2126" t="s">
        <v>15</v>
      </c>
      <c r="G2126" t="s">
        <v>20</v>
      </c>
      <c r="H2126" t="s">
        <v>53</v>
      </c>
      <c r="I2126">
        <v>3</v>
      </c>
      <c r="J2126">
        <v>0.25</v>
      </c>
      <c r="K2126">
        <v>117.29</v>
      </c>
      <c r="L2126">
        <v>8.25</v>
      </c>
    </row>
    <row r="2127" spans="1:12" x14ac:dyDescent="0.25">
      <c r="A2127" t="s">
        <v>2174</v>
      </c>
      <c r="B2127" s="1">
        <v>45861</v>
      </c>
      <c r="C2127" s="1">
        <v>45863</v>
      </c>
      <c r="D2127" t="s">
        <v>32</v>
      </c>
      <c r="E2127" t="s">
        <v>45</v>
      </c>
      <c r="F2127" t="s">
        <v>15</v>
      </c>
      <c r="G2127" t="s">
        <v>26</v>
      </c>
      <c r="H2127" t="s">
        <v>60</v>
      </c>
      <c r="I2127">
        <v>1</v>
      </c>
      <c r="J2127">
        <v>0</v>
      </c>
      <c r="K2127">
        <v>108.56</v>
      </c>
      <c r="L2127">
        <v>5.75</v>
      </c>
    </row>
    <row r="2128" spans="1:12" x14ac:dyDescent="0.25">
      <c r="A2128" t="s">
        <v>2175</v>
      </c>
      <c r="B2128" s="1">
        <v>45764</v>
      </c>
      <c r="C2128" s="1">
        <v>45767</v>
      </c>
      <c r="D2128" t="s">
        <v>23</v>
      </c>
      <c r="E2128" t="s">
        <v>59</v>
      </c>
      <c r="F2128" t="s">
        <v>25</v>
      </c>
      <c r="G2128" t="s">
        <v>26</v>
      </c>
      <c r="H2128" t="s">
        <v>39</v>
      </c>
      <c r="I2128">
        <v>4</v>
      </c>
      <c r="J2128">
        <v>0.1</v>
      </c>
      <c r="K2128">
        <v>640.49</v>
      </c>
      <c r="L2128">
        <v>5.7</v>
      </c>
    </row>
    <row r="2129" spans="1:12" x14ac:dyDescent="0.25">
      <c r="A2129" t="s">
        <v>2176</v>
      </c>
      <c r="B2129" s="1">
        <v>45980</v>
      </c>
      <c r="C2129" s="1">
        <v>45985</v>
      </c>
      <c r="D2129" t="s">
        <v>23</v>
      </c>
      <c r="E2129" t="s">
        <v>43</v>
      </c>
      <c r="F2129" t="s">
        <v>15</v>
      </c>
      <c r="G2129" t="s">
        <v>26</v>
      </c>
      <c r="H2129" t="s">
        <v>68</v>
      </c>
      <c r="I2129">
        <v>1</v>
      </c>
      <c r="J2129">
        <v>0.05</v>
      </c>
      <c r="K2129">
        <v>66.11</v>
      </c>
      <c r="L2129">
        <v>3.45</v>
      </c>
    </row>
    <row r="2130" spans="1:12" x14ac:dyDescent="0.25">
      <c r="A2130" t="s">
        <v>2177</v>
      </c>
      <c r="B2130" s="1">
        <v>46000</v>
      </c>
      <c r="C2130" s="1">
        <v>46001</v>
      </c>
      <c r="D2130" t="s">
        <v>13</v>
      </c>
      <c r="E2130" t="s">
        <v>19</v>
      </c>
      <c r="F2130" t="s">
        <v>15</v>
      </c>
      <c r="G2130" t="s">
        <v>26</v>
      </c>
      <c r="H2130" t="s">
        <v>27</v>
      </c>
      <c r="I2130">
        <v>11</v>
      </c>
      <c r="J2130">
        <v>0.15</v>
      </c>
      <c r="K2130">
        <v>389.21</v>
      </c>
      <c r="L2130">
        <v>9.4499999999999993</v>
      </c>
    </row>
    <row r="2131" spans="1:12" x14ac:dyDescent="0.25">
      <c r="A2131" t="s">
        <v>2178</v>
      </c>
      <c r="B2131" s="1">
        <v>45494</v>
      </c>
      <c r="C2131" s="1">
        <v>45496</v>
      </c>
      <c r="D2131" t="s">
        <v>13</v>
      </c>
      <c r="E2131" t="s">
        <v>36</v>
      </c>
      <c r="F2131" t="s">
        <v>25</v>
      </c>
      <c r="G2131" t="s">
        <v>26</v>
      </c>
      <c r="H2131" t="s">
        <v>51</v>
      </c>
      <c r="I2131">
        <v>10</v>
      </c>
      <c r="J2131">
        <v>0</v>
      </c>
      <c r="K2131">
        <v>136.55000000000001</v>
      </c>
      <c r="L2131">
        <v>9</v>
      </c>
    </row>
    <row r="2132" spans="1:12" x14ac:dyDescent="0.25">
      <c r="A2132" t="s">
        <v>2179</v>
      </c>
      <c r="B2132" s="1">
        <v>45812</v>
      </c>
      <c r="C2132" s="1">
        <v>45813</v>
      </c>
      <c r="D2132" t="s">
        <v>23</v>
      </c>
      <c r="E2132" t="s">
        <v>59</v>
      </c>
      <c r="F2132" t="s">
        <v>29</v>
      </c>
      <c r="G2132" t="s">
        <v>16</v>
      </c>
      <c r="H2132" t="s">
        <v>68</v>
      </c>
      <c r="I2132">
        <v>3</v>
      </c>
      <c r="J2132">
        <v>0.15</v>
      </c>
      <c r="K2132">
        <v>134.96</v>
      </c>
      <c r="L2132">
        <v>4.95</v>
      </c>
    </row>
    <row r="2133" spans="1:12" x14ac:dyDescent="0.25">
      <c r="A2133" t="s">
        <v>2180</v>
      </c>
      <c r="B2133" s="1">
        <v>45355</v>
      </c>
      <c r="C2133" s="1">
        <v>45361</v>
      </c>
      <c r="D2133" t="s">
        <v>13</v>
      </c>
      <c r="E2133" t="s">
        <v>36</v>
      </c>
      <c r="F2133" t="s">
        <v>15</v>
      </c>
      <c r="G2133" t="s">
        <v>26</v>
      </c>
      <c r="H2133" t="s">
        <v>68</v>
      </c>
      <c r="I2133">
        <v>4</v>
      </c>
      <c r="J2133">
        <v>0</v>
      </c>
      <c r="K2133">
        <v>192.75</v>
      </c>
      <c r="L2133">
        <v>9.5</v>
      </c>
    </row>
    <row r="2134" spans="1:12" x14ac:dyDescent="0.25">
      <c r="A2134" t="s">
        <v>2181</v>
      </c>
      <c r="B2134" s="1">
        <v>45484</v>
      </c>
      <c r="C2134" s="1">
        <v>45485</v>
      </c>
      <c r="D2134" t="s">
        <v>47</v>
      </c>
      <c r="E2134" t="s">
        <v>48</v>
      </c>
      <c r="F2134" t="s">
        <v>15</v>
      </c>
      <c r="G2134" t="s">
        <v>16</v>
      </c>
      <c r="H2134" t="s">
        <v>34</v>
      </c>
      <c r="I2134">
        <v>2</v>
      </c>
      <c r="J2134">
        <v>0.25</v>
      </c>
      <c r="K2134">
        <v>269.16000000000003</v>
      </c>
      <c r="L2134">
        <v>5.46</v>
      </c>
    </row>
    <row r="2135" spans="1:12" x14ac:dyDescent="0.25">
      <c r="A2135" t="s">
        <v>2182</v>
      </c>
      <c r="B2135" s="1">
        <v>45673</v>
      </c>
      <c r="C2135" s="1">
        <v>45674</v>
      </c>
      <c r="D2135" t="s">
        <v>23</v>
      </c>
      <c r="E2135" t="s">
        <v>43</v>
      </c>
      <c r="F2135" t="s">
        <v>29</v>
      </c>
      <c r="G2135" t="s">
        <v>20</v>
      </c>
      <c r="H2135" t="s">
        <v>37</v>
      </c>
      <c r="I2135">
        <v>5</v>
      </c>
      <c r="J2135">
        <v>0.25</v>
      </c>
      <c r="K2135">
        <v>368.05</v>
      </c>
      <c r="L2135">
        <v>16</v>
      </c>
    </row>
    <row r="2136" spans="1:12" x14ac:dyDescent="0.25">
      <c r="A2136" t="s">
        <v>2183</v>
      </c>
      <c r="B2136" s="1">
        <v>45691</v>
      </c>
      <c r="C2136" s="1">
        <v>45692</v>
      </c>
      <c r="D2136" t="s">
        <v>32</v>
      </c>
      <c r="E2136" t="s">
        <v>45</v>
      </c>
      <c r="F2136" t="s">
        <v>25</v>
      </c>
      <c r="G2136" t="s">
        <v>20</v>
      </c>
      <c r="H2136" t="s">
        <v>39</v>
      </c>
      <c r="I2136">
        <v>4</v>
      </c>
      <c r="J2136">
        <v>0</v>
      </c>
      <c r="K2136">
        <v>707.84</v>
      </c>
      <c r="L2136">
        <v>5.7</v>
      </c>
    </row>
    <row r="2137" spans="1:12" x14ac:dyDescent="0.25">
      <c r="A2137" t="s">
        <v>2184</v>
      </c>
      <c r="B2137" s="1">
        <v>45593</v>
      </c>
      <c r="C2137" s="1">
        <v>45599</v>
      </c>
      <c r="D2137" t="s">
        <v>13</v>
      </c>
      <c r="E2137" t="s">
        <v>14</v>
      </c>
      <c r="F2137" t="s">
        <v>25</v>
      </c>
      <c r="G2137" t="s">
        <v>26</v>
      </c>
      <c r="H2137" t="s">
        <v>53</v>
      </c>
      <c r="I2137">
        <v>2</v>
      </c>
      <c r="J2137">
        <v>0</v>
      </c>
      <c r="K2137">
        <v>133.68</v>
      </c>
      <c r="L2137">
        <v>7</v>
      </c>
    </row>
    <row r="2138" spans="1:12" x14ac:dyDescent="0.25">
      <c r="A2138" t="s">
        <v>2185</v>
      </c>
      <c r="B2138" s="1">
        <v>45520</v>
      </c>
      <c r="C2138" s="1">
        <v>45521</v>
      </c>
      <c r="D2138" t="s">
        <v>13</v>
      </c>
      <c r="E2138" t="s">
        <v>36</v>
      </c>
      <c r="F2138" t="s">
        <v>25</v>
      </c>
      <c r="G2138" t="s">
        <v>26</v>
      </c>
      <c r="H2138" t="s">
        <v>41</v>
      </c>
      <c r="I2138">
        <v>6</v>
      </c>
      <c r="J2138">
        <v>0.15</v>
      </c>
      <c r="K2138">
        <v>30.45</v>
      </c>
      <c r="L2138">
        <v>4.32</v>
      </c>
    </row>
    <row r="2139" spans="1:12" x14ac:dyDescent="0.25">
      <c r="A2139" t="s">
        <v>2186</v>
      </c>
      <c r="B2139" s="1">
        <v>45407</v>
      </c>
      <c r="C2139" s="1">
        <v>45411</v>
      </c>
      <c r="D2139" t="s">
        <v>47</v>
      </c>
      <c r="E2139" t="s">
        <v>48</v>
      </c>
      <c r="F2139" t="s">
        <v>29</v>
      </c>
      <c r="G2139" t="s">
        <v>26</v>
      </c>
      <c r="H2139" t="s">
        <v>63</v>
      </c>
      <c r="I2139">
        <v>7</v>
      </c>
      <c r="J2139">
        <v>0</v>
      </c>
      <c r="K2139">
        <v>84.56</v>
      </c>
      <c r="L2139">
        <v>4.59</v>
      </c>
    </row>
    <row r="2140" spans="1:12" x14ac:dyDescent="0.25">
      <c r="A2140" t="s">
        <v>2187</v>
      </c>
      <c r="B2140" s="1">
        <v>45878</v>
      </c>
      <c r="C2140" s="1">
        <v>45884</v>
      </c>
      <c r="D2140" t="s">
        <v>13</v>
      </c>
      <c r="E2140" t="s">
        <v>36</v>
      </c>
      <c r="F2140" t="s">
        <v>25</v>
      </c>
      <c r="G2140" t="s">
        <v>16</v>
      </c>
      <c r="H2140" t="s">
        <v>37</v>
      </c>
      <c r="I2140">
        <v>1</v>
      </c>
      <c r="J2140">
        <v>0</v>
      </c>
      <c r="K2140">
        <v>105.14</v>
      </c>
      <c r="L2140">
        <v>4.08</v>
      </c>
    </row>
    <row r="2141" spans="1:12" x14ac:dyDescent="0.25">
      <c r="A2141" t="s">
        <v>2188</v>
      </c>
      <c r="B2141" s="1">
        <v>45344</v>
      </c>
      <c r="C2141" s="1">
        <v>45350</v>
      </c>
      <c r="D2141" t="s">
        <v>32</v>
      </c>
      <c r="E2141" t="s">
        <v>33</v>
      </c>
      <c r="F2141" t="s">
        <v>25</v>
      </c>
      <c r="G2141" t="s">
        <v>26</v>
      </c>
      <c r="H2141" t="s">
        <v>87</v>
      </c>
      <c r="I2141">
        <v>14</v>
      </c>
      <c r="J2141">
        <v>0</v>
      </c>
      <c r="K2141">
        <v>109.95</v>
      </c>
      <c r="L2141">
        <v>6.48</v>
      </c>
    </row>
    <row r="2142" spans="1:12" x14ac:dyDescent="0.25">
      <c r="A2142" t="s">
        <v>2189</v>
      </c>
      <c r="B2142" s="1">
        <v>45823</v>
      </c>
      <c r="C2142" s="1">
        <v>45829</v>
      </c>
      <c r="D2142" t="s">
        <v>32</v>
      </c>
      <c r="E2142" t="s">
        <v>33</v>
      </c>
      <c r="F2142" t="s">
        <v>15</v>
      </c>
      <c r="G2142" t="s">
        <v>26</v>
      </c>
      <c r="H2142" t="s">
        <v>21</v>
      </c>
      <c r="I2142">
        <v>3</v>
      </c>
      <c r="J2142">
        <v>0</v>
      </c>
      <c r="K2142">
        <v>365.02</v>
      </c>
      <c r="L2142">
        <v>11.4</v>
      </c>
    </row>
    <row r="2143" spans="1:12" x14ac:dyDescent="0.25">
      <c r="A2143" t="s">
        <v>2190</v>
      </c>
      <c r="B2143" s="1">
        <v>45534</v>
      </c>
      <c r="C2143" s="1">
        <v>45535</v>
      </c>
      <c r="D2143" t="s">
        <v>23</v>
      </c>
      <c r="E2143" t="s">
        <v>43</v>
      </c>
      <c r="F2143" t="s">
        <v>25</v>
      </c>
      <c r="G2143" t="s">
        <v>26</v>
      </c>
      <c r="H2143" t="s">
        <v>53</v>
      </c>
      <c r="I2143">
        <v>2</v>
      </c>
      <c r="J2143">
        <v>0</v>
      </c>
      <c r="K2143">
        <v>106.22</v>
      </c>
      <c r="L2143">
        <v>7</v>
      </c>
    </row>
    <row r="2144" spans="1:12" x14ac:dyDescent="0.25">
      <c r="A2144" t="s">
        <v>2191</v>
      </c>
      <c r="B2144" s="1">
        <v>45853</v>
      </c>
      <c r="C2144" s="1">
        <v>45856</v>
      </c>
      <c r="D2144" t="s">
        <v>23</v>
      </c>
      <c r="E2144" t="s">
        <v>59</v>
      </c>
      <c r="F2144" t="s">
        <v>29</v>
      </c>
      <c r="G2144" t="s">
        <v>26</v>
      </c>
      <c r="H2144" t="s">
        <v>30</v>
      </c>
      <c r="I2144">
        <v>6</v>
      </c>
      <c r="J2144">
        <v>0</v>
      </c>
      <c r="K2144">
        <v>31.44</v>
      </c>
      <c r="L2144">
        <v>4.32</v>
      </c>
    </row>
    <row r="2145" spans="1:12" x14ac:dyDescent="0.25">
      <c r="A2145" t="s">
        <v>2192</v>
      </c>
      <c r="B2145" s="1">
        <v>45571</v>
      </c>
      <c r="C2145" s="1">
        <v>45574</v>
      </c>
      <c r="D2145" t="s">
        <v>13</v>
      </c>
      <c r="E2145" t="s">
        <v>19</v>
      </c>
      <c r="F2145" t="s">
        <v>25</v>
      </c>
      <c r="G2145" t="s">
        <v>20</v>
      </c>
      <c r="H2145" t="s">
        <v>68</v>
      </c>
      <c r="I2145">
        <v>3</v>
      </c>
      <c r="J2145">
        <v>0.2</v>
      </c>
      <c r="K2145">
        <v>140.24</v>
      </c>
      <c r="L2145">
        <v>4.95</v>
      </c>
    </row>
    <row r="2146" spans="1:12" x14ac:dyDescent="0.25">
      <c r="A2146" t="s">
        <v>2193</v>
      </c>
      <c r="B2146" s="1">
        <v>45641</v>
      </c>
      <c r="C2146" s="1">
        <v>45642</v>
      </c>
      <c r="D2146" t="s">
        <v>23</v>
      </c>
      <c r="E2146" t="s">
        <v>24</v>
      </c>
      <c r="F2146" t="s">
        <v>29</v>
      </c>
      <c r="G2146" t="s">
        <v>20</v>
      </c>
      <c r="H2146" t="s">
        <v>63</v>
      </c>
      <c r="I2146">
        <v>11</v>
      </c>
      <c r="J2146">
        <v>0</v>
      </c>
      <c r="K2146">
        <v>193.19</v>
      </c>
      <c r="L2146">
        <v>5.67</v>
      </c>
    </row>
    <row r="2147" spans="1:12" x14ac:dyDescent="0.25">
      <c r="A2147" t="s">
        <v>2194</v>
      </c>
      <c r="B2147" s="1">
        <v>45468</v>
      </c>
      <c r="C2147" s="1">
        <v>45473</v>
      </c>
      <c r="D2147" t="s">
        <v>23</v>
      </c>
      <c r="E2147" t="s">
        <v>24</v>
      </c>
      <c r="F2147" t="s">
        <v>25</v>
      </c>
      <c r="G2147" t="s">
        <v>20</v>
      </c>
      <c r="H2147" t="s">
        <v>37</v>
      </c>
      <c r="I2147">
        <v>4</v>
      </c>
      <c r="J2147">
        <v>0</v>
      </c>
      <c r="K2147">
        <v>436.4</v>
      </c>
      <c r="L2147">
        <v>8.2200000000000006</v>
      </c>
    </row>
    <row r="2148" spans="1:12" x14ac:dyDescent="0.25">
      <c r="A2148" t="s">
        <v>2195</v>
      </c>
      <c r="B2148" s="1">
        <v>45851</v>
      </c>
      <c r="C2148" s="1">
        <v>45857</v>
      </c>
      <c r="D2148" t="s">
        <v>13</v>
      </c>
      <c r="E2148" t="s">
        <v>14</v>
      </c>
      <c r="F2148" t="s">
        <v>29</v>
      </c>
      <c r="G2148" t="s">
        <v>16</v>
      </c>
      <c r="H2148" t="s">
        <v>63</v>
      </c>
      <c r="I2148">
        <v>4</v>
      </c>
      <c r="J2148">
        <v>0</v>
      </c>
      <c r="K2148">
        <v>45.09</v>
      </c>
      <c r="L2148">
        <v>6.3</v>
      </c>
    </row>
    <row r="2149" spans="1:12" x14ac:dyDescent="0.25">
      <c r="A2149" t="s">
        <v>2196</v>
      </c>
      <c r="B2149" s="1">
        <v>46001</v>
      </c>
      <c r="C2149" s="1">
        <v>46007</v>
      </c>
      <c r="D2149" t="s">
        <v>23</v>
      </c>
      <c r="E2149" t="s">
        <v>24</v>
      </c>
      <c r="F2149" t="s">
        <v>25</v>
      </c>
      <c r="G2149" t="s">
        <v>20</v>
      </c>
      <c r="H2149" t="s">
        <v>21</v>
      </c>
      <c r="I2149">
        <v>4</v>
      </c>
      <c r="J2149">
        <v>0.15</v>
      </c>
      <c r="K2149">
        <v>552.9</v>
      </c>
      <c r="L2149">
        <v>13.7</v>
      </c>
    </row>
    <row r="2150" spans="1:12" x14ac:dyDescent="0.25">
      <c r="A2150" t="s">
        <v>2197</v>
      </c>
      <c r="B2150" s="1">
        <v>46009</v>
      </c>
      <c r="C2150" s="1">
        <v>46013</v>
      </c>
      <c r="D2150" t="s">
        <v>23</v>
      </c>
      <c r="E2150" t="s">
        <v>43</v>
      </c>
      <c r="F2150" t="s">
        <v>25</v>
      </c>
      <c r="G2150" t="s">
        <v>16</v>
      </c>
      <c r="H2150" t="s">
        <v>27</v>
      </c>
      <c r="I2150">
        <v>12</v>
      </c>
      <c r="J2150">
        <v>0</v>
      </c>
      <c r="K2150">
        <v>468.69</v>
      </c>
      <c r="L2150">
        <v>9.9</v>
      </c>
    </row>
    <row r="2151" spans="1:12" x14ac:dyDescent="0.25">
      <c r="A2151" t="s">
        <v>2198</v>
      </c>
      <c r="B2151" s="1">
        <v>45882</v>
      </c>
      <c r="C2151" s="1">
        <v>45886</v>
      </c>
      <c r="D2151" t="s">
        <v>13</v>
      </c>
      <c r="E2151" t="s">
        <v>36</v>
      </c>
      <c r="F2151" t="s">
        <v>25</v>
      </c>
      <c r="G2151" t="s">
        <v>26</v>
      </c>
      <c r="H2151" t="s">
        <v>34</v>
      </c>
      <c r="I2151">
        <v>2</v>
      </c>
      <c r="J2151">
        <v>0</v>
      </c>
      <c r="K2151">
        <v>396.87</v>
      </c>
      <c r="L2151">
        <v>5.46</v>
      </c>
    </row>
    <row r="2152" spans="1:12" x14ac:dyDescent="0.25">
      <c r="A2152" t="s">
        <v>2199</v>
      </c>
      <c r="B2152" s="1">
        <v>45455</v>
      </c>
      <c r="C2152" s="1">
        <v>45456</v>
      </c>
      <c r="D2152" t="s">
        <v>13</v>
      </c>
      <c r="E2152" t="s">
        <v>19</v>
      </c>
      <c r="F2152" t="s">
        <v>15</v>
      </c>
      <c r="G2152" t="s">
        <v>20</v>
      </c>
      <c r="H2152" t="s">
        <v>41</v>
      </c>
      <c r="I2152">
        <v>7</v>
      </c>
      <c r="J2152">
        <v>0</v>
      </c>
      <c r="K2152">
        <v>42.68</v>
      </c>
      <c r="L2152">
        <v>7.65</v>
      </c>
    </row>
    <row r="2153" spans="1:12" x14ac:dyDescent="0.25">
      <c r="A2153" t="s">
        <v>2200</v>
      </c>
      <c r="B2153" s="1">
        <v>45809</v>
      </c>
      <c r="C2153" s="1">
        <v>45812</v>
      </c>
      <c r="D2153" t="s">
        <v>23</v>
      </c>
      <c r="E2153" t="s">
        <v>43</v>
      </c>
      <c r="F2153" t="s">
        <v>25</v>
      </c>
      <c r="G2153" t="s">
        <v>26</v>
      </c>
      <c r="H2153" t="s">
        <v>63</v>
      </c>
      <c r="I2153">
        <v>9</v>
      </c>
      <c r="J2153">
        <v>0.1</v>
      </c>
      <c r="K2153">
        <v>105.5</v>
      </c>
      <c r="L2153">
        <v>8.5500000000000007</v>
      </c>
    </row>
    <row r="2154" spans="1:12" x14ac:dyDescent="0.25">
      <c r="A2154" t="s">
        <v>2201</v>
      </c>
      <c r="B2154" s="1">
        <v>45455</v>
      </c>
      <c r="C2154" s="1">
        <v>45459</v>
      </c>
      <c r="D2154" t="s">
        <v>32</v>
      </c>
      <c r="E2154" t="s">
        <v>45</v>
      </c>
      <c r="F2154" t="s">
        <v>25</v>
      </c>
      <c r="G2154" t="s">
        <v>20</v>
      </c>
      <c r="H2154" t="s">
        <v>41</v>
      </c>
      <c r="I2154">
        <v>11</v>
      </c>
      <c r="J2154">
        <v>0.1</v>
      </c>
      <c r="K2154">
        <v>62.19</v>
      </c>
      <c r="L2154">
        <v>5.67</v>
      </c>
    </row>
    <row r="2155" spans="1:12" x14ac:dyDescent="0.25">
      <c r="A2155" t="s">
        <v>2202</v>
      </c>
      <c r="B2155" s="1">
        <v>45925</v>
      </c>
      <c r="C2155" s="1">
        <v>45926</v>
      </c>
      <c r="D2155" t="s">
        <v>13</v>
      </c>
      <c r="E2155" t="s">
        <v>19</v>
      </c>
      <c r="F2155" t="s">
        <v>25</v>
      </c>
      <c r="G2155" t="s">
        <v>26</v>
      </c>
      <c r="H2155" t="s">
        <v>51</v>
      </c>
      <c r="I2155">
        <v>9</v>
      </c>
      <c r="J2155">
        <v>0.1</v>
      </c>
      <c r="K2155">
        <v>125.28</v>
      </c>
      <c r="L2155">
        <v>8.5500000000000007</v>
      </c>
    </row>
    <row r="2156" spans="1:12" x14ac:dyDescent="0.25">
      <c r="A2156" t="s">
        <v>2203</v>
      </c>
      <c r="B2156" s="1">
        <v>45536</v>
      </c>
      <c r="C2156" s="1">
        <v>45541</v>
      </c>
      <c r="D2156" t="s">
        <v>23</v>
      </c>
      <c r="E2156" t="s">
        <v>24</v>
      </c>
      <c r="F2156" t="s">
        <v>15</v>
      </c>
      <c r="G2156" t="s">
        <v>26</v>
      </c>
      <c r="H2156" t="s">
        <v>68</v>
      </c>
      <c r="I2156">
        <v>3</v>
      </c>
      <c r="J2156">
        <v>0.2</v>
      </c>
      <c r="K2156">
        <v>130.63999999999999</v>
      </c>
      <c r="L2156">
        <v>4.95</v>
      </c>
    </row>
    <row r="2157" spans="1:12" x14ac:dyDescent="0.25">
      <c r="A2157" t="s">
        <v>2204</v>
      </c>
      <c r="B2157" s="1">
        <v>45795</v>
      </c>
      <c r="C2157" s="1">
        <v>45800</v>
      </c>
      <c r="D2157" t="s">
        <v>13</v>
      </c>
      <c r="E2157" t="s">
        <v>36</v>
      </c>
      <c r="F2157" t="s">
        <v>29</v>
      </c>
      <c r="G2157" t="s">
        <v>16</v>
      </c>
      <c r="H2157" t="s">
        <v>34</v>
      </c>
      <c r="I2157">
        <v>4</v>
      </c>
      <c r="J2157">
        <v>0</v>
      </c>
      <c r="K2157">
        <v>881.04</v>
      </c>
      <c r="L2157">
        <v>13.7</v>
      </c>
    </row>
    <row r="2158" spans="1:12" x14ac:dyDescent="0.25">
      <c r="A2158" t="s">
        <v>2205</v>
      </c>
      <c r="B2158" s="1">
        <v>45661</v>
      </c>
      <c r="C2158" s="1">
        <v>45662</v>
      </c>
      <c r="D2158" t="s">
        <v>13</v>
      </c>
      <c r="E2158" t="s">
        <v>19</v>
      </c>
      <c r="F2158" t="s">
        <v>15</v>
      </c>
      <c r="G2158" t="s">
        <v>20</v>
      </c>
      <c r="H2158" t="s">
        <v>27</v>
      </c>
      <c r="I2158">
        <v>8</v>
      </c>
      <c r="J2158">
        <v>0.1</v>
      </c>
      <c r="K2158">
        <v>165.81</v>
      </c>
      <c r="L2158">
        <v>8.1</v>
      </c>
    </row>
    <row r="2159" spans="1:12" x14ac:dyDescent="0.25">
      <c r="A2159" t="s">
        <v>2206</v>
      </c>
      <c r="B2159" s="1">
        <v>45538</v>
      </c>
      <c r="C2159" s="1">
        <v>45539</v>
      </c>
      <c r="D2159" t="s">
        <v>13</v>
      </c>
      <c r="E2159" t="s">
        <v>14</v>
      </c>
      <c r="F2159" t="s">
        <v>15</v>
      </c>
      <c r="G2159" t="s">
        <v>26</v>
      </c>
      <c r="H2159" t="s">
        <v>17</v>
      </c>
      <c r="I2159">
        <v>2</v>
      </c>
      <c r="J2159">
        <v>0</v>
      </c>
      <c r="K2159">
        <v>268.91000000000003</v>
      </c>
      <c r="L2159">
        <v>4.2</v>
      </c>
    </row>
    <row r="2160" spans="1:12" x14ac:dyDescent="0.25">
      <c r="A2160" t="s">
        <v>2207</v>
      </c>
      <c r="B2160" s="1">
        <v>45859</v>
      </c>
      <c r="C2160" s="1">
        <v>45862</v>
      </c>
      <c r="D2160" t="s">
        <v>23</v>
      </c>
      <c r="E2160" t="s">
        <v>24</v>
      </c>
      <c r="F2160" t="s">
        <v>25</v>
      </c>
      <c r="G2160" t="s">
        <v>26</v>
      </c>
      <c r="H2160" t="s">
        <v>30</v>
      </c>
      <c r="I2160">
        <v>13</v>
      </c>
      <c r="J2160">
        <v>0.15</v>
      </c>
      <c r="K2160">
        <v>58.06</v>
      </c>
      <c r="L2160">
        <v>10.35</v>
      </c>
    </row>
    <row r="2161" spans="1:12" x14ac:dyDescent="0.25">
      <c r="A2161" t="s">
        <v>2208</v>
      </c>
      <c r="B2161" s="1">
        <v>45424</v>
      </c>
      <c r="C2161" s="1">
        <v>45429</v>
      </c>
      <c r="D2161" t="s">
        <v>23</v>
      </c>
      <c r="E2161" t="s">
        <v>43</v>
      </c>
      <c r="F2161" t="s">
        <v>29</v>
      </c>
      <c r="G2161" t="s">
        <v>16</v>
      </c>
      <c r="H2161" t="s">
        <v>21</v>
      </c>
      <c r="I2161">
        <v>4</v>
      </c>
      <c r="J2161">
        <v>0</v>
      </c>
      <c r="K2161">
        <v>480.82</v>
      </c>
      <c r="L2161">
        <v>8.2200000000000006</v>
      </c>
    </row>
    <row r="2162" spans="1:12" x14ac:dyDescent="0.25">
      <c r="A2162" t="s">
        <v>2209</v>
      </c>
      <c r="B2162" s="1">
        <v>45814</v>
      </c>
      <c r="C2162" s="1">
        <v>45818</v>
      </c>
      <c r="D2162" t="s">
        <v>23</v>
      </c>
      <c r="E2162" t="s">
        <v>43</v>
      </c>
      <c r="F2162" t="s">
        <v>25</v>
      </c>
      <c r="G2162" t="s">
        <v>16</v>
      </c>
      <c r="H2162" t="s">
        <v>63</v>
      </c>
      <c r="I2162">
        <v>13</v>
      </c>
      <c r="J2162">
        <v>0</v>
      </c>
      <c r="K2162">
        <v>168.38</v>
      </c>
      <c r="L2162">
        <v>6.21</v>
      </c>
    </row>
    <row r="2163" spans="1:12" x14ac:dyDescent="0.25">
      <c r="A2163" t="s">
        <v>2210</v>
      </c>
      <c r="B2163" s="1">
        <v>45730</v>
      </c>
      <c r="C2163" s="1">
        <v>45732</v>
      </c>
      <c r="D2163" t="s">
        <v>13</v>
      </c>
      <c r="E2163" t="s">
        <v>14</v>
      </c>
      <c r="F2163" t="s">
        <v>29</v>
      </c>
      <c r="G2163" t="s">
        <v>16</v>
      </c>
      <c r="H2163" t="s">
        <v>63</v>
      </c>
      <c r="I2163">
        <v>3</v>
      </c>
      <c r="J2163">
        <v>0</v>
      </c>
      <c r="K2163">
        <v>35.479999999999997</v>
      </c>
      <c r="L2163">
        <v>3.51</v>
      </c>
    </row>
    <row r="2164" spans="1:12" x14ac:dyDescent="0.25">
      <c r="A2164" t="s">
        <v>2211</v>
      </c>
      <c r="B2164" s="1">
        <v>45751</v>
      </c>
      <c r="C2164" s="1">
        <v>45756</v>
      </c>
      <c r="D2164" t="s">
        <v>23</v>
      </c>
      <c r="E2164" t="s">
        <v>59</v>
      </c>
      <c r="F2164" t="s">
        <v>15</v>
      </c>
      <c r="G2164" t="s">
        <v>16</v>
      </c>
      <c r="H2164" t="s">
        <v>21</v>
      </c>
      <c r="I2164">
        <v>2</v>
      </c>
      <c r="J2164">
        <v>0.25</v>
      </c>
      <c r="K2164">
        <v>161.47</v>
      </c>
      <c r="L2164">
        <v>5.46</v>
      </c>
    </row>
    <row r="2165" spans="1:12" x14ac:dyDescent="0.25">
      <c r="A2165" t="s">
        <v>2212</v>
      </c>
      <c r="B2165" s="1">
        <v>45309</v>
      </c>
      <c r="C2165" s="1">
        <v>45314</v>
      </c>
      <c r="D2165" t="s">
        <v>23</v>
      </c>
      <c r="E2165" t="s">
        <v>43</v>
      </c>
      <c r="F2165" t="s">
        <v>29</v>
      </c>
      <c r="G2165" t="s">
        <v>20</v>
      </c>
      <c r="H2165" t="s">
        <v>41</v>
      </c>
      <c r="I2165">
        <v>11</v>
      </c>
      <c r="J2165">
        <v>0</v>
      </c>
      <c r="K2165">
        <v>59.33</v>
      </c>
      <c r="L2165">
        <v>9.4499999999999993</v>
      </c>
    </row>
    <row r="2166" spans="1:12" x14ac:dyDescent="0.25">
      <c r="A2166" t="s">
        <v>2213</v>
      </c>
      <c r="B2166" s="1">
        <v>45622</v>
      </c>
      <c r="C2166" s="1">
        <v>45625</v>
      </c>
      <c r="D2166" t="s">
        <v>47</v>
      </c>
      <c r="E2166" t="s">
        <v>50</v>
      </c>
      <c r="F2166" t="s">
        <v>25</v>
      </c>
      <c r="G2166" t="s">
        <v>26</v>
      </c>
      <c r="H2166" t="s">
        <v>34</v>
      </c>
      <c r="I2166">
        <v>4</v>
      </c>
      <c r="J2166">
        <v>0.15</v>
      </c>
      <c r="K2166">
        <v>974.77</v>
      </c>
      <c r="L2166">
        <v>8.2200000000000006</v>
      </c>
    </row>
    <row r="2167" spans="1:12" x14ac:dyDescent="0.25">
      <c r="A2167" t="s">
        <v>2214</v>
      </c>
      <c r="B2167" s="1">
        <v>45385</v>
      </c>
      <c r="C2167" s="1">
        <v>45387</v>
      </c>
      <c r="D2167" t="s">
        <v>32</v>
      </c>
      <c r="E2167" t="s">
        <v>45</v>
      </c>
      <c r="F2167" t="s">
        <v>29</v>
      </c>
      <c r="G2167" t="s">
        <v>26</v>
      </c>
      <c r="H2167" t="s">
        <v>37</v>
      </c>
      <c r="I2167">
        <v>2</v>
      </c>
      <c r="J2167">
        <v>0</v>
      </c>
      <c r="K2167">
        <v>202.78</v>
      </c>
      <c r="L2167">
        <v>5.46</v>
      </c>
    </row>
    <row r="2168" spans="1:12" x14ac:dyDescent="0.25">
      <c r="A2168" t="s">
        <v>2215</v>
      </c>
      <c r="B2168" s="1">
        <v>45465</v>
      </c>
      <c r="C2168" s="1">
        <v>45469</v>
      </c>
      <c r="D2168" t="s">
        <v>23</v>
      </c>
      <c r="E2168" t="s">
        <v>43</v>
      </c>
      <c r="F2168" t="s">
        <v>29</v>
      </c>
      <c r="G2168" t="s">
        <v>16</v>
      </c>
      <c r="H2168" t="s">
        <v>41</v>
      </c>
      <c r="I2168">
        <v>11</v>
      </c>
      <c r="J2168">
        <v>0.2</v>
      </c>
      <c r="K2168">
        <v>58.99</v>
      </c>
      <c r="L2168">
        <v>9.4499999999999993</v>
      </c>
    </row>
    <row r="2169" spans="1:12" x14ac:dyDescent="0.25">
      <c r="A2169" t="s">
        <v>2216</v>
      </c>
      <c r="B2169" s="1">
        <v>45653</v>
      </c>
      <c r="C2169" s="1">
        <v>45656</v>
      </c>
      <c r="D2169" t="s">
        <v>13</v>
      </c>
      <c r="E2169" t="s">
        <v>19</v>
      </c>
      <c r="F2169" t="s">
        <v>29</v>
      </c>
      <c r="G2169" t="s">
        <v>16</v>
      </c>
      <c r="H2169" t="s">
        <v>27</v>
      </c>
      <c r="I2169">
        <v>22</v>
      </c>
      <c r="J2169">
        <v>0.15</v>
      </c>
      <c r="K2169">
        <v>764.35</v>
      </c>
      <c r="L2169">
        <v>8.64</v>
      </c>
    </row>
    <row r="2170" spans="1:12" x14ac:dyDescent="0.25">
      <c r="A2170" t="s">
        <v>2217</v>
      </c>
      <c r="B2170" s="1">
        <v>46012</v>
      </c>
      <c r="C2170" s="1">
        <v>46014</v>
      </c>
      <c r="D2170" t="s">
        <v>13</v>
      </c>
      <c r="E2170" t="s">
        <v>14</v>
      </c>
      <c r="F2170" t="s">
        <v>15</v>
      </c>
      <c r="G2170" t="s">
        <v>16</v>
      </c>
      <c r="H2170" t="s">
        <v>51</v>
      </c>
      <c r="I2170">
        <v>8</v>
      </c>
      <c r="J2170">
        <v>0.05</v>
      </c>
      <c r="K2170">
        <v>162.56</v>
      </c>
      <c r="L2170">
        <v>4.8600000000000003</v>
      </c>
    </row>
    <row r="2171" spans="1:12" x14ac:dyDescent="0.25">
      <c r="A2171" t="s">
        <v>2218</v>
      </c>
      <c r="B2171" s="1">
        <v>45476</v>
      </c>
      <c r="C2171" s="1">
        <v>45481</v>
      </c>
      <c r="D2171" t="s">
        <v>32</v>
      </c>
      <c r="E2171" t="s">
        <v>45</v>
      </c>
      <c r="F2171" t="s">
        <v>29</v>
      </c>
      <c r="G2171" t="s">
        <v>26</v>
      </c>
      <c r="H2171" t="s">
        <v>87</v>
      </c>
      <c r="I2171">
        <v>10</v>
      </c>
      <c r="J2171">
        <v>0</v>
      </c>
      <c r="K2171">
        <v>79.319999999999993</v>
      </c>
      <c r="L2171">
        <v>9</v>
      </c>
    </row>
    <row r="2172" spans="1:12" x14ac:dyDescent="0.25">
      <c r="A2172" t="s">
        <v>2219</v>
      </c>
      <c r="B2172" s="1">
        <v>45695</v>
      </c>
      <c r="C2172" s="1">
        <v>45701</v>
      </c>
      <c r="D2172" t="s">
        <v>47</v>
      </c>
      <c r="E2172" t="s">
        <v>71</v>
      </c>
      <c r="F2172" t="s">
        <v>15</v>
      </c>
      <c r="G2172" t="s">
        <v>26</v>
      </c>
      <c r="H2172" t="s">
        <v>68</v>
      </c>
      <c r="I2172">
        <v>1</v>
      </c>
      <c r="J2172">
        <v>0</v>
      </c>
      <c r="K2172">
        <v>43.97</v>
      </c>
      <c r="L2172">
        <v>3.45</v>
      </c>
    </row>
    <row r="2173" spans="1:12" x14ac:dyDescent="0.25">
      <c r="A2173" t="s">
        <v>2220</v>
      </c>
      <c r="B2173" s="1">
        <v>45439</v>
      </c>
      <c r="C2173" s="1">
        <v>45445</v>
      </c>
      <c r="D2173" t="s">
        <v>32</v>
      </c>
      <c r="E2173" t="s">
        <v>62</v>
      </c>
      <c r="F2173" t="s">
        <v>15</v>
      </c>
      <c r="G2173" t="s">
        <v>20</v>
      </c>
      <c r="H2173" t="s">
        <v>27</v>
      </c>
      <c r="I2173">
        <v>13</v>
      </c>
      <c r="J2173">
        <v>0</v>
      </c>
      <c r="K2173">
        <v>370.26</v>
      </c>
      <c r="L2173">
        <v>6.21</v>
      </c>
    </row>
    <row r="2174" spans="1:12" x14ac:dyDescent="0.25">
      <c r="A2174" t="s">
        <v>2221</v>
      </c>
      <c r="B2174" s="1">
        <v>46004</v>
      </c>
      <c r="C2174" s="1">
        <v>46008</v>
      </c>
      <c r="D2174" t="s">
        <v>13</v>
      </c>
      <c r="E2174" t="s">
        <v>19</v>
      </c>
      <c r="F2174" t="s">
        <v>25</v>
      </c>
      <c r="G2174" t="s">
        <v>26</v>
      </c>
      <c r="H2174" t="s">
        <v>65</v>
      </c>
      <c r="I2174">
        <v>4</v>
      </c>
      <c r="J2174">
        <v>0</v>
      </c>
      <c r="K2174">
        <v>1714.39</v>
      </c>
      <c r="L2174">
        <v>8.2200000000000006</v>
      </c>
    </row>
    <row r="2175" spans="1:12" x14ac:dyDescent="0.25">
      <c r="A2175" t="s">
        <v>2222</v>
      </c>
      <c r="B2175" s="1">
        <v>45382</v>
      </c>
      <c r="C2175" s="1">
        <v>45387</v>
      </c>
      <c r="D2175" t="s">
        <v>13</v>
      </c>
      <c r="E2175" t="s">
        <v>19</v>
      </c>
      <c r="F2175" t="s">
        <v>15</v>
      </c>
      <c r="G2175" t="s">
        <v>16</v>
      </c>
      <c r="H2175" t="s">
        <v>41</v>
      </c>
      <c r="I2175">
        <v>8</v>
      </c>
      <c r="J2175">
        <v>0</v>
      </c>
      <c r="K2175">
        <v>44.35</v>
      </c>
      <c r="L2175">
        <v>4.8600000000000003</v>
      </c>
    </row>
    <row r="2176" spans="1:12" x14ac:dyDescent="0.25">
      <c r="A2176" t="s">
        <v>2223</v>
      </c>
      <c r="B2176" s="1">
        <v>45708</v>
      </c>
      <c r="C2176" s="1">
        <v>45713</v>
      </c>
      <c r="D2176" t="s">
        <v>23</v>
      </c>
      <c r="E2176" t="s">
        <v>24</v>
      </c>
      <c r="F2176" t="s">
        <v>25</v>
      </c>
      <c r="G2176" t="s">
        <v>26</v>
      </c>
      <c r="H2176" t="s">
        <v>34</v>
      </c>
      <c r="I2176">
        <v>3</v>
      </c>
      <c r="J2176">
        <v>0</v>
      </c>
      <c r="K2176">
        <v>578.29999999999995</v>
      </c>
      <c r="L2176">
        <v>6.84</v>
      </c>
    </row>
    <row r="2177" spans="1:12" x14ac:dyDescent="0.25">
      <c r="A2177" t="s">
        <v>2224</v>
      </c>
      <c r="B2177" s="1">
        <v>45681</v>
      </c>
      <c r="C2177" s="1">
        <v>45685</v>
      </c>
      <c r="D2177" t="s">
        <v>32</v>
      </c>
      <c r="E2177" t="s">
        <v>33</v>
      </c>
      <c r="F2177" t="s">
        <v>25</v>
      </c>
      <c r="G2177" t="s">
        <v>20</v>
      </c>
      <c r="H2177" t="s">
        <v>17</v>
      </c>
      <c r="I2177">
        <v>4</v>
      </c>
      <c r="J2177">
        <v>0</v>
      </c>
      <c r="K2177">
        <v>420.03</v>
      </c>
      <c r="L2177">
        <v>5.7</v>
      </c>
    </row>
    <row r="2178" spans="1:12" x14ac:dyDescent="0.25">
      <c r="A2178" t="s">
        <v>2225</v>
      </c>
      <c r="B2178" s="1">
        <v>45596</v>
      </c>
      <c r="C2178" s="1">
        <v>45602</v>
      </c>
      <c r="D2178" t="s">
        <v>23</v>
      </c>
      <c r="E2178" t="s">
        <v>24</v>
      </c>
      <c r="F2178" t="s">
        <v>15</v>
      </c>
      <c r="G2178" t="s">
        <v>16</v>
      </c>
      <c r="H2178" t="s">
        <v>30</v>
      </c>
      <c r="I2178">
        <v>14</v>
      </c>
      <c r="J2178">
        <v>0.1</v>
      </c>
      <c r="K2178">
        <v>87.99</v>
      </c>
      <c r="L2178">
        <v>6.48</v>
      </c>
    </row>
    <row r="2179" spans="1:12" x14ac:dyDescent="0.25">
      <c r="A2179" t="s">
        <v>2226</v>
      </c>
      <c r="B2179" s="1">
        <v>45568</v>
      </c>
      <c r="C2179" s="1">
        <v>45570</v>
      </c>
      <c r="D2179" t="s">
        <v>32</v>
      </c>
      <c r="E2179" t="s">
        <v>33</v>
      </c>
      <c r="F2179" t="s">
        <v>15</v>
      </c>
      <c r="G2179" t="s">
        <v>20</v>
      </c>
      <c r="H2179" t="s">
        <v>60</v>
      </c>
      <c r="I2179">
        <v>1</v>
      </c>
      <c r="J2179">
        <v>0</v>
      </c>
      <c r="K2179">
        <v>122.97</v>
      </c>
      <c r="L2179">
        <v>3.45</v>
      </c>
    </row>
    <row r="2180" spans="1:12" x14ac:dyDescent="0.25">
      <c r="A2180" t="s">
        <v>2227</v>
      </c>
      <c r="B2180" s="1">
        <v>45510</v>
      </c>
      <c r="C2180" s="1">
        <v>45516</v>
      </c>
      <c r="D2180" t="s">
        <v>13</v>
      </c>
      <c r="E2180" t="s">
        <v>36</v>
      </c>
      <c r="F2180" t="s">
        <v>25</v>
      </c>
      <c r="G2180" t="s">
        <v>20</v>
      </c>
      <c r="H2180" t="s">
        <v>39</v>
      </c>
      <c r="I2180">
        <v>4</v>
      </c>
      <c r="J2180">
        <v>0.15</v>
      </c>
      <c r="K2180">
        <v>631.73</v>
      </c>
      <c r="L2180">
        <v>5.7</v>
      </c>
    </row>
    <row r="2181" spans="1:12" x14ac:dyDescent="0.25">
      <c r="A2181" t="s">
        <v>2228</v>
      </c>
      <c r="B2181" s="1">
        <v>45612</v>
      </c>
      <c r="C2181" s="1">
        <v>45618</v>
      </c>
      <c r="D2181" t="s">
        <v>23</v>
      </c>
      <c r="E2181" t="s">
        <v>24</v>
      </c>
      <c r="F2181" t="s">
        <v>15</v>
      </c>
      <c r="G2181" t="s">
        <v>20</v>
      </c>
      <c r="H2181" t="s">
        <v>30</v>
      </c>
      <c r="I2181">
        <v>5</v>
      </c>
      <c r="J2181">
        <v>0</v>
      </c>
      <c r="K2181">
        <v>41.07</v>
      </c>
      <c r="L2181">
        <v>4.05</v>
      </c>
    </row>
    <row r="2182" spans="1:12" x14ac:dyDescent="0.25">
      <c r="A2182" t="s">
        <v>2229</v>
      </c>
      <c r="B2182" s="1">
        <v>45661</v>
      </c>
      <c r="C2182" s="1">
        <v>45665</v>
      </c>
      <c r="D2182" t="s">
        <v>13</v>
      </c>
      <c r="E2182" t="s">
        <v>19</v>
      </c>
      <c r="F2182" t="s">
        <v>15</v>
      </c>
      <c r="G2182" t="s">
        <v>26</v>
      </c>
      <c r="H2182" t="s">
        <v>51</v>
      </c>
      <c r="I2182">
        <v>14</v>
      </c>
      <c r="J2182">
        <v>0.25</v>
      </c>
      <c r="K2182">
        <v>132.1</v>
      </c>
      <c r="L2182">
        <v>6.48</v>
      </c>
    </row>
    <row r="2183" spans="1:12" x14ac:dyDescent="0.25">
      <c r="A2183" t="s">
        <v>2230</v>
      </c>
      <c r="B2183" s="1">
        <v>45364</v>
      </c>
      <c r="C2183" s="1">
        <v>45365</v>
      </c>
      <c r="D2183" t="s">
        <v>32</v>
      </c>
      <c r="E2183" t="s">
        <v>62</v>
      </c>
      <c r="F2183" t="s">
        <v>29</v>
      </c>
      <c r="G2183" t="s">
        <v>16</v>
      </c>
      <c r="H2183" t="s">
        <v>68</v>
      </c>
      <c r="I2183">
        <v>3</v>
      </c>
      <c r="J2183">
        <v>0.25</v>
      </c>
      <c r="K2183">
        <v>103.3</v>
      </c>
      <c r="L2183">
        <v>8.25</v>
      </c>
    </row>
    <row r="2184" spans="1:12" x14ac:dyDescent="0.25">
      <c r="A2184" t="s">
        <v>2231</v>
      </c>
      <c r="B2184" s="1">
        <v>45458</v>
      </c>
      <c r="C2184" s="1">
        <v>45460</v>
      </c>
      <c r="D2184" t="s">
        <v>47</v>
      </c>
      <c r="E2184" t="s">
        <v>50</v>
      </c>
      <c r="F2184" t="s">
        <v>25</v>
      </c>
      <c r="G2184" t="s">
        <v>16</v>
      </c>
      <c r="H2184" t="s">
        <v>37</v>
      </c>
      <c r="I2184">
        <v>2</v>
      </c>
      <c r="J2184">
        <v>0</v>
      </c>
      <c r="K2184">
        <v>217.13</v>
      </c>
      <c r="L2184">
        <v>5.46</v>
      </c>
    </row>
    <row r="2185" spans="1:12" x14ac:dyDescent="0.25">
      <c r="A2185" t="s">
        <v>2232</v>
      </c>
      <c r="B2185" s="1">
        <v>45846</v>
      </c>
      <c r="C2185" s="1">
        <v>45848</v>
      </c>
      <c r="D2185" t="s">
        <v>47</v>
      </c>
      <c r="E2185" t="s">
        <v>50</v>
      </c>
      <c r="F2185" t="s">
        <v>15</v>
      </c>
      <c r="G2185" t="s">
        <v>16</v>
      </c>
      <c r="H2185" t="s">
        <v>37</v>
      </c>
      <c r="I2185">
        <v>3</v>
      </c>
      <c r="J2185">
        <v>0.2</v>
      </c>
      <c r="K2185">
        <v>232.45</v>
      </c>
      <c r="L2185">
        <v>11.4</v>
      </c>
    </row>
    <row r="2186" spans="1:12" x14ac:dyDescent="0.25">
      <c r="A2186" t="s">
        <v>2233</v>
      </c>
      <c r="B2186" s="1">
        <v>45951</v>
      </c>
      <c r="C2186" s="1">
        <v>45957</v>
      </c>
      <c r="D2186" t="s">
        <v>13</v>
      </c>
      <c r="E2186" t="s">
        <v>14</v>
      </c>
      <c r="F2186" t="s">
        <v>25</v>
      </c>
      <c r="G2186" t="s">
        <v>26</v>
      </c>
      <c r="H2186" t="s">
        <v>87</v>
      </c>
      <c r="I2186">
        <v>10</v>
      </c>
      <c r="J2186">
        <v>0</v>
      </c>
      <c r="K2186">
        <v>90.99</v>
      </c>
      <c r="L2186">
        <v>5.4</v>
      </c>
    </row>
    <row r="2187" spans="1:12" x14ac:dyDescent="0.25">
      <c r="A2187" t="s">
        <v>2234</v>
      </c>
      <c r="B2187" s="1">
        <v>45544</v>
      </c>
      <c r="C2187" s="1">
        <v>45550</v>
      </c>
      <c r="D2187" t="s">
        <v>23</v>
      </c>
      <c r="E2187" t="s">
        <v>24</v>
      </c>
      <c r="F2187" t="s">
        <v>29</v>
      </c>
      <c r="G2187" t="s">
        <v>16</v>
      </c>
      <c r="H2187" t="s">
        <v>27</v>
      </c>
      <c r="I2187">
        <v>12</v>
      </c>
      <c r="J2187">
        <v>0</v>
      </c>
      <c r="K2187">
        <v>349.38</v>
      </c>
      <c r="L2187">
        <v>5.94</v>
      </c>
    </row>
    <row r="2188" spans="1:12" x14ac:dyDescent="0.25">
      <c r="A2188" t="s">
        <v>2235</v>
      </c>
      <c r="B2188" s="1">
        <v>45447</v>
      </c>
      <c r="C2188" s="1">
        <v>45448</v>
      </c>
      <c r="D2188" t="s">
        <v>13</v>
      </c>
      <c r="E2188" t="s">
        <v>36</v>
      </c>
      <c r="F2188" t="s">
        <v>25</v>
      </c>
      <c r="G2188" t="s">
        <v>16</v>
      </c>
      <c r="H2188" t="s">
        <v>34</v>
      </c>
      <c r="I2188">
        <v>1</v>
      </c>
      <c r="J2188">
        <v>0.1</v>
      </c>
      <c r="K2188">
        <v>196.64</v>
      </c>
      <c r="L2188">
        <v>4.08</v>
      </c>
    </row>
    <row r="2189" spans="1:12" x14ac:dyDescent="0.25">
      <c r="A2189" t="s">
        <v>2236</v>
      </c>
      <c r="B2189" s="1">
        <v>45368</v>
      </c>
      <c r="C2189" s="1">
        <v>45372</v>
      </c>
      <c r="D2189" t="s">
        <v>13</v>
      </c>
      <c r="E2189" t="s">
        <v>19</v>
      </c>
      <c r="F2189" t="s">
        <v>25</v>
      </c>
      <c r="G2189" t="s">
        <v>20</v>
      </c>
      <c r="H2189" t="s">
        <v>34</v>
      </c>
      <c r="I2189">
        <v>2</v>
      </c>
      <c r="J2189">
        <v>0</v>
      </c>
      <c r="K2189">
        <v>393.58</v>
      </c>
      <c r="L2189">
        <v>9.1</v>
      </c>
    </row>
    <row r="2190" spans="1:12" x14ac:dyDescent="0.25">
      <c r="A2190" t="s">
        <v>2237</v>
      </c>
      <c r="B2190" s="1">
        <v>45839</v>
      </c>
      <c r="C2190" s="1">
        <v>45842</v>
      </c>
      <c r="D2190" t="s">
        <v>47</v>
      </c>
      <c r="E2190" t="s">
        <v>71</v>
      </c>
      <c r="F2190" t="s">
        <v>25</v>
      </c>
      <c r="G2190" t="s">
        <v>26</v>
      </c>
      <c r="H2190" t="s">
        <v>41</v>
      </c>
      <c r="I2190">
        <v>23</v>
      </c>
      <c r="J2190">
        <v>0</v>
      </c>
      <c r="K2190">
        <v>128.15</v>
      </c>
      <c r="L2190">
        <v>8.91</v>
      </c>
    </row>
    <row r="2191" spans="1:12" x14ac:dyDescent="0.25">
      <c r="A2191" t="s">
        <v>2238</v>
      </c>
      <c r="B2191" s="1">
        <v>45621</v>
      </c>
      <c r="C2191" s="1">
        <v>45626</v>
      </c>
      <c r="D2191" t="s">
        <v>13</v>
      </c>
      <c r="E2191" t="s">
        <v>36</v>
      </c>
      <c r="F2191" t="s">
        <v>25</v>
      </c>
      <c r="G2191" t="s">
        <v>16</v>
      </c>
      <c r="H2191" t="s">
        <v>17</v>
      </c>
      <c r="I2191">
        <v>2</v>
      </c>
      <c r="J2191">
        <v>0</v>
      </c>
      <c r="K2191">
        <v>325.77999999999997</v>
      </c>
      <c r="L2191">
        <v>7</v>
      </c>
    </row>
    <row r="2192" spans="1:12" x14ac:dyDescent="0.25">
      <c r="A2192" t="s">
        <v>2239</v>
      </c>
      <c r="B2192" s="1">
        <v>45427</v>
      </c>
      <c r="C2192" s="1">
        <v>45430</v>
      </c>
      <c r="D2192" t="s">
        <v>47</v>
      </c>
      <c r="E2192" t="s">
        <v>48</v>
      </c>
      <c r="F2192" t="s">
        <v>29</v>
      </c>
      <c r="G2192" t="s">
        <v>26</v>
      </c>
      <c r="H2192" t="s">
        <v>39</v>
      </c>
      <c r="I2192">
        <v>3</v>
      </c>
      <c r="J2192">
        <v>0</v>
      </c>
      <c r="K2192">
        <v>582.96</v>
      </c>
      <c r="L2192">
        <v>4.95</v>
      </c>
    </row>
    <row r="2193" spans="1:12" x14ac:dyDescent="0.25">
      <c r="A2193" t="s">
        <v>2240</v>
      </c>
      <c r="B2193" s="1">
        <v>45525</v>
      </c>
      <c r="C2193" s="1">
        <v>45526</v>
      </c>
      <c r="D2193" t="s">
        <v>47</v>
      </c>
      <c r="E2193" t="s">
        <v>50</v>
      </c>
      <c r="F2193" t="s">
        <v>29</v>
      </c>
      <c r="G2193" t="s">
        <v>26</v>
      </c>
      <c r="H2193" t="s">
        <v>87</v>
      </c>
      <c r="I2193">
        <v>6</v>
      </c>
      <c r="J2193">
        <v>0</v>
      </c>
      <c r="K2193">
        <v>44.5</v>
      </c>
      <c r="L2193">
        <v>4.32</v>
      </c>
    </row>
    <row r="2194" spans="1:12" x14ac:dyDescent="0.25">
      <c r="A2194" t="s">
        <v>2241</v>
      </c>
      <c r="B2194" s="1">
        <v>45717</v>
      </c>
      <c r="C2194" s="1">
        <v>45723</v>
      </c>
      <c r="D2194" t="s">
        <v>47</v>
      </c>
      <c r="E2194" t="s">
        <v>71</v>
      </c>
      <c r="F2194" t="s">
        <v>25</v>
      </c>
      <c r="G2194" t="s">
        <v>26</v>
      </c>
      <c r="H2194" t="s">
        <v>30</v>
      </c>
      <c r="I2194">
        <v>10</v>
      </c>
      <c r="J2194">
        <v>0</v>
      </c>
      <c r="K2194">
        <v>56.54</v>
      </c>
      <c r="L2194">
        <v>5.4</v>
      </c>
    </row>
    <row r="2195" spans="1:12" x14ac:dyDescent="0.25">
      <c r="A2195" t="s">
        <v>2242</v>
      </c>
      <c r="B2195" s="1">
        <v>45495</v>
      </c>
      <c r="C2195" s="1">
        <v>45500</v>
      </c>
      <c r="D2195" t="s">
        <v>23</v>
      </c>
      <c r="E2195" t="s">
        <v>59</v>
      </c>
      <c r="F2195" t="s">
        <v>29</v>
      </c>
      <c r="G2195" t="s">
        <v>20</v>
      </c>
      <c r="H2195" t="s">
        <v>51</v>
      </c>
      <c r="I2195">
        <v>8</v>
      </c>
      <c r="J2195">
        <v>0</v>
      </c>
      <c r="K2195">
        <v>102.75</v>
      </c>
      <c r="L2195">
        <v>4.8600000000000003</v>
      </c>
    </row>
    <row r="2196" spans="1:12" x14ac:dyDescent="0.25">
      <c r="A2196" t="s">
        <v>2243</v>
      </c>
      <c r="B2196" s="1">
        <v>45916</v>
      </c>
      <c r="C2196" s="1">
        <v>45918</v>
      </c>
      <c r="D2196" t="s">
        <v>47</v>
      </c>
      <c r="E2196" t="s">
        <v>71</v>
      </c>
      <c r="F2196" t="s">
        <v>29</v>
      </c>
      <c r="G2196" t="s">
        <v>20</v>
      </c>
      <c r="H2196" t="s">
        <v>39</v>
      </c>
      <c r="I2196">
        <v>1</v>
      </c>
      <c r="J2196">
        <v>0</v>
      </c>
      <c r="K2196">
        <v>200.71</v>
      </c>
      <c r="L2196">
        <v>5.75</v>
      </c>
    </row>
    <row r="2197" spans="1:12" x14ac:dyDescent="0.25">
      <c r="A2197" t="s">
        <v>2244</v>
      </c>
      <c r="B2197" s="1">
        <v>45869</v>
      </c>
      <c r="C2197" s="1">
        <v>45874</v>
      </c>
      <c r="D2197" t="s">
        <v>32</v>
      </c>
      <c r="E2197" t="s">
        <v>62</v>
      </c>
      <c r="F2197" t="s">
        <v>29</v>
      </c>
      <c r="G2197" t="s">
        <v>16</v>
      </c>
      <c r="H2197" t="s">
        <v>17</v>
      </c>
      <c r="I2197">
        <v>4</v>
      </c>
      <c r="J2197">
        <v>0</v>
      </c>
      <c r="K2197">
        <v>450.1</v>
      </c>
      <c r="L2197">
        <v>9.5</v>
      </c>
    </row>
    <row r="2198" spans="1:12" x14ac:dyDescent="0.25">
      <c r="A2198" t="s">
        <v>2245</v>
      </c>
      <c r="B2198" s="1">
        <v>45930</v>
      </c>
      <c r="C2198" s="1">
        <v>45934</v>
      </c>
      <c r="D2198" t="s">
        <v>13</v>
      </c>
      <c r="E2198" t="s">
        <v>19</v>
      </c>
      <c r="F2198" t="s">
        <v>29</v>
      </c>
      <c r="G2198" t="s">
        <v>16</v>
      </c>
      <c r="H2198" t="s">
        <v>39</v>
      </c>
      <c r="I2198">
        <v>2</v>
      </c>
      <c r="J2198">
        <v>0</v>
      </c>
      <c r="K2198">
        <v>427.98</v>
      </c>
      <c r="L2198">
        <v>4.2</v>
      </c>
    </row>
    <row r="2199" spans="1:12" x14ac:dyDescent="0.25">
      <c r="A2199" t="s">
        <v>2246</v>
      </c>
      <c r="B2199" s="1">
        <v>45380</v>
      </c>
      <c r="C2199" s="1">
        <v>45382</v>
      </c>
      <c r="D2199" t="s">
        <v>13</v>
      </c>
      <c r="E2199" t="s">
        <v>36</v>
      </c>
      <c r="F2199" t="s">
        <v>25</v>
      </c>
      <c r="G2199" t="s">
        <v>16</v>
      </c>
      <c r="H2199" t="s">
        <v>41</v>
      </c>
      <c r="I2199">
        <v>13</v>
      </c>
      <c r="J2199">
        <v>0</v>
      </c>
      <c r="K2199">
        <v>72.97</v>
      </c>
      <c r="L2199">
        <v>10.35</v>
      </c>
    </row>
    <row r="2200" spans="1:12" x14ac:dyDescent="0.25">
      <c r="A2200" t="s">
        <v>2247</v>
      </c>
      <c r="B2200" s="1">
        <v>45371</v>
      </c>
      <c r="C2200" s="1">
        <v>45374</v>
      </c>
      <c r="D2200" t="s">
        <v>23</v>
      </c>
      <c r="E2200" t="s">
        <v>59</v>
      </c>
      <c r="F2200" t="s">
        <v>25</v>
      </c>
      <c r="G2200" t="s">
        <v>16</v>
      </c>
      <c r="H2200" t="s">
        <v>34</v>
      </c>
      <c r="I2200">
        <v>4</v>
      </c>
      <c r="J2200">
        <v>0.15</v>
      </c>
      <c r="K2200">
        <v>672.95</v>
      </c>
      <c r="L2200">
        <v>13.7</v>
      </c>
    </row>
    <row r="2201" spans="1:12" x14ac:dyDescent="0.25">
      <c r="A2201" t="s">
        <v>2248</v>
      </c>
      <c r="B2201" s="1">
        <v>45367</v>
      </c>
      <c r="C2201" s="1">
        <v>45371</v>
      </c>
      <c r="D2201" t="s">
        <v>32</v>
      </c>
      <c r="E2201" t="s">
        <v>33</v>
      </c>
      <c r="F2201" t="s">
        <v>29</v>
      </c>
      <c r="G2201" t="s">
        <v>16</v>
      </c>
      <c r="H2201" t="s">
        <v>65</v>
      </c>
      <c r="I2201">
        <v>5</v>
      </c>
      <c r="J2201">
        <v>0</v>
      </c>
      <c r="K2201">
        <v>1303.82</v>
      </c>
      <c r="L2201">
        <v>9.6</v>
      </c>
    </row>
    <row r="2202" spans="1:12" x14ac:dyDescent="0.25">
      <c r="A2202" t="s">
        <v>2249</v>
      </c>
      <c r="B2202" s="1">
        <v>45470</v>
      </c>
      <c r="C2202" s="1">
        <v>45474</v>
      </c>
      <c r="D2202" t="s">
        <v>32</v>
      </c>
      <c r="E2202" t="s">
        <v>33</v>
      </c>
      <c r="F2202" t="s">
        <v>29</v>
      </c>
      <c r="G2202" t="s">
        <v>20</v>
      </c>
      <c r="H2202" t="s">
        <v>37</v>
      </c>
      <c r="I2202">
        <v>3</v>
      </c>
      <c r="J2202">
        <v>0.2</v>
      </c>
      <c r="K2202">
        <v>264.41000000000003</v>
      </c>
      <c r="L2202">
        <v>11.4</v>
      </c>
    </row>
    <row r="2203" spans="1:12" x14ac:dyDescent="0.25">
      <c r="A2203" t="s">
        <v>2250</v>
      </c>
      <c r="B2203" s="1">
        <v>45440</v>
      </c>
      <c r="C2203" s="1">
        <v>45444</v>
      </c>
      <c r="D2203" t="s">
        <v>32</v>
      </c>
      <c r="E2203" t="s">
        <v>62</v>
      </c>
      <c r="F2203" t="s">
        <v>25</v>
      </c>
      <c r="G2203" t="s">
        <v>16</v>
      </c>
      <c r="H2203" t="s">
        <v>65</v>
      </c>
      <c r="I2203">
        <v>1</v>
      </c>
      <c r="J2203">
        <v>0</v>
      </c>
      <c r="K2203">
        <v>300.76</v>
      </c>
      <c r="L2203">
        <v>6.8</v>
      </c>
    </row>
    <row r="2204" spans="1:12" x14ac:dyDescent="0.25">
      <c r="A2204" t="s">
        <v>2251</v>
      </c>
      <c r="B2204" s="1">
        <v>45642</v>
      </c>
      <c r="C2204" s="1">
        <v>45644</v>
      </c>
      <c r="D2204" t="s">
        <v>32</v>
      </c>
      <c r="E2204" t="s">
        <v>33</v>
      </c>
      <c r="F2204" t="s">
        <v>15</v>
      </c>
      <c r="G2204" t="s">
        <v>20</v>
      </c>
      <c r="H2204" t="s">
        <v>39</v>
      </c>
      <c r="I2204">
        <v>1</v>
      </c>
      <c r="J2204">
        <v>0</v>
      </c>
      <c r="K2204">
        <v>288.69</v>
      </c>
      <c r="L2204">
        <v>3.45</v>
      </c>
    </row>
    <row r="2205" spans="1:12" x14ac:dyDescent="0.25">
      <c r="A2205" t="s">
        <v>2252</v>
      </c>
      <c r="B2205" s="1">
        <v>45479</v>
      </c>
      <c r="C2205" s="1">
        <v>45484</v>
      </c>
      <c r="D2205" t="s">
        <v>13</v>
      </c>
      <c r="E2205" t="s">
        <v>36</v>
      </c>
      <c r="F2205" t="s">
        <v>25</v>
      </c>
      <c r="G2205" t="s">
        <v>26</v>
      </c>
      <c r="H2205" t="s">
        <v>65</v>
      </c>
      <c r="I2205">
        <v>2</v>
      </c>
      <c r="J2205">
        <v>0.2</v>
      </c>
      <c r="K2205">
        <v>404.34</v>
      </c>
      <c r="L2205">
        <v>9.1</v>
      </c>
    </row>
    <row r="2206" spans="1:12" x14ac:dyDescent="0.25">
      <c r="A2206" t="s">
        <v>2253</v>
      </c>
      <c r="B2206" s="1">
        <v>45485</v>
      </c>
      <c r="C2206" s="1">
        <v>45486</v>
      </c>
      <c r="D2206" t="s">
        <v>23</v>
      </c>
      <c r="E2206" t="s">
        <v>43</v>
      </c>
      <c r="F2206" t="s">
        <v>29</v>
      </c>
      <c r="G2206" t="s">
        <v>20</v>
      </c>
      <c r="H2206" t="s">
        <v>39</v>
      </c>
      <c r="I2206">
        <v>2</v>
      </c>
      <c r="J2206">
        <v>0.15</v>
      </c>
      <c r="K2206">
        <v>303.08999999999997</v>
      </c>
      <c r="L2206">
        <v>7</v>
      </c>
    </row>
    <row r="2207" spans="1:12" x14ac:dyDescent="0.25">
      <c r="A2207" t="s">
        <v>2254</v>
      </c>
      <c r="B2207" s="1">
        <v>45338</v>
      </c>
      <c r="C2207" s="1">
        <v>45340</v>
      </c>
      <c r="D2207" t="s">
        <v>13</v>
      </c>
      <c r="E2207" t="s">
        <v>19</v>
      </c>
      <c r="F2207" t="s">
        <v>29</v>
      </c>
      <c r="G2207" t="s">
        <v>16</v>
      </c>
      <c r="H2207" t="s">
        <v>17</v>
      </c>
      <c r="I2207">
        <v>2</v>
      </c>
      <c r="J2207">
        <v>0</v>
      </c>
      <c r="K2207">
        <v>223.57</v>
      </c>
      <c r="L2207">
        <v>7</v>
      </c>
    </row>
    <row r="2208" spans="1:12" x14ac:dyDescent="0.25">
      <c r="A2208" t="s">
        <v>2255</v>
      </c>
      <c r="B2208" s="1">
        <v>45898</v>
      </c>
      <c r="C2208" s="1">
        <v>45901</v>
      </c>
      <c r="D2208" t="s">
        <v>23</v>
      </c>
      <c r="E2208" t="s">
        <v>59</v>
      </c>
      <c r="F2208" t="s">
        <v>29</v>
      </c>
      <c r="G2208" t="s">
        <v>26</v>
      </c>
      <c r="H2208" t="s">
        <v>87</v>
      </c>
      <c r="I2208">
        <v>8</v>
      </c>
      <c r="J2208">
        <v>0.1</v>
      </c>
      <c r="K2208">
        <v>59.16</v>
      </c>
      <c r="L2208">
        <v>4.8600000000000003</v>
      </c>
    </row>
    <row r="2209" spans="1:12" x14ac:dyDescent="0.25">
      <c r="A2209" t="s">
        <v>2256</v>
      </c>
      <c r="B2209" s="1">
        <v>45410</v>
      </c>
      <c r="C2209" s="1">
        <v>45411</v>
      </c>
      <c r="D2209" t="s">
        <v>23</v>
      </c>
      <c r="E2209" t="s">
        <v>59</v>
      </c>
      <c r="F2209" t="s">
        <v>15</v>
      </c>
      <c r="G2209" t="s">
        <v>16</v>
      </c>
      <c r="H2209" t="s">
        <v>41</v>
      </c>
      <c r="I2209">
        <v>5</v>
      </c>
      <c r="J2209">
        <v>0.25</v>
      </c>
      <c r="K2209">
        <v>22.41</v>
      </c>
      <c r="L2209">
        <v>4.05</v>
      </c>
    </row>
    <row r="2210" spans="1:12" x14ac:dyDescent="0.25">
      <c r="A2210" t="s">
        <v>2257</v>
      </c>
      <c r="B2210" s="1">
        <v>45757</v>
      </c>
      <c r="C2210" s="1">
        <v>45758</v>
      </c>
      <c r="D2210" t="s">
        <v>47</v>
      </c>
      <c r="E2210" t="s">
        <v>50</v>
      </c>
      <c r="F2210" t="s">
        <v>15</v>
      </c>
      <c r="G2210" t="s">
        <v>26</v>
      </c>
      <c r="H2210" t="s">
        <v>41</v>
      </c>
      <c r="I2210">
        <v>10</v>
      </c>
      <c r="J2210">
        <v>0.2</v>
      </c>
      <c r="K2210">
        <v>50.13</v>
      </c>
      <c r="L2210">
        <v>5.4</v>
      </c>
    </row>
    <row r="2211" spans="1:12" x14ac:dyDescent="0.25">
      <c r="A2211" t="s">
        <v>2258</v>
      </c>
      <c r="B2211" s="1">
        <v>45674</v>
      </c>
      <c r="C2211" s="1">
        <v>45678</v>
      </c>
      <c r="D2211" t="s">
        <v>32</v>
      </c>
      <c r="E2211" t="s">
        <v>45</v>
      </c>
      <c r="F2211" t="s">
        <v>25</v>
      </c>
      <c r="G2211" t="s">
        <v>26</v>
      </c>
      <c r="H2211" t="s">
        <v>34</v>
      </c>
      <c r="I2211">
        <v>4</v>
      </c>
      <c r="J2211">
        <v>0</v>
      </c>
      <c r="K2211">
        <v>690.8</v>
      </c>
      <c r="L2211">
        <v>8.2200000000000006</v>
      </c>
    </row>
    <row r="2212" spans="1:12" x14ac:dyDescent="0.25">
      <c r="A2212" t="s">
        <v>2259</v>
      </c>
      <c r="B2212" s="1">
        <v>45687</v>
      </c>
      <c r="C2212" s="1">
        <v>45690</v>
      </c>
      <c r="D2212" t="s">
        <v>47</v>
      </c>
      <c r="E2212" t="s">
        <v>50</v>
      </c>
      <c r="F2212" t="s">
        <v>25</v>
      </c>
      <c r="G2212" t="s">
        <v>20</v>
      </c>
      <c r="H2212" t="s">
        <v>27</v>
      </c>
      <c r="I2212">
        <v>13</v>
      </c>
      <c r="J2212">
        <v>0.15</v>
      </c>
      <c r="K2212">
        <v>277.25</v>
      </c>
      <c r="L2212">
        <v>6.21</v>
      </c>
    </row>
    <row r="2213" spans="1:12" x14ac:dyDescent="0.25">
      <c r="A2213" t="s">
        <v>2260</v>
      </c>
      <c r="B2213" s="1">
        <v>45946</v>
      </c>
      <c r="C2213" s="1">
        <v>45952</v>
      </c>
      <c r="D2213" t="s">
        <v>47</v>
      </c>
      <c r="E2213" t="s">
        <v>71</v>
      </c>
      <c r="F2213" t="s">
        <v>29</v>
      </c>
      <c r="G2213" t="s">
        <v>20</v>
      </c>
      <c r="H2213" t="s">
        <v>30</v>
      </c>
      <c r="I2213">
        <v>11</v>
      </c>
      <c r="J2213">
        <v>0.15</v>
      </c>
      <c r="K2213">
        <v>63.87</v>
      </c>
      <c r="L2213">
        <v>5.67</v>
      </c>
    </row>
    <row r="2214" spans="1:12" x14ac:dyDescent="0.25">
      <c r="A2214" t="s">
        <v>2261</v>
      </c>
      <c r="B2214" s="1">
        <v>45766</v>
      </c>
      <c r="C2214" s="1">
        <v>45771</v>
      </c>
      <c r="D2214" t="s">
        <v>23</v>
      </c>
      <c r="E2214" t="s">
        <v>24</v>
      </c>
      <c r="F2214" t="s">
        <v>29</v>
      </c>
      <c r="G2214" t="s">
        <v>20</v>
      </c>
      <c r="H2214" t="s">
        <v>51</v>
      </c>
      <c r="I2214">
        <v>4</v>
      </c>
      <c r="J2214">
        <v>0.2</v>
      </c>
      <c r="K2214">
        <v>43.81</v>
      </c>
      <c r="L2214">
        <v>3.78</v>
      </c>
    </row>
    <row r="2215" spans="1:12" x14ac:dyDescent="0.25">
      <c r="A2215" t="s">
        <v>2262</v>
      </c>
      <c r="B2215" s="1">
        <v>45367</v>
      </c>
      <c r="C2215" s="1">
        <v>45373</v>
      </c>
      <c r="D2215" t="s">
        <v>23</v>
      </c>
      <c r="E2215" t="s">
        <v>43</v>
      </c>
      <c r="F2215" t="s">
        <v>25</v>
      </c>
      <c r="G2215" t="s">
        <v>26</v>
      </c>
      <c r="H2215" t="s">
        <v>30</v>
      </c>
      <c r="I2215">
        <v>11</v>
      </c>
      <c r="J2215">
        <v>0.05</v>
      </c>
      <c r="K2215">
        <v>61.58</v>
      </c>
      <c r="L2215">
        <v>5.67</v>
      </c>
    </row>
    <row r="2216" spans="1:12" x14ac:dyDescent="0.25">
      <c r="A2216" t="s">
        <v>2263</v>
      </c>
      <c r="B2216" s="1">
        <v>45386</v>
      </c>
      <c r="C2216" s="1">
        <v>45388</v>
      </c>
      <c r="D2216" t="s">
        <v>32</v>
      </c>
      <c r="E2216" t="s">
        <v>45</v>
      </c>
      <c r="F2216" t="s">
        <v>25</v>
      </c>
      <c r="G2216" t="s">
        <v>20</v>
      </c>
      <c r="H2216" t="s">
        <v>34</v>
      </c>
      <c r="I2216">
        <v>4</v>
      </c>
      <c r="J2216">
        <v>0.05</v>
      </c>
      <c r="K2216">
        <v>732.01</v>
      </c>
      <c r="L2216">
        <v>8.2200000000000006</v>
      </c>
    </row>
    <row r="2217" spans="1:12" x14ac:dyDescent="0.25">
      <c r="A2217" t="s">
        <v>2264</v>
      </c>
      <c r="B2217" s="1">
        <v>45953</v>
      </c>
      <c r="C2217" s="1">
        <v>45956</v>
      </c>
      <c r="D2217" t="s">
        <v>13</v>
      </c>
      <c r="E2217" t="s">
        <v>36</v>
      </c>
      <c r="F2217" t="s">
        <v>29</v>
      </c>
      <c r="G2217" t="s">
        <v>16</v>
      </c>
      <c r="H2217" t="s">
        <v>60</v>
      </c>
      <c r="I2217">
        <v>1</v>
      </c>
      <c r="J2217">
        <v>0</v>
      </c>
      <c r="K2217">
        <v>123.18</v>
      </c>
      <c r="L2217">
        <v>3.45</v>
      </c>
    </row>
    <row r="2218" spans="1:12" x14ac:dyDescent="0.25">
      <c r="A2218" t="s">
        <v>2265</v>
      </c>
      <c r="B2218" s="1">
        <v>45980</v>
      </c>
      <c r="C2218" s="1">
        <v>45984</v>
      </c>
      <c r="D2218" t="s">
        <v>47</v>
      </c>
      <c r="E2218" t="s">
        <v>71</v>
      </c>
      <c r="F2218" t="s">
        <v>15</v>
      </c>
      <c r="G2218" t="s">
        <v>16</v>
      </c>
      <c r="H2218" t="s">
        <v>21</v>
      </c>
      <c r="I2218">
        <v>1</v>
      </c>
      <c r="J2218">
        <v>0</v>
      </c>
      <c r="K2218">
        <v>157.13999999999999</v>
      </c>
      <c r="L2218">
        <v>6.8</v>
      </c>
    </row>
    <row r="2219" spans="1:12" x14ac:dyDescent="0.25">
      <c r="A2219" t="s">
        <v>2266</v>
      </c>
      <c r="B2219" s="1">
        <v>45511</v>
      </c>
      <c r="C2219" s="1">
        <v>45517</v>
      </c>
      <c r="D2219" t="s">
        <v>13</v>
      </c>
      <c r="E2219" t="s">
        <v>19</v>
      </c>
      <c r="F2219" t="s">
        <v>29</v>
      </c>
      <c r="G2219" t="s">
        <v>16</v>
      </c>
      <c r="H2219" t="s">
        <v>87</v>
      </c>
      <c r="I2219">
        <v>13</v>
      </c>
      <c r="J2219">
        <v>0</v>
      </c>
      <c r="K2219">
        <v>103.25</v>
      </c>
      <c r="L2219">
        <v>10.35</v>
      </c>
    </row>
    <row r="2220" spans="1:12" x14ac:dyDescent="0.25">
      <c r="A2220" t="s">
        <v>2267</v>
      </c>
      <c r="B2220" s="1">
        <v>45354</v>
      </c>
      <c r="C2220" s="1">
        <v>45356</v>
      </c>
      <c r="D2220" t="s">
        <v>23</v>
      </c>
      <c r="E2220" t="s">
        <v>43</v>
      </c>
      <c r="F2220" t="s">
        <v>29</v>
      </c>
      <c r="G2220" t="s">
        <v>26</v>
      </c>
      <c r="H2220" t="s">
        <v>63</v>
      </c>
      <c r="I2220">
        <v>5</v>
      </c>
      <c r="J2220">
        <v>0</v>
      </c>
      <c r="K2220">
        <v>54.51</v>
      </c>
      <c r="L2220">
        <v>4.05</v>
      </c>
    </row>
    <row r="2221" spans="1:12" x14ac:dyDescent="0.25">
      <c r="A2221" t="s">
        <v>2268</v>
      </c>
      <c r="B2221" s="1">
        <v>45331</v>
      </c>
      <c r="C2221" s="1">
        <v>45333</v>
      </c>
      <c r="D2221" t="s">
        <v>47</v>
      </c>
      <c r="E2221" t="s">
        <v>48</v>
      </c>
      <c r="F2221" t="s">
        <v>15</v>
      </c>
      <c r="G2221" t="s">
        <v>26</v>
      </c>
      <c r="H2221" t="s">
        <v>53</v>
      </c>
      <c r="I2221">
        <v>2</v>
      </c>
      <c r="J2221">
        <v>0</v>
      </c>
      <c r="K2221">
        <v>98.32</v>
      </c>
      <c r="L2221">
        <v>4.2</v>
      </c>
    </row>
    <row r="2222" spans="1:12" x14ac:dyDescent="0.25">
      <c r="A2222" t="s">
        <v>2269</v>
      </c>
      <c r="B2222" s="1">
        <v>45861</v>
      </c>
      <c r="C2222" s="1">
        <v>45862</v>
      </c>
      <c r="D2222" t="s">
        <v>47</v>
      </c>
      <c r="E2222" t="s">
        <v>71</v>
      </c>
      <c r="F2222" t="s">
        <v>29</v>
      </c>
      <c r="G2222" t="s">
        <v>16</v>
      </c>
      <c r="H2222" t="s">
        <v>63</v>
      </c>
      <c r="I2222">
        <v>3</v>
      </c>
      <c r="J2222">
        <v>0</v>
      </c>
      <c r="K2222">
        <v>32.83</v>
      </c>
      <c r="L2222">
        <v>5.85</v>
      </c>
    </row>
    <row r="2223" spans="1:12" x14ac:dyDescent="0.25">
      <c r="A2223" t="s">
        <v>2270</v>
      </c>
      <c r="B2223" s="1">
        <v>45606</v>
      </c>
      <c r="C2223" s="1">
        <v>45611</v>
      </c>
      <c r="D2223" t="s">
        <v>47</v>
      </c>
      <c r="E2223" t="s">
        <v>48</v>
      </c>
      <c r="F2223" t="s">
        <v>15</v>
      </c>
      <c r="G2223" t="s">
        <v>16</v>
      </c>
      <c r="H2223" t="s">
        <v>51</v>
      </c>
      <c r="I2223">
        <v>25</v>
      </c>
      <c r="J2223">
        <v>0</v>
      </c>
      <c r="K2223">
        <v>513.38</v>
      </c>
      <c r="L2223">
        <v>9.4499999999999993</v>
      </c>
    </row>
    <row r="2224" spans="1:12" x14ac:dyDescent="0.25">
      <c r="A2224" t="s">
        <v>2271</v>
      </c>
      <c r="B2224" s="1">
        <v>45954</v>
      </c>
      <c r="C2224" s="1">
        <v>45955</v>
      </c>
      <c r="D2224" t="s">
        <v>32</v>
      </c>
      <c r="E2224" t="s">
        <v>45</v>
      </c>
      <c r="F2224" t="s">
        <v>15</v>
      </c>
      <c r="G2224" t="s">
        <v>26</v>
      </c>
      <c r="H2224" t="s">
        <v>65</v>
      </c>
      <c r="I2224">
        <v>3</v>
      </c>
      <c r="J2224">
        <v>0</v>
      </c>
      <c r="K2224">
        <v>974.08</v>
      </c>
      <c r="L2224">
        <v>6.84</v>
      </c>
    </row>
    <row r="2225" spans="1:12" x14ac:dyDescent="0.25">
      <c r="A2225" t="s">
        <v>2272</v>
      </c>
      <c r="B2225" s="1">
        <v>45529</v>
      </c>
      <c r="C2225" s="1">
        <v>45533</v>
      </c>
      <c r="D2225" t="s">
        <v>23</v>
      </c>
      <c r="E2225" t="s">
        <v>24</v>
      </c>
      <c r="F2225" t="s">
        <v>25</v>
      </c>
      <c r="G2225" t="s">
        <v>26</v>
      </c>
      <c r="H2225" t="s">
        <v>41</v>
      </c>
      <c r="I2225">
        <v>11</v>
      </c>
      <c r="J2225">
        <v>0.2</v>
      </c>
      <c r="K2225">
        <v>49.19</v>
      </c>
      <c r="L2225">
        <v>5.67</v>
      </c>
    </row>
    <row r="2226" spans="1:12" x14ac:dyDescent="0.25">
      <c r="A2226" t="s">
        <v>2273</v>
      </c>
      <c r="B2226" s="1">
        <v>45807</v>
      </c>
      <c r="C2226" s="1">
        <v>45810</v>
      </c>
      <c r="D2226" t="s">
        <v>47</v>
      </c>
      <c r="E2226" t="s">
        <v>71</v>
      </c>
      <c r="F2226" t="s">
        <v>25</v>
      </c>
      <c r="G2226" t="s">
        <v>16</v>
      </c>
      <c r="H2226" t="s">
        <v>53</v>
      </c>
      <c r="I2226">
        <v>1</v>
      </c>
      <c r="J2226">
        <v>0.05</v>
      </c>
      <c r="K2226">
        <v>53.04</v>
      </c>
      <c r="L2226">
        <v>3.45</v>
      </c>
    </row>
    <row r="2227" spans="1:12" x14ac:dyDescent="0.25">
      <c r="A2227" t="s">
        <v>2274</v>
      </c>
      <c r="B2227" s="1">
        <v>45979</v>
      </c>
      <c r="C2227" s="1">
        <v>45983</v>
      </c>
      <c r="D2227" t="s">
        <v>23</v>
      </c>
      <c r="E2227" t="s">
        <v>24</v>
      </c>
      <c r="F2227" t="s">
        <v>29</v>
      </c>
      <c r="G2227" t="s">
        <v>20</v>
      </c>
      <c r="H2227" t="s">
        <v>41</v>
      </c>
      <c r="I2227">
        <v>5</v>
      </c>
      <c r="J2227">
        <v>0</v>
      </c>
      <c r="K2227">
        <v>40.630000000000003</v>
      </c>
      <c r="L2227">
        <v>4.05</v>
      </c>
    </row>
    <row r="2228" spans="1:12" x14ac:dyDescent="0.25">
      <c r="A2228" t="s">
        <v>2275</v>
      </c>
      <c r="B2228" s="1">
        <v>45450</v>
      </c>
      <c r="C2228" s="1">
        <v>45452</v>
      </c>
      <c r="D2228" t="s">
        <v>23</v>
      </c>
      <c r="E2228" t="s">
        <v>24</v>
      </c>
      <c r="F2228" t="s">
        <v>25</v>
      </c>
      <c r="G2228" t="s">
        <v>26</v>
      </c>
      <c r="H2228" t="s">
        <v>63</v>
      </c>
      <c r="I2228">
        <v>14</v>
      </c>
      <c r="J2228">
        <v>0.15</v>
      </c>
      <c r="K2228">
        <v>143.88999999999999</v>
      </c>
      <c r="L2228">
        <v>10.8</v>
      </c>
    </row>
    <row r="2229" spans="1:12" x14ac:dyDescent="0.25">
      <c r="A2229" t="s">
        <v>2276</v>
      </c>
      <c r="B2229" s="1">
        <v>45299</v>
      </c>
      <c r="C2229" s="1">
        <v>45302</v>
      </c>
      <c r="D2229" t="s">
        <v>13</v>
      </c>
      <c r="E2229" t="s">
        <v>19</v>
      </c>
      <c r="F2229" t="s">
        <v>29</v>
      </c>
      <c r="G2229" t="s">
        <v>16</v>
      </c>
      <c r="H2229" t="s">
        <v>51</v>
      </c>
      <c r="I2229">
        <v>9</v>
      </c>
      <c r="J2229">
        <v>0</v>
      </c>
      <c r="K2229">
        <v>118.62</v>
      </c>
      <c r="L2229">
        <v>5.13</v>
      </c>
    </row>
    <row r="2230" spans="1:12" x14ac:dyDescent="0.25">
      <c r="A2230" t="s">
        <v>2277</v>
      </c>
      <c r="B2230" s="1">
        <v>45977</v>
      </c>
      <c r="C2230" s="1">
        <v>45981</v>
      </c>
      <c r="D2230" t="s">
        <v>32</v>
      </c>
      <c r="E2230" t="s">
        <v>45</v>
      </c>
      <c r="F2230" t="s">
        <v>15</v>
      </c>
      <c r="G2230" t="s">
        <v>16</v>
      </c>
      <c r="H2230" t="s">
        <v>17</v>
      </c>
      <c r="I2230">
        <v>3</v>
      </c>
      <c r="J2230">
        <v>0.25</v>
      </c>
      <c r="K2230">
        <v>395.44</v>
      </c>
      <c r="L2230">
        <v>4.95</v>
      </c>
    </row>
    <row r="2231" spans="1:12" x14ac:dyDescent="0.25">
      <c r="A2231" t="s">
        <v>2278</v>
      </c>
      <c r="B2231" s="1">
        <v>45814</v>
      </c>
      <c r="C2231" s="1">
        <v>45817</v>
      </c>
      <c r="D2231" t="s">
        <v>13</v>
      </c>
      <c r="E2231" t="s">
        <v>14</v>
      </c>
      <c r="F2231" t="s">
        <v>25</v>
      </c>
      <c r="G2231" t="s">
        <v>26</v>
      </c>
      <c r="H2231" t="s">
        <v>65</v>
      </c>
      <c r="I2231">
        <v>4</v>
      </c>
      <c r="J2231">
        <v>0</v>
      </c>
      <c r="K2231">
        <v>1243.29</v>
      </c>
      <c r="L2231">
        <v>13.7</v>
      </c>
    </row>
    <row r="2232" spans="1:12" x14ac:dyDescent="0.25">
      <c r="A2232" t="s">
        <v>2279</v>
      </c>
      <c r="B2232" s="1">
        <v>45907</v>
      </c>
      <c r="C2232" s="1">
        <v>45913</v>
      </c>
      <c r="D2232" t="s">
        <v>32</v>
      </c>
      <c r="E2232" t="s">
        <v>45</v>
      </c>
      <c r="F2232" t="s">
        <v>29</v>
      </c>
      <c r="G2232" t="s">
        <v>20</v>
      </c>
      <c r="H2232" t="s">
        <v>21</v>
      </c>
      <c r="I2232">
        <v>3</v>
      </c>
      <c r="J2232">
        <v>0.05</v>
      </c>
      <c r="K2232">
        <v>346.96</v>
      </c>
      <c r="L2232">
        <v>6.84</v>
      </c>
    </row>
    <row r="2233" spans="1:12" x14ac:dyDescent="0.25">
      <c r="A2233" t="s">
        <v>2280</v>
      </c>
      <c r="B2233" s="1">
        <v>45427</v>
      </c>
      <c r="C2233" s="1">
        <v>45433</v>
      </c>
      <c r="D2233" t="s">
        <v>32</v>
      </c>
      <c r="E2233" t="s">
        <v>45</v>
      </c>
      <c r="F2233" t="s">
        <v>29</v>
      </c>
      <c r="G2233" t="s">
        <v>26</v>
      </c>
      <c r="H2233" t="s">
        <v>17</v>
      </c>
      <c r="I2233">
        <v>1</v>
      </c>
      <c r="J2233">
        <v>0.15</v>
      </c>
      <c r="K2233">
        <v>108.05</v>
      </c>
      <c r="L2233">
        <v>3.45</v>
      </c>
    </row>
    <row r="2234" spans="1:12" x14ac:dyDescent="0.25">
      <c r="A2234" t="s">
        <v>2281</v>
      </c>
      <c r="B2234" s="1">
        <v>45649</v>
      </c>
      <c r="C2234" s="1">
        <v>45652</v>
      </c>
      <c r="D2234" t="s">
        <v>13</v>
      </c>
      <c r="E2234" t="s">
        <v>19</v>
      </c>
      <c r="F2234" t="s">
        <v>15</v>
      </c>
      <c r="G2234" t="s">
        <v>26</v>
      </c>
      <c r="H2234" t="s">
        <v>53</v>
      </c>
      <c r="I2234">
        <v>2</v>
      </c>
      <c r="J2234">
        <v>0.1</v>
      </c>
      <c r="K2234">
        <v>137.26</v>
      </c>
      <c r="L2234">
        <v>4.2</v>
      </c>
    </row>
    <row r="2235" spans="1:12" x14ac:dyDescent="0.25">
      <c r="A2235" t="s">
        <v>2282</v>
      </c>
      <c r="B2235" s="1">
        <v>45362</v>
      </c>
      <c r="C2235" s="1">
        <v>45363</v>
      </c>
      <c r="D2235" t="s">
        <v>47</v>
      </c>
      <c r="E2235" t="s">
        <v>48</v>
      </c>
      <c r="F2235" t="s">
        <v>25</v>
      </c>
      <c r="G2235" t="s">
        <v>16</v>
      </c>
      <c r="H2235" t="s">
        <v>37</v>
      </c>
      <c r="I2235">
        <v>2</v>
      </c>
      <c r="J2235">
        <v>0.15</v>
      </c>
      <c r="K2235">
        <v>179.66</v>
      </c>
      <c r="L2235">
        <v>5.46</v>
      </c>
    </row>
    <row r="2236" spans="1:12" x14ac:dyDescent="0.25">
      <c r="A2236" t="s">
        <v>2283</v>
      </c>
      <c r="B2236" s="1">
        <v>45693</v>
      </c>
      <c r="C2236" s="1">
        <v>45694</v>
      </c>
      <c r="D2236" t="s">
        <v>47</v>
      </c>
      <c r="E2236" t="s">
        <v>71</v>
      </c>
      <c r="F2236" t="s">
        <v>29</v>
      </c>
      <c r="G2236" t="s">
        <v>26</v>
      </c>
      <c r="H2236" t="s">
        <v>37</v>
      </c>
      <c r="I2236">
        <v>5</v>
      </c>
      <c r="J2236">
        <v>0</v>
      </c>
      <c r="K2236">
        <v>461.64</v>
      </c>
      <c r="L2236">
        <v>9.6</v>
      </c>
    </row>
    <row r="2237" spans="1:12" x14ac:dyDescent="0.25">
      <c r="A2237" t="s">
        <v>2284</v>
      </c>
      <c r="B2237" s="1">
        <v>45943</v>
      </c>
      <c r="C2237" s="1">
        <v>45945</v>
      </c>
      <c r="D2237" t="s">
        <v>23</v>
      </c>
      <c r="E2237" t="s">
        <v>24</v>
      </c>
      <c r="F2237" t="s">
        <v>15</v>
      </c>
      <c r="G2237" t="s">
        <v>16</v>
      </c>
      <c r="H2237" t="s">
        <v>27</v>
      </c>
      <c r="I2237">
        <v>11</v>
      </c>
      <c r="J2237">
        <v>0.15</v>
      </c>
      <c r="K2237">
        <v>284.54000000000002</v>
      </c>
      <c r="L2237">
        <v>9.4499999999999993</v>
      </c>
    </row>
    <row r="2238" spans="1:12" x14ac:dyDescent="0.25">
      <c r="A2238" t="s">
        <v>2285</v>
      </c>
      <c r="B2238" s="1">
        <v>45876</v>
      </c>
      <c r="C2238" s="1">
        <v>45879</v>
      </c>
      <c r="D2238" t="s">
        <v>13</v>
      </c>
      <c r="E2238" t="s">
        <v>36</v>
      </c>
      <c r="F2238" t="s">
        <v>25</v>
      </c>
      <c r="G2238" t="s">
        <v>20</v>
      </c>
      <c r="H2238" t="s">
        <v>39</v>
      </c>
      <c r="I2238">
        <v>1</v>
      </c>
      <c r="J2238">
        <v>0.1</v>
      </c>
      <c r="K2238">
        <v>168.89</v>
      </c>
      <c r="L2238">
        <v>3.45</v>
      </c>
    </row>
    <row r="2239" spans="1:12" x14ac:dyDescent="0.25">
      <c r="A2239" t="s">
        <v>2286</v>
      </c>
      <c r="B2239" s="1">
        <v>45418</v>
      </c>
      <c r="C2239" s="1">
        <v>45419</v>
      </c>
      <c r="D2239" t="s">
        <v>32</v>
      </c>
      <c r="E2239" t="s">
        <v>45</v>
      </c>
      <c r="F2239" t="s">
        <v>25</v>
      </c>
      <c r="G2239" t="s">
        <v>26</v>
      </c>
      <c r="H2239" t="s">
        <v>63</v>
      </c>
      <c r="I2239">
        <v>5</v>
      </c>
      <c r="J2239">
        <v>0.1</v>
      </c>
      <c r="K2239">
        <v>56.54</v>
      </c>
      <c r="L2239">
        <v>6.75</v>
      </c>
    </row>
    <row r="2240" spans="1:12" x14ac:dyDescent="0.25">
      <c r="A2240" t="s">
        <v>2287</v>
      </c>
      <c r="B2240" s="1">
        <v>45399</v>
      </c>
      <c r="C2240" s="1">
        <v>45400</v>
      </c>
      <c r="D2240" t="s">
        <v>23</v>
      </c>
      <c r="E2240" t="s">
        <v>43</v>
      </c>
      <c r="F2240" t="s">
        <v>29</v>
      </c>
      <c r="G2240" t="s">
        <v>26</v>
      </c>
      <c r="H2240" t="s">
        <v>39</v>
      </c>
      <c r="I2240">
        <v>3</v>
      </c>
      <c r="J2240">
        <v>0.25</v>
      </c>
      <c r="K2240">
        <v>449.08</v>
      </c>
      <c r="L2240">
        <v>8.25</v>
      </c>
    </row>
    <row r="2241" spans="1:12" x14ac:dyDescent="0.25">
      <c r="A2241" t="s">
        <v>2288</v>
      </c>
      <c r="B2241" s="1">
        <v>45507</v>
      </c>
      <c r="C2241" s="1">
        <v>45512</v>
      </c>
      <c r="D2241" t="s">
        <v>13</v>
      </c>
      <c r="E2241" t="s">
        <v>19</v>
      </c>
      <c r="F2241" t="s">
        <v>25</v>
      </c>
      <c r="G2241" t="s">
        <v>16</v>
      </c>
      <c r="H2241" t="s">
        <v>87</v>
      </c>
      <c r="I2241">
        <v>6</v>
      </c>
      <c r="J2241">
        <v>0</v>
      </c>
      <c r="K2241">
        <v>49.35</v>
      </c>
      <c r="L2241">
        <v>4.32</v>
      </c>
    </row>
    <row r="2242" spans="1:12" x14ac:dyDescent="0.25">
      <c r="A2242" t="s">
        <v>2289</v>
      </c>
      <c r="B2242" s="1">
        <v>45321</v>
      </c>
      <c r="C2242" s="1">
        <v>45324</v>
      </c>
      <c r="D2242" t="s">
        <v>23</v>
      </c>
      <c r="E2242" t="s">
        <v>43</v>
      </c>
      <c r="F2242" t="s">
        <v>25</v>
      </c>
      <c r="G2242" t="s">
        <v>16</v>
      </c>
      <c r="H2242" t="s">
        <v>68</v>
      </c>
      <c r="I2242">
        <v>2</v>
      </c>
      <c r="J2242">
        <v>0</v>
      </c>
      <c r="K2242">
        <v>93.7</v>
      </c>
      <c r="L2242">
        <v>4.2</v>
      </c>
    </row>
    <row r="2243" spans="1:12" x14ac:dyDescent="0.25">
      <c r="A2243" t="s">
        <v>2290</v>
      </c>
      <c r="B2243" s="1">
        <v>45918</v>
      </c>
      <c r="C2243" s="1">
        <v>45919</v>
      </c>
      <c r="D2243" t="s">
        <v>47</v>
      </c>
      <c r="E2243" t="s">
        <v>48</v>
      </c>
      <c r="F2243" t="s">
        <v>29</v>
      </c>
      <c r="G2243" t="s">
        <v>26</v>
      </c>
      <c r="H2243" t="s">
        <v>65</v>
      </c>
      <c r="I2243">
        <v>4</v>
      </c>
      <c r="J2243">
        <v>0.1</v>
      </c>
      <c r="K2243">
        <v>1125.8</v>
      </c>
      <c r="L2243">
        <v>13.7</v>
      </c>
    </row>
    <row r="2244" spans="1:12" x14ac:dyDescent="0.25">
      <c r="A2244" t="s">
        <v>2291</v>
      </c>
      <c r="B2244" s="1">
        <v>45419</v>
      </c>
      <c r="C2244" s="1">
        <v>45425</v>
      </c>
      <c r="D2244" t="s">
        <v>23</v>
      </c>
      <c r="E2244" t="s">
        <v>43</v>
      </c>
      <c r="F2244" t="s">
        <v>15</v>
      </c>
      <c r="G2244" t="s">
        <v>26</v>
      </c>
      <c r="H2244" t="s">
        <v>34</v>
      </c>
      <c r="I2244">
        <v>4</v>
      </c>
      <c r="J2244">
        <v>0</v>
      </c>
      <c r="K2244">
        <v>812</v>
      </c>
      <c r="L2244">
        <v>13.7</v>
      </c>
    </row>
    <row r="2245" spans="1:12" x14ac:dyDescent="0.25">
      <c r="A2245" t="s">
        <v>2292</v>
      </c>
      <c r="B2245" s="1">
        <v>45478</v>
      </c>
      <c r="C2245" s="1">
        <v>45480</v>
      </c>
      <c r="D2245" t="s">
        <v>23</v>
      </c>
      <c r="E2245" t="s">
        <v>59</v>
      </c>
      <c r="F2245" t="s">
        <v>25</v>
      </c>
      <c r="G2245" t="s">
        <v>26</v>
      </c>
      <c r="H2245" t="s">
        <v>51</v>
      </c>
      <c r="I2245">
        <v>3</v>
      </c>
      <c r="J2245">
        <v>0.1</v>
      </c>
      <c r="K2245">
        <v>35.18</v>
      </c>
      <c r="L2245">
        <v>3.51</v>
      </c>
    </row>
    <row r="2246" spans="1:12" x14ac:dyDescent="0.25">
      <c r="A2246" t="s">
        <v>2293</v>
      </c>
      <c r="B2246" s="1">
        <v>45609</v>
      </c>
      <c r="C2246" s="1">
        <v>45613</v>
      </c>
      <c r="D2246" t="s">
        <v>13</v>
      </c>
      <c r="E2246" t="s">
        <v>19</v>
      </c>
      <c r="F2246" t="s">
        <v>25</v>
      </c>
      <c r="G2246" t="s">
        <v>26</v>
      </c>
      <c r="H2246" t="s">
        <v>39</v>
      </c>
      <c r="I2246">
        <v>1</v>
      </c>
      <c r="J2246">
        <v>0.25</v>
      </c>
      <c r="K2246">
        <v>203.69</v>
      </c>
      <c r="L2246">
        <v>3.45</v>
      </c>
    </row>
    <row r="2247" spans="1:12" x14ac:dyDescent="0.25">
      <c r="A2247" t="s">
        <v>2294</v>
      </c>
      <c r="B2247" s="1">
        <v>45307</v>
      </c>
      <c r="C2247" s="1">
        <v>45311</v>
      </c>
      <c r="D2247" t="s">
        <v>32</v>
      </c>
      <c r="E2247" t="s">
        <v>33</v>
      </c>
      <c r="F2247" t="s">
        <v>29</v>
      </c>
      <c r="G2247" t="s">
        <v>26</v>
      </c>
      <c r="H2247" t="s">
        <v>87</v>
      </c>
      <c r="I2247">
        <v>14</v>
      </c>
      <c r="J2247">
        <v>0</v>
      </c>
      <c r="K2247">
        <v>100.4</v>
      </c>
      <c r="L2247">
        <v>10.8</v>
      </c>
    </row>
    <row r="2248" spans="1:12" x14ac:dyDescent="0.25">
      <c r="A2248" t="s">
        <v>2295</v>
      </c>
      <c r="B2248" s="1">
        <v>45522</v>
      </c>
      <c r="C2248" s="1">
        <v>45528</v>
      </c>
      <c r="D2248" t="s">
        <v>13</v>
      </c>
      <c r="E2248" t="s">
        <v>36</v>
      </c>
      <c r="F2248" t="s">
        <v>15</v>
      </c>
      <c r="G2248" t="s">
        <v>20</v>
      </c>
      <c r="H2248" t="s">
        <v>30</v>
      </c>
      <c r="I2248">
        <v>13</v>
      </c>
      <c r="J2248">
        <v>0.25</v>
      </c>
      <c r="K2248">
        <v>53.53</v>
      </c>
      <c r="L2248">
        <v>6.21</v>
      </c>
    </row>
    <row r="2249" spans="1:12" x14ac:dyDescent="0.25">
      <c r="A2249" t="s">
        <v>2296</v>
      </c>
      <c r="B2249" s="1">
        <v>45898</v>
      </c>
      <c r="C2249" s="1">
        <v>45900</v>
      </c>
      <c r="D2249" t="s">
        <v>47</v>
      </c>
      <c r="E2249" t="s">
        <v>71</v>
      </c>
      <c r="F2249" t="s">
        <v>25</v>
      </c>
      <c r="G2249" t="s">
        <v>20</v>
      </c>
      <c r="H2249" t="s">
        <v>30</v>
      </c>
      <c r="I2249">
        <v>9</v>
      </c>
      <c r="J2249">
        <v>0</v>
      </c>
      <c r="K2249">
        <v>54.26</v>
      </c>
      <c r="L2249">
        <v>5.13</v>
      </c>
    </row>
    <row r="2250" spans="1:12" x14ac:dyDescent="0.25">
      <c r="A2250" t="s">
        <v>2297</v>
      </c>
      <c r="B2250" s="1">
        <v>45595</v>
      </c>
      <c r="C2250" s="1">
        <v>45596</v>
      </c>
      <c r="D2250" t="s">
        <v>13</v>
      </c>
      <c r="E2250" t="s">
        <v>14</v>
      </c>
      <c r="F2250" t="s">
        <v>29</v>
      </c>
      <c r="G2250" t="s">
        <v>16</v>
      </c>
      <c r="H2250" t="s">
        <v>68</v>
      </c>
      <c r="I2250">
        <v>2</v>
      </c>
      <c r="J2250">
        <v>0</v>
      </c>
      <c r="K2250">
        <v>122.84</v>
      </c>
      <c r="L2250">
        <v>7</v>
      </c>
    </row>
    <row r="2251" spans="1:12" x14ac:dyDescent="0.25">
      <c r="A2251" t="s">
        <v>2298</v>
      </c>
      <c r="B2251" s="1">
        <v>45787</v>
      </c>
      <c r="C2251" s="1">
        <v>45793</v>
      </c>
      <c r="D2251" t="s">
        <v>13</v>
      </c>
      <c r="E2251" t="s">
        <v>19</v>
      </c>
      <c r="F2251" t="s">
        <v>15</v>
      </c>
      <c r="G2251" t="s">
        <v>20</v>
      </c>
      <c r="H2251" t="s">
        <v>63</v>
      </c>
      <c r="I2251">
        <v>12</v>
      </c>
      <c r="J2251">
        <v>0.2</v>
      </c>
      <c r="K2251">
        <v>120.99</v>
      </c>
      <c r="L2251">
        <v>5.94</v>
      </c>
    </row>
    <row r="2252" spans="1:12" x14ac:dyDescent="0.25">
      <c r="A2252" t="s">
        <v>2299</v>
      </c>
      <c r="B2252" s="1">
        <v>45448</v>
      </c>
      <c r="C2252" s="1">
        <v>45450</v>
      </c>
      <c r="D2252" t="s">
        <v>32</v>
      </c>
      <c r="E2252" t="s">
        <v>62</v>
      </c>
      <c r="F2252" t="s">
        <v>15</v>
      </c>
      <c r="G2252" t="s">
        <v>26</v>
      </c>
      <c r="H2252" t="s">
        <v>41</v>
      </c>
      <c r="I2252">
        <v>13</v>
      </c>
      <c r="J2252">
        <v>0</v>
      </c>
      <c r="K2252">
        <v>81.180000000000007</v>
      </c>
      <c r="L2252">
        <v>6.21</v>
      </c>
    </row>
    <row r="2253" spans="1:12" x14ac:dyDescent="0.25">
      <c r="A2253" t="s">
        <v>2300</v>
      </c>
      <c r="B2253" s="1">
        <v>45860</v>
      </c>
      <c r="C2253" s="1">
        <v>45862</v>
      </c>
      <c r="D2253" t="s">
        <v>47</v>
      </c>
      <c r="E2253" t="s">
        <v>50</v>
      </c>
      <c r="F2253" t="s">
        <v>29</v>
      </c>
      <c r="G2253" t="s">
        <v>16</v>
      </c>
      <c r="H2253" t="s">
        <v>41</v>
      </c>
      <c r="I2253">
        <v>5</v>
      </c>
      <c r="J2253">
        <v>0.1</v>
      </c>
      <c r="K2253">
        <v>23.98</v>
      </c>
      <c r="L2253">
        <v>4.05</v>
      </c>
    </row>
    <row r="2254" spans="1:12" x14ac:dyDescent="0.25">
      <c r="A2254" t="s">
        <v>2301</v>
      </c>
      <c r="B2254" s="1">
        <v>45909</v>
      </c>
      <c r="C2254" s="1">
        <v>45915</v>
      </c>
      <c r="D2254" t="s">
        <v>47</v>
      </c>
      <c r="E2254" t="s">
        <v>71</v>
      </c>
      <c r="F2254" t="s">
        <v>25</v>
      </c>
      <c r="G2254" t="s">
        <v>16</v>
      </c>
      <c r="H2254" t="s">
        <v>21</v>
      </c>
      <c r="I2254">
        <v>1</v>
      </c>
      <c r="J2254">
        <v>0.15</v>
      </c>
      <c r="K2254">
        <v>108.91</v>
      </c>
      <c r="L2254">
        <v>4.08</v>
      </c>
    </row>
    <row r="2255" spans="1:12" x14ac:dyDescent="0.25">
      <c r="A2255" t="s">
        <v>2302</v>
      </c>
      <c r="B2255" s="1">
        <v>45886</v>
      </c>
      <c r="C2255" s="1">
        <v>45890</v>
      </c>
      <c r="D2255" t="s">
        <v>47</v>
      </c>
      <c r="E2255" t="s">
        <v>71</v>
      </c>
      <c r="F2255" t="s">
        <v>29</v>
      </c>
      <c r="G2255" t="s">
        <v>20</v>
      </c>
      <c r="H2255" t="s">
        <v>65</v>
      </c>
      <c r="I2255">
        <v>1</v>
      </c>
      <c r="J2255">
        <v>0</v>
      </c>
      <c r="K2255">
        <v>280.19</v>
      </c>
      <c r="L2255">
        <v>4.08</v>
      </c>
    </row>
    <row r="2256" spans="1:12" x14ac:dyDescent="0.25">
      <c r="A2256" t="s">
        <v>2303</v>
      </c>
      <c r="B2256" s="1">
        <v>45494</v>
      </c>
      <c r="C2256" s="1">
        <v>45499</v>
      </c>
      <c r="D2256" t="s">
        <v>32</v>
      </c>
      <c r="E2256" t="s">
        <v>33</v>
      </c>
      <c r="F2256" t="s">
        <v>25</v>
      </c>
      <c r="G2256" t="s">
        <v>20</v>
      </c>
      <c r="H2256" t="s">
        <v>53</v>
      </c>
      <c r="I2256">
        <v>1</v>
      </c>
      <c r="J2256">
        <v>0</v>
      </c>
      <c r="K2256">
        <v>53.4</v>
      </c>
      <c r="L2256">
        <v>3.45</v>
      </c>
    </row>
    <row r="2257" spans="1:12" x14ac:dyDescent="0.25">
      <c r="A2257" t="s">
        <v>2304</v>
      </c>
      <c r="B2257" s="1">
        <v>45807</v>
      </c>
      <c r="C2257" s="1">
        <v>45813</v>
      </c>
      <c r="D2257" t="s">
        <v>47</v>
      </c>
      <c r="E2257" t="s">
        <v>71</v>
      </c>
      <c r="F2257" t="s">
        <v>25</v>
      </c>
      <c r="G2257" t="s">
        <v>26</v>
      </c>
      <c r="H2257" t="s">
        <v>41</v>
      </c>
      <c r="I2257">
        <v>6</v>
      </c>
      <c r="J2257">
        <v>0</v>
      </c>
      <c r="K2257">
        <v>36.299999999999997</v>
      </c>
      <c r="L2257">
        <v>4.32</v>
      </c>
    </row>
    <row r="2258" spans="1:12" x14ac:dyDescent="0.25">
      <c r="A2258" t="s">
        <v>2305</v>
      </c>
      <c r="B2258" s="1">
        <v>45462</v>
      </c>
      <c r="C2258" s="1">
        <v>45463</v>
      </c>
      <c r="D2258" t="s">
        <v>23</v>
      </c>
      <c r="E2258" t="s">
        <v>59</v>
      </c>
      <c r="F2258" t="s">
        <v>29</v>
      </c>
      <c r="G2258" t="s">
        <v>26</v>
      </c>
      <c r="H2258" t="s">
        <v>65</v>
      </c>
      <c r="I2258">
        <v>5</v>
      </c>
      <c r="J2258">
        <v>0</v>
      </c>
      <c r="K2258">
        <v>1464.92</v>
      </c>
      <c r="L2258">
        <v>9.6</v>
      </c>
    </row>
    <row r="2259" spans="1:12" x14ac:dyDescent="0.25">
      <c r="A2259" t="s">
        <v>2306</v>
      </c>
      <c r="B2259" s="1">
        <v>45847</v>
      </c>
      <c r="C2259" s="1">
        <v>45852</v>
      </c>
      <c r="D2259" t="s">
        <v>47</v>
      </c>
      <c r="E2259" t="s">
        <v>50</v>
      </c>
      <c r="F2259" t="s">
        <v>25</v>
      </c>
      <c r="G2259" t="s">
        <v>20</v>
      </c>
      <c r="H2259" t="s">
        <v>41</v>
      </c>
      <c r="I2259">
        <v>4</v>
      </c>
      <c r="J2259">
        <v>0</v>
      </c>
      <c r="K2259">
        <v>23.59</v>
      </c>
      <c r="L2259">
        <v>6.3</v>
      </c>
    </row>
    <row r="2260" spans="1:12" x14ac:dyDescent="0.25">
      <c r="A2260" t="s">
        <v>2307</v>
      </c>
      <c r="B2260" s="1">
        <v>45844</v>
      </c>
      <c r="C2260" s="1">
        <v>45846</v>
      </c>
      <c r="D2260" t="s">
        <v>47</v>
      </c>
      <c r="E2260" t="s">
        <v>48</v>
      </c>
      <c r="F2260" t="s">
        <v>15</v>
      </c>
      <c r="G2260" t="s">
        <v>20</v>
      </c>
      <c r="H2260" t="s">
        <v>21</v>
      </c>
      <c r="I2260">
        <v>2</v>
      </c>
      <c r="J2260">
        <v>0.15</v>
      </c>
      <c r="K2260">
        <v>166.51</v>
      </c>
      <c r="L2260">
        <v>5.46</v>
      </c>
    </row>
    <row r="2261" spans="1:12" x14ac:dyDescent="0.25">
      <c r="A2261" t="s">
        <v>2308</v>
      </c>
      <c r="B2261" s="1">
        <v>45753</v>
      </c>
      <c r="C2261" s="1">
        <v>45754</v>
      </c>
      <c r="D2261" t="s">
        <v>23</v>
      </c>
      <c r="E2261" t="s">
        <v>43</v>
      </c>
      <c r="F2261" t="s">
        <v>25</v>
      </c>
      <c r="G2261" t="s">
        <v>26</v>
      </c>
      <c r="H2261" t="s">
        <v>39</v>
      </c>
      <c r="I2261">
        <v>1</v>
      </c>
      <c r="J2261">
        <v>0</v>
      </c>
      <c r="K2261">
        <v>177.37</v>
      </c>
      <c r="L2261">
        <v>3.45</v>
      </c>
    </row>
    <row r="2262" spans="1:12" x14ac:dyDescent="0.25">
      <c r="A2262" t="s">
        <v>2309</v>
      </c>
      <c r="B2262" s="1">
        <v>45434</v>
      </c>
      <c r="C2262" s="1">
        <v>45439</v>
      </c>
      <c r="D2262" t="s">
        <v>23</v>
      </c>
      <c r="E2262" t="s">
        <v>24</v>
      </c>
      <c r="F2262" t="s">
        <v>15</v>
      </c>
      <c r="G2262" t="s">
        <v>16</v>
      </c>
      <c r="H2262" t="s">
        <v>34</v>
      </c>
      <c r="I2262">
        <v>4</v>
      </c>
      <c r="J2262">
        <v>0</v>
      </c>
      <c r="K2262">
        <v>844.78</v>
      </c>
      <c r="L2262">
        <v>13.7</v>
      </c>
    </row>
    <row r="2263" spans="1:12" x14ac:dyDescent="0.25">
      <c r="A2263" t="s">
        <v>2310</v>
      </c>
      <c r="B2263" s="1">
        <v>45674</v>
      </c>
      <c r="C2263" s="1">
        <v>45675</v>
      </c>
      <c r="D2263" t="s">
        <v>47</v>
      </c>
      <c r="E2263" t="s">
        <v>71</v>
      </c>
      <c r="F2263" t="s">
        <v>29</v>
      </c>
      <c r="G2263" t="s">
        <v>20</v>
      </c>
      <c r="H2263" t="s">
        <v>60</v>
      </c>
      <c r="I2263">
        <v>3</v>
      </c>
      <c r="J2263">
        <v>0.05</v>
      </c>
      <c r="K2263">
        <v>286.43</v>
      </c>
      <c r="L2263">
        <v>4.95</v>
      </c>
    </row>
    <row r="2264" spans="1:12" x14ac:dyDescent="0.25">
      <c r="A2264" t="s">
        <v>2311</v>
      </c>
      <c r="B2264" s="1">
        <v>45423</v>
      </c>
      <c r="C2264" s="1">
        <v>45429</v>
      </c>
      <c r="D2264" t="s">
        <v>13</v>
      </c>
      <c r="E2264" t="s">
        <v>14</v>
      </c>
      <c r="F2264" t="s">
        <v>25</v>
      </c>
      <c r="G2264" t="s">
        <v>26</v>
      </c>
      <c r="H2264" t="s">
        <v>63</v>
      </c>
      <c r="I2264">
        <v>3</v>
      </c>
      <c r="J2264">
        <v>0</v>
      </c>
      <c r="K2264">
        <v>35.33</v>
      </c>
      <c r="L2264">
        <v>5.85</v>
      </c>
    </row>
    <row r="2265" spans="1:12" x14ac:dyDescent="0.25">
      <c r="A2265" t="s">
        <v>2312</v>
      </c>
      <c r="B2265" s="1">
        <v>45985</v>
      </c>
      <c r="C2265" s="1">
        <v>45986</v>
      </c>
      <c r="D2265" t="s">
        <v>13</v>
      </c>
      <c r="E2265" t="s">
        <v>14</v>
      </c>
      <c r="F2265" t="s">
        <v>25</v>
      </c>
      <c r="G2265" t="s">
        <v>16</v>
      </c>
      <c r="H2265" t="s">
        <v>63</v>
      </c>
      <c r="I2265">
        <v>3</v>
      </c>
      <c r="J2265">
        <v>0</v>
      </c>
      <c r="K2265">
        <v>51.13</v>
      </c>
      <c r="L2265">
        <v>5.85</v>
      </c>
    </row>
    <row r="2266" spans="1:12" x14ac:dyDescent="0.25">
      <c r="A2266" t="s">
        <v>2313</v>
      </c>
      <c r="B2266" s="1">
        <v>45925</v>
      </c>
      <c r="C2266" s="1">
        <v>45931</v>
      </c>
      <c r="D2266" t="s">
        <v>47</v>
      </c>
      <c r="E2266" t="s">
        <v>50</v>
      </c>
      <c r="F2266" t="s">
        <v>15</v>
      </c>
      <c r="G2266" t="s">
        <v>20</v>
      </c>
      <c r="H2266" t="s">
        <v>60</v>
      </c>
      <c r="I2266">
        <v>1</v>
      </c>
      <c r="J2266">
        <v>0</v>
      </c>
      <c r="K2266">
        <v>118.53</v>
      </c>
      <c r="L2266">
        <v>5.75</v>
      </c>
    </row>
    <row r="2267" spans="1:12" x14ac:dyDescent="0.25">
      <c r="A2267" t="s">
        <v>2314</v>
      </c>
      <c r="B2267" s="1">
        <v>45997</v>
      </c>
      <c r="C2267" s="1">
        <v>46003</v>
      </c>
      <c r="D2267" t="s">
        <v>23</v>
      </c>
      <c r="E2267" t="s">
        <v>59</v>
      </c>
      <c r="F2267" t="s">
        <v>15</v>
      </c>
      <c r="G2267" t="s">
        <v>26</v>
      </c>
      <c r="H2267" t="s">
        <v>27</v>
      </c>
      <c r="I2267">
        <v>23</v>
      </c>
      <c r="J2267">
        <v>0.15</v>
      </c>
      <c r="K2267">
        <v>756.47</v>
      </c>
      <c r="L2267">
        <v>14.85</v>
      </c>
    </row>
    <row r="2268" spans="1:12" x14ac:dyDescent="0.25">
      <c r="A2268" t="s">
        <v>2315</v>
      </c>
      <c r="B2268" s="1">
        <v>45958</v>
      </c>
      <c r="C2268" s="1">
        <v>45959</v>
      </c>
      <c r="D2268" t="s">
        <v>13</v>
      </c>
      <c r="E2268" t="s">
        <v>36</v>
      </c>
      <c r="F2268" t="s">
        <v>29</v>
      </c>
      <c r="G2268" t="s">
        <v>16</v>
      </c>
      <c r="H2268" t="s">
        <v>87</v>
      </c>
      <c r="I2268">
        <v>11</v>
      </c>
      <c r="J2268">
        <v>0.1</v>
      </c>
      <c r="K2268">
        <v>90.28</v>
      </c>
      <c r="L2268">
        <v>5.67</v>
      </c>
    </row>
    <row r="2269" spans="1:12" x14ac:dyDescent="0.25">
      <c r="A2269" t="s">
        <v>2316</v>
      </c>
      <c r="B2269" s="1">
        <v>45571</v>
      </c>
      <c r="C2269" s="1">
        <v>45575</v>
      </c>
      <c r="D2269" t="s">
        <v>32</v>
      </c>
      <c r="E2269" t="s">
        <v>62</v>
      </c>
      <c r="F2269" t="s">
        <v>29</v>
      </c>
      <c r="G2269" t="s">
        <v>20</v>
      </c>
      <c r="H2269" t="s">
        <v>17</v>
      </c>
      <c r="I2269">
        <v>4</v>
      </c>
      <c r="J2269">
        <v>0</v>
      </c>
      <c r="K2269">
        <v>613.22</v>
      </c>
      <c r="L2269">
        <v>9.5</v>
      </c>
    </row>
    <row r="2270" spans="1:12" x14ac:dyDescent="0.25">
      <c r="A2270" t="s">
        <v>2317</v>
      </c>
      <c r="B2270" s="1">
        <v>45296</v>
      </c>
      <c r="C2270" s="1">
        <v>45300</v>
      </c>
      <c r="D2270" t="s">
        <v>23</v>
      </c>
      <c r="E2270" t="s">
        <v>24</v>
      </c>
      <c r="F2270" t="s">
        <v>25</v>
      </c>
      <c r="G2270" t="s">
        <v>20</v>
      </c>
      <c r="H2270" t="s">
        <v>21</v>
      </c>
      <c r="I2270">
        <v>3</v>
      </c>
      <c r="J2270">
        <v>0</v>
      </c>
      <c r="K2270">
        <v>305.89</v>
      </c>
      <c r="L2270">
        <v>11.4</v>
      </c>
    </row>
    <row r="2271" spans="1:12" x14ac:dyDescent="0.25">
      <c r="A2271" t="s">
        <v>2318</v>
      </c>
      <c r="B2271" s="1">
        <v>45982</v>
      </c>
      <c r="C2271" s="1">
        <v>45987</v>
      </c>
      <c r="D2271" t="s">
        <v>23</v>
      </c>
      <c r="E2271" t="s">
        <v>24</v>
      </c>
      <c r="F2271" t="s">
        <v>29</v>
      </c>
      <c r="G2271" t="s">
        <v>16</v>
      </c>
      <c r="H2271" t="s">
        <v>53</v>
      </c>
      <c r="I2271">
        <v>1</v>
      </c>
      <c r="J2271">
        <v>0.15</v>
      </c>
      <c r="K2271">
        <v>68.16</v>
      </c>
      <c r="L2271">
        <v>3.45</v>
      </c>
    </row>
    <row r="2272" spans="1:12" x14ac:dyDescent="0.25">
      <c r="A2272" t="s">
        <v>2319</v>
      </c>
      <c r="B2272" s="1">
        <v>45532</v>
      </c>
      <c r="C2272" s="1">
        <v>45537</v>
      </c>
      <c r="D2272" t="s">
        <v>23</v>
      </c>
      <c r="E2272" t="s">
        <v>43</v>
      </c>
      <c r="F2272" t="s">
        <v>15</v>
      </c>
      <c r="G2272" t="s">
        <v>26</v>
      </c>
      <c r="H2272" t="s">
        <v>34</v>
      </c>
      <c r="I2272">
        <v>2</v>
      </c>
      <c r="J2272">
        <v>0</v>
      </c>
      <c r="K2272">
        <v>383.24</v>
      </c>
      <c r="L2272">
        <v>5.46</v>
      </c>
    </row>
    <row r="2273" spans="1:12" x14ac:dyDescent="0.25">
      <c r="A2273" t="s">
        <v>2320</v>
      </c>
      <c r="B2273" s="1">
        <v>45836</v>
      </c>
      <c r="C2273" s="1">
        <v>45838</v>
      </c>
      <c r="D2273" t="s">
        <v>32</v>
      </c>
      <c r="E2273" t="s">
        <v>62</v>
      </c>
      <c r="F2273" t="s">
        <v>25</v>
      </c>
      <c r="G2273" t="s">
        <v>16</v>
      </c>
      <c r="H2273" t="s">
        <v>17</v>
      </c>
      <c r="I2273">
        <v>3</v>
      </c>
      <c r="J2273">
        <v>0.15</v>
      </c>
      <c r="K2273">
        <v>319.81</v>
      </c>
      <c r="L2273">
        <v>4.95</v>
      </c>
    </row>
    <row r="2274" spans="1:12" x14ac:dyDescent="0.25">
      <c r="A2274" t="s">
        <v>2321</v>
      </c>
      <c r="B2274" s="1">
        <v>45582</v>
      </c>
      <c r="C2274" s="1">
        <v>45586</v>
      </c>
      <c r="D2274" t="s">
        <v>13</v>
      </c>
      <c r="E2274" t="s">
        <v>14</v>
      </c>
      <c r="F2274" t="s">
        <v>29</v>
      </c>
      <c r="G2274" t="s">
        <v>16</v>
      </c>
      <c r="H2274" t="s">
        <v>21</v>
      </c>
      <c r="I2274">
        <v>1</v>
      </c>
      <c r="J2274">
        <v>0</v>
      </c>
      <c r="K2274">
        <v>133.72999999999999</v>
      </c>
      <c r="L2274">
        <v>6.8</v>
      </c>
    </row>
    <row r="2275" spans="1:12" x14ac:dyDescent="0.25">
      <c r="A2275" t="s">
        <v>2322</v>
      </c>
      <c r="B2275" s="1">
        <v>45487</v>
      </c>
      <c r="C2275" s="1">
        <v>45489</v>
      </c>
      <c r="D2275" t="s">
        <v>32</v>
      </c>
      <c r="E2275" t="s">
        <v>62</v>
      </c>
      <c r="F2275" t="s">
        <v>15</v>
      </c>
      <c r="G2275" t="s">
        <v>16</v>
      </c>
      <c r="H2275" t="s">
        <v>51</v>
      </c>
      <c r="I2275">
        <v>7</v>
      </c>
      <c r="J2275">
        <v>0</v>
      </c>
      <c r="K2275">
        <v>99.38</v>
      </c>
      <c r="L2275">
        <v>4.59</v>
      </c>
    </row>
    <row r="2276" spans="1:12" x14ac:dyDescent="0.25">
      <c r="A2276" t="s">
        <v>2323</v>
      </c>
      <c r="B2276" s="1">
        <v>45734</v>
      </c>
      <c r="C2276" s="1">
        <v>45735</v>
      </c>
      <c r="D2276" t="s">
        <v>13</v>
      </c>
      <c r="E2276" t="s">
        <v>14</v>
      </c>
      <c r="F2276" t="s">
        <v>25</v>
      </c>
      <c r="G2276" t="s">
        <v>20</v>
      </c>
      <c r="H2276" t="s">
        <v>63</v>
      </c>
      <c r="I2276">
        <v>13</v>
      </c>
      <c r="J2276">
        <v>0</v>
      </c>
      <c r="K2276">
        <v>148.85</v>
      </c>
      <c r="L2276">
        <v>10.35</v>
      </c>
    </row>
    <row r="2277" spans="1:12" x14ac:dyDescent="0.25">
      <c r="A2277" t="s">
        <v>2324</v>
      </c>
      <c r="B2277" s="1">
        <v>45837</v>
      </c>
      <c r="C2277" s="1">
        <v>45843</v>
      </c>
      <c r="D2277" t="s">
        <v>13</v>
      </c>
      <c r="E2277" t="s">
        <v>36</v>
      </c>
      <c r="F2277" t="s">
        <v>29</v>
      </c>
      <c r="G2277" t="s">
        <v>26</v>
      </c>
      <c r="H2277" t="s">
        <v>39</v>
      </c>
      <c r="I2277">
        <v>1</v>
      </c>
      <c r="J2277">
        <v>0.1</v>
      </c>
      <c r="K2277">
        <v>188.09</v>
      </c>
      <c r="L2277">
        <v>3.45</v>
      </c>
    </row>
    <row r="2278" spans="1:12" x14ac:dyDescent="0.25">
      <c r="A2278" t="s">
        <v>2325</v>
      </c>
      <c r="B2278" s="1">
        <v>45330</v>
      </c>
      <c r="C2278" s="1">
        <v>45335</v>
      </c>
      <c r="D2278" t="s">
        <v>23</v>
      </c>
      <c r="E2278" t="s">
        <v>24</v>
      </c>
      <c r="F2278" t="s">
        <v>29</v>
      </c>
      <c r="G2278" t="s">
        <v>16</v>
      </c>
      <c r="H2278" t="s">
        <v>21</v>
      </c>
      <c r="I2278">
        <v>1</v>
      </c>
      <c r="J2278">
        <v>0.25</v>
      </c>
      <c r="K2278">
        <v>79.86</v>
      </c>
      <c r="L2278">
        <v>6.8</v>
      </c>
    </row>
    <row r="2279" spans="1:12" x14ac:dyDescent="0.25">
      <c r="A2279" t="s">
        <v>2326</v>
      </c>
      <c r="B2279" s="1">
        <v>45467</v>
      </c>
      <c r="C2279" s="1">
        <v>45470</v>
      </c>
      <c r="D2279" t="s">
        <v>32</v>
      </c>
      <c r="E2279" t="s">
        <v>33</v>
      </c>
      <c r="F2279" t="s">
        <v>25</v>
      </c>
      <c r="G2279" t="s">
        <v>26</v>
      </c>
      <c r="H2279" t="s">
        <v>21</v>
      </c>
      <c r="I2279">
        <v>2</v>
      </c>
      <c r="J2279">
        <v>0</v>
      </c>
      <c r="K2279">
        <v>237.66</v>
      </c>
      <c r="L2279">
        <v>9.1</v>
      </c>
    </row>
    <row r="2280" spans="1:12" x14ac:dyDescent="0.25">
      <c r="A2280" t="s">
        <v>2327</v>
      </c>
      <c r="B2280" s="1">
        <v>45873</v>
      </c>
      <c r="C2280" s="1">
        <v>45877</v>
      </c>
      <c r="D2280" t="s">
        <v>47</v>
      </c>
      <c r="E2280" t="s">
        <v>50</v>
      </c>
      <c r="F2280" t="s">
        <v>25</v>
      </c>
      <c r="G2280" t="s">
        <v>20</v>
      </c>
      <c r="H2280" t="s">
        <v>41</v>
      </c>
      <c r="I2280">
        <v>4</v>
      </c>
      <c r="J2280">
        <v>0</v>
      </c>
      <c r="K2280">
        <v>23.21</v>
      </c>
      <c r="L2280">
        <v>3.78</v>
      </c>
    </row>
    <row r="2281" spans="1:12" x14ac:dyDescent="0.25">
      <c r="A2281" t="s">
        <v>2328</v>
      </c>
      <c r="B2281" s="1">
        <v>45552</v>
      </c>
      <c r="C2281" s="1">
        <v>45556</v>
      </c>
      <c r="D2281" t="s">
        <v>32</v>
      </c>
      <c r="E2281" t="s">
        <v>62</v>
      </c>
      <c r="F2281" t="s">
        <v>29</v>
      </c>
      <c r="G2281" t="s">
        <v>16</v>
      </c>
      <c r="H2281" t="s">
        <v>51</v>
      </c>
      <c r="I2281">
        <v>6</v>
      </c>
      <c r="J2281">
        <v>0</v>
      </c>
      <c r="K2281">
        <v>97.43</v>
      </c>
      <c r="L2281">
        <v>7.2</v>
      </c>
    </row>
    <row r="2282" spans="1:12" x14ac:dyDescent="0.25">
      <c r="A2282" t="s">
        <v>2329</v>
      </c>
      <c r="B2282" s="1">
        <v>45465</v>
      </c>
      <c r="C2282" s="1">
        <v>45467</v>
      </c>
      <c r="D2282" t="s">
        <v>13</v>
      </c>
      <c r="E2282" t="s">
        <v>14</v>
      </c>
      <c r="F2282" t="s">
        <v>25</v>
      </c>
      <c r="G2282" t="s">
        <v>16</v>
      </c>
      <c r="H2282" t="s">
        <v>65</v>
      </c>
      <c r="I2282">
        <v>2</v>
      </c>
      <c r="J2282">
        <v>0</v>
      </c>
      <c r="K2282">
        <v>585.80999999999995</v>
      </c>
      <c r="L2282">
        <v>5.46</v>
      </c>
    </row>
    <row r="2283" spans="1:12" x14ac:dyDescent="0.25">
      <c r="A2283" t="s">
        <v>2330</v>
      </c>
      <c r="B2283" s="1">
        <v>45657</v>
      </c>
      <c r="C2283" s="1">
        <v>45660</v>
      </c>
      <c r="D2283" t="s">
        <v>32</v>
      </c>
      <c r="E2283" t="s">
        <v>62</v>
      </c>
      <c r="F2283" t="s">
        <v>25</v>
      </c>
      <c r="G2283" t="s">
        <v>26</v>
      </c>
      <c r="H2283" t="s">
        <v>27</v>
      </c>
      <c r="I2283">
        <v>22</v>
      </c>
      <c r="J2283">
        <v>0.2</v>
      </c>
      <c r="K2283">
        <v>734.64</v>
      </c>
      <c r="L2283">
        <v>14.4</v>
      </c>
    </row>
    <row r="2284" spans="1:12" x14ac:dyDescent="0.25">
      <c r="A2284" t="s">
        <v>2331</v>
      </c>
      <c r="B2284" s="1">
        <v>45738</v>
      </c>
      <c r="C2284" s="1">
        <v>45742</v>
      </c>
      <c r="D2284" t="s">
        <v>13</v>
      </c>
      <c r="E2284" t="s">
        <v>14</v>
      </c>
      <c r="F2284" t="s">
        <v>29</v>
      </c>
      <c r="G2284" t="s">
        <v>26</v>
      </c>
      <c r="H2284" t="s">
        <v>51</v>
      </c>
      <c r="I2284">
        <v>3</v>
      </c>
      <c r="J2284">
        <v>0</v>
      </c>
      <c r="K2284">
        <v>42.97</v>
      </c>
      <c r="L2284">
        <v>3.51</v>
      </c>
    </row>
    <row r="2285" spans="1:12" x14ac:dyDescent="0.25">
      <c r="A2285" t="s">
        <v>2332</v>
      </c>
      <c r="B2285" s="1">
        <v>45677</v>
      </c>
      <c r="C2285" s="1">
        <v>45678</v>
      </c>
      <c r="D2285" t="s">
        <v>47</v>
      </c>
      <c r="E2285" t="s">
        <v>71</v>
      </c>
      <c r="F2285" t="s">
        <v>29</v>
      </c>
      <c r="G2285" t="s">
        <v>26</v>
      </c>
      <c r="H2285" t="s">
        <v>53</v>
      </c>
      <c r="I2285">
        <v>4</v>
      </c>
      <c r="J2285">
        <v>0</v>
      </c>
      <c r="K2285">
        <v>192.58</v>
      </c>
      <c r="L2285">
        <v>5.7</v>
      </c>
    </row>
    <row r="2286" spans="1:12" x14ac:dyDescent="0.25">
      <c r="A2286" t="s">
        <v>2333</v>
      </c>
      <c r="B2286" s="1">
        <v>45312</v>
      </c>
      <c r="C2286" s="1">
        <v>45316</v>
      </c>
      <c r="D2286" t="s">
        <v>13</v>
      </c>
      <c r="E2286" t="s">
        <v>14</v>
      </c>
      <c r="F2286" t="s">
        <v>25</v>
      </c>
      <c r="G2286" t="s">
        <v>20</v>
      </c>
      <c r="H2286" t="s">
        <v>51</v>
      </c>
      <c r="I2286">
        <v>11</v>
      </c>
      <c r="J2286">
        <v>0</v>
      </c>
      <c r="K2286">
        <v>149.04</v>
      </c>
      <c r="L2286">
        <v>5.67</v>
      </c>
    </row>
    <row r="2287" spans="1:12" x14ac:dyDescent="0.25">
      <c r="A2287" t="s">
        <v>2334</v>
      </c>
      <c r="B2287" s="1">
        <v>45485</v>
      </c>
      <c r="C2287" s="1">
        <v>45491</v>
      </c>
      <c r="D2287" t="s">
        <v>47</v>
      </c>
      <c r="E2287" t="s">
        <v>48</v>
      </c>
      <c r="F2287" t="s">
        <v>15</v>
      </c>
      <c r="G2287" t="s">
        <v>16</v>
      </c>
      <c r="H2287" t="s">
        <v>34</v>
      </c>
      <c r="I2287">
        <v>2</v>
      </c>
      <c r="J2287">
        <v>0.2</v>
      </c>
      <c r="K2287">
        <v>292.92</v>
      </c>
      <c r="L2287">
        <v>5.46</v>
      </c>
    </row>
    <row r="2288" spans="1:12" x14ac:dyDescent="0.25">
      <c r="A2288" t="s">
        <v>2335</v>
      </c>
      <c r="B2288" s="1">
        <v>45377</v>
      </c>
      <c r="C2288" s="1">
        <v>45378</v>
      </c>
      <c r="D2288" t="s">
        <v>13</v>
      </c>
      <c r="E2288" t="s">
        <v>36</v>
      </c>
      <c r="F2288" t="s">
        <v>15</v>
      </c>
      <c r="G2288" t="s">
        <v>16</v>
      </c>
      <c r="H2288" t="s">
        <v>68</v>
      </c>
      <c r="I2288">
        <v>1</v>
      </c>
      <c r="J2288">
        <v>0</v>
      </c>
      <c r="K2288">
        <v>46.99</v>
      </c>
      <c r="L2288">
        <v>5.75</v>
      </c>
    </row>
    <row r="2289" spans="1:12" x14ac:dyDescent="0.25">
      <c r="A2289" t="s">
        <v>2336</v>
      </c>
      <c r="B2289" s="1">
        <v>45843</v>
      </c>
      <c r="C2289" s="1">
        <v>45846</v>
      </c>
      <c r="D2289" t="s">
        <v>13</v>
      </c>
      <c r="E2289" t="s">
        <v>36</v>
      </c>
      <c r="F2289" t="s">
        <v>29</v>
      </c>
      <c r="G2289" t="s">
        <v>26</v>
      </c>
      <c r="H2289" t="s">
        <v>65</v>
      </c>
      <c r="I2289">
        <v>3</v>
      </c>
      <c r="J2289">
        <v>0</v>
      </c>
      <c r="K2289">
        <v>787.8</v>
      </c>
      <c r="L2289">
        <v>11.4</v>
      </c>
    </row>
    <row r="2290" spans="1:12" x14ac:dyDescent="0.25">
      <c r="A2290" t="s">
        <v>2337</v>
      </c>
      <c r="B2290" s="1">
        <v>45695</v>
      </c>
      <c r="C2290" s="1">
        <v>45700</v>
      </c>
      <c r="D2290" t="s">
        <v>13</v>
      </c>
      <c r="E2290" t="s">
        <v>19</v>
      </c>
      <c r="F2290" t="s">
        <v>15</v>
      </c>
      <c r="G2290" t="s">
        <v>26</v>
      </c>
      <c r="H2290" t="s">
        <v>51</v>
      </c>
      <c r="I2290">
        <v>11</v>
      </c>
      <c r="J2290">
        <v>0.2</v>
      </c>
      <c r="K2290">
        <v>110.69</v>
      </c>
      <c r="L2290">
        <v>5.67</v>
      </c>
    </row>
    <row r="2291" spans="1:12" x14ac:dyDescent="0.25">
      <c r="A2291" t="s">
        <v>2338</v>
      </c>
      <c r="B2291" s="1">
        <v>45880</v>
      </c>
      <c r="C2291" s="1">
        <v>45886</v>
      </c>
      <c r="D2291" t="s">
        <v>13</v>
      </c>
      <c r="E2291" t="s">
        <v>14</v>
      </c>
      <c r="F2291" t="s">
        <v>29</v>
      </c>
      <c r="G2291" t="s">
        <v>20</v>
      </c>
      <c r="H2291" t="s">
        <v>21</v>
      </c>
      <c r="I2291">
        <v>2</v>
      </c>
      <c r="J2291">
        <v>0</v>
      </c>
      <c r="K2291">
        <v>212.86</v>
      </c>
      <c r="L2291">
        <v>5.46</v>
      </c>
    </row>
    <row r="2292" spans="1:12" x14ac:dyDescent="0.25">
      <c r="A2292" t="s">
        <v>2339</v>
      </c>
      <c r="B2292" s="1">
        <v>45326</v>
      </c>
      <c r="C2292" s="1">
        <v>45328</v>
      </c>
      <c r="D2292" t="s">
        <v>32</v>
      </c>
      <c r="E2292" t="s">
        <v>45</v>
      </c>
      <c r="F2292" t="s">
        <v>25</v>
      </c>
      <c r="G2292" t="s">
        <v>20</v>
      </c>
      <c r="H2292" t="s">
        <v>53</v>
      </c>
      <c r="I2292">
        <v>2</v>
      </c>
      <c r="J2292">
        <v>0.1</v>
      </c>
      <c r="K2292">
        <v>92.02</v>
      </c>
      <c r="L2292">
        <v>4.2</v>
      </c>
    </row>
    <row r="2293" spans="1:12" x14ac:dyDescent="0.25">
      <c r="A2293" t="s">
        <v>2340</v>
      </c>
      <c r="B2293" s="1">
        <v>45806</v>
      </c>
      <c r="C2293" s="1">
        <v>45809</v>
      </c>
      <c r="D2293" t="s">
        <v>32</v>
      </c>
      <c r="E2293" t="s">
        <v>33</v>
      </c>
      <c r="F2293" t="s">
        <v>29</v>
      </c>
      <c r="G2293" t="s">
        <v>20</v>
      </c>
      <c r="H2293" t="s">
        <v>39</v>
      </c>
      <c r="I2293">
        <v>3</v>
      </c>
      <c r="J2293">
        <v>0.15</v>
      </c>
      <c r="K2293">
        <v>517.75</v>
      </c>
      <c r="L2293">
        <v>4.95</v>
      </c>
    </row>
    <row r="2294" spans="1:12" x14ac:dyDescent="0.25">
      <c r="A2294" t="s">
        <v>2341</v>
      </c>
      <c r="B2294" s="1">
        <v>45773</v>
      </c>
      <c r="C2294" s="1">
        <v>45776</v>
      </c>
      <c r="D2294" t="s">
        <v>32</v>
      </c>
      <c r="E2294" t="s">
        <v>62</v>
      </c>
      <c r="F2294" t="s">
        <v>15</v>
      </c>
      <c r="G2294" t="s">
        <v>16</v>
      </c>
      <c r="H2294" t="s">
        <v>34</v>
      </c>
      <c r="I2294">
        <v>3</v>
      </c>
      <c r="J2294">
        <v>0.1</v>
      </c>
      <c r="K2294">
        <v>543.32000000000005</v>
      </c>
      <c r="L2294">
        <v>6.84</v>
      </c>
    </row>
    <row r="2295" spans="1:12" x14ac:dyDescent="0.25">
      <c r="A2295" t="s">
        <v>2342</v>
      </c>
      <c r="B2295" s="1">
        <v>45640</v>
      </c>
      <c r="C2295" s="1">
        <v>45645</v>
      </c>
      <c r="D2295" t="s">
        <v>13</v>
      </c>
      <c r="E2295" t="s">
        <v>14</v>
      </c>
      <c r="F2295" t="s">
        <v>25</v>
      </c>
      <c r="G2295" t="s">
        <v>16</v>
      </c>
      <c r="H2295" t="s">
        <v>60</v>
      </c>
      <c r="I2295">
        <v>5</v>
      </c>
      <c r="J2295">
        <v>0</v>
      </c>
      <c r="K2295">
        <v>839.34</v>
      </c>
      <c r="L2295">
        <v>10.75</v>
      </c>
    </row>
    <row r="2296" spans="1:12" x14ac:dyDescent="0.25">
      <c r="A2296" t="s">
        <v>2343</v>
      </c>
      <c r="B2296" s="1">
        <v>45398</v>
      </c>
      <c r="C2296" s="1">
        <v>45402</v>
      </c>
      <c r="D2296" t="s">
        <v>13</v>
      </c>
      <c r="E2296" t="s">
        <v>14</v>
      </c>
      <c r="F2296" t="s">
        <v>29</v>
      </c>
      <c r="G2296" t="s">
        <v>20</v>
      </c>
      <c r="H2296" t="s">
        <v>68</v>
      </c>
      <c r="I2296">
        <v>3</v>
      </c>
      <c r="J2296">
        <v>0.1</v>
      </c>
      <c r="K2296">
        <v>131.51</v>
      </c>
      <c r="L2296">
        <v>4.95</v>
      </c>
    </row>
    <row r="2297" spans="1:12" x14ac:dyDescent="0.25">
      <c r="A2297" t="s">
        <v>2344</v>
      </c>
      <c r="B2297" s="1">
        <v>45994</v>
      </c>
      <c r="C2297" s="1">
        <v>45999</v>
      </c>
      <c r="D2297" t="s">
        <v>32</v>
      </c>
      <c r="E2297" t="s">
        <v>45</v>
      </c>
      <c r="F2297" t="s">
        <v>29</v>
      </c>
      <c r="G2297" t="s">
        <v>20</v>
      </c>
      <c r="H2297" t="s">
        <v>37</v>
      </c>
      <c r="I2297">
        <v>1</v>
      </c>
      <c r="J2297">
        <v>0.05</v>
      </c>
      <c r="K2297">
        <v>141.03</v>
      </c>
      <c r="L2297">
        <v>6.8</v>
      </c>
    </row>
    <row r="2298" spans="1:12" x14ac:dyDescent="0.25">
      <c r="A2298" t="s">
        <v>2345</v>
      </c>
      <c r="B2298" s="1">
        <v>45909</v>
      </c>
      <c r="C2298" s="1">
        <v>45914</v>
      </c>
      <c r="D2298" t="s">
        <v>47</v>
      </c>
      <c r="E2298" t="s">
        <v>48</v>
      </c>
      <c r="F2298" t="s">
        <v>15</v>
      </c>
      <c r="G2298" t="s">
        <v>16</v>
      </c>
      <c r="H2298" t="s">
        <v>87</v>
      </c>
      <c r="I2298">
        <v>5</v>
      </c>
      <c r="J2298">
        <v>0.15</v>
      </c>
      <c r="K2298">
        <v>37.03</v>
      </c>
      <c r="L2298">
        <v>4.05</v>
      </c>
    </row>
    <row r="2299" spans="1:12" x14ac:dyDescent="0.25">
      <c r="A2299" t="s">
        <v>2346</v>
      </c>
      <c r="B2299" s="1">
        <v>45497</v>
      </c>
      <c r="C2299" s="1">
        <v>45503</v>
      </c>
      <c r="D2299" t="s">
        <v>47</v>
      </c>
      <c r="E2299" t="s">
        <v>71</v>
      </c>
      <c r="F2299" t="s">
        <v>29</v>
      </c>
      <c r="G2299" t="s">
        <v>20</v>
      </c>
      <c r="H2299" t="s">
        <v>41</v>
      </c>
      <c r="I2299">
        <v>11</v>
      </c>
      <c r="J2299">
        <v>0.25</v>
      </c>
      <c r="K2299">
        <v>49.31</v>
      </c>
      <c r="L2299">
        <v>5.67</v>
      </c>
    </row>
    <row r="2300" spans="1:12" x14ac:dyDescent="0.25">
      <c r="A2300" t="s">
        <v>2347</v>
      </c>
      <c r="B2300" s="1">
        <v>45720</v>
      </c>
      <c r="C2300" s="1">
        <v>45724</v>
      </c>
      <c r="D2300" t="s">
        <v>47</v>
      </c>
      <c r="E2300" t="s">
        <v>71</v>
      </c>
      <c r="F2300" t="s">
        <v>15</v>
      </c>
      <c r="G2300" t="s">
        <v>16</v>
      </c>
      <c r="H2300" t="s">
        <v>34</v>
      </c>
      <c r="I2300">
        <v>2</v>
      </c>
      <c r="J2300">
        <v>0</v>
      </c>
      <c r="K2300">
        <v>392.1</v>
      </c>
      <c r="L2300">
        <v>5.46</v>
      </c>
    </row>
    <row r="2301" spans="1:12" x14ac:dyDescent="0.25">
      <c r="A2301" t="s">
        <v>2348</v>
      </c>
      <c r="B2301" s="1">
        <v>45941</v>
      </c>
      <c r="C2301" s="1">
        <v>45942</v>
      </c>
      <c r="D2301" t="s">
        <v>23</v>
      </c>
      <c r="E2301" t="s">
        <v>59</v>
      </c>
      <c r="F2301" t="s">
        <v>25</v>
      </c>
      <c r="G2301" t="s">
        <v>26</v>
      </c>
      <c r="H2301" t="s">
        <v>53</v>
      </c>
      <c r="I2301">
        <v>4</v>
      </c>
      <c r="J2301">
        <v>0</v>
      </c>
      <c r="K2301">
        <v>269.04000000000002</v>
      </c>
      <c r="L2301">
        <v>5.7</v>
      </c>
    </row>
    <row r="2302" spans="1:12" x14ac:dyDescent="0.25">
      <c r="A2302" t="s">
        <v>2349</v>
      </c>
      <c r="B2302" s="1">
        <v>46015</v>
      </c>
      <c r="C2302" s="1">
        <v>46016</v>
      </c>
      <c r="D2302" t="s">
        <v>32</v>
      </c>
      <c r="E2302" t="s">
        <v>62</v>
      </c>
      <c r="F2302" t="s">
        <v>29</v>
      </c>
      <c r="G2302" t="s">
        <v>20</v>
      </c>
      <c r="H2302" t="s">
        <v>30</v>
      </c>
      <c r="I2302">
        <v>7</v>
      </c>
      <c r="J2302">
        <v>0</v>
      </c>
      <c r="K2302">
        <v>61.15</v>
      </c>
      <c r="L2302">
        <v>4.59</v>
      </c>
    </row>
    <row r="2303" spans="1:12" x14ac:dyDescent="0.25">
      <c r="A2303" t="s">
        <v>2350</v>
      </c>
      <c r="B2303" s="1">
        <v>45767</v>
      </c>
      <c r="C2303" s="1">
        <v>45772</v>
      </c>
      <c r="D2303" t="s">
        <v>13</v>
      </c>
      <c r="E2303" t="s">
        <v>19</v>
      </c>
      <c r="F2303" t="s">
        <v>15</v>
      </c>
      <c r="G2303" t="s">
        <v>20</v>
      </c>
      <c r="H2303" t="s">
        <v>53</v>
      </c>
      <c r="I2303">
        <v>4</v>
      </c>
      <c r="J2303">
        <v>0</v>
      </c>
      <c r="K2303">
        <v>214.34</v>
      </c>
      <c r="L2303">
        <v>5.7</v>
      </c>
    </row>
    <row r="2304" spans="1:12" x14ac:dyDescent="0.25">
      <c r="A2304" t="s">
        <v>2351</v>
      </c>
      <c r="B2304" s="1">
        <v>45513</v>
      </c>
      <c r="C2304" s="1">
        <v>45514</v>
      </c>
      <c r="D2304" t="s">
        <v>13</v>
      </c>
      <c r="E2304" t="s">
        <v>14</v>
      </c>
      <c r="F2304" t="s">
        <v>29</v>
      </c>
      <c r="G2304" t="s">
        <v>16</v>
      </c>
      <c r="H2304" t="s">
        <v>34</v>
      </c>
      <c r="I2304">
        <v>3</v>
      </c>
      <c r="J2304">
        <v>0</v>
      </c>
      <c r="K2304">
        <v>560.53</v>
      </c>
      <c r="L2304">
        <v>11.4</v>
      </c>
    </row>
    <row r="2305" spans="1:12" x14ac:dyDescent="0.25">
      <c r="A2305" t="s">
        <v>2352</v>
      </c>
      <c r="B2305" s="1">
        <v>45512</v>
      </c>
      <c r="C2305" s="1">
        <v>45515</v>
      </c>
      <c r="D2305" t="s">
        <v>47</v>
      </c>
      <c r="E2305" t="s">
        <v>71</v>
      </c>
      <c r="F2305" t="s">
        <v>29</v>
      </c>
      <c r="G2305" t="s">
        <v>20</v>
      </c>
      <c r="H2305" t="s">
        <v>27</v>
      </c>
      <c r="I2305">
        <v>5</v>
      </c>
      <c r="J2305">
        <v>0</v>
      </c>
      <c r="K2305">
        <v>136.13</v>
      </c>
      <c r="L2305">
        <v>6.75</v>
      </c>
    </row>
    <row r="2306" spans="1:12" x14ac:dyDescent="0.25">
      <c r="A2306" t="s">
        <v>2353</v>
      </c>
      <c r="B2306" s="1">
        <v>45984</v>
      </c>
      <c r="C2306" s="1">
        <v>45988</v>
      </c>
      <c r="D2306" t="s">
        <v>32</v>
      </c>
      <c r="E2306" t="s">
        <v>33</v>
      </c>
      <c r="F2306" t="s">
        <v>25</v>
      </c>
      <c r="G2306" t="s">
        <v>20</v>
      </c>
      <c r="H2306" t="s">
        <v>41</v>
      </c>
      <c r="I2306">
        <v>6</v>
      </c>
      <c r="J2306">
        <v>0</v>
      </c>
      <c r="K2306">
        <v>48.98</v>
      </c>
      <c r="L2306">
        <v>4.32</v>
      </c>
    </row>
    <row r="2307" spans="1:12" x14ac:dyDescent="0.25">
      <c r="A2307" t="s">
        <v>2354</v>
      </c>
      <c r="B2307" s="1">
        <v>45787</v>
      </c>
      <c r="C2307" s="1">
        <v>45790</v>
      </c>
      <c r="D2307" t="s">
        <v>47</v>
      </c>
      <c r="E2307" t="s">
        <v>71</v>
      </c>
      <c r="F2307" t="s">
        <v>15</v>
      </c>
      <c r="G2307" t="s">
        <v>20</v>
      </c>
      <c r="H2307" t="s">
        <v>34</v>
      </c>
      <c r="I2307">
        <v>2</v>
      </c>
      <c r="J2307">
        <v>0.25</v>
      </c>
      <c r="K2307">
        <v>332.5</v>
      </c>
      <c r="L2307">
        <v>5.46</v>
      </c>
    </row>
    <row r="2308" spans="1:12" x14ac:dyDescent="0.25">
      <c r="A2308" t="s">
        <v>2355</v>
      </c>
      <c r="B2308" s="1">
        <v>45489</v>
      </c>
      <c r="C2308" s="1">
        <v>45490</v>
      </c>
      <c r="D2308" t="s">
        <v>47</v>
      </c>
      <c r="E2308" t="s">
        <v>71</v>
      </c>
      <c r="F2308" t="s">
        <v>15</v>
      </c>
      <c r="G2308" t="s">
        <v>20</v>
      </c>
      <c r="H2308" t="s">
        <v>30</v>
      </c>
      <c r="I2308">
        <v>4</v>
      </c>
      <c r="J2308">
        <v>0.15</v>
      </c>
      <c r="K2308">
        <v>19.52</v>
      </c>
      <c r="L2308">
        <v>6.3</v>
      </c>
    </row>
    <row r="2309" spans="1:12" x14ac:dyDescent="0.25">
      <c r="A2309" t="s">
        <v>2356</v>
      </c>
      <c r="B2309" s="1">
        <v>45856</v>
      </c>
      <c r="C2309" s="1">
        <v>45861</v>
      </c>
      <c r="D2309" t="s">
        <v>23</v>
      </c>
      <c r="E2309" t="s">
        <v>59</v>
      </c>
      <c r="F2309" t="s">
        <v>25</v>
      </c>
      <c r="G2309" t="s">
        <v>26</v>
      </c>
      <c r="H2309" t="s">
        <v>17</v>
      </c>
      <c r="I2309">
        <v>4</v>
      </c>
      <c r="J2309">
        <v>0.2</v>
      </c>
      <c r="K2309">
        <v>353.66</v>
      </c>
      <c r="L2309">
        <v>9.5</v>
      </c>
    </row>
    <row r="2310" spans="1:12" x14ac:dyDescent="0.25">
      <c r="A2310" t="s">
        <v>2357</v>
      </c>
      <c r="B2310" s="1">
        <v>45841</v>
      </c>
      <c r="C2310" s="1">
        <v>45846</v>
      </c>
      <c r="D2310" t="s">
        <v>13</v>
      </c>
      <c r="E2310" t="s">
        <v>36</v>
      </c>
      <c r="F2310" t="s">
        <v>25</v>
      </c>
      <c r="G2310" t="s">
        <v>16</v>
      </c>
      <c r="H2310" t="s">
        <v>53</v>
      </c>
      <c r="I2310">
        <v>2</v>
      </c>
      <c r="J2310">
        <v>0.15</v>
      </c>
      <c r="K2310">
        <v>92.7</v>
      </c>
      <c r="L2310">
        <v>4.2</v>
      </c>
    </row>
    <row r="2311" spans="1:12" x14ac:dyDescent="0.25">
      <c r="A2311" t="s">
        <v>2358</v>
      </c>
      <c r="B2311" s="1">
        <v>45318</v>
      </c>
      <c r="C2311" s="1">
        <v>45319</v>
      </c>
      <c r="D2311" t="s">
        <v>23</v>
      </c>
      <c r="E2311" t="s">
        <v>24</v>
      </c>
      <c r="F2311" t="s">
        <v>15</v>
      </c>
      <c r="G2311" t="s">
        <v>26</v>
      </c>
      <c r="H2311" t="s">
        <v>63</v>
      </c>
      <c r="I2311">
        <v>8</v>
      </c>
      <c r="J2311">
        <v>0.15</v>
      </c>
      <c r="K2311">
        <v>75.38</v>
      </c>
      <c r="L2311">
        <v>8.1</v>
      </c>
    </row>
    <row r="2312" spans="1:12" x14ac:dyDescent="0.25">
      <c r="A2312" t="s">
        <v>2359</v>
      </c>
      <c r="B2312" s="1">
        <v>45942</v>
      </c>
      <c r="C2312" s="1">
        <v>45944</v>
      </c>
      <c r="D2312" t="s">
        <v>23</v>
      </c>
      <c r="E2312" t="s">
        <v>43</v>
      </c>
      <c r="F2312" t="s">
        <v>25</v>
      </c>
      <c r="G2312" t="s">
        <v>26</v>
      </c>
      <c r="H2312" t="s">
        <v>30</v>
      </c>
      <c r="I2312">
        <v>5</v>
      </c>
      <c r="J2312">
        <v>0.2</v>
      </c>
      <c r="K2312">
        <v>29</v>
      </c>
      <c r="L2312">
        <v>6.75</v>
      </c>
    </row>
    <row r="2313" spans="1:12" x14ac:dyDescent="0.25">
      <c r="A2313" t="s">
        <v>2360</v>
      </c>
      <c r="B2313" s="1">
        <v>45792</v>
      </c>
      <c r="C2313" s="1">
        <v>45797</v>
      </c>
      <c r="D2313" t="s">
        <v>32</v>
      </c>
      <c r="E2313" t="s">
        <v>62</v>
      </c>
      <c r="F2313" t="s">
        <v>29</v>
      </c>
      <c r="G2313" t="s">
        <v>16</v>
      </c>
      <c r="H2313" t="s">
        <v>34</v>
      </c>
      <c r="I2313">
        <v>2</v>
      </c>
      <c r="J2313">
        <v>0.2</v>
      </c>
      <c r="K2313">
        <v>325.16000000000003</v>
      </c>
      <c r="L2313">
        <v>9.1</v>
      </c>
    </row>
    <row r="2314" spans="1:12" x14ac:dyDescent="0.25">
      <c r="A2314" t="s">
        <v>2361</v>
      </c>
      <c r="B2314" s="1">
        <v>45560</v>
      </c>
      <c r="C2314" s="1">
        <v>45562</v>
      </c>
      <c r="D2314" t="s">
        <v>13</v>
      </c>
      <c r="E2314" t="s">
        <v>14</v>
      </c>
      <c r="F2314" t="s">
        <v>25</v>
      </c>
      <c r="G2314" t="s">
        <v>16</v>
      </c>
      <c r="H2314" t="s">
        <v>53</v>
      </c>
      <c r="I2314">
        <v>5</v>
      </c>
      <c r="J2314">
        <v>0.05</v>
      </c>
      <c r="K2314">
        <v>298</v>
      </c>
      <c r="L2314">
        <v>6.45</v>
      </c>
    </row>
    <row r="2315" spans="1:12" x14ac:dyDescent="0.25">
      <c r="A2315" t="s">
        <v>2362</v>
      </c>
      <c r="B2315" s="1">
        <v>45587</v>
      </c>
      <c r="C2315" s="1">
        <v>45590</v>
      </c>
      <c r="D2315" t="s">
        <v>32</v>
      </c>
      <c r="E2315" t="s">
        <v>33</v>
      </c>
      <c r="F2315" t="s">
        <v>25</v>
      </c>
      <c r="G2315" t="s">
        <v>26</v>
      </c>
      <c r="H2315" t="s">
        <v>17</v>
      </c>
      <c r="I2315">
        <v>3</v>
      </c>
      <c r="J2315">
        <v>0</v>
      </c>
      <c r="K2315">
        <v>430.88</v>
      </c>
      <c r="L2315">
        <v>8.25</v>
      </c>
    </row>
    <row r="2316" spans="1:12" x14ac:dyDescent="0.25">
      <c r="A2316" t="s">
        <v>2363</v>
      </c>
      <c r="B2316" s="1">
        <v>45576</v>
      </c>
      <c r="C2316" s="1">
        <v>45580</v>
      </c>
      <c r="D2316" t="s">
        <v>23</v>
      </c>
      <c r="E2316" t="s">
        <v>24</v>
      </c>
      <c r="F2316" t="s">
        <v>15</v>
      </c>
      <c r="G2316" t="s">
        <v>20</v>
      </c>
      <c r="H2316" t="s">
        <v>53</v>
      </c>
      <c r="I2316">
        <v>3</v>
      </c>
      <c r="J2316">
        <v>0</v>
      </c>
      <c r="K2316">
        <v>204.37</v>
      </c>
      <c r="L2316">
        <v>8.25</v>
      </c>
    </row>
    <row r="2317" spans="1:12" x14ac:dyDescent="0.25">
      <c r="A2317" t="s">
        <v>2364</v>
      </c>
      <c r="B2317" s="1">
        <v>45955</v>
      </c>
      <c r="C2317" s="1">
        <v>45958</v>
      </c>
      <c r="D2317" t="s">
        <v>32</v>
      </c>
      <c r="E2317" t="s">
        <v>45</v>
      </c>
      <c r="F2317" t="s">
        <v>29</v>
      </c>
      <c r="G2317" t="s">
        <v>16</v>
      </c>
      <c r="H2317" t="s">
        <v>17</v>
      </c>
      <c r="I2317">
        <v>1</v>
      </c>
      <c r="J2317">
        <v>0</v>
      </c>
      <c r="K2317">
        <v>145.58000000000001</v>
      </c>
      <c r="L2317">
        <v>5.75</v>
      </c>
    </row>
    <row r="2318" spans="1:12" x14ac:dyDescent="0.25">
      <c r="A2318" t="s">
        <v>2365</v>
      </c>
      <c r="B2318" s="1">
        <v>45745</v>
      </c>
      <c r="C2318" s="1">
        <v>45750</v>
      </c>
      <c r="D2318" t="s">
        <v>13</v>
      </c>
      <c r="E2318" t="s">
        <v>19</v>
      </c>
      <c r="F2318" t="s">
        <v>25</v>
      </c>
      <c r="G2318" t="s">
        <v>26</v>
      </c>
      <c r="H2318" t="s">
        <v>34</v>
      </c>
      <c r="I2318">
        <v>4</v>
      </c>
      <c r="J2318">
        <v>0</v>
      </c>
      <c r="K2318">
        <v>730.35</v>
      </c>
      <c r="L2318">
        <v>8.2200000000000006</v>
      </c>
    </row>
    <row r="2319" spans="1:12" x14ac:dyDescent="0.25">
      <c r="A2319" t="s">
        <v>2366</v>
      </c>
      <c r="B2319" s="1">
        <v>45603</v>
      </c>
      <c r="C2319" s="1">
        <v>45607</v>
      </c>
      <c r="D2319" t="s">
        <v>47</v>
      </c>
      <c r="E2319" t="s">
        <v>48</v>
      </c>
      <c r="F2319" t="s">
        <v>29</v>
      </c>
      <c r="G2319" t="s">
        <v>20</v>
      </c>
      <c r="H2319" t="s">
        <v>30</v>
      </c>
      <c r="I2319">
        <v>8</v>
      </c>
      <c r="J2319">
        <v>0</v>
      </c>
      <c r="K2319">
        <v>66.739999999999995</v>
      </c>
      <c r="L2319">
        <v>4.8600000000000003</v>
      </c>
    </row>
    <row r="2320" spans="1:12" x14ac:dyDescent="0.25">
      <c r="A2320" t="s">
        <v>2367</v>
      </c>
      <c r="B2320" s="1">
        <v>45600</v>
      </c>
      <c r="C2320" s="1">
        <v>45606</v>
      </c>
      <c r="D2320" t="s">
        <v>47</v>
      </c>
      <c r="E2320" t="s">
        <v>50</v>
      </c>
      <c r="F2320" t="s">
        <v>15</v>
      </c>
      <c r="G2320" t="s">
        <v>20</v>
      </c>
      <c r="H2320" t="s">
        <v>87</v>
      </c>
      <c r="I2320">
        <v>8</v>
      </c>
      <c r="J2320">
        <v>0.05</v>
      </c>
      <c r="K2320">
        <v>83.53</v>
      </c>
      <c r="L2320">
        <v>4.8600000000000003</v>
      </c>
    </row>
    <row r="2321" spans="1:12" x14ac:dyDescent="0.25">
      <c r="A2321" t="s">
        <v>2368</v>
      </c>
      <c r="B2321" s="1">
        <v>45329</v>
      </c>
      <c r="C2321" s="1">
        <v>45330</v>
      </c>
      <c r="D2321" t="s">
        <v>32</v>
      </c>
      <c r="E2321" t="s">
        <v>45</v>
      </c>
      <c r="F2321" t="s">
        <v>15</v>
      </c>
      <c r="G2321" t="s">
        <v>16</v>
      </c>
      <c r="H2321" t="s">
        <v>65</v>
      </c>
      <c r="I2321">
        <v>2</v>
      </c>
      <c r="J2321">
        <v>0</v>
      </c>
      <c r="K2321">
        <v>538.79999999999995</v>
      </c>
      <c r="L2321">
        <v>9.1</v>
      </c>
    </row>
    <row r="2322" spans="1:12" x14ac:dyDescent="0.25">
      <c r="A2322" t="s">
        <v>2369</v>
      </c>
      <c r="B2322" s="1">
        <v>45660</v>
      </c>
      <c r="C2322" s="1">
        <v>45663</v>
      </c>
      <c r="D2322" t="s">
        <v>47</v>
      </c>
      <c r="E2322" t="s">
        <v>48</v>
      </c>
      <c r="F2322" t="s">
        <v>25</v>
      </c>
      <c r="G2322" t="s">
        <v>20</v>
      </c>
      <c r="H2322" t="s">
        <v>17</v>
      </c>
      <c r="I2322">
        <v>2</v>
      </c>
      <c r="J2322">
        <v>0.05</v>
      </c>
      <c r="K2322">
        <v>198.31</v>
      </c>
      <c r="L2322">
        <v>4.2</v>
      </c>
    </row>
    <row r="2323" spans="1:12" x14ac:dyDescent="0.25">
      <c r="A2323" t="s">
        <v>2370</v>
      </c>
      <c r="B2323" s="1">
        <v>45829</v>
      </c>
      <c r="C2323" s="1">
        <v>45835</v>
      </c>
      <c r="D2323" t="s">
        <v>32</v>
      </c>
      <c r="E2323" t="s">
        <v>62</v>
      </c>
      <c r="F2323" t="s">
        <v>15</v>
      </c>
      <c r="G2323" t="s">
        <v>26</v>
      </c>
      <c r="H2323" t="s">
        <v>39</v>
      </c>
      <c r="I2323">
        <v>3</v>
      </c>
      <c r="J2323">
        <v>0</v>
      </c>
      <c r="K2323">
        <v>631.41</v>
      </c>
      <c r="L2323">
        <v>8.25</v>
      </c>
    </row>
    <row r="2324" spans="1:12" x14ac:dyDescent="0.25">
      <c r="A2324" t="s">
        <v>2371</v>
      </c>
      <c r="B2324" s="1">
        <v>45582</v>
      </c>
      <c r="C2324" s="1">
        <v>45584</v>
      </c>
      <c r="D2324" t="s">
        <v>47</v>
      </c>
      <c r="E2324" t="s">
        <v>71</v>
      </c>
      <c r="F2324" t="s">
        <v>25</v>
      </c>
      <c r="G2324" t="s">
        <v>26</v>
      </c>
      <c r="H2324" t="s">
        <v>65</v>
      </c>
      <c r="I2324">
        <v>4</v>
      </c>
      <c r="J2324">
        <v>0</v>
      </c>
      <c r="K2324">
        <v>1265.55</v>
      </c>
      <c r="L2324">
        <v>13.7</v>
      </c>
    </row>
    <row r="2325" spans="1:12" x14ac:dyDescent="0.25">
      <c r="A2325" t="s">
        <v>2372</v>
      </c>
      <c r="B2325" s="1">
        <v>45911</v>
      </c>
      <c r="C2325" s="1">
        <v>45914</v>
      </c>
      <c r="D2325" t="s">
        <v>13</v>
      </c>
      <c r="E2325" t="s">
        <v>14</v>
      </c>
      <c r="F2325" t="s">
        <v>25</v>
      </c>
      <c r="G2325" t="s">
        <v>20</v>
      </c>
      <c r="H2325" t="s">
        <v>65</v>
      </c>
      <c r="I2325">
        <v>2</v>
      </c>
      <c r="J2325">
        <v>0.2</v>
      </c>
      <c r="K2325">
        <v>483.79</v>
      </c>
      <c r="L2325">
        <v>9.1</v>
      </c>
    </row>
    <row r="2326" spans="1:12" x14ac:dyDescent="0.25">
      <c r="A2326" t="s">
        <v>2373</v>
      </c>
      <c r="B2326" s="1">
        <v>45905</v>
      </c>
      <c r="C2326" s="1">
        <v>45909</v>
      </c>
      <c r="D2326" t="s">
        <v>32</v>
      </c>
      <c r="E2326" t="s">
        <v>62</v>
      </c>
      <c r="F2326" t="s">
        <v>25</v>
      </c>
      <c r="G2326" t="s">
        <v>16</v>
      </c>
      <c r="H2326" t="s">
        <v>87</v>
      </c>
      <c r="I2326">
        <v>9</v>
      </c>
      <c r="J2326">
        <v>0</v>
      </c>
      <c r="K2326">
        <v>77.959999999999994</v>
      </c>
      <c r="L2326">
        <v>8.5500000000000007</v>
      </c>
    </row>
    <row r="2327" spans="1:12" x14ac:dyDescent="0.25">
      <c r="A2327" t="s">
        <v>2374</v>
      </c>
      <c r="B2327" s="1">
        <v>45653</v>
      </c>
      <c r="C2327" s="1">
        <v>45656</v>
      </c>
      <c r="D2327" t="s">
        <v>32</v>
      </c>
      <c r="E2327" t="s">
        <v>62</v>
      </c>
      <c r="F2327" t="s">
        <v>25</v>
      </c>
      <c r="G2327" t="s">
        <v>20</v>
      </c>
      <c r="H2327" t="s">
        <v>60</v>
      </c>
      <c r="I2327">
        <v>4</v>
      </c>
      <c r="J2327">
        <v>0.2</v>
      </c>
      <c r="K2327">
        <v>524.52</v>
      </c>
      <c r="L2327">
        <v>5.7</v>
      </c>
    </row>
    <row r="2328" spans="1:12" x14ac:dyDescent="0.25">
      <c r="A2328" t="s">
        <v>2375</v>
      </c>
      <c r="B2328" s="1">
        <v>45943</v>
      </c>
      <c r="C2328" s="1">
        <v>45944</v>
      </c>
      <c r="D2328" t="s">
        <v>23</v>
      </c>
      <c r="E2328" t="s">
        <v>43</v>
      </c>
      <c r="F2328" t="s">
        <v>25</v>
      </c>
      <c r="G2328" t="s">
        <v>16</v>
      </c>
      <c r="H2328" t="s">
        <v>37</v>
      </c>
      <c r="I2328">
        <v>2</v>
      </c>
      <c r="J2328">
        <v>0.2</v>
      </c>
      <c r="K2328">
        <v>208.38</v>
      </c>
      <c r="L2328">
        <v>5.46</v>
      </c>
    </row>
    <row r="2329" spans="1:12" x14ac:dyDescent="0.25">
      <c r="A2329" t="s">
        <v>2376</v>
      </c>
      <c r="B2329" s="1">
        <v>45312</v>
      </c>
      <c r="C2329" s="1">
        <v>45316</v>
      </c>
      <c r="D2329" t="s">
        <v>47</v>
      </c>
      <c r="E2329" t="s">
        <v>48</v>
      </c>
      <c r="F2329" t="s">
        <v>15</v>
      </c>
      <c r="G2329" t="s">
        <v>20</v>
      </c>
      <c r="H2329" t="s">
        <v>34</v>
      </c>
      <c r="I2329">
        <v>4</v>
      </c>
      <c r="J2329">
        <v>0</v>
      </c>
      <c r="K2329">
        <v>726.76</v>
      </c>
      <c r="L2329">
        <v>13.7</v>
      </c>
    </row>
    <row r="2330" spans="1:12" x14ac:dyDescent="0.25">
      <c r="A2330" t="s">
        <v>2377</v>
      </c>
      <c r="B2330" s="1">
        <v>45827</v>
      </c>
      <c r="C2330" s="1">
        <v>45832</v>
      </c>
      <c r="D2330" t="s">
        <v>47</v>
      </c>
      <c r="E2330" t="s">
        <v>71</v>
      </c>
      <c r="F2330" t="s">
        <v>25</v>
      </c>
      <c r="G2330" t="s">
        <v>20</v>
      </c>
      <c r="H2330" t="s">
        <v>51</v>
      </c>
      <c r="I2330">
        <v>14</v>
      </c>
      <c r="J2330">
        <v>0</v>
      </c>
      <c r="K2330">
        <v>212.23</v>
      </c>
      <c r="L2330">
        <v>6.48</v>
      </c>
    </row>
    <row r="2331" spans="1:12" x14ac:dyDescent="0.25">
      <c r="A2331" t="s">
        <v>2378</v>
      </c>
      <c r="B2331" s="1">
        <v>45744</v>
      </c>
      <c r="C2331" s="1">
        <v>45746</v>
      </c>
      <c r="D2331" t="s">
        <v>47</v>
      </c>
      <c r="E2331" t="s">
        <v>50</v>
      </c>
      <c r="F2331" t="s">
        <v>15</v>
      </c>
      <c r="G2331" t="s">
        <v>16</v>
      </c>
      <c r="H2331" t="s">
        <v>37</v>
      </c>
      <c r="I2331">
        <v>2</v>
      </c>
      <c r="J2331">
        <v>0.25</v>
      </c>
      <c r="K2331">
        <v>150.02000000000001</v>
      </c>
      <c r="L2331">
        <v>9.1</v>
      </c>
    </row>
    <row r="2332" spans="1:12" x14ac:dyDescent="0.25">
      <c r="A2332" t="s">
        <v>2379</v>
      </c>
      <c r="B2332" s="1">
        <v>45984</v>
      </c>
      <c r="C2332" s="1">
        <v>45988</v>
      </c>
      <c r="D2332" t="s">
        <v>23</v>
      </c>
      <c r="E2332" t="s">
        <v>59</v>
      </c>
      <c r="F2332" t="s">
        <v>25</v>
      </c>
      <c r="G2332" t="s">
        <v>20</v>
      </c>
      <c r="H2332" t="s">
        <v>53</v>
      </c>
      <c r="I2332">
        <v>1</v>
      </c>
      <c r="J2332">
        <v>0.25</v>
      </c>
      <c r="K2332">
        <v>55.31</v>
      </c>
      <c r="L2332">
        <v>3.45</v>
      </c>
    </row>
    <row r="2333" spans="1:12" x14ac:dyDescent="0.25">
      <c r="A2333" t="s">
        <v>2380</v>
      </c>
      <c r="B2333" s="1">
        <v>45577</v>
      </c>
      <c r="C2333" s="1">
        <v>45583</v>
      </c>
      <c r="D2333" t="s">
        <v>32</v>
      </c>
      <c r="E2333" t="s">
        <v>62</v>
      </c>
      <c r="F2333" t="s">
        <v>25</v>
      </c>
      <c r="G2333" t="s">
        <v>16</v>
      </c>
      <c r="H2333" t="s">
        <v>41</v>
      </c>
      <c r="I2333">
        <v>9</v>
      </c>
      <c r="J2333">
        <v>0.1</v>
      </c>
      <c r="K2333">
        <v>56.89</v>
      </c>
      <c r="L2333">
        <v>8.5500000000000007</v>
      </c>
    </row>
    <row r="2334" spans="1:12" x14ac:dyDescent="0.25">
      <c r="A2334" t="s">
        <v>2381</v>
      </c>
      <c r="B2334" s="1">
        <v>45387</v>
      </c>
      <c r="C2334" s="1">
        <v>45392</v>
      </c>
      <c r="D2334" t="s">
        <v>23</v>
      </c>
      <c r="E2334" t="s">
        <v>43</v>
      </c>
      <c r="F2334" t="s">
        <v>15</v>
      </c>
      <c r="G2334" t="s">
        <v>26</v>
      </c>
      <c r="H2334" t="s">
        <v>65</v>
      </c>
      <c r="I2334">
        <v>3</v>
      </c>
      <c r="J2334">
        <v>0</v>
      </c>
      <c r="K2334">
        <v>852.92</v>
      </c>
      <c r="L2334">
        <v>6.84</v>
      </c>
    </row>
    <row r="2335" spans="1:12" x14ac:dyDescent="0.25">
      <c r="A2335" t="s">
        <v>2382</v>
      </c>
      <c r="B2335" s="1">
        <v>45933</v>
      </c>
      <c r="C2335" s="1">
        <v>45934</v>
      </c>
      <c r="D2335" t="s">
        <v>47</v>
      </c>
      <c r="E2335" t="s">
        <v>48</v>
      </c>
      <c r="F2335" t="s">
        <v>25</v>
      </c>
      <c r="G2335" t="s">
        <v>26</v>
      </c>
      <c r="H2335" t="s">
        <v>87</v>
      </c>
      <c r="I2335">
        <v>8</v>
      </c>
      <c r="J2335">
        <v>0.15</v>
      </c>
      <c r="K2335">
        <v>67.83</v>
      </c>
      <c r="L2335">
        <v>8.1</v>
      </c>
    </row>
    <row r="2336" spans="1:12" x14ac:dyDescent="0.25">
      <c r="A2336" t="s">
        <v>2383</v>
      </c>
      <c r="B2336" s="1">
        <v>45305</v>
      </c>
      <c r="C2336" s="1">
        <v>45309</v>
      </c>
      <c r="D2336" t="s">
        <v>23</v>
      </c>
      <c r="E2336" t="s">
        <v>24</v>
      </c>
      <c r="F2336" t="s">
        <v>15</v>
      </c>
      <c r="G2336" t="s">
        <v>16</v>
      </c>
      <c r="H2336" t="s">
        <v>51</v>
      </c>
      <c r="I2336">
        <v>18</v>
      </c>
      <c r="J2336">
        <v>0.2</v>
      </c>
      <c r="K2336">
        <v>178.7</v>
      </c>
      <c r="L2336">
        <v>7.56</v>
      </c>
    </row>
    <row r="2337" spans="1:12" x14ac:dyDescent="0.25">
      <c r="A2337" t="s">
        <v>2384</v>
      </c>
      <c r="B2337" s="1">
        <v>45796</v>
      </c>
      <c r="C2337" s="1">
        <v>45800</v>
      </c>
      <c r="D2337" t="s">
        <v>23</v>
      </c>
      <c r="E2337" t="s">
        <v>43</v>
      </c>
      <c r="F2337" t="s">
        <v>25</v>
      </c>
      <c r="G2337" t="s">
        <v>16</v>
      </c>
      <c r="H2337" t="s">
        <v>21</v>
      </c>
      <c r="I2337">
        <v>4</v>
      </c>
      <c r="J2337">
        <v>0.15</v>
      </c>
      <c r="K2337">
        <v>370.94</v>
      </c>
      <c r="L2337">
        <v>8.2200000000000006</v>
      </c>
    </row>
    <row r="2338" spans="1:12" x14ac:dyDescent="0.25">
      <c r="A2338" t="s">
        <v>2385</v>
      </c>
      <c r="B2338" s="1">
        <v>45394</v>
      </c>
      <c r="C2338" s="1">
        <v>45398</v>
      </c>
      <c r="D2338" t="s">
        <v>32</v>
      </c>
      <c r="E2338" t="s">
        <v>33</v>
      </c>
      <c r="F2338" t="s">
        <v>29</v>
      </c>
      <c r="G2338" t="s">
        <v>16</v>
      </c>
      <c r="H2338" t="s">
        <v>51</v>
      </c>
      <c r="I2338">
        <v>5</v>
      </c>
      <c r="J2338">
        <v>0</v>
      </c>
      <c r="K2338">
        <v>71.209999999999994</v>
      </c>
      <c r="L2338">
        <v>4.05</v>
      </c>
    </row>
    <row r="2339" spans="1:12" x14ac:dyDescent="0.25">
      <c r="A2339" t="s">
        <v>2386</v>
      </c>
      <c r="B2339" s="1">
        <v>45739</v>
      </c>
      <c r="C2339" s="1">
        <v>45740</v>
      </c>
      <c r="D2339" t="s">
        <v>32</v>
      </c>
      <c r="E2339" t="s">
        <v>45</v>
      </c>
      <c r="F2339" t="s">
        <v>25</v>
      </c>
      <c r="G2339" t="s">
        <v>26</v>
      </c>
      <c r="H2339" t="s">
        <v>34</v>
      </c>
      <c r="I2339">
        <v>2</v>
      </c>
      <c r="J2339">
        <v>0.05</v>
      </c>
      <c r="K2339">
        <v>376.8</v>
      </c>
      <c r="L2339">
        <v>5.46</v>
      </c>
    </row>
    <row r="2340" spans="1:12" x14ac:dyDescent="0.25">
      <c r="A2340" t="s">
        <v>2387</v>
      </c>
      <c r="B2340" s="1">
        <v>45567</v>
      </c>
      <c r="C2340" s="1">
        <v>45571</v>
      </c>
      <c r="D2340" t="s">
        <v>47</v>
      </c>
      <c r="E2340" t="s">
        <v>48</v>
      </c>
      <c r="F2340" t="s">
        <v>25</v>
      </c>
      <c r="G2340" t="s">
        <v>26</v>
      </c>
      <c r="H2340" t="s">
        <v>53</v>
      </c>
      <c r="I2340">
        <v>4</v>
      </c>
      <c r="J2340">
        <v>0.05</v>
      </c>
      <c r="K2340">
        <v>243.78</v>
      </c>
      <c r="L2340">
        <v>5.7</v>
      </c>
    </row>
    <row r="2341" spans="1:12" x14ac:dyDescent="0.25">
      <c r="A2341" t="s">
        <v>2388</v>
      </c>
      <c r="B2341" s="1">
        <v>45336</v>
      </c>
      <c r="C2341" s="1">
        <v>45341</v>
      </c>
      <c r="D2341" t="s">
        <v>13</v>
      </c>
      <c r="E2341" t="s">
        <v>36</v>
      </c>
      <c r="F2341" t="s">
        <v>15</v>
      </c>
      <c r="G2341" t="s">
        <v>16</v>
      </c>
      <c r="H2341" t="s">
        <v>39</v>
      </c>
      <c r="I2341">
        <v>1</v>
      </c>
      <c r="J2341">
        <v>0</v>
      </c>
      <c r="K2341">
        <v>175.35</v>
      </c>
      <c r="L2341">
        <v>5.75</v>
      </c>
    </row>
    <row r="2342" spans="1:12" x14ac:dyDescent="0.25">
      <c r="A2342" t="s">
        <v>2389</v>
      </c>
      <c r="B2342" s="1">
        <v>45978</v>
      </c>
      <c r="C2342" s="1">
        <v>45982</v>
      </c>
      <c r="D2342" t="s">
        <v>32</v>
      </c>
      <c r="E2342" t="s">
        <v>45</v>
      </c>
      <c r="F2342" t="s">
        <v>15</v>
      </c>
      <c r="G2342" t="s">
        <v>16</v>
      </c>
      <c r="H2342" t="s">
        <v>87</v>
      </c>
      <c r="I2342">
        <v>4</v>
      </c>
      <c r="J2342">
        <v>0</v>
      </c>
      <c r="K2342">
        <v>45.47</v>
      </c>
      <c r="L2342">
        <v>3.78</v>
      </c>
    </row>
    <row r="2343" spans="1:12" x14ac:dyDescent="0.25">
      <c r="A2343" t="s">
        <v>2390</v>
      </c>
      <c r="B2343" s="1">
        <v>45968</v>
      </c>
      <c r="C2343" s="1">
        <v>45973</v>
      </c>
      <c r="D2343" t="s">
        <v>47</v>
      </c>
      <c r="E2343" t="s">
        <v>71</v>
      </c>
      <c r="F2343" t="s">
        <v>25</v>
      </c>
      <c r="G2343" t="s">
        <v>16</v>
      </c>
      <c r="H2343" t="s">
        <v>87</v>
      </c>
      <c r="I2343">
        <v>12</v>
      </c>
      <c r="J2343">
        <v>0</v>
      </c>
      <c r="K2343">
        <v>132.25</v>
      </c>
      <c r="L2343">
        <v>9.9</v>
      </c>
    </row>
    <row r="2344" spans="1:12" x14ac:dyDescent="0.25">
      <c r="A2344" t="s">
        <v>2391</v>
      </c>
      <c r="B2344" s="1">
        <v>45992</v>
      </c>
      <c r="C2344" s="1">
        <v>45996</v>
      </c>
      <c r="D2344" t="s">
        <v>13</v>
      </c>
      <c r="E2344" t="s">
        <v>14</v>
      </c>
      <c r="F2344" t="s">
        <v>25</v>
      </c>
      <c r="G2344" t="s">
        <v>20</v>
      </c>
      <c r="H2344" t="s">
        <v>37</v>
      </c>
      <c r="I2344">
        <v>7</v>
      </c>
      <c r="J2344">
        <v>0</v>
      </c>
      <c r="K2344">
        <v>1079.01</v>
      </c>
      <c r="L2344">
        <v>12.36</v>
      </c>
    </row>
    <row r="2345" spans="1:12" x14ac:dyDescent="0.25">
      <c r="A2345" t="s">
        <v>2392</v>
      </c>
      <c r="B2345" s="1">
        <v>45799</v>
      </c>
      <c r="C2345" s="1">
        <v>45801</v>
      </c>
      <c r="D2345" t="s">
        <v>47</v>
      </c>
      <c r="E2345" t="s">
        <v>71</v>
      </c>
      <c r="F2345" t="s">
        <v>29</v>
      </c>
      <c r="G2345" t="s">
        <v>26</v>
      </c>
      <c r="H2345" t="s">
        <v>17</v>
      </c>
      <c r="I2345">
        <v>4</v>
      </c>
      <c r="J2345">
        <v>0</v>
      </c>
      <c r="K2345">
        <v>541.80999999999995</v>
      </c>
      <c r="L2345">
        <v>5.7</v>
      </c>
    </row>
    <row r="2346" spans="1:12" x14ac:dyDescent="0.25">
      <c r="A2346" t="s">
        <v>2393</v>
      </c>
      <c r="B2346" s="1">
        <v>45504</v>
      </c>
      <c r="C2346" s="1">
        <v>45509</v>
      </c>
      <c r="D2346" t="s">
        <v>23</v>
      </c>
      <c r="E2346" t="s">
        <v>24</v>
      </c>
      <c r="F2346" t="s">
        <v>25</v>
      </c>
      <c r="G2346" t="s">
        <v>16</v>
      </c>
      <c r="H2346" t="s">
        <v>27</v>
      </c>
      <c r="I2346">
        <v>7</v>
      </c>
      <c r="J2346">
        <v>0</v>
      </c>
      <c r="K2346">
        <v>167.87</v>
      </c>
      <c r="L2346">
        <v>7.65</v>
      </c>
    </row>
    <row r="2347" spans="1:12" x14ac:dyDescent="0.25">
      <c r="A2347" t="s">
        <v>2394</v>
      </c>
      <c r="B2347" s="1">
        <v>45536</v>
      </c>
      <c r="C2347" s="1">
        <v>45542</v>
      </c>
      <c r="D2347" t="s">
        <v>32</v>
      </c>
      <c r="E2347" t="s">
        <v>33</v>
      </c>
      <c r="F2347" t="s">
        <v>25</v>
      </c>
      <c r="G2347" t="s">
        <v>16</v>
      </c>
      <c r="H2347" t="s">
        <v>27</v>
      </c>
      <c r="I2347">
        <v>7</v>
      </c>
      <c r="J2347">
        <v>0</v>
      </c>
      <c r="K2347">
        <v>206.76</v>
      </c>
      <c r="L2347">
        <v>4.59</v>
      </c>
    </row>
    <row r="2348" spans="1:12" x14ac:dyDescent="0.25">
      <c r="A2348" t="s">
        <v>2395</v>
      </c>
      <c r="B2348" s="1">
        <v>45441</v>
      </c>
      <c r="C2348" s="1">
        <v>45445</v>
      </c>
      <c r="D2348" t="s">
        <v>47</v>
      </c>
      <c r="E2348" t="s">
        <v>48</v>
      </c>
      <c r="F2348" t="s">
        <v>15</v>
      </c>
      <c r="G2348" t="s">
        <v>16</v>
      </c>
      <c r="H2348" t="s">
        <v>65</v>
      </c>
      <c r="I2348">
        <v>1</v>
      </c>
      <c r="J2348">
        <v>0</v>
      </c>
      <c r="K2348">
        <v>303.79000000000002</v>
      </c>
      <c r="L2348">
        <v>4.08</v>
      </c>
    </row>
    <row r="2349" spans="1:12" x14ac:dyDescent="0.25">
      <c r="A2349" t="s">
        <v>2396</v>
      </c>
      <c r="B2349" s="1">
        <v>45758</v>
      </c>
      <c r="C2349" s="1">
        <v>45760</v>
      </c>
      <c r="D2349" t="s">
        <v>13</v>
      </c>
      <c r="E2349" t="s">
        <v>14</v>
      </c>
      <c r="F2349" t="s">
        <v>15</v>
      </c>
      <c r="G2349" t="s">
        <v>16</v>
      </c>
      <c r="H2349" t="s">
        <v>65</v>
      </c>
      <c r="I2349">
        <v>2</v>
      </c>
      <c r="J2349">
        <v>0.05</v>
      </c>
      <c r="K2349">
        <v>556.80999999999995</v>
      </c>
      <c r="L2349">
        <v>5.46</v>
      </c>
    </row>
    <row r="2350" spans="1:12" x14ac:dyDescent="0.25">
      <c r="A2350" t="s">
        <v>2397</v>
      </c>
      <c r="B2350" s="1">
        <v>45804</v>
      </c>
      <c r="C2350" s="1">
        <v>45809</v>
      </c>
      <c r="D2350" t="s">
        <v>23</v>
      </c>
      <c r="E2350" t="s">
        <v>59</v>
      </c>
      <c r="F2350" t="s">
        <v>25</v>
      </c>
      <c r="G2350" t="s">
        <v>16</v>
      </c>
      <c r="H2350" t="s">
        <v>68</v>
      </c>
      <c r="I2350">
        <v>3</v>
      </c>
      <c r="J2350">
        <v>0</v>
      </c>
      <c r="K2350">
        <v>161.81</v>
      </c>
      <c r="L2350">
        <v>4.95</v>
      </c>
    </row>
    <row r="2351" spans="1:12" x14ac:dyDescent="0.25">
      <c r="A2351" t="s">
        <v>2398</v>
      </c>
      <c r="B2351" s="1">
        <v>45467</v>
      </c>
      <c r="C2351" s="1">
        <v>45472</v>
      </c>
      <c r="D2351" t="s">
        <v>13</v>
      </c>
      <c r="E2351" t="s">
        <v>14</v>
      </c>
      <c r="F2351" t="s">
        <v>25</v>
      </c>
      <c r="G2351" t="s">
        <v>16</v>
      </c>
      <c r="H2351" t="s">
        <v>65</v>
      </c>
      <c r="I2351">
        <v>5</v>
      </c>
      <c r="J2351">
        <v>0.15</v>
      </c>
      <c r="K2351">
        <v>1268.3</v>
      </c>
      <c r="L2351">
        <v>16</v>
      </c>
    </row>
    <row r="2352" spans="1:12" x14ac:dyDescent="0.25">
      <c r="A2352" t="s">
        <v>2399</v>
      </c>
      <c r="B2352" s="1">
        <v>45940</v>
      </c>
      <c r="C2352" s="1">
        <v>45945</v>
      </c>
      <c r="D2352" t="s">
        <v>47</v>
      </c>
      <c r="E2352" t="s">
        <v>71</v>
      </c>
      <c r="F2352" t="s">
        <v>29</v>
      </c>
      <c r="G2352" t="s">
        <v>16</v>
      </c>
      <c r="H2352" t="s">
        <v>39</v>
      </c>
      <c r="I2352">
        <v>2</v>
      </c>
      <c r="J2352">
        <v>0.05</v>
      </c>
      <c r="K2352">
        <v>414.29</v>
      </c>
      <c r="L2352">
        <v>4.2</v>
      </c>
    </row>
    <row r="2353" spans="1:12" x14ac:dyDescent="0.25">
      <c r="A2353" t="s">
        <v>2400</v>
      </c>
      <c r="B2353" s="1">
        <v>45369</v>
      </c>
      <c r="C2353" s="1">
        <v>45373</v>
      </c>
      <c r="D2353" t="s">
        <v>23</v>
      </c>
      <c r="E2353" t="s">
        <v>43</v>
      </c>
      <c r="F2353" t="s">
        <v>29</v>
      </c>
      <c r="G2353" t="s">
        <v>20</v>
      </c>
      <c r="H2353" t="s">
        <v>34</v>
      </c>
      <c r="I2353">
        <v>1</v>
      </c>
      <c r="J2353">
        <v>0</v>
      </c>
      <c r="K2353">
        <v>203.53</v>
      </c>
      <c r="L2353">
        <v>4.08</v>
      </c>
    </row>
    <row r="2354" spans="1:12" x14ac:dyDescent="0.25">
      <c r="A2354" t="s">
        <v>2401</v>
      </c>
      <c r="B2354" s="1">
        <v>45691</v>
      </c>
      <c r="C2354" s="1">
        <v>45692</v>
      </c>
      <c r="D2354" t="s">
        <v>32</v>
      </c>
      <c r="E2354" t="s">
        <v>62</v>
      </c>
      <c r="F2354" t="s">
        <v>29</v>
      </c>
      <c r="G2354" t="s">
        <v>20</v>
      </c>
      <c r="H2354" t="s">
        <v>65</v>
      </c>
      <c r="I2354">
        <v>4</v>
      </c>
      <c r="J2354">
        <v>0</v>
      </c>
      <c r="K2354">
        <v>1044.29</v>
      </c>
      <c r="L2354">
        <v>8.2200000000000006</v>
      </c>
    </row>
    <row r="2355" spans="1:12" x14ac:dyDescent="0.25">
      <c r="A2355" t="s">
        <v>2402</v>
      </c>
      <c r="B2355" s="1">
        <v>45631</v>
      </c>
      <c r="C2355" s="1">
        <v>45637</v>
      </c>
      <c r="D2355" t="s">
        <v>32</v>
      </c>
      <c r="E2355" t="s">
        <v>33</v>
      </c>
      <c r="F2355" t="s">
        <v>29</v>
      </c>
      <c r="G2355" t="s">
        <v>26</v>
      </c>
      <c r="H2355" t="s">
        <v>27</v>
      </c>
      <c r="I2355">
        <v>25</v>
      </c>
      <c r="J2355">
        <v>0</v>
      </c>
      <c r="K2355">
        <v>959.85</v>
      </c>
      <c r="L2355">
        <v>9.4499999999999993</v>
      </c>
    </row>
    <row r="2356" spans="1:12" x14ac:dyDescent="0.25">
      <c r="A2356" t="s">
        <v>2403</v>
      </c>
      <c r="B2356" s="1">
        <v>45491</v>
      </c>
      <c r="C2356" s="1">
        <v>45492</v>
      </c>
      <c r="D2356" t="s">
        <v>23</v>
      </c>
      <c r="E2356" t="s">
        <v>59</v>
      </c>
      <c r="F2356" t="s">
        <v>15</v>
      </c>
      <c r="G2356" t="s">
        <v>26</v>
      </c>
      <c r="H2356" t="s">
        <v>53</v>
      </c>
      <c r="I2356">
        <v>2</v>
      </c>
      <c r="J2356">
        <v>0</v>
      </c>
      <c r="K2356">
        <v>105.66</v>
      </c>
      <c r="L2356">
        <v>4.2</v>
      </c>
    </row>
    <row r="2357" spans="1:12" x14ac:dyDescent="0.25">
      <c r="A2357" t="s">
        <v>2404</v>
      </c>
      <c r="B2357" s="1">
        <v>45619</v>
      </c>
      <c r="C2357" s="1">
        <v>45624</v>
      </c>
      <c r="D2357" t="s">
        <v>32</v>
      </c>
      <c r="E2357" t="s">
        <v>45</v>
      </c>
      <c r="F2357" t="s">
        <v>29</v>
      </c>
      <c r="G2357" t="s">
        <v>16</v>
      </c>
      <c r="H2357" t="s">
        <v>39</v>
      </c>
      <c r="I2357">
        <v>2</v>
      </c>
      <c r="J2357">
        <v>0</v>
      </c>
      <c r="K2357">
        <v>509.88</v>
      </c>
      <c r="L2357">
        <v>4.2</v>
      </c>
    </row>
    <row r="2358" spans="1:12" x14ac:dyDescent="0.25">
      <c r="A2358" t="s">
        <v>2405</v>
      </c>
      <c r="B2358" s="1">
        <v>46001</v>
      </c>
      <c r="C2358" s="1">
        <v>46007</v>
      </c>
      <c r="D2358" t="s">
        <v>13</v>
      </c>
      <c r="E2358" t="s">
        <v>14</v>
      </c>
      <c r="F2358" t="s">
        <v>15</v>
      </c>
      <c r="G2358" t="s">
        <v>20</v>
      </c>
      <c r="H2358" t="s">
        <v>21</v>
      </c>
      <c r="I2358">
        <v>2</v>
      </c>
      <c r="J2358">
        <v>0.1</v>
      </c>
      <c r="K2358">
        <v>278.02999999999997</v>
      </c>
      <c r="L2358">
        <v>5.46</v>
      </c>
    </row>
    <row r="2359" spans="1:12" x14ac:dyDescent="0.25">
      <c r="A2359" t="s">
        <v>2406</v>
      </c>
      <c r="B2359" s="1">
        <v>45725</v>
      </c>
      <c r="C2359" s="1">
        <v>45729</v>
      </c>
      <c r="D2359" t="s">
        <v>47</v>
      </c>
      <c r="E2359" t="s">
        <v>71</v>
      </c>
      <c r="F2359" t="s">
        <v>29</v>
      </c>
      <c r="G2359" t="s">
        <v>16</v>
      </c>
      <c r="H2359" t="s">
        <v>27</v>
      </c>
      <c r="I2359">
        <v>5</v>
      </c>
      <c r="J2359">
        <v>0</v>
      </c>
      <c r="K2359">
        <v>130.12</v>
      </c>
      <c r="L2359">
        <v>4.05</v>
      </c>
    </row>
    <row r="2360" spans="1:12" x14ac:dyDescent="0.25">
      <c r="A2360" t="s">
        <v>2407</v>
      </c>
      <c r="B2360" s="1">
        <v>45706</v>
      </c>
      <c r="C2360" s="1">
        <v>45711</v>
      </c>
      <c r="D2360" t="s">
        <v>32</v>
      </c>
      <c r="E2360" t="s">
        <v>45</v>
      </c>
      <c r="F2360" t="s">
        <v>15</v>
      </c>
      <c r="G2360" t="s">
        <v>26</v>
      </c>
      <c r="H2360" t="s">
        <v>27</v>
      </c>
      <c r="I2360">
        <v>11</v>
      </c>
      <c r="J2360">
        <v>0.15</v>
      </c>
      <c r="K2360">
        <v>229.17</v>
      </c>
      <c r="L2360">
        <v>5.67</v>
      </c>
    </row>
    <row r="2361" spans="1:12" x14ac:dyDescent="0.25">
      <c r="A2361" t="s">
        <v>2408</v>
      </c>
      <c r="B2361" s="1">
        <v>45441</v>
      </c>
      <c r="C2361" s="1">
        <v>45443</v>
      </c>
      <c r="D2361" t="s">
        <v>47</v>
      </c>
      <c r="E2361" t="s">
        <v>50</v>
      </c>
      <c r="F2361" t="s">
        <v>29</v>
      </c>
      <c r="G2361" t="s">
        <v>16</v>
      </c>
      <c r="H2361" t="s">
        <v>27</v>
      </c>
      <c r="I2361">
        <v>5</v>
      </c>
      <c r="J2361">
        <v>0</v>
      </c>
      <c r="K2361">
        <v>139.01</v>
      </c>
      <c r="L2361">
        <v>4.05</v>
      </c>
    </row>
    <row r="2362" spans="1:12" x14ac:dyDescent="0.25">
      <c r="A2362" t="s">
        <v>2409</v>
      </c>
      <c r="B2362" s="1">
        <v>45833</v>
      </c>
      <c r="C2362" s="1">
        <v>45838</v>
      </c>
      <c r="D2362" t="s">
        <v>32</v>
      </c>
      <c r="E2362" t="s">
        <v>62</v>
      </c>
      <c r="F2362" t="s">
        <v>15</v>
      </c>
      <c r="G2362" t="s">
        <v>16</v>
      </c>
      <c r="H2362" t="s">
        <v>51</v>
      </c>
      <c r="I2362">
        <v>7</v>
      </c>
      <c r="J2362">
        <v>0</v>
      </c>
      <c r="K2362">
        <v>111.75</v>
      </c>
      <c r="L2362">
        <v>7.65</v>
      </c>
    </row>
    <row r="2363" spans="1:12" x14ac:dyDescent="0.25">
      <c r="A2363" t="s">
        <v>2410</v>
      </c>
      <c r="B2363" s="1">
        <v>45362</v>
      </c>
      <c r="C2363" s="1">
        <v>45364</v>
      </c>
      <c r="D2363" t="s">
        <v>23</v>
      </c>
      <c r="E2363" t="s">
        <v>59</v>
      </c>
      <c r="F2363" t="s">
        <v>25</v>
      </c>
      <c r="G2363" t="s">
        <v>20</v>
      </c>
      <c r="H2363" t="s">
        <v>65</v>
      </c>
      <c r="I2363">
        <v>2</v>
      </c>
      <c r="J2363">
        <v>0</v>
      </c>
      <c r="K2363">
        <v>549.01</v>
      </c>
      <c r="L2363">
        <v>5.46</v>
      </c>
    </row>
    <row r="2364" spans="1:12" x14ac:dyDescent="0.25">
      <c r="A2364" t="s">
        <v>2411</v>
      </c>
      <c r="B2364" s="1">
        <v>45583</v>
      </c>
      <c r="C2364" s="1">
        <v>45584</v>
      </c>
      <c r="D2364" t="s">
        <v>47</v>
      </c>
      <c r="E2364" t="s">
        <v>71</v>
      </c>
      <c r="F2364" t="s">
        <v>15</v>
      </c>
      <c r="G2364" t="s">
        <v>16</v>
      </c>
      <c r="H2364" t="s">
        <v>65</v>
      </c>
      <c r="I2364">
        <v>4</v>
      </c>
      <c r="J2364">
        <v>0</v>
      </c>
      <c r="K2364">
        <v>1292.8499999999999</v>
      </c>
      <c r="L2364">
        <v>8.2200000000000006</v>
      </c>
    </row>
    <row r="2365" spans="1:12" x14ac:dyDescent="0.25">
      <c r="A2365" t="s">
        <v>2412</v>
      </c>
      <c r="B2365" s="1">
        <v>45889</v>
      </c>
      <c r="C2365" s="1">
        <v>45892</v>
      </c>
      <c r="D2365" t="s">
        <v>32</v>
      </c>
      <c r="E2365" t="s">
        <v>33</v>
      </c>
      <c r="F2365" t="s">
        <v>29</v>
      </c>
      <c r="G2365" t="s">
        <v>16</v>
      </c>
      <c r="H2365" t="s">
        <v>39</v>
      </c>
      <c r="I2365">
        <v>2</v>
      </c>
      <c r="J2365">
        <v>0.25</v>
      </c>
      <c r="K2365">
        <v>265.63</v>
      </c>
      <c r="L2365">
        <v>4.2</v>
      </c>
    </row>
    <row r="2366" spans="1:12" x14ac:dyDescent="0.25">
      <c r="A2366" t="s">
        <v>2413</v>
      </c>
      <c r="B2366" s="1">
        <v>45667</v>
      </c>
      <c r="C2366" s="1">
        <v>45668</v>
      </c>
      <c r="D2366" t="s">
        <v>47</v>
      </c>
      <c r="E2366" t="s">
        <v>48</v>
      </c>
      <c r="F2366" t="s">
        <v>29</v>
      </c>
      <c r="G2366" t="s">
        <v>26</v>
      </c>
      <c r="H2366" t="s">
        <v>65</v>
      </c>
      <c r="I2366">
        <v>1</v>
      </c>
      <c r="J2366">
        <v>0</v>
      </c>
      <c r="K2366">
        <v>238.49</v>
      </c>
      <c r="L2366">
        <v>6.8</v>
      </c>
    </row>
    <row r="2367" spans="1:12" x14ac:dyDescent="0.25">
      <c r="A2367" t="s">
        <v>2414</v>
      </c>
      <c r="B2367" s="1">
        <v>45574</v>
      </c>
      <c r="C2367" s="1">
        <v>45576</v>
      </c>
      <c r="D2367" t="s">
        <v>32</v>
      </c>
      <c r="E2367" t="s">
        <v>62</v>
      </c>
      <c r="F2367" t="s">
        <v>25</v>
      </c>
      <c r="G2367" t="s">
        <v>26</v>
      </c>
      <c r="H2367" t="s">
        <v>30</v>
      </c>
      <c r="I2367">
        <v>4</v>
      </c>
      <c r="J2367">
        <v>0</v>
      </c>
      <c r="K2367">
        <v>28.24</v>
      </c>
      <c r="L2367">
        <v>3.78</v>
      </c>
    </row>
    <row r="2368" spans="1:12" x14ac:dyDescent="0.25">
      <c r="A2368" t="s">
        <v>2415</v>
      </c>
      <c r="B2368" s="1">
        <v>45912</v>
      </c>
      <c r="C2368" s="1">
        <v>45916</v>
      </c>
      <c r="D2368" t="s">
        <v>47</v>
      </c>
      <c r="E2368" t="s">
        <v>50</v>
      </c>
      <c r="F2368" t="s">
        <v>25</v>
      </c>
      <c r="G2368" t="s">
        <v>20</v>
      </c>
      <c r="H2368" t="s">
        <v>87</v>
      </c>
      <c r="I2368">
        <v>11</v>
      </c>
      <c r="J2368">
        <v>0.1</v>
      </c>
      <c r="K2368">
        <v>85.2</v>
      </c>
      <c r="L2368">
        <v>5.67</v>
      </c>
    </row>
    <row r="2369" spans="1:12" x14ac:dyDescent="0.25">
      <c r="A2369" t="s">
        <v>2416</v>
      </c>
      <c r="B2369" s="1">
        <v>45680</v>
      </c>
      <c r="C2369" s="1">
        <v>45682</v>
      </c>
      <c r="D2369" t="s">
        <v>47</v>
      </c>
      <c r="E2369" t="s">
        <v>50</v>
      </c>
      <c r="F2369" t="s">
        <v>29</v>
      </c>
      <c r="G2369" t="s">
        <v>16</v>
      </c>
      <c r="H2369" t="s">
        <v>65</v>
      </c>
      <c r="I2369">
        <v>1</v>
      </c>
      <c r="J2369">
        <v>0</v>
      </c>
      <c r="K2369">
        <v>254.95</v>
      </c>
      <c r="L2369">
        <v>4.08</v>
      </c>
    </row>
    <row r="2370" spans="1:12" x14ac:dyDescent="0.25">
      <c r="A2370" t="s">
        <v>2417</v>
      </c>
      <c r="B2370" s="1">
        <v>45441</v>
      </c>
      <c r="C2370" s="1">
        <v>45443</v>
      </c>
      <c r="D2370" t="s">
        <v>13</v>
      </c>
      <c r="E2370" t="s">
        <v>14</v>
      </c>
      <c r="F2370" t="s">
        <v>25</v>
      </c>
      <c r="G2370" t="s">
        <v>26</v>
      </c>
      <c r="H2370" t="s">
        <v>21</v>
      </c>
      <c r="I2370">
        <v>3</v>
      </c>
      <c r="J2370">
        <v>0</v>
      </c>
      <c r="K2370">
        <v>363.24</v>
      </c>
      <c r="L2370">
        <v>11.4</v>
      </c>
    </row>
    <row r="2371" spans="1:12" x14ac:dyDescent="0.25">
      <c r="A2371" t="s">
        <v>2418</v>
      </c>
      <c r="B2371" s="1">
        <v>45891</v>
      </c>
      <c r="C2371" s="1">
        <v>45896</v>
      </c>
      <c r="D2371" t="s">
        <v>13</v>
      </c>
      <c r="E2371" t="s">
        <v>19</v>
      </c>
      <c r="F2371" t="s">
        <v>25</v>
      </c>
      <c r="G2371" t="s">
        <v>20</v>
      </c>
      <c r="H2371" t="s">
        <v>63</v>
      </c>
      <c r="I2371">
        <v>8</v>
      </c>
      <c r="J2371">
        <v>0</v>
      </c>
      <c r="K2371">
        <v>91.64</v>
      </c>
      <c r="L2371">
        <v>4.8600000000000003</v>
      </c>
    </row>
    <row r="2372" spans="1:12" x14ac:dyDescent="0.25">
      <c r="A2372" t="s">
        <v>2419</v>
      </c>
      <c r="B2372" s="1">
        <v>45686</v>
      </c>
      <c r="C2372" s="1">
        <v>45687</v>
      </c>
      <c r="D2372" t="s">
        <v>32</v>
      </c>
      <c r="E2372" t="s">
        <v>45</v>
      </c>
      <c r="F2372" t="s">
        <v>29</v>
      </c>
      <c r="G2372" t="s">
        <v>20</v>
      </c>
      <c r="H2372" t="s">
        <v>65</v>
      </c>
      <c r="I2372">
        <v>4</v>
      </c>
      <c r="J2372">
        <v>0</v>
      </c>
      <c r="K2372">
        <v>1064.6099999999999</v>
      </c>
      <c r="L2372">
        <v>8.2200000000000006</v>
      </c>
    </row>
    <row r="2373" spans="1:12" x14ac:dyDescent="0.25">
      <c r="A2373" t="s">
        <v>2420</v>
      </c>
      <c r="B2373" s="1">
        <v>45653</v>
      </c>
      <c r="C2373" s="1">
        <v>45659</v>
      </c>
      <c r="D2373" t="s">
        <v>47</v>
      </c>
      <c r="E2373" t="s">
        <v>71</v>
      </c>
      <c r="F2373" t="s">
        <v>29</v>
      </c>
      <c r="G2373" t="s">
        <v>20</v>
      </c>
      <c r="H2373" t="s">
        <v>41</v>
      </c>
      <c r="I2373">
        <v>25</v>
      </c>
      <c r="J2373">
        <v>0</v>
      </c>
      <c r="K2373">
        <v>222.48</v>
      </c>
      <c r="L2373">
        <v>9.4499999999999993</v>
      </c>
    </row>
    <row r="2374" spans="1:12" x14ac:dyDescent="0.25">
      <c r="A2374" t="s">
        <v>2421</v>
      </c>
      <c r="B2374" s="1">
        <v>45904</v>
      </c>
      <c r="C2374" s="1">
        <v>45908</v>
      </c>
      <c r="D2374" t="s">
        <v>13</v>
      </c>
      <c r="E2374" t="s">
        <v>36</v>
      </c>
      <c r="F2374" t="s">
        <v>15</v>
      </c>
      <c r="G2374" t="s">
        <v>16</v>
      </c>
      <c r="H2374" t="s">
        <v>60</v>
      </c>
      <c r="I2374">
        <v>3</v>
      </c>
      <c r="J2374">
        <v>0</v>
      </c>
      <c r="K2374">
        <v>363.97</v>
      </c>
      <c r="L2374">
        <v>4.95</v>
      </c>
    </row>
    <row r="2375" spans="1:12" x14ac:dyDescent="0.25">
      <c r="A2375" t="s">
        <v>2422</v>
      </c>
      <c r="B2375" s="1">
        <v>45869</v>
      </c>
      <c r="C2375" s="1">
        <v>45872</v>
      </c>
      <c r="D2375" t="s">
        <v>13</v>
      </c>
      <c r="E2375" t="s">
        <v>19</v>
      </c>
      <c r="F2375" t="s">
        <v>25</v>
      </c>
      <c r="G2375" t="s">
        <v>26</v>
      </c>
      <c r="H2375" t="s">
        <v>27</v>
      </c>
      <c r="I2375">
        <v>8</v>
      </c>
      <c r="J2375">
        <v>0.15</v>
      </c>
      <c r="K2375">
        <v>164.56</v>
      </c>
      <c r="L2375">
        <v>4.8600000000000003</v>
      </c>
    </row>
    <row r="2376" spans="1:12" x14ac:dyDescent="0.25">
      <c r="A2376" t="s">
        <v>2423</v>
      </c>
      <c r="B2376" s="1">
        <v>45399</v>
      </c>
      <c r="C2376" s="1">
        <v>45401</v>
      </c>
      <c r="D2376" t="s">
        <v>32</v>
      </c>
      <c r="E2376" t="s">
        <v>62</v>
      </c>
      <c r="F2376" t="s">
        <v>15</v>
      </c>
      <c r="G2376" t="s">
        <v>16</v>
      </c>
      <c r="H2376" t="s">
        <v>37</v>
      </c>
      <c r="I2376">
        <v>4</v>
      </c>
      <c r="J2376">
        <v>0</v>
      </c>
      <c r="K2376">
        <v>427.29</v>
      </c>
      <c r="L2376">
        <v>8.2200000000000006</v>
      </c>
    </row>
    <row r="2377" spans="1:12" x14ac:dyDescent="0.25">
      <c r="A2377" t="s">
        <v>2424</v>
      </c>
      <c r="B2377" s="1">
        <v>45896</v>
      </c>
      <c r="C2377" s="1">
        <v>45900</v>
      </c>
      <c r="D2377" t="s">
        <v>32</v>
      </c>
      <c r="E2377" t="s">
        <v>45</v>
      </c>
      <c r="F2377" t="s">
        <v>25</v>
      </c>
      <c r="G2377" t="s">
        <v>26</v>
      </c>
      <c r="H2377" t="s">
        <v>34</v>
      </c>
      <c r="I2377">
        <v>2</v>
      </c>
      <c r="J2377">
        <v>0.25</v>
      </c>
      <c r="K2377">
        <v>296.27</v>
      </c>
      <c r="L2377">
        <v>9.1</v>
      </c>
    </row>
    <row r="2378" spans="1:12" x14ac:dyDescent="0.25">
      <c r="A2378" t="s">
        <v>2425</v>
      </c>
      <c r="B2378" s="1">
        <v>45370</v>
      </c>
      <c r="C2378" s="1">
        <v>45375</v>
      </c>
      <c r="D2378" t="s">
        <v>23</v>
      </c>
      <c r="E2378" t="s">
        <v>24</v>
      </c>
      <c r="F2378" t="s">
        <v>29</v>
      </c>
      <c r="G2378" t="s">
        <v>20</v>
      </c>
      <c r="H2378" t="s">
        <v>60</v>
      </c>
      <c r="I2378">
        <v>4</v>
      </c>
      <c r="J2378">
        <v>0.25</v>
      </c>
      <c r="K2378">
        <v>301.12</v>
      </c>
      <c r="L2378">
        <v>5.7</v>
      </c>
    </row>
    <row r="2379" spans="1:12" x14ac:dyDescent="0.25">
      <c r="A2379" t="s">
        <v>2426</v>
      </c>
      <c r="B2379" s="1">
        <v>45757</v>
      </c>
      <c r="C2379" s="1">
        <v>45758</v>
      </c>
      <c r="D2379" t="s">
        <v>13</v>
      </c>
      <c r="E2379" t="s">
        <v>14</v>
      </c>
      <c r="F2379" t="s">
        <v>15</v>
      </c>
      <c r="G2379" t="s">
        <v>20</v>
      </c>
      <c r="H2379" t="s">
        <v>65</v>
      </c>
      <c r="I2379">
        <v>1</v>
      </c>
      <c r="J2379">
        <v>0.15</v>
      </c>
      <c r="K2379">
        <v>230.67</v>
      </c>
      <c r="L2379">
        <v>4.08</v>
      </c>
    </row>
    <row r="2380" spans="1:12" x14ac:dyDescent="0.25">
      <c r="A2380" t="s">
        <v>2427</v>
      </c>
      <c r="B2380" s="1">
        <v>45345</v>
      </c>
      <c r="C2380" s="1">
        <v>45350</v>
      </c>
      <c r="D2380" t="s">
        <v>47</v>
      </c>
      <c r="E2380" t="s">
        <v>50</v>
      </c>
      <c r="F2380" t="s">
        <v>15</v>
      </c>
      <c r="G2380" t="s">
        <v>16</v>
      </c>
      <c r="H2380" t="s">
        <v>39</v>
      </c>
      <c r="I2380">
        <v>2</v>
      </c>
      <c r="J2380">
        <v>0.2</v>
      </c>
      <c r="K2380">
        <v>280.74</v>
      </c>
      <c r="L2380">
        <v>4.2</v>
      </c>
    </row>
    <row r="2381" spans="1:12" x14ac:dyDescent="0.25">
      <c r="A2381" t="s">
        <v>2428</v>
      </c>
      <c r="B2381" s="1">
        <v>45783</v>
      </c>
      <c r="C2381" s="1">
        <v>45789</v>
      </c>
      <c r="D2381" t="s">
        <v>23</v>
      </c>
      <c r="E2381" t="s">
        <v>24</v>
      </c>
      <c r="F2381" t="s">
        <v>29</v>
      </c>
      <c r="G2381" t="s">
        <v>20</v>
      </c>
      <c r="H2381" t="s">
        <v>60</v>
      </c>
      <c r="I2381">
        <v>2</v>
      </c>
      <c r="J2381">
        <v>0.05</v>
      </c>
      <c r="K2381">
        <v>217.17</v>
      </c>
      <c r="L2381">
        <v>4.2</v>
      </c>
    </row>
    <row r="2382" spans="1:12" x14ac:dyDescent="0.25">
      <c r="A2382" t="s">
        <v>2429</v>
      </c>
      <c r="B2382" s="1">
        <v>45500</v>
      </c>
      <c r="C2382" s="1">
        <v>45503</v>
      </c>
      <c r="D2382" t="s">
        <v>47</v>
      </c>
      <c r="E2382" t="s">
        <v>71</v>
      </c>
      <c r="F2382" t="s">
        <v>15</v>
      </c>
      <c r="G2382" t="s">
        <v>20</v>
      </c>
      <c r="H2382" t="s">
        <v>65</v>
      </c>
      <c r="I2382">
        <v>3</v>
      </c>
      <c r="J2382">
        <v>0</v>
      </c>
      <c r="K2382">
        <v>809.04</v>
      </c>
      <c r="L2382">
        <v>6.84</v>
      </c>
    </row>
    <row r="2383" spans="1:12" x14ac:dyDescent="0.25">
      <c r="A2383" t="s">
        <v>2430</v>
      </c>
      <c r="B2383" s="1">
        <v>45724</v>
      </c>
      <c r="C2383" s="1">
        <v>45725</v>
      </c>
      <c r="D2383" t="s">
        <v>32</v>
      </c>
      <c r="E2383" t="s">
        <v>62</v>
      </c>
      <c r="F2383" t="s">
        <v>29</v>
      </c>
      <c r="G2383" t="s">
        <v>20</v>
      </c>
      <c r="H2383" t="s">
        <v>17</v>
      </c>
      <c r="I2383">
        <v>4</v>
      </c>
      <c r="J2383">
        <v>0</v>
      </c>
      <c r="K2383">
        <v>481.31</v>
      </c>
      <c r="L2383">
        <v>9.5</v>
      </c>
    </row>
    <row r="2384" spans="1:12" x14ac:dyDescent="0.25">
      <c r="A2384" t="s">
        <v>2431</v>
      </c>
      <c r="B2384" s="1">
        <v>45508</v>
      </c>
      <c r="C2384" s="1">
        <v>45509</v>
      </c>
      <c r="D2384" t="s">
        <v>47</v>
      </c>
      <c r="E2384" t="s">
        <v>71</v>
      </c>
      <c r="F2384" t="s">
        <v>29</v>
      </c>
      <c r="G2384" t="s">
        <v>20</v>
      </c>
      <c r="H2384" t="s">
        <v>39</v>
      </c>
      <c r="I2384">
        <v>2</v>
      </c>
      <c r="J2384">
        <v>0.2</v>
      </c>
      <c r="K2384">
        <v>309.19</v>
      </c>
      <c r="L2384">
        <v>7</v>
      </c>
    </row>
    <row r="2385" spans="1:12" x14ac:dyDescent="0.25">
      <c r="A2385" t="s">
        <v>2432</v>
      </c>
      <c r="B2385" s="1">
        <v>45869</v>
      </c>
      <c r="C2385" s="1">
        <v>45874</v>
      </c>
      <c r="D2385" t="s">
        <v>47</v>
      </c>
      <c r="E2385" t="s">
        <v>71</v>
      </c>
      <c r="F2385" t="s">
        <v>29</v>
      </c>
      <c r="G2385" t="s">
        <v>16</v>
      </c>
      <c r="H2385" t="s">
        <v>60</v>
      </c>
      <c r="I2385">
        <v>1</v>
      </c>
      <c r="J2385">
        <v>0.25</v>
      </c>
      <c r="K2385">
        <v>74.400000000000006</v>
      </c>
      <c r="L2385">
        <v>5.75</v>
      </c>
    </row>
    <row r="2386" spans="1:12" x14ac:dyDescent="0.25">
      <c r="A2386" t="s">
        <v>2433</v>
      </c>
      <c r="B2386" s="1">
        <v>45925</v>
      </c>
      <c r="C2386" s="1">
        <v>45931</v>
      </c>
      <c r="D2386" t="s">
        <v>32</v>
      </c>
      <c r="E2386" t="s">
        <v>62</v>
      </c>
      <c r="F2386" t="s">
        <v>25</v>
      </c>
      <c r="G2386" t="s">
        <v>20</v>
      </c>
      <c r="H2386" t="s">
        <v>17</v>
      </c>
      <c r="I2386">
        <v>4</v>
      </c>
      <c r="J2386">
        <v>0</v>
      </c>
      <c r="K2386">
        <v>552.82000000000005</v>
      </c>
      <c r="L2386">
        <v>5.7</v>
      </c>
    </row>
    <row r="2387" spans="1:12" x14ac:dyDescent="0.25">
      <c r="A2387" t="s">
        <v>2434</v>
      </c>
      <c r="B2387" s="1">
        <v>45963</v>
      </c>
      <c r="C2387" s="1">
        <v>45966</v>
      </c>
      <c r="D2387" t="s">
        <v>13</v>
      </c>
      <c r="E2387" t="s">
        <v>14</v>
      </c>
      <c r="F2387" t="s">
        <v>25</v>
      </c>
      <c r="G2387" t="s">
        <v>26</v>
      </c>
      <c r="H2387" t="s">
        <v>41</v>
      </c>
      <c r="I2387">
        <v>8</v>
      </c>
      <c r="J2387">
        <v>0.2</v>
      </c>
      <c r="K2387">
        <v>55.81</v>
      </c>
      <c r="L2387">
        <v>4.8600000000000003</v>
      </c>
    </row>
    <row r="2388" spans="1:12" x14ac:dyDescent="0.25">
      <c r="A2388" t="s">
        <v>2435</v>
      </c>
      <c r="B2388" s="1">
        <v>45398</v>
      </c>
      <c r="C2388" s="1">
        <v>45403</v>
      </c>
      <c r="D2388" t="s">
        <v>47</v>
      </c>
      <c r="E2388" t="s">
        <v>50</v>
      </c>
      <c r="F2388" t="s">
        <v>29</v>
      </c>
      <c r="G2388" t="s">
        <v>26</v>
      </c>
      <c r="H2388" t="s">
        <v>63</v>
      </c>
      <c r="I2388">
        <v>7</v>
      </c>
      <c r="J2388">
        <v>0.25</v>
      </c>
      <c r="K2388">
        <v>59.96</v>
      </c>
      <c r="L2388">
        <v>4.59</v>
      </c>
    </row>
    <row r="2389" spans="1:12" x14ac:dyDescent="0.25">
      <c r="A2389" t="s">
        <v>2436</v>
      </c>
      <c r="B2389" s="1">
        <v>45882</v>
      </c>
      <c r="C2389" s="1">
        <v>45886</v>
      </c>
      <c r="D2389" t="s">
        <v>47</v>
      </c>
      <c r="E2389" t="s">
        <v>50</v>
      </c>
      <c r="F2389" t="s">
        <v>29</v>
      </c>
      <c r="G2389" t="s">
        <v>20</v>
      </c>
      <c r="H2389" t="s">
        <v>39</v>
      </c>
      <c r="I2389">
        <v>2</v>
      </c>
      <c r="J2389">
        <v>0.2</v>
      </c>
      <c r="K2389">
        <v>275.48</v>
      </c>
      <c r="L2389">
        <v>7</v>
      </c>
    </row>
    <row r="2390" spans="1:12" x14ac:dyDescent="0.25">
      <c r="A2390" t="s">
        <v>2437</v>
      </c>
      <c r="B2390" s="1">
        <v>45383</v>
      </c>
      <c r="C2390" s="1">
        <v>45385</v>
      </c>
      <c r="D2390" t="s">
        <v>23</v>
      </c>
      <c r="E2390" t="s">
        <v>59</v>
      </c>
      <c r="F2390" t="s">
        <v>15</v>
      </c>
      <c r="G2390" t="s">
        <v>26</v>
      </c>
      <c r="H2390" t="s">
        <v>27</v>
      </c>
      <c r="I2390">
        <v>4</v>
      </c>
      <c r="J2390">
        <v>0</v>
      </c>
      <c r="K2390">
        <v>104.68</v>
      </c>
      <c r="L2390">
        <v>3.78</v>
      </c>
    </row>
    <row r="2391" spans="1:12" x14ac:dyDescent="0.25">
      <c r="A2391" t="s">
        <v>2438</v>
      </c>
      <c r="B2391" s="1">
        <v>45293</v>
      </c>
      <c r="C2391" s="1">
        <v>45299</v>
      </c>
      <c r="D2391" t="s">
        <v>32</v>
      </c>
      <c r="E2391" t="s">
        <v>45</v>
      </c>
      <c r="F2391" t="s">
        <v>25</v>
      </c>
      <c r="G2391" t="s">
        <v>16</v>
      </c>
      <c r="H2391" t="s">
        <v>27</v>
      </c>
      <c r="I2391">
        <v>22</v>
      </c>
      <c r="J2391">
        <v>0.15</v>
      </c>
      <c r="K2391">
        <v>475.3</v>
      </c>
      <c r="L2391">
        <v>14.4</v>
      </c>
    </row>
    <row r="2392" spans="1:12" x14ac:dyDescent="0.25">
      <c r="A2392" t="s">
        <v>2439</v>
      </c>
      <c r="B2392" s="1">
        <v>45463</v>
      </c>
      <c r="C2392" s="1">
        <v>45466</v>
      </c>
      <c r="D2392" t="s">
        <v>47</v>
      </c>
      <c r="E2392" t="s">
        <v>48</v>
      </c>
      <c r="F2392" t="s">
        <v>29</v>
      </c>
      <c r="G2392" t="s">
        <v>26</v>
      </c>
      <c r="H2392" t="s">
        <v>53</v>
      </c>
      <c r="I2392">
        <v>1</v>
      </c>
      <c r="J2392">
        <v>0.25</v>
      </c>
      <c r="K2392">
        <v>41.91</v>
      </c>
      <c r="L2392">
        <v>5.75</v>
      </c>
    </row>
    <row r="2393" spans="1:12" x14ac:dyDescent="0.25">
      <c r="A2393" t="s">
        <v>2440</v>
      </c>
      <c r="B2393" s="1">
        <v>45516</v>
      </c>
      <c r="C2393" s="1">
        <v>45519</v>
      </c>
      <c r="D2393" t="s">
        <v>47</v>
      </c>
      <c r="E2393" t="s">
        <v>71</v>
      </c>
      <c r="F2393" t="s">
        <v>29</v>
      </c>
      <c r="G2393" t="s">
        <v>16</v>
      </c>
      <c r="H2393" t="s">
        <v>68</v>
      </c>
      <c r="I2393">
        <v>2</v>
      </c>
      <c r="J2393">
        <v>0.05</v>
      </c>
      <c r="K2393">
        <v>97.76</v>
      </c>
      <c r="L2393">
        <v>4.2</v>
      </c>
    </row>
    <row r="2394" spans="1:12" x14ac:dyDescent="0.25">
      <c r="A2394" t="s">
        <v>2441</v>
      </c>
      <c r="B2394" s="1">
        <v>45465</v>
      </c>
      <c r="C2394" s="1">
        <v>45468</v>
      </c>
      <c r="D2394" t="s">
        <v>23</v>
      </c>
      <c r="E2394" t="s">
        <v>43</v>
      </c>
      <c r="F2394" t="s">
        <v>29</v>
      </c>
      <c r="G2394" t="s">
        <v>16</v>
      </c>
      <c r="H2394" t="s">
        <v>60</v>
      </c>
      <c r="I2394">
        <v>7</v>
      </c>
      <c r="J2394">
        <v>0.25</v>
      </c>
      <c r="K2394">
        <v>626.9</v>
      </c>
      <c r="L2394">
        <v>7.95</v>
      </c>
    </row>
    <row r="2395" spans="1:12" x14ac:dyDescent="0.25">
      <c r="A2395" t="s">
        <v>2442</v>
      </c>
      <c r="B2395" s="1">
        <v>45369</v>
      </c>
      <c r="C2395" s="1">
        <v>45370</v>
      </c>
      <c r="D2395" t="s">
        <v>13</v>
      </c>
      <c r="E2395" t="s">
        <v>19</v>
      </c>
      <c r="F2395" t="s">
        <v>29</v>
      </c>
      <c r="G2395" t="s">
        <v>16</v>
      </c>
      <c r="H2395" t="s">
        <v>27</v>
      </c>
      <c r="I2395">
        <v>7</v>
      </c>
      <c r="J2395">
        <v>0</v>
      </c>
      <c r="K2395">
        <v>175.28</v>
      </c>
      <c r="L2395">
        <v>4.59</v>
      </c>
    </row>
    <row r="2396" spans="1:12" x14ac:dyDescent="0.25">
      <c r="A2396" t="s">
        <v>2443</v>
      </c>
      <c r="B2396" s="1">
        <v>45447</v>
      </c>
      <c r="C2396" s="1">
        <v>45450</v>
      </c>
      <c r="D2396" t="s">
        <v>32</v>
      </c>
      <c r="E2396" t="s">
        <v>62</v>
      </c>
      <c r="F2396" t="s">
        <v>29</v>
      </c>
      <c r="G2396" t="s">
        <v>20</v>
      </c>
      <c r="H2396" t="s">
        <v>51</v>
      </c>
      <c r="I2396">
        <v>3</v>
      </c>
      <c r="J2396">
        <v>0.15</v>
      </c>
      <c r="K2396">
        <v>37.9</v>
      </c>
      <c r="L2396">
        <v>5.85</v>
      </c>
    </row>
    <row r="2397" spans="1:12" x14ac:dyDescent="0.25">
      <c r="A2397" t="s">
        <v>2444</v>
      </c>
      <c r="B2397" s="1">
        <v>45799</v>
      </c>
      <c r="C2397" s="1">
        <v>45802</v>
      </c>
      <c r="D2397" t="s">
        <v>47</v>
      </c>
      <c r="E2397" t="s">
        <v>50</v>
      </c>
      <c r="F2397" t="s">
        <v>29</v>
      </c>
      <c r="G2397" t="s">
        <v>20</v>
      </c>
      <c r="H2397" t="s">
        <v>27</v>
      </c>
      <c r="I2397">
        <v>8</v>
      </c>
      <c r="J2397">
        <v>0</v>
      </c>
      <c r="K2397">
        <v>216.31</v>
      </c>
      <c r="L2397">
        <v>4.8600000000000003</v>
      </c>
    </row>
    <row r="2398" spans="1:12" x14ac:dyDescent="0.25">
      <c r="A2398" t="s">
        <v>2445</v>
      </c>
      <c r="B2398" s="1">
        <v>45374</v>
      </c>
      <c r="C2398" s="1">
        <v>45379</v>
      </c>
      <c r="D2398" t="s">
        <v>32</v>
      </c>
      <c r="E2398" t="s">
        <v>45</v>
      </c>
      <c r="F2398" t="s">
        <v>29</v>
      </c>
      <c r="G2398" t="s">
        <v>26</v>
      </c>
      <c r="H2398" t="s">
        <v>21</v>
      </c>
      <c r="I2398">
        <v>1</v>
      </c>
      <c r="J2398">
        <v>0.25</v>
      </c>
      <c r="K2398">
        <v>81.37</v>
      </c>
      <c r="L2398">
        <v>4.08</v>
      </c>
    </row>
    <row r="2399" spans="1:12" x14ac:dyDescent="0.25">
      <c r="A2399" t="s">
        <v>2446</v>
      </c>
      <c r="B2399" s="1">
        <v>45387</v>
      </c>
      <c r="C2399" s="1">
        <v>45390</v>
      </c>
      <c r="D2399" t="s">
        <v>32</v>
      </c>
      <c r="E2399" t="s">
        <v>33</v>
      </c>
      <c r="F2399" t="s">
        <v>25</v>
      </c>
      <c r="G2399" t="s">
        <v>16</v>
      </c>
      <c r="H2399" t="s">
        <v>27</v>
      </c>
      <c r="I2399">
        <v>3</v>
      </c>
      <c r="J2399">
        <v>0.15</v>
      </c>
      <c r="K2399">
        <v>67.78</v>
      </c>
      <c r="L2399">
        <v>5.85</v>
      </c>
    </row>
    <row r="2400" spans="1:12" x14ac:dyDescent="0.25">
      <c r="A2400" t="s">
        <v>2447</v>
      </c>
      <c r="B2400" s="1">
        <v>45366</v>
      </c>
      <c r="C2400" s="1">
        <v>45367</v>
      </c>
      <c r="D2400" t="s">
        <v>23</v>
      </c>
      <c r="E2400" t="s">
        <v>59</v>
      </c>
      <c r="F2400" t="s">
        <v>25</v>
      </c>
      <c r="G2400" t="s">
        <v>26</v>
      </c>
      <c r="H2400" t="s">
        <v>87</v>
      </c>
      <c r="I2400">
        <v>3</v>
      </c>
      <c r="J2400">
        <v>0.25</v>
      </c>
      <c r="K2400">
        <v>17.14</v>
      </c>
      <c r="L2400">
        <v>3.51</v>
      </c>
    </row>
    <row r="2401" spans="1:12" x14ac:dyDescent="0.25">
      <c r="A2401" t="s">
        <v>2448</v>
      </c>
      <c r="B2401" s="1">
        <v>45382</v>
      </c>
      <c r="C2401" s="1">
        <v>45387</v>
      </c>
      <c r="D2401" t="s">
        <v>32</v>
      </c>
      <c r="E2401" t="s">
        <v>62</v>
      </c>
      <c r="F2401" t="s">
        <v>25</v>
      </c>
      <c r="G2401" t="s">
        <v>20</v>
      </c>
      <c r="H2401" t="s">
        <v>51</v>
      </c>
      <c r="I2401">
        <v>3</v>
      </c>
      <c r="J2401">
        <v>0</v>
      </c>
      <c r="K2401">
        <v>42.06</v>
      </c>
      <c r="L2401">
        <v>5.85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3E6F5-F10C-4D63-B005-F63C69E7D374}">
  <dimension ref="A1:I16"/>
  <sheetViews>
    <sheetView workbookViewId="0"/>
  </sheetViews>
  <sheetFormatPr defaultRowHeight="15" x14ac:dyDescent="0.25"/>
  <cols>
    <col min="1" max="1" width="13" bestFit="1" customWidth="1"/>
    <col min="2" max="2" width="29.28515625" bestFit="1" customWidth="1"/>
    <col min="3" max="3" width="15.28515625" bestFit="1" customWidth="1"/>
    <col min="4" max="4" width="17.42578125" bestFit="1" customWidth="1"/>
    <col min="5" max="5" width="12" bestFit="1" customWidth="1"/>
    <col min="6" max="6" width="11.7109375" bestFit="1" customWidth="1"/>
    <col min="7" max="7" width="16.28515625" bestFit="1" customWidth="1"/>
    <col min="8" max="8" width="18.140625" bestFit="1" customWidth="1"/>
    <col min="9" max="9" width="16.7109375" bestFit="1" customWidth="1"/>
  </cols>
  <sheetData>
    <row r="1" spans="1:9" x14ac:dyDescent="0.25">
      <c r="A1" t="s">
        <v>7</v>
      </c>
      <c r="B1" t="s">
        <v>2449</v>
      </c>
      <c r="C1" t="s">
        <v>2450</v>
      </c>
      <c r="D1" t="s">
        <v>2451</v>
      </c>
      <c r="E1" t="s">
        <v>2452</v>
      </c>
      <c r="F1" t="s">
        <v>2453</v>
      </c>
      <c r="G1" t="s">
        <v>2454</v>
      </c>
      <c r="H1" t="s">
        <v>2455</v>
      </c>
      <c r="I1" t="s">
        <v>2456</v>
      </c>
    </row>
    <row r="2" spans="1:9" x14ac:dyDescent="0.25">
      <c r="A2" t="s">
        <v>65</v>
      </c>
      <c r="B2" t="s">
        <v>2457</v>
      </c>
      <c r="C2" t="s">
        <v>2458</v>
      </c>
      <c r="D2" t="s">
        <v>2459</v>
      </c>
      <c r="E2">
        <v>173.56</v>
      </c>
      <c r="F2">
        <v>286.14999999999998</v>
      </c>
      <c r="G2">
        <v>34</v>
      </c>
      <c r="H2">
        <v>6</v>
      </c>
      <c r="I2">
        <v>149</v>
      </c>
    </row>
    <row r="3" spans="1:9" x14ac:dyDescent="0.25">
      <c r="A3" t="s">
        <v>34</v>
      </c>
      <c r="B3" t="s">
        <v>2460</v>
      </c>
      <c r="C3" t="s">
        <v>2458</v>
      </c>
      <c r="D3" t="s">
        <v>2461</v>
      </c>
      <c r="E3">
        <v>119.02</v>
      </c>
      <c r="F3">
        <v>205.39</v>
      </c>
      <c r="G3">
        <v>36</v>
      </c>
      <c r="H3">
        <v>19</v>
      </c>
      <c r="I3">
        <v>118</v>
      </c>
    </row>
    <row r="4" spans="1:9" x14ac:dyDescent="0.25">
      <c r="A4" t="s">
        <v>21</v>
      </c>
      <c r="B4" t="s">
        <v>2462</v>
      </c>
      <c r="C4" t="s">
        <v>2458</v>
      </c>
      <c r="D4" t="s">
        <v>2463</v>
      </c>
      <c r="E4">
        <v>71.489999999999995</v>
      </c>
      <c r="F4">
        <v>112.88</v>
      </c>
      <c r="G4">
        <v>55</v>
      </c>
      <c r="H4">
        <v>7</v>
      </c>
      <c r="I4">
        <v>163</v>
      </c>
    </row>
    <row r="5" spans="1:9" x14ac:dyDescent="0.25">
      <c r="A5" t="s">
        <v>37</v>
      </c>
      <c r="B5" t="s">
        <v>2464</v>
      </c>
      <c r="C5" t="s">
        <v>2458</v>
      </c>
      <c r="D5" t="s">
        <v>2465</v>
      </c>
      <c r="E5">
        <v>63.6</v>
      </c>
      <c r="F5">
        <v>107.94</v>
      </c>
      <c r="G5">
        <v>18</v>
      </c>
      <c r="H5">
        <v>6</v>
      </c>
      <c r="I5">
        <v>71</v>
      </c>
    </row>
    <row r="6" spans="1:9" x14ac:dyDescent="0.25">
      <c r="A6" t="s">
        <v>68</v>
      </c>
      <c r="B6" t="s">
        <v>2466</v>
      </c>
      <c r="C6" t="s">
        <v>2467</v>
      </c>
      <c r="D6" t="s">
        <v>2468</v>
      </c>
      <c r="E6">
        <v>25.33</v>
      </c>
      <c r="F6">
        <v>51.56</v>
      </c>
      <c r="G6">
        <v>38</v>
      </c>
      <c r="H6">
        <v>10</v>
      </c>
      <c r="I6">
        <v>109</v>
      </c>
    </row>
    <row r="7" spans="1:9" x14ac:dyDescent="0.25">
      <c r="A7" t="s">
        <v>60</v>
      </c>
      <c r="B7" t="s">
        <v>2469</v>
      </c>
      <c r="C7" t="s">
        <v>2467</v>
      </c>
      <c r="D7" t="s">
        <v>2468</v>
      </c>
      <c r="E7">
        <v>54.95</v>
      </c>
      <c r="F7">
        <v>112.56</v>
      </c>
      <c r="G7">
        <v>19</v>
      </c>
      <c r="H7">
        <v>11</v>
      </c>
      <c r="I7">
        <v>74</v>
      </c>
    </row>
    <row r="8" spans="1:9" x14ac:dyDescent="0.25">
      <c r="A8" t="s">
        <v>53</v>
      </c>
      <c r="B8" t="s">
        <v>2470</v>
      </c>
      <c r="C8" t="s">
        <v>2467</v>
      </c>
      <c r="D8" t="s">
        <v>2459</v>
      </c>
      <c r="E8">
        <v>31.34</v>
      </c>
      <c r="F8">
        <v>56.49</v>
      </c>
      <c r="G8">
        <v>41</v>
      </c>
      <c r="H8">
        <v>20</v>
      </c>
      <c r="I8">
        <v>146</v>
      </c>
    </row>
    <row r="9" spans="1:9" x14ac:dyDescent="0.25">
      <c r="A9" t="s">
        <v>39</v>
      </c>
      <c r="B9" t="s">
        <v>2471</v>
      </c>
      <c r="C9" t="s">
        <v>2467</v>
      </c>
      <c r="D9" t="s">
        <v>2461</v>
      </c>
      <c r="E9">
        <v>112.09</v>
      </c>
      <c r="F9">
        <v>192.47</v>
      </c>
      <c r="G9">
        <v>49</v>
      </c>
      <c r="H9">
        <v>18</v>
      </c>
      <c r="I9">
        <v>139</v>
      </c>
    </row>
    <row r="10" spans="1:9" x14ac:dyDescent="0.25">
      <c r="A10" t="s">
        <v>17</v>
      </c>
      <c r="B10" t="s">
        <v>2472</v>
      </c>
      <c r="C10" t="s">
        <v>2467</v>
      </c>
      <c r="D10" t="s">
        <v>2468</v>
      </c>
      <c r="E10">
        <v>63.69</v>
      </c>
      <c r="F10">
        <v>125.5</v>
      </c>
      <c r="G10">
        <v>23</v>
      </c>
      <c r="H10">
        <v>10</v>
      </c>
      <c r="I10">
        <v>134</v>
      </c>
    </row>
    <row r="11" spans="1:9" x14ac:dyDescent="0.25">
      <c r="A11" t="s">
        <v>30</v>
      </c>
      <c r="B11" t="s">
        <v>2473</v>
      </c>
      <c r="C11" t="s">
        <v>2474</v>
      </c>
      <c r="D11" t="s">
        <v>2463</v>
      </c>
      <c r="E11">
        <v>3.62</v>
      </c>
      <c r="F11">
        <v>6.03</v>
      </c>
      <c r="G11">
        <v>95</v>
      </c>
      <c r="H11">
        <v>15</v>
      </c>
      <c r="I11">
        <v>288</v>
      </c>
    </row>
    <row r="12" spans="1:9" x14ac:dyDescent="0.25">
      <c r="A12" t="s">
        <v>51</v>
      </c>
      <c r="B12" t="s">
        <v>2475</v>
      </c>
      <c r="C12" t="s">
        <v>2474</v>
      </c>
      <c r="D12" t="s">
        <v>2463</v>
      </c>
      <c r="E12">
        <v>7.93</v>
      </c>
      <c r="F12">
        <v>14.78</v>
      </c>
      <c r="G12">
        <v>147</v>
      </c>
      <c r="H12">
        <v>15</v>
      </c>
      <c r="I12">
        <v>462</v>
      </c>
    </row>
    <row r="13" spans="1:9" x14ac:dyDescent="0.25">
      <c r="A13" t="s">
        <v>87</v>
      </c>
      <c r="B13" t="s">
        <v>2476</v>
      </c>
      <c r="C13" t="s">
        <v>2474</v>
      </c>
      <c r="D13" t="s">
        <v>2459</v>
      </c>
      <c r="E13">
        <v>4.5</v>
      </c>
      <c r="F13">
        <v>8.2899999999999991</v>
      </c>
      <c r="G13">
        <v>144</v>
      </c>
      <c r="H13">
        <v>15</v>
      </c>
      <c r="I13">
        <v>229</v>
      </c>
    </row>
    <row r="14" spans="1:9" x14ac:dyDescent="0.25">
      <c r="A14" t="s">
        <v>63</v>
      </c>
      <c r="B14" t="s">
        <v>2477</v>
      </c>
      <c r="C14" t="s">
        <v>2474</v>
      </c>
      <c r="D14" t="s">
        <v>2468</v>
      </c>
      <c r="E14">
        <v>6.33</v>
      </c>
      <c r="F14">
        <v>12.16</v>
      </c>
      <c r="G14">
        <v>98</v>
      </c>
      <c r="H14">
        <v>14</v>
      </c>
      <c r="I14">
        <v>250</v>
      </c>
    </row>
    <row r="15" spans="1:9" x14ac:dyDescent="0.25">
      <c r="A15" t="s">
        <v>27</v>
      </c>
      <c r="B15" t="s">
        <v>2478</v>
      </c>
      <c r="C15" t="s">
        <v>2474</v>
      </c>
      <c r="D15" t="s">
        <v>2463</v>
      </c>
      <c r="E15">
        <v>16.760000000000002</v>
      </c>
      <c r="F15">
        <v>27.71</v>
      </c>
      <c r="G15">
        <v>96</v>
      </c>
      <c r="H15">
        <v>9</v>
      </c>
      <c r="I15">
        <v>195</v>
      </c>
    </row>
    <row r="16" spans="1:9" x14ac:dyDescent="0.25">
      <c r="A16" t="s">
        <v>41</v>
      </c>
      <c r="B16" t="s">
        <v>2479</v>
      </c>
      <c r="C16" t="s">
        <v>2474</v>
      </c>
      <c r="D16" t="s">
        <v>2459</v>
      </c>
      <c r="E16">
        <v>3.3</v>
      </c>
      <c r="F16">
        <v>6.13</v>
      </c>
      <c r="G16">
        <v>137</v>
      </c>
      <c r="H16">
        <v>8</v>
      </c>
      <c r="I16">
        <v>453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B8F3-CFE6-4403-9EA0-0A243656399F}">
  <dimension ref="A1:R16"/>
  <sheetViews>
    <sheetView workbookViewId="0">
      <selection sqref="A1:R16"/>
    </sheetView>
  </sheetViews>
  <sheetFormatPr defaultRowHeight="15" x14ac:dyDescent="0.25"/>
  <cols>
    <col min="1" max="1" width="26.5703125" bestFit="1" customWidth="1"/>
    <col min="2" max="2" width="13" bestFit="1" customWidth="1"/>
    <col min="3" max="3" width="13.5703125" bestFit="1" customWidth="1"/>
    <col min="4" max="4" width="17.28515625" bestFit="1" customWidth="1"/>
    <col min="5" max="5" width="17.85546875" bestFit="1" customWidth="1"/>
    <col min="6" max="6" width="16.28515625" bestFit="1" customWidth="1"/>
    <col min="7" max="7" width="18.140625" bestFit="1" customWidth="1"/>
    <col min="8" max="8" width="20" bestFit="1" customWidth="1"/>
    <col min="9" max="9" width="16.85546875" bestFit="1" customWidth="1"/>
    <col min="10" max="10" width="29.28515625" bestFit="1" customWidth="1"/>
    <col min="11" max="11" width="15.28515625" bestFit="1" customWidth="1"/>
    <col min="12" max="12" width="17.42578125" bestFit="1" customWidth="1"/>
    <col min="13" max="13" width="12" bestFit="1" customWidth="1"/>
    <col min="14" max="14" width="11.7109375" bestFit="1" customWidth="1"/>
    <col min="15" max="15" width="16.7109375" bestFit="1" customWidth="1"/>
    <col min="16" max="16" width="18.140625" bestFit="1" customWidth="1"/>
    <col min="17" max="17" width="23.140625" bestFit="1" customWidth="1"/>
    <col min="18" max="18" width="22.42578125" bestFit="1" customWidth="1"/>
  </cols>
  <sheetData>
    <row r="1" spans="1:18" x14ac:dyDescent="0.25">
      <c r="A1" t="s">
        <v>2480</v>
      </c>
      <c r="B1" t="s">
        <v>7</v>
      </c>
      <c r="C1" t="s">
        <v>2481</v>
      </c>
      <c r="D1" t="s">
        <v>2482</v>
      </c>
      <c r="E1" t="s">
        <v>2483</v>
      </c>
      <c r="F1" t="s">
        <v>2454</v>
      </c>
      <c r="G1" t="s">
        <v>2455</v>
      </c>
      <c r="H1" t="s">
        <v>2484</v>
      </c>
      <c r="I1" t="s">
        <v>2485</v>
      </c>
      <c r="J1" t="s">
        <v>2449</v>
      </c>
      <c r="K1" t="s">
        <v>2450</v>
      </c>
      <c r="L1" t="s">
        <v>2451</v>
      </c>
      <c r="M1" t="s">
        <v>2452</v>
      </c>
      <c r="N1" t="s">
        <v>2453</v>
      </c>
      <c r="O1" t="s">
        <v>2456</v>
      </c>
      <c r="P1" t="s">
        <v>2502</v>
      </c>
      <c r="Q1" t="s">
        <v>2503</v>
      </c>
      <c r="R1" t="s">
        <v>2504</v>
      </c>
    </row>
    <row r="2" spans="1:18" x14ac:dyDescent="0.25">
      <c r="A2" s="1">
        <v>46022</v>
      </c>
      <c r="B2" t="s">
        <v>65</v>
      </c>
      <c r="C2" t="s">
        <v>2486</v>
      </c>
      <c r="D2">
        <v>97</v>
      </c>
      <c r="E2">
        <v>14</v>
      </c>
      <c r="F2">
        <v>34</v>
      </c>
      <c r="G2">
        <v>6</v>
      </c>
      <c r="H2" s="1">
        <v>46011</v>
      </c>
      <c r="I2" t="s">
        <v>2487</v>
      </c>
      <c r="J2" t="s">
        <v>2457</v>
      </c>
      <c r="K2" t="s">
        <v>2458</v>
      </c>
      <c r="L2" t="s">
        <v>2459</v>
      </c>
      <c r="M2">
        <v>173.56</v>
      </c>
      <c r="N2">
        <v>286.14999999999998</v>
      </c>
      <c r="O2">
        <v>149</v>
      </c>
      <c r="P2">
        <v>16835.32</v>
      </c>
      <c r="Q2">
        <v>3.2647058823529411</v>
      </c>
      <c r="R2" t="s">
        <v>2487</v>
      </c>
    </row>
    <row r="3" spans="1:18" x14ac:dyDescent="0.25">
      <c r="A3" s="1">
        <v>46022</v>
      </c>
      <c r="B3" t="s">
        <v>34</v>
      </c>
      <c r="C3" t="s">
        <v>2488</v>
      </c>
      <c r="D3">
        <v>61</v>
      </c>
      <c r="E3">
        <v>21</v>
      </c>
      <c r="F3">
        <v>36</v>
      </c>
      <c r="G3">
        <v>19</v>
      </c>
      <c r="H3" s="1">
        <v>45977</v>
      </c>
      <c r="I3" t="s">
        <v>2487</v>
      </c>
      <c r="J3" t="s">
        <v>2460</v>
      </c>
      <c r="K3" t="s">
        <v>2458</v>
      </c>
      <c r="L3" t="s">
        <v>2461</v>
      </c>
      <c r="M3">
        <v>119.02</v>
      </c>
      <c r="N3">
        <v>205.39</v>
      </c>
      <c r="O3">
        <v>118</v>
      </c>
      <c r="P3">
        <v>7260.2199999999993</v>
      </c>
      <c r="Q3">
        <v>2.2777777777777777</v>
      </c>
      <c r="R3" t="s">
        <v>2487</v>
      </c>
    </row>
    <row r="4" spans="1:18" x14ac:dyDescent="0.25">
      <c r="A4" s="1">
        <v>46022</v>
      </c>
      <c r="B4" t="s">
        <v>21</v>
      </c>
      <c r="C4" t="s">
        <v>2488</v>
      </c>
      <c r="D4">
        <v>136</v>
      </c>
      <c r="E4">
        <v>9</v>
      </c>
      <c r="F4">
        <v>55</v>
      </c>
      <c r="G4">
        <v>7</v>
      </c>
      <c r="H4" s="1">
        <v>45982</v>
      </c>
      <c r="I4" t="s">
        <v>2487</v>
      </c>
      <c r="J4" t="s">
        <v>2462</v>
      </c>
      <c r="K4" t="s">
        <v>2458</v>
      </c>
      <c r="L4" t="s">
        <v>2463</v>
      </c>
      <c r="M4">
        <v>71.489999999999995</v>
      </c>
      <c r="N4">
        <v>112.88</v>
      </c>
      <c r="O4">
        <v>163</v>
      </c>
      <c r="P4">
        <v>9722.64</v>
      </c>
      <c r="Q4">
        <v>2.6363636363636362</v>
      </c>
      <c r="R4" t="s">
        <v>2487</v>
      </c>
    </row>
    <row r="5" spans="1:18" x14ac:dyDescent="0.25">
      <c r="A5" s="1">
        <v>46022</v>
      </c>
      <c r="B5" t="s">
        <v>37</v>
      </c>
      <c r="C5" t="s">
        <v>2489</v>
      </c>
      <c r="D5">
        <v>33</v>
      </c>
      <c r="E5">
        <v>3</v>
      </c>
      <c r="F5">
        <v>18</v>
      </c>
      <c r="G5">
        <v>6</v>
      </c>
      <c r="H5" s="1">
        <v>45978</v>
      </c>
      <c r="I5" t="s">
        <v>2487</v>
      </c>
      <c r="J5" t="s">
        <v>2464</v>
      </c>
      <c r="K5" t="s">
        <v>2458</v>
      </c>
      <c r="L5" t="s">
        <v>2465</v>
      </c>
      <c r="M5">
        <v>63.6</v>
      </c>
      <c r="N5">
        <v>107.94</v>
      </c>
      <c r="O5">
        <v>71</v>
      </c>
      <c r="P5">
        <v>2098.8000000000002</v>
      </c>
      <c r="Q5">
        <v>2</v>
      </c>
      <c r="R5" t="s">
        <v>2487</v>
      </c>
    </row>
    <row r="6" spans="1:18" x14ac:dyDescent="0.25">
      <c r="A6" s="1">
        <v>46022</v>
      </c>
      <c r="B6" t="s">
        <v>68</v>
      </c>
      <c r="C6" t="s">
        <v>2486</v>
      </c>
      <c r="D6">
        <v>97</v>
      </c>
      <c r="E6">
        <v>4</v>
      </c>
      <c r="F6">
        <v>38</v>
      </c>
      <c r="G6">
        <v>10</v>
      </c>
      <c r="H6" s="1">
        <v>46001</v>
      </c>
      <c r="I6" t="s">
        <v>2487</v>
      </c>
      <c r="J6" t="s">
        <v>2466</v>
      </c>
      <c r="K6" t="s">
        <v>2467</v>
      </c>
      <c r="L6" t="s">
        <v>2468</v>
      </c>
      <c r="M6">
        <v>25.33</v>
      </c>
      <c r="N6">
        <v>51.56</v>
      </c>
      <c r="O6">
        <v>109</v>
      </c>
      <c r="P6">
        <v>2457.0099999999998</v>
      </c>
      <c r="Q6">
        <v>2.6578947368421053</v>
      </c>
      <c r="R6" t="s">
        <v>2487</v>
      </c>
    </row>
    <row r="7" spans="1:18" x14ac:dyDescent="0.25">
      <c r="A7" s="1">
        <v>46022</v>
      </c>
      <c r="B7" t="s">
        <v>60</v>
      </c>
      <c r="C7" t="s">
        <v>2489</v>
      </c>
      <c r="D7">
        <v>42</v>
      </c>
      <c r="E7">
        <v>10</v>
      </c>
      <c r="F7">
        <v>19</v>
      </c>
      <c r="G7">
        <v>11</v>
      </c>
      <c r="H7" s="1">
        <v>46005</v>
      </c>
      <c r="I7" t="s">
        <v>2487</v>
      </c>
      <c r="J7" t="s">
        <v>2469</v>
      </c>
      <c r="K7" t="s">
        <v>2467</v>
      </c>
      <c r="L7" t="s">
        <v>2468</v>
      </c>
      <c r="M7">
        <v>54.95</v>
      </c>
      <c r="N7">
        <v>112.56</v>
      </c>
      <c r="O7">
        <v>74</v>
      </c>
      <c r="P7">
        <v>2307.9</v>
      </c>
      <c r="Q7">
        <v>2.736842105263158</v>
      </c>
      <c r="R7" t="s">
        <v>2487</v>
      </c>
    </row>
    <row r="8" spans="1:18" x14ac:dyDescent="0.25">
      <c r="A8" s="1">
        <v>46022</v>
      </c>
      <c r="B8" t="s">
        <v>53</v>
      </c>
      <c r="C8" t="s">
        <v>2488</v>
      </c>
      <c r="D8">
        <v>51</v>
      </c>
      <c r="E8">
        <v>2</v>
      </c>
      <c r="F8">
        <v>41</v>
      </c>
      <c r="G8">
        <v>20</v>
      </c>
      <c r="H8" s="1">
        <v>46005</v>
      </c>
      <c r="I8" t="s">
        <v>2490</v>
      </c>
      <c r="J8" t="s">
        <v>2470</v>
      </c>
      <c r="K8" t="s">
        <v>2467</v>
      </c>
      <c r="L8" t="s">
        <v>2459</v>
      </c>
      <c r="M8">
        <v>31.34</v>
      </c>
      <c r="N8">
        <v>56.49</v>
      </c>
      <c r="O8">
        <v>146</v>
      </c>
      <c r="P8">
        <v>1598.34</v>
      </c>
      <c r="Q8">
        <v>1.2926829268292683</v>
      </c>
      <c r="R8" t="s">
        <v>2490</v>
      </c>
    </row>
    <row r="9" spans="1:18" x14ac:dyDescent="0.25">
      <c r="A9" s="1">
        <v>46022</v>
      </c>
      <c r="B9" t="s">
        <v>39</v>
      </c>
      <c r="C9" t="s">
        <v>2488</v>
      </c>
      <c r="D9">
        <v>61</v>
      </c>
      <c r="E9">
        <v>30</v>
      </c>
      <c r="F9">
        <v>49</v>
      </c>
      <c r="G9">
        <v>18</v>
      </c>
      <c r="H9" s="1">
        <v>45988</v>
      </c>
      <c r="I9" t="s">
        <v>2490</v>
      </c>
      <c r="J9" t="s">
        <v>2471</v>
      </c>
      <c r="K9" t="s">
        <v>2467</v>
      </c>
      <c r="L9" t="s">
        <v>2461</v>
      </c>
      <c r="M9">
        <v>112.09</v>
      </c>
      <c r="N9">
        <v>192.47</v>
      </c>
      <c r="O9">
        <v>139</v>
      </c>
      <c r="P9">
        <v>6837.49</v>
      </c>
      <c r="Q9">
        <v>1.8571428571428572</v>
      </c>
      <c r="R9" t="s">
        <v>2487</v>
      </c>
    </row>
    <row r="10" spans="1:18" x14ac:dyDescent="0.25">
      <c r="A10" s="1">
        <v>46022</v>
      </c>
      <c r="B10" t="s">
        <v>17</v>
      </c>
      <c r="C10" t="s">
        <v>2488</v>
      </c>
      <c r="D10">
        <v>30</v>
      </c>
      <c r="E10">
        <v>0</v>
      </c>
      <c r="F10">
        <v>23</v>
      </c>
      <c r="G10">
        <v>10</v>
      </c>
      <c r="H10" s="1">
        <v>46008</v>
      </c>
      <c r="I10" t="s">
        <v>2490</v>
      </c>
      <c r="J10" t="s">
        <v>2472</v>
      </c>
      <c r="K10" t="s">
        <v>2467</v>
      </c>
      <c r="L10" t="s">
        <v>2468</v>
      </c>
      <c r="M10">
        <v>63.69</v>
      </c>
      <c r="N10">
        <v>125.5</v>
      </c>
      <c r="O10">
        <v>134</v>
      </c>
      <c r="P10">
        <v>1910.6999999999998</v>
      </c>
      <c r="Q10">
        <v>1.3043478260869565</v>
      </c>
      <c r="R10" t="s">
        <v>2490</v>
      </c>
    </row>
    <row r="11" spans="1:18" x14ac:dyDescent="0.25">
      <c r="A11" s="1">
        <v>46022</v>
      </c>
      <c r="B11" t="s">
        <v>30</v>
      </c>
      <c r="C11" t="s">
        <v>2489</v>
      </c>
      <c r="D11">
        <v>110</v>
      </c>
      <c r="E11">
        <v>1</v>
      </c>
      <c r="F11">
        <v>95</v>
      </c>
      <c r="G11">
        <v>15</v>
      </c>
      <c r="H11" s="1">
        <v>45976</v>
      </c>
      <c r="I11" t="s">
        <v>2490</v>
      </c>
      <c r="J11" t="s">
        <v>2473</v>
      </c>
      <c r="K11" t="s">
        <v>2474</v>
      </c>
      <c r="L11" t="s">
        <v>2463</v>
      </c>
      <c r="M11">
        <v>3.62</v>
      </c>
      <c r="N11">
        <v>6.03</v>
      </c>
      <c r="O11">
        <v>288</v>
      </c>
      <c r="P11">
        <v>398.2</v>
      </c>
      <c r="Q11">
        <v>1.168421052631579</v>
      </c>
      <c r="R11" t="s">
        <v>2490</v>
      </c>
    </row>
    <row r="12" spans="1:18" x14ac:dyDescent="0.25">
      <c r="A12" s="1">
        <v>46022</v>
      </c>
      <c r="B12" t="s">
        <v>51</v>
      </c>
      <c r="C12" t="s">
        <v>2486</v>
      </c>
      <c r="D12">
        <v>114</v>
      </c>
      <c r="E12">
        <v>135</v>
      </c>
      <c r="F12">
        <v>147</v>
      </c>
      <c r="G12">
        <v>15</v>
      </c>
      <c r="H12" s="1">
        <v>45993</v>
      </c>
      <c r="I12" t="s">
        <v>2491</v>
      </c>
      <c r="J12" t="s">
        <v>2475</v>
      </c>
      <c r="K12" t="s">
        <v>2474</v>
      </c>
      <c r="L12" t="s">
        <v>2463</v>
      </c>
      <c r="M12">
        <v>7.93</v>
      </c>
      <c r="N12">
        <v>14.78</v>
      </c>
      <c r="O12">
        <v>462</v>
      </c>
      <c r="P12">
        <v>904.02</v>
      </c>
      <c r="Q12">
        <v>1.6938775510204083</v>
      </c>
      <c r="R12" t="s">
        <v>2487</v>
      </c>
    </row>
    <row r="13" spans="1:18" x14ac:dyDescent="0.25">
      <c r="A13" s="1">
        <v>46022</v>
      </c>
      <c r="B13" t="s">
        <v>87</v>
      </c>
      <c r="C13" t="s">
        <v>2488</v>
      </c>
      <c r="D13">
        <v>66</v>
      </c>
      <c r="E13">
        <v>123</v>
      </c>
      <c r="F13">
        <v>144</v>
      </c>
      <c r="G13">
        <v>15</v>
      </c>
      <c r="H13" s="1">
        <v>46011</v>
      </c>
      <c r="I13" t="s">
        <v>2491</v>
      </c>
      <c r="J13" t="s">
        <v>2476</v>
      </c>
      <c r="K13" t="s">
        <v>2474</v>
      </c>
      <c r="L13" t="s">
        <v>2459</v>
      </c>
      <c r="M13">
        <v>4.5</v>
      </c>
      <c r="N13">
        <v>8.2899999999999991</v>
      </c>
      <c r="O13">
        <v>229</v>
      </c>
      <c r="P13">
        <v>297</v>
      </c>
      <c r="Q13">
        <v>1.3125</v>
      </c>
      <c r="R13" t="s">
        <v>2490</v>
      </c>
    </row>
    <row r="14" spans="1:18" x14ac:dyDescent="0.25">
      <c r="A14" s="1">
        <v>46022</v>
      </c>
      <c r="B14" t="s">
        <v>63</v>
      </c>
      <c r="C14" t="s">
        <v>2489</v>
      </c>
      <c r="D14">
        <v>32</v>
      </c>
      <c r="E14">
        <v>118</v>
      </c>
      <c r="F14">
        <v>98</v>
      </c>
      <c r="G14">
        <v>14</v>
      </c>
      <c r="H14" s="1">
        <v>46000</v>
      </c>
      <c r="I14" t="s">
        <v>2491</v>
      </c>
      <c r="J14" t="s">
        <v>2477</v>
      </c>
      <c r="K14" t="s">
        <v>2474</v>
      </c>
      <c r="L14" t="s">
        <v>2468</v>
      </c>
      <c r="M14">
        <v>6.33</v>
      </c>
      <c r="N14">
        <v>12.16</v>
      </c>
      <c r="O14">
        <v>250</v>
      </c>
      <c r="P14">
        <v>202.56</v>
      </c>
      <c r="Q14">
        <v>1.5306122448979591</v>
      </c>
      <c r="R14" t="s">
        <v>2487</v>
      </c>
    </row>
    <row r="15" spans="1:18" x14ac:dyDescent="0.25">
      <c r="A15" s="1">
        <v>46022</v>
      </c>
      <c r="B15" t="s">
        <v>27</v>
      </c>
      <c r="C15" t="s">
        <v>2486</v>
      </c>
      <c r="D15">
        <v>68</v>
      </c>
      <c r="E15">
        <v>131</v>
      </c>
      <c r="F15">
        <v>96</v>
      </c>
      <c r="G15">
        <v>9</v>
      </c>
      <c r="H15" s="1">
        <v>46010</v>
      </c>
      <c r="I15" t="s">
        <v>2491</v>
      </c>
      <c r="J15" t="s">
        <v>2478</v>
      </c>
      <c r="K15" t="s">
        <v>2474</v>
      </c>
      <c r="L15" t="s">
        <v>2463</v>
      </c>
      <c r="M15">
        <v>16.760000000000002</v>
      </c>
      <c r="N15">
        <v>27.71</v>
      </c>
      <c r="O15">
        <v>195</v>
      </c>
      <c r="P15">
        <v>1139.68</v>
      </c>
      <c r="Q15">
        <v>2.0729166666666665</v>
      </c>
      <c r="R15" t="s">
        <v>2487</v>
      </c>
    </row>
    <row r="16" spans="1:18" x14ac:dyDescent="0.25">
      <c r="A16" s="1">
        <v>46022</v>
      </c>
      <c r="B16" t="s">
        <v>41</v>
      </c>
      <c r="C16" t="s">
        <v>2488</v>
      </c>
      <c r="D16">
        <v>114</v>
      </c>
      <c r="E16">
        <v>197</v>
      </c>
      <c r="F16">
        <v>137</v>
      </c>
      <c r="G16">
        <v>8</v>
      </c>
      <c r="H16" s="1">
        <v>45997</v>
      </c>
      <c r="I16" t="s">
        <v>2491</v>
      </c>
      <c r="J16" t="s">
        <v>2479</v>
      </c>
      <c r="K16" t="s">
        <v>2474</v>
      </c>
      <c r="L16" t="s">
        <v>2459</v>
      </c>
      <c r="M16">
        <v>3.3</v>
      </c>
      <c r="N16">
        <v>6.13</v>
      </c>
      <c r="O16">
        <v>453</v>
      </c>
      <c r="P16">
        <v>376.2</v>
      </c>
      <c r="Q16">
        <v>2.2700729927007299</v>
      </c>
      <c r="R16" t="s">
        <v>2487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E1554-73C7-45D8-9514-20AF7BF0AAEA}">
  <dimension ref="A1:I16"/>
  <sheetViews>
    <sheetView workbookViewId="0">
      <selection sqref="A1:I16"/>
    </sheetView>
  </sheetViews>
  <sheetFormatPr defaultRowHeight="15" x14ac:dyDescent="0.25"/>
  <cols>
    <col min="1" max="1" width="26.5703125" bestFit="1" customWidth="1"/>
    <col min="2" max="2" width="13" bestFit="1" customWidth="1"/>
    <col min="3" max="3" width="13.5703125" bestFit="1" customWidth="1"/>
    <col min="4" max="4" width="17.28515625" bestFit="1" customWidth="1"/>
    <col min="5" max="5" width="17.85546875" bestFit="1" customWidth="1"/>
    <col min="6" max="6" width="16.28515625" bestFit="1" customWidth="1"/>
    <col min="7" max="7" width="18.140625" bestFit="1" customWidth="1"/>
    <col min="8" max="8" width="20" bestFit="1" customWidth="1"/>
    <col min="9" max="9" width="16.85546875" bestFit="1" customWidth="1"/>
  </cols>
  <sheetData>
    <row r="1" spans="1:9" x14ac:dyDescent="0.25">
      <c r="A1" t="s">
        <v>2480</v>
      </c>
      <c r="B1" t="s">
        <v>7</v>
      </c>
      <c r="C1" t="s">
        <v>2481</v>
      </c>
      <c r="D1" t="s">
        <v>2482</v>
      </c>
      <c r="E1" t="s">
        <v>2483</v>
      </c>
      <c r="F1" t="s">
        <v>2454</v>
      </c>
      <c r="G1" t="s">
        <v>2455</v>
      </c>
      <c r="H1" t="s">
        <v>2484</v>
      </c>
      <c r="I1" t="s">
        <v>2485</v>
      </c>
    </row>
    <row r="2" spans="1:9" x14ac:dyDescent="0.25">
      <c r="A2" s="1">
        <v>46022</v>
      </c>
      <c r="B2" t="s">
        <v>65</v>
      </c>
      <c r="C2" t="s">
        <v>2486</v>
      </c>
      <c r="D2">
        <v>97</v>
      </c>
      <c r="E2">
        <v>14</v>
      </c>
      <c r="F2">
        <v>34</v>
      </c>
      <c r="G2">
        <v>6</v>
      </c>
      <c r="H2" s="1">
        <v>46011</v>
      </c>
      <c r="I2" t="s">
        <v>2487</v>
      </c>
    </row>
    <row r="3" spans="1:9" x14ac:dyDescent="0.25">
      <c r="A3" s="1">
        <v>46022</v>
      </c>
      <c r="B3" t="s">
        <v>34</v>
      </c>
      <c r="C3" t="s">
        <v>2488</v>
      </c>
      <c r="D3">
        <v>61</v>
      </c>
      <c r="E3">
        <v>21</v>
      </c>
      <c r="F3">
        <v>36</v>
      </c>
      <c r="G3">
        <v>19</v>
      </c>
      <c r="H3" s="1">
        <v>45977</v>
      </c>
      <c r="I3" t="s">
        <v>2487</v>
      </c>
    </row>
    <row r="4" spans="1:9" x14ac:dyDescent="0.25">
      <c r="A4" s="1">
        <v>46022</v>
      </c>
      <c r="B4" t="s">
        <v>21</v>
      </c>
      <c r="C4" t="s">
        <v>2488</v>
      </c>
      <c r="D4">
        <v>136</v>
      </c>
      <c r="E4">
        <v>9</v>
      </c>
      <c r="F4">
        <v>55</v>
      </c>
      <c r="G4">
        <v>7</v>
      </c>
      <c r="H4" s="1">
        <v>45982</v>
      </c>
      <c r="I4" t="s">
        <v>2487</v>
      </c>
    </row>
    <row r="5" spans="1:9" x14ac:dyDescent="0.25">
      <c r="A5" s="1">
        <v>46022</v>
      </c>
      <c r="B5" t="s">
        <v>37</v>
      </c>
      <c r="C5" t="s">
        <v>2489</v>
      </c>
      <c r="D5">
        <v>33</v>
      </c>
      <c r="E5">
        <v>3</v>
      </c>
      <c r="F5">
        <v>18</v>
      </c>
      <c r="G5">
        <v>6</v>
      </c>
      <c r="H5" s="1">
        <v>45978</v>
      </c>
      <c r="I5" t="s">
        <v>2487</v>
      </c>
    </row>
    <row r="6" spans="1:9" x14ac:dyDescent="0.25">
      <c r="A6" s="1">
        <v>46022</v>
      </c>
      <c r="B6" t="s">
        <v>68</v>
      </c>
      <c r="C6" t="s">
        <v>2486</v>
      </c>
      <c r="D6">
        <v>97</v>
      </c>
      <c r="E6">
        <v>4</v>
      </c>
      <c r="F6">
        <v>38</v>
      </c>
      <c r="G6">
        <v>10</v>
      </c>
      <c r="H6" s="1">
        <v>46001</v>
      </c>
      <c r="I6" t="s">
        <v>2487</v>
      </c>
    </row>
    <row r="7" spans="1:9" x14ac:dyDescent="0.25">
      <c r="A7" s="1">
        <v>46022</v>
      </c>
      <c r="B7" t="s">
        <v>60</v>
      </c>
      <c r="C7" t="s">
        <v>2489</v>
      </c>
      <c r="D7">
        <v>42</v>
      </c>
      <c r="E7">
        <v>10</v>
      </c>
      <c r="F7">
        <v>19</v>
      </c>
      <c r="G7">
        <v>11</v>
      </c>
      <c r="H7" s="1">
        <v>46005</v>
      </c>
      <c r="I7" t="s">
        <v>2487</v>
      </c>
    </row>
    <row r="8" spans="1:9" x14ac:dyDescent="0.25">
      <c r="A8" s="1">
        <v>46022</v>
      </c>
      <c r="B8" t="s">
        <v>53</v>
      </c>
      <c r="C8" t="s">
        <v>2488</v>
      </c>
      <c r="D8">
        <v>51</v>
      </c>
      <c r="E8">
        <v>2</v>
      </c>
      <c r="F8">
        <v>41</v>
      </c>
      <c r="G8">
        <v>20</v>
      </c>
      <c r="H8" s="1">
        <v>46005</v>
      </c>
      <c r="I8" t="s">
        <v>2490</v>
      </c>
    </row>
    <row r="9" spans="1:9" x14ac:dyDescent="0.25">
      <c r="A9" s="1">
        <v>46022</v>
      </c>
      <c r="B9" t="s">
        <v>39</v>
      </c>
      <c r="C9" t="s">
        <v>2488</v>
      </c>
      <c r="D9">
        <v>61</v>
      </c>
      <c r="E9">
        <v>30</v>
      </c>
      <c r="F9">
        <v>49</v>
      </c>
      <c r="G9">
        <v>18</v>
      </c>
      <c r="H9" s="1">
        <v>45988</v>
      </c>
      <c r="I9" t="s">
        <v>2490</v>
      </c>
    </row>
    <row r="10" spans="1:9" x14ac:dyDescent="0.25">
      <c r="A10" s="1">
        <v>46022</v>
      </c>
      <c r="B10" t="s">
        <v>17</v>
      </c>
      <c r="C10" t="s">
        <v>2488</v>
      </c>
      <c r="D10">
        <v>30</v>
      </c>
      <c r="E10">
        <v>0</v>
      </c>
      <c r="F10">
        <v>23</v>
      </c>
      <c r="G10">
        <v>10</v>
      </c>
      <c r="H10" s="1">
        <v>46008</v>
      </c>
      <c r="I10" t="s">
        <v>2490</v>
      </c>
    </row>
    <row r="11" spans="1:9" x14ac:dyDescent="0.25">
      <c r="A11" s="1">
        <v>46022</v>
      </c>
      <c r="B11" t="s">
        <v>30</v>
      </c>
      <c r="C11" t="s">
        <v>2489</v>
      </c>
      <c r="D11">
        <v>110</v>
      </c>
      <c r="E11">
        <v>1</v>
      </c>
      <c r="F11">
        <v>95</v>
      </c>
      <c r="G11">
        <v>15</v>
      </c>
      <c r="H11" s="1">
        <v>45976</v>
      </c>
      <c r="I11" t="s">
        <v>2490</v>
      </c>
    </row>
    <row r="12" spans="1:9" x14ac:dyDescent="0.25">
      <c r="A12" s="1">
        <v>46022</v>
      </c>
      <c r="B12" t="s">
        <v>51</v>
      </c>
      <c r="C12" t="s">
        <v>2486</v>
      </c>
      <c r="D12">
        <v>114</v>
      </c>
      <c r="E12">
        <v>135</v>
      </c>
      <c r="F12">
        <v>147</v>
      </c>
      <c r="G12">
        <v>15</v>
      </c>
      <c r="H12" s="1">
        <v>45993</v>
      </c>
      <c r="I12" t="s">
        <v>2491</v>
      </c>
    </row>
    <row r="13" spans="1:9" x14ac:dyDescent="0.25">
      <c r="A13" s="1">
        <v>46022</v>
      </c>
      <c r="B13" t="s">
        <v>87</v>
      </c>
      <c r="C13" t="s">
        <v>2488</v>
      </c>
      <c r="D13">
        <v>66</v>
      </c>
      <c r="E13">
        <v>123</v>
      </c>
      <c r="F13">
        <v>144</v>
      </c>
      <c r="G13">
        <v>15</v>
      </c>
      <c r="H13" s="1">
        <v>46011</v>
      </c>
      <c r="I13" t="s">
        <v>2491</v>
      </c>
    </row>
    <row r="14" spans="1:9" x14ac:dyDescent="0.25">
      <c r="A14" s="1">
        <v>46022</v>
      </c>
      <c r="B14" t="s">
        <v>63</v>
      </c>
      <c r="C14" t="s">
        <v>2489</v>
      </c>
      <c r="D14">
        <v>32</v>
      </c>
      <c r="E14">
        <v>118</v>
      </c>
      <c r="F14">
        <v>98</v>
      </c>
      <c r="G14">
        <v>14</v>
      </c>
      <c r="H14" s="1">
        <v>46000</v>
      </c>
      <c r="I14" t="s">
        <v>2491</v>
      </c>
    </row>
    <row r="15" spans="1:9" x14ac:dyDescent="0.25">
      <c r="A15" s="1">
        <v>46022</v>
      </c>
      <c r="B15" t="s">
        <v>27</v>
      </c>
      <c r="C15" t="s">
        <v>2486</v>
      </c>
      <c r="D15">
        <v>68</v>
      </c>
      <c r="E15">
        <v>131</v>
      </c>
      <c r="F15">
        <v>96</v>
      </c>
      <c r="G15">
        <v>9</v>
      </c>
      <c r="H15" s="1">
        <v>46010</v>
      </c>
      <c r="I15" t="s">
        <v>2491</v>
      </c>
    </row>
    <row r="16" spans="1:9" x14ac:dyDescent="0.25">
      <c r="A16" s="1">
        <v>46022</v>
      </c>
      <c r="B16" t="s">
        <v>41</v>
      </c>
      <c r="C16" t="s">
        <v>2488</v>
      </c>
      <c r="D16">
        <v>114</v>
      </c>
      <c r="E16">
        <v>197</v>
      </c>
      <c r="F16">
        <v>137</v>
      </c>
      <c r="G16">
        <v>8</v>
      </c>
      <c r="H16" s="1">
        <v>45997</v>
      </c>
      <c r="I16" t="s">
        <v>2491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3B16261-B8C7-492B-AA72-DBB5824CF5D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Business Insights</vt:lpstr>
      <vt:lpstr>Pivot Tables</vt:lpstr>
      <vt:lpstr>Sales Analysis</vt:lpstr>
      <vt:lpstr>Orders Raw</vt:lpstr>
      <vt:lpstr>Products Raw</vt:lpstr>
      <vt:lpstr>Inventory Analysis</vt:lpstr>
      <vt:lpstr>Inventory Raw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hp15-da</dc:creator>
  <cp:lastModifiedBy>hp15-da</cp:lastModifiedBy>
  <dcterms:created xsi:type="dcterms:W3CDTF">2015-06-05T18:17:20Z</dcterms:created>
  <dcterms:modified xsi:type="dcterms:W3CDTF">2026-07-09T08:03:47Z</dcterms:modified>
</cp:coreProperties>
</file>